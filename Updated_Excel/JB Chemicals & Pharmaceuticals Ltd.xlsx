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687A8FE9-9D5B-4024-B13C-FABB9C4A5B0F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9" i="1" l="1"/>
  <c r="CL259" i="1"/>
  <c r="CO9" i="1"/>
  <c r="CS9" i="1" s="1"/>
  <c r="CW9" i="1" s="1"/>
  <c r="DA9" i="1" s="1"/>
  <c r="CN9" i="1"/>
  <c r="CR9" i="1" s="1"/>
  <c r="CV9" i="1" s="1"/>
  <c r="CZ9" i="1" s="1"/>
  <c r="CM9" i="1"/>
  <c r="CQ9" i="1" s="1"/>
  <c r="CU9" i="1" s="1"/>
  <c r="CY9" i="1" s="1"/>
  <c r="CL9" i="1"/>
  <c r="CP9" i="1" s="1"/>
  <c r="CT9" i="1" s="1"/>
  <c r="CX9" i="1" s="1"/>
  <c r="DB9" i="1" s="1"/>
  <c r="CO8" i="1"/>
  <c r="CS8" i="1" s="1"/>
  <c r="CW8" i="1" s="1"/>
  <c r="DA8" i="1" s="1"/>
  <c r="CN8" i="1"/>
  <c r="CR8" i="1" s="1"/>
  <c r="CV8" i="1" s="1"/>
  <c r="CZ8" i="1" s="1"/>
  <c r="CM8" i="1"/>
  <c r="CQ8" i="1" s="1"/>
  <c r="CU8" i="1" s="1"/>
  <c r="CY8" i="1" s="1"/>
  <c r="CL8" i="1"/>
  <c r="CO7" i="1"/>
  <c r="CS7" i="1" s="1"/>
  <c r="CW7" i="1" s="1"/>
  <c r="DA7" i="1" s="1"/>
  <c r="CN7" i="1"/>
  <c r="CR7" i="1" s="1"/>
  <c r="CV7" i="1" s="1"/>
  <c r="CZ7" i="1" s="1"/>
  <c r="CM7" i="1"/>
  <c r="CQ7" i="1" s="1"/>
  <c r="CU7" i="1" s="1"/>
  <c r="CY7" i="1" s="1"/>
  <c r="CL7" i="1"/>
  <c r="CO6" i="1"/>
  <c r="CS6" i="1" s="1"/>
  <c r="CW6" i="1" s="1"/>
  <c r="DA6" i="1" s="1"/>
  <c r="CN6" i="1"/>
  <c r="CR6" i="1" s="1"/>
  <c r="CV6" i="1" s="1"/>
  <c r="CZ6" i="1" s="1"/>
  <c r="CM6" i="1"/>
  <c r="CL6" i="1"/>
  <c r="CO5" i="1"/>
  <c r="CS5" i="1" s="1"/>
  <c r="CW5" i="1" s="1"/>
  <c r="DA5" i="1" s="1"/>
  <c r="CN5" i="1"/>
  <c r="CR5" i="1" s="1"/>
  <c r="CV5" i="1" s="1"/>
  <c r="CZ5" i="1" s="1"/>
  <c r="CM5" i="1"/>
  <c r="CL5" i="1"/>
  <c r="Z9" i="1"/>
  <c r="Z8" i="1"/>
  <c r="Z7" i="1"/>
  <c r="Z6" i="1"/>
  <c r="Z5" i="1"/>
  <c r="Y9" i="1"/>
  <c r="Y8" i="1"/>
  <c r="Y7" i="1"/>
  <c r="Y6" i="1"/>
  <c r="Y5" i="1"/>
  <c r="X9" i="1"/>
  <c r="X8" i="1"/>
  <c r="X7" i="1"/>
  <c r="X6" i="1"/>
  <c r="X5" i="1"/>
  <c r="W9" i="1"/>
  <c r="W8" i="1"/>
  <c r="W7" i="1"/>
  <c r="W6" i="1"/>
  <c r="W5" i="1"/>
  <c r="X14" i="1" s="1"/>
  <c r="V9" i="1"/>
  <c r="V8" i="1"/>
  <c r="V7" i="1"/>
  <c r="W16" i="1" s="1"/>
  <c r="V6" i="1"/>
  <c r="V5" i="1"/>
  <c r="U9" i="1"/>
  <c r="U8" i="1"/>
  <c r="U7" i="1"/>
  <c r="U6" i="1"/>
  <c r="U5" i="1"/>
  <c r="T9" i="1"/>
  <c r="T8" i="1"/>
  <c r="T7" i="1"/>
  <c r="T6" i="1"/>
  <c r="T5" i="1"/>
  <c r="S9" i="1"/>
  <c r="S8" i="1"/>
  <c r="S7" i="1"/>
  <c r="S6" i="1"/>
  <c r="S5" i="1"/>
  <c r="R9" i="1"/>
  <c r="R8" i="1"/>
  <c r="R7" i="1"/>
  <c r="R6" i="1"/>
  <c r="R5" i="1"/>
  <c r="R10" i="1" s="1"/>
  <c r="BF18" i="1"/>
  <c r="BE18" i="1"/>
  <c r="BD18" i="1"/>
  <c r="BC18" i="1"/>
  <c r="BF17" i="1"/>
  <c r="BE17" i="1"/>
  <c r="BD17" i="1"/>
  <c r="BC17" i="1"/>
  <c r="BF16" i="1"/>
  <c r="BE16" i="1"/>
  <c r="BD16" i="1"/>
  <c r="BC16" i="1"/>
  <c r="BF15" i="1"/>
  <c r="BE15" i="1"/>
  <c r="BD15" i="1"/>
  <c r="BC15" i="1"/>
  <c r="BF14" i="1"/>
  <c r="BE14" i="1"/>
  <c r="BD14" i="1"/>
  <c r="BC14" i="1"/>
  <c r="BB10" i="1"/>
  <c r="BA10" i="1"/>
  <c r="AZ10" i="1"/>
  <c r="AY10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CI10" i="1"/>
  <c r="BE19" i="1" l="1"/>
  <c r="BD19" i="1"/>
  <c r="BC19" i="1"/>
  <c r="BF19" i="1"/>
  <c r="Z16" i="1"/>
  <c r="X17" i="1"/>
  <c r="X15" i="1"/>
  <c r="W15" i="1"/>
  <c r="V14" i="1"/>
  <c r="U18" i="1"/>
  <c r="T18" i="1"/>
  <c r="S17" i="1"/>
  <c r="Z18" i="1"/>
  <c r="Z17" i="1"/>
  <c r="Z14" i="1"/>
  <c r="Y18" i="1"/>
  <c r="Y17" i="1"/>
  <c r="Y16" i="1"/>
  <c r="Y15" i="1"/>
  <c r="Y14" i="1"/>
  <c r="X18" i="1"/>
  <c r="X16" i="1"/>
  <c r="W17" i="1"/>
  <c r="V18" i="1"/>
  <c r="V17" i="1"/>
  <c r="U16" i="1"/>
  <c r="U15" i="1"/>
  <c r="T17" i="1"/>
  <c r="T16" i="1"/>
  <c r="T15" i="1"/>
  <c r="T14" i="1"/>
  <c r="S18" i="1"/>
  <c r="S16" i="1"/>
  <c r="S15" i="1"/>
  <c r="S14" i="1"/>
  <c r="AA8" i="1"/>
  <c r="AA17" i="1" s="1"/>
  <c r="CP8" i="1"/>
  <c r="CT8" i="1" s="1"/>
  <c r="CX8" i="1" s="1"/>
  <c r="DB8" i="1" s="1"/>
  <c r="AE8" i="1" s="1"/>
  <c r="CP7" i="1"/>
  <c r="CT7" i="1" s="1"/>
  <c r="CX7" i="1" s="1"/>
  <c r="DB7" i="1" s="1"/>
  <c r="AA7" i="1"/>
  <c r="AA16" i="1" s="1"/>
  <c r="AA6" i="1"/>
  <c r="AA15" i="1" s="1"/>
  <c r="CP6" i="1"/>
  <c r="CT6" i="1" s="1"/>
  <c r="CX6" i="1" s="1"/>
  <c r="DB6" i="1" s="1"/>
  <c r="CP5" i="1"/>
  <c r="CT5" i="1" s="1"/>
  <c r="CX5" i="1" s="1"/>
  <c r="DB5" i="1" s="1"/>
  <c r="AA5" i="1"/>
  <c r="AA14" i="1" s="1"/>
  <c r="Z15" i="1"/>
  <c r="X10" i="1"/>
  <c r="U17" i="1"/>
  <c r="U14" i="1"/>
  <c r="W14" i="1"/>
  <c r="W18" i="1"/>
  <c r="AB5" i="1"/>
  <c r="AA9" i="1"/>
  <c r="AA10" i="1" s="1"/>
  <c r="CL10" i="1"/>
  <c r="AB7" i="1"/>
  <c r="AB8" i="1"/>
  <c r="V16" i="1"/>
  <c r="AB9" i="1"/>
  <c r="AC8" i="1"/>
  <c r="AD8" i="1"/>
  <c r="AE17" i="1" s="1"/>
  <c r="AB17" i="1"/>
  <c r="BR19" i="1"/>
  <c r="V10" i="1"/>
  <c r="V15" i="1"/>
  <c r="AC7" i="1"/>
  <c r="AE7" i="1"/>
  <c r="AD7" i="1"/>
  <c r="AD16" i="1" s="1"/>
  <c r="CQ5" i="1"/>
  <c r="CU5" i="1" s="1"/>
  <c r="CY5" i="1" s="1"/>
  <c r="AE5" i="1" s="1"/>
  <c r="CS10" i="1"/>
  <c r="CM10" i="1"/>
  <c r="CM19" i="1" s="1"/>
  <c r="CN10" i="1"/>
  <c r="DB10" i="1"/>
  <c r="DA10" i="1"/>
  <c r="DA28" i="1" s="1"/>
  <c r="CO10" i="1"/>
  <c r="CZ10" i="1"/>
  <c r="CZ28" i="1" s="1"/>
  <c r="CP10" i="1"/>
  <c r="CM28" i="1"/>
  <c r="AB6" i="1"/>
  <c r="AB15" i="1" s="1"/>
  <c r="CQ6" i="1"/>
  <c r="CT10" i="1"/>
  <c r="CT28" i="1" s="1"/>
  <c r="CX10" i="1"/>
  <c r="CX28" i="1" s="1"/>
  <c r="CW10" i="1"/>
  <c r="CS28" i="1"/>
  <c r="CR10" i="1"/>
  <c r="CV10" i="1"/>
  <c r="AE9" i="1"/>
  <c r="AD9" i="1"/>
  <c r="AC9" i="1"/>
  <c r="AC18" i="1" s="1"/>
  <c r="AC17" i="1"/>
  <c r="AB16" i="1"/>
  <c r="AB14" i="1"/>
  <c r="Z10" i="1"/>
  <c r="Y10" i="1"/>
  <c r="W10" i="1"/>
  <c r="U10" i="1"/>
  <c r="T10" i="1"/>
  <c r="S10" i="1"/>
  <c r="BO19" i="1"/>
  <c r="BG19" i="1"/>
  <c r="BH19" i="1"/>
  <c r="BI19" i="1"/>
  <c r="BJ19" i="1"/>
  <c r="BL19" i="1"/>
  <c r="BM19" i="1"/>
  <c r="BK19" i="1"/>
  <c r="BP19" i="1"/>
  <c r="BQ19" i="1"/>
  <c r="BN19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CK14" i="1"/>
  <c r="CJ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V19" i="1" s="1"/>
  <c r="BU10" i="1"/>
  <c r="BU19" i="1" s="1"/>
  <c r="BT10" i="1"/>
  <c r="BT19" i="1" s="1"/>
  <c r="BS10" i="1"/>
  <c r="BS19" i="1" s="1"/>
  <c r="CK10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56" i="1"/>
  <c r="AB29" i="1"/>
  <c r="AC29" i="1"/>
  <c r="AD29" i="1"/>
  <c r="AE29" i="1"/>
  <c r="AB42" i="1"/>
  <c r="AC42" i="1"/>
  <c r="AD42" i="1"/>
  <c r="AE42" i="1"/>
  <c r="AE41" i="1"/>
  <c r="AD41" i="1"/>
  <c r="AC41" i="1"/>
  <c r="AB41" i="1"/>
  <c r="AJ229" i="1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C109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E75" i="2"/>
  <c r="AE99" i="2"/>
  <c r="AE63" i="2"/>
  <c r="AD81" i="2"/>
  <c r="AD97" i="2"/>
  <c r="AC24" i="2"/>
  <c r="AC78" i="2"/>
  <c r="AC106" i="2"/>
  <c r="AB11" i="2"/>
  <c r="AA33" i="1" s="1"/>
  <c r="AB19" i="2"/>
  <c r="AA42" i="1" s="1"/>
  <c r="AB27" i="2"/>
  <c r="AA52" i="1" s="1"/>
  <c r="AB35" i="2"/>
  <c r="AA71" i="1" s="1"/>
  <c r="AB46" i="2"/>
  <c r="AB54" i="2"/>
  <c r="AA173" i="1" s="1"/>
  <c r="AC9" i="2"/>
  <c r="AC21" i="2"/>
  <c r="AC33" i="2"/>
  <c r="AC48" i="2"/>
  <c r="AB6" i="2"/>
  <c r="AA28" i="1" s="1"/>
  <c r="AB22" i="2"/>
  <c r="AB41" i="2"/>
  <c r="AA137" i="1" s="1"/>
  <c r="AB57" i="2"/>
  <c r="AA175" i="1" s="1"/>
  <c r="AD66" i="2"/>
  <c r="AD74" i="2"/>
  <c r="AD82" i="2"/>
  <c r="AD98" i="2"/>
  <c r="AD110" i="2"/>
  <c r="AD63" i="2"/>
  <c r="AE25" i="2"/>
  <c r="AE52" i="2"/>
  <c r="AC67" i="2"/>
  <c r="AC91" i="2"/>
  <c r="AB51" i="2"/>
  <c r="AA170" i="1" s="1"/>
  <c r="AB76" i="2"/>
  <c r="AA164" i="1" s="1"/>
  <c r="AA199" i="1" s="1"/>
  <c r="AB92" i="2"/>
  <c r="AC16" i="2"/>
  <c r="AC104" i="2"/>
  <c r="AB66" i="2"/>
  <c r="AE27" i="2"/>
  <c r="AE81" i="2"/>
  <c r="AE109" i="2"/>
  <c r="AF57" i="2"/>
  <c r="AD95" i="2"/>
  <c r="AC80" i="2"/>
  <c r="AD105" i="2"/>
  <c r="AE85" i="2"/>
  <c r="AB13" i="2"/>
  <c r="AA44" i="1" s="1"/>
  <c r="AB48" i="2"/>
  <c r="AA145" i="1" s="1"/>
  <c r="AE24" i="2"/>
  <c r="AB45" i="2"/>
  <c r="AA142" i="1" s="1"/>
  <c r="AD76" i="2"/>
  <c r="AF45" i="2"/>
  <c r="AE7" i="2"/>
  <c r="AB86" i="2"/>
  <c r="AA155" i="1" s="1"/>
  <c r="AC86" i="2"/>
  <c r="AD108" i="2"/>
  <c r="AB43" i="2"/>
  <c r="AA139" i="1" s="1"/>
  <c r="AE58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A157" i="1" s="1"/>
  <c r="AB75" i="2"/>
  <c r="AA179" i="1" s="1"/>
  <c r="AB83" i="2"/>
  <c r="AA184" i="1" s="1"/>
  <c r="AB91" i="2"/>
  <c r="AB99" i="2"/>
  <c r="AF6" i="2"/>
  <c r="AB36" i="2"/>
  <c r="AB64" i="2"/>
  <c r="AA153" i="1" s="1"/>
  <c r="AC26" i="2"/>
  <c r="AC53" i="2"/>
  <c r="AE68" i="2"/>
  <c r="AE80" i="2"/>
  <c r="AE92" i="2"/>
  <c r="AD19" i="2"/>
  <c r="AD54" i="2"/>
  <c r="AE50" i="2"/>
  <c r="AF78" i="2"/>
  <c r="AF94" i="2"/>
  <c r="AE19" i="2"/>
  <c r="AE79" i="2"/>
  <c r="AE107" i="2"/>
  <c r="AF68" i="2"/>
  <c r="AF84" i="2"/>
  <c r="AF104" i="2"/>
  <c r="AC43" i="2"/>
  <c r="AC82" i="2"/>
  <c r="AC110" i="2"/>
  <c r="AD25" i="2"/>
  <c r="AD44" i="2"/>
  <c r="AF59" i="2"/>
  <c r="AF67" i="2"/>
  <c r="AF75" i="2"/>
  <c r="AF83" i="2"/>
  <c r="AE51" i="2"/>
  <c r="AB26" i="2"/>
  <c r="AD60" i="2"/>
  <c r="AD92" i="2"/>
  <c r="AD104" i="2"/>
  <c r="AF10" i="2"/>
  <c r="AC6" i="2"/>
  <c r="AC30" i="2"/>
  <c r="AE70" i="2"/>
  <c r="AC95" i="2"/>
  <c r="AF60" i="2"/>
  <c r="AB80" i="2"/>
  <c r="AA167" i="1" s="1"/>
  <c r="AE35" i="2"/>
  <c r="AE83" i="2"/>
  <c r="AC62" i="2"/>
  <c r="AD72" i="2"/>
  <c r="AD59" i="2"/>
  <c r="AE88" i="2"/>
  <c r="AE15" i="2"/>
  <c r="AB108" i="2"/>
  <c r="AA99" i="1" s="1"/>
  <c r="AB94" i="2"/>
  <c r="AD12" i="2"/>
  <c r="AD20" i="2"/>
  <c r="AD28" i="2"/>
  <c r="AD36" i="2"/>
  <c r="AD47" i="2"/>
  <c r="AD55" i="2"/>
  <c r="AC11" i="2"/>
  <c r="AC23" i="2"/>
  <c r="AC35" i="2"/>
  <c r="AC50" i="2"/>
  <c r="AD9" i="2"/>
  <c r="AF91" i="2"/>
  <c r="AF99" i="2"/>
  <c r="AD7" i="2"/>
  <c r="AD42" i="2"/>
  <c r="AE5" i="2"/>
  <c r="AE29" i="2"/>
  <c r="AE56" i="2"/>
  <c r="AC69" i="2"/>
  <c r="AC81" i="2"/>
  <c r="AE94" i="2"/>
  <c r="AF22" i="2"/>
  <c r="AE59" i="2"/>
  <c r="AE46" i="2"/>
  <c r="AB5" i="2"/>
  <c r="AB10" i="2"/>
  <c r="AD68" i="2"/>
  <c r="AD84" i="2"/>
  <c r="AC57" i="2"/>
  <c r="AE82" i="2"/>
  <c r="AB24" i="2"/>
  <c r="AC64" i="2"/>
  <c r="AB96" i="2"/>
  <c r="AB70" i="2"/>
  <c r="AB106" i="2"/>
  <c r="AA97" i="1" s="1"/>
  <c r="AD80" i="2"/>
  <c r="AF5" i="2"/>
  <c r="AF111" i="2" s="1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A165" i="1" s="1"/>
  <c r="AA200" i="1" s="1"/>
  <c r="AB85" i="2"/>
  <c r="AA190" i="1" s="1"/>
  <c r="AB93" i="2"/>
  <c r="AA192" i="1" s="1"/>
  <c r="AB105" i="2"/>
  <c r="AB12" i="2"/>
  <c r="AA35" i="1" s="1"/>
  <c r="AB47" i="2"/>
  <c r="AA144" i="1" s="1"/>
  <c r="AA148" i="1" s="1"/>
  <c r="AE9" i="2"/>
  <c r="AE33" i="2"/>
  <c r="AC59" i="2"/>
  <c r="AC71" i="2"/>
  <c r="AC83" i="2"/>
  <c r="AE98" i="2"/>
  <c r="AD27" i="2"/>
  <c r="AD61" i="2"/>
  <c r="AF66" i="2"/>
  <c r="AF82" i="2"/>
  <c r="AF98" i="2"/>
  <c r="AC51" i="2"/>
  <c r="AC84" i="2"/>
  <c r="AC20" i="2"/>
  <c r="AF72" i="2"/>
  <c r="AF88" i="2"/>
  <c r="AF108" i="2"/>
  <c r="AE65" i="2"/>
  <c r="AE89" i="2"/>
  <c r="AD50" i="2"/>
  <c r="AC10" i="2"/>
  <c r="AC34" i="2"/>
  <c r="AE60" i="2"/>
  <c r="AE72" i="2"/>
  <c r="AC99" i="2"/>
  <c r="AF30" i="2"/>
  <c r="AC68" i="2"/>
  <c r="AB25" i="2"/>
  <c r="AA56" i="1" s="1"/>
  <c r="AE18" i="2"/>
  <c r="AE64" i="2"/>
  <c r="AB72" i="2"/>
  <c r="AA162" i="1" s="1"/>
  <c r="AA168" i="1" s="1"/>
  <c r="AE95" i="2"/>
  <c r="AC8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3" i="2"/>
  <c r="AD15" i="2"/>
  <c r="AE84" i="2"/>
  <c r="AB62" i="2"/>
  <c r="AD67" i="2"/>
  <c r="AD83" i="2"/>
  <c r="AD99" i="2"/>
  <c r="AE54" i="2"/>
  <c r="AE87" i="2"/>
  <c r="AE23" i="2"/>
  <c r="AD73" i="2"/>
  <c r="AD89" i="2"/>
  <c r="AD109" i="2"/>
  <c r="AC66" i="2"/>
  <c r="AC90" i="2"/>
  <c r="AC88" i="2"/>
  <c r="AB74" i="2"/>
  <c r="AF76" i="2"/>
  <c r="AC70" i="2"/>
  <c r="AC94" i="2"/>
  <c r="AD16" i="2"/>
  <c r="AD43" i="2"/>
  <c r="AC5" i="2"/>
  <c r="AC113" i="2" s="1"/>
  <c r="AC29" i="2"/>
  <c r="AC56" i="2"/>
  <c r="AD33" i="2"/>
  <c r="AF63" i="2"/>
  <c r="AF87" i="2"/>
  <c r="AF107" i="2"/>
  <c r="AD23" i="2"/>
  <c r="AE17" i="2"/>
  <c r="AC12" i="2"/>
  <c r="AD71" i="2"/>
  <c r="AC55" i="2"/>
  <c r="AD77" i="2"/>
  <c r="AE97" i="2"/>
  <c r="AB17" i="2"/>
  <c r="AA41" i="1" s="1"/>
  <c r="AB44" i="2"/>
  <c r="AB53" i="2"/>
  <c r="AD88" i="2"/>
  <c r="AC18" i="2"/>
  <c r="AE76" i="2"/>
  <c r="AC98" i="2"/>
  <c r="AB7" i="2"/>
  <c r="AA29" i="1" s="1"/>
  <c r="AB15" i="2"/>
  <c r="AA43" i="1" s="1"/>
  <c r="AB23" i="2"/>
  <c r="AA55" i="1" s="1"/>
  <c r="AB31" i="2"/>
  <c r="AB42" i="2"/>
  <c r="AA138" i="1" s="1"/>
  <c r="AB50" i="2"/>
  <c r="AA169" i="1" s="1"/>
  <c r="AB58" i="2"/>
  <c r="AC15" i="2"/>
  <c r="AC27" i="2"/>
  <c r="AC42" i="2"/>
  <c r="AC54" i="2"/>
  <c r="AB14" i="2"/>
  <c r="AA40" i="1" s="1"/>
  <c r="AB30" i="2"/>
  <c r="AA59" i="1" s="1"/>
  <c r="AB49" i="2"/>
  <c r="AA183" i="1" s="1"/>
  <c r="AD62" i="2"/>
  <c r="AD70" i="2"/>
  <c r="AD78" i="2"/>
  <c r="AD86" i="2"/>
  <c r="AD94" i="2"/>
  <c r="AD106" i="2"/>
  <c r="AE96" i="2"/>
  <c r="AF18" i="2"/>
  <c r="AF53" i="2"/>
  <c r="AE13" i="2"/>
  <c r="AE40" i="2"/>
  <c r="AC61" i="2"/>
  <c r="AC73" i="2"/>
  <c r="AC85" i="2"/>
  <c r="AE106" i="2"/>
  <c r="AB32" i="2"/>
  <c r="AA65" i="1" s="1"/>
  <c r="AF64" i="2"/>
  <c r="AB68" i="2"/>
  <c r="AA156" i="1" s="1"/>
  <c r="AB84" i="2"/>
  <c r="AB104" i="2"/>
  <c r="AE61" i="2"/>
  <c r="AC36" i="2"/>
  <c r="AB90" i="2"/>
  <c r="AB110" i="2"/>
  <c r="AA87" i="1" s="1"/>
  <c r="AE69" i="2"/>
  <c r="AE93" i="2"/>
  <c r="AF71" i="2"/>
  <c r="AE44" i="2"/>
  <c r="AC75" i="2"/>
  <c r="AC87" i="2"/>
  <c r="AE110" i="2"/>
  <c r="AD87" i="2"/>
  <c r="AC92" i="2"/>
  <c r="AD93" i="2"/>
  <c r="AE73" i="2"/>
  <c r="AE6" i="2"/>
  <c r="AE45" i="2"/>
  <c r="AE57" i="2"/>
  <c r="AB18" i="2"/>
  <c r="AA45" i="1" s="1"/>
  <c r="AB34" i="2"/>
  <c r="AD64" i="2"/>
  <c r="AD96" i="2"/>
  <c r="AF26" i="2"/>
  <c r="AC45" i="2"/>
  <c r="AB88" i="2"/>
  <c r="AB78" i="2"/>
  <c r="AA180" i="1" s="1"/>
  <c r="AC74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A152" i="1" s="1"/>
  <c r="AB71" i="2"/>
  <c r="AA160" i="1" s="1"/>
  <c r="AB79" i="2"/>
  <c r="AA166" i="1" s="1"/>
  <c r="AB87" i="2"/>
  <c r="AA146" i="1" s="1"/>
  <c r="AB95" i="2"/>
  <c r="AA191" i="1" s="1"/>
  <c r="AB107" i="2"/>
  <c r="AA98" i="1" s="1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7" i="2"/>
  <c r="AE91" i="2"/>
  <c r="AE42" i="2"/>
  <c r="AF92" i="2"/>
  <c r="AD8" i="2"/>
  <c r="AD24" i="2"/>
  <c r="AD32" i="2"/>
  <c r="AD51" i="2"/>
  <c r="AC17" i="2"/>
  <c r="AC44" i="2"/>
  <c r="AD17" i="2"/>
  <c r="AD52" i="2"/>
  <c r="AF79" i="2"/>
  <c r="AF95" i="2"/>
  <c r="AE104" i="2"/>
  <c r="AD58" i="2"/>
  <c r="AC63" i="2"/>
  <c r="AF41" i="2"/>
  <c r="AD107" i="2"/>
  <c r="AB9" i="2"/>
  <c r="AB33" i="2"/>
  <c r="AA66" i="1" s="1"/>
  <c r="AB52" i="2"/>
  <c r="AA171" i="1" s="1"/>
  <c r="AE30" i="2"/>
  <c r="AE71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A163" i="1" s="1"/>
  <c r="AB81" i="2"/>
  <c r="AB89" i="2"/>
  <c r="AB97" i="2"/>
  <c r="AB109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C72" i="2"/>
  <c r="AC96" i="2"/>
  <c r="AC60" i="2"/>
  <c r="AF80" i="2"/>
  <c r="AF96" i="2"/>
  <c r="AE11" i="2"/>
  <c r="AE77" i="2"/>
  <c r="AE105" i="2"/>
  <c r="AD90" i="2"/>
  <c r="AF34" i="2"/>
  <c r="AC79" i="2"/>
  <c r="AB16" i="2"/>
  <c r="AC47" i="2"/>
  <c r="AC76" i="2"/>
  <c r="AB82" i="2"/>
  <c r="AB98" i="2"/>
  <c r="AD79" i="2"/>
  <c r="AC32" i="2"/>
  <c r="AC108" i="2"/>
  <c r="AD69" i="2"/>
  <c r="AD85" i="2"/>
  <c r="AB21" i="2"/>
  <c r="AB29" i="2"/>
  <c r="AA67" i="1" s="1"/>
  <c r="AB40" i="2"/>
  <c r="AB56" i="2"/>
  <c r="AA147" i="1" s="1"/>
  <c r="AE12" i="2"/>
  <c r="AE36" i="2"/>
  <c r="AC105" i="2"/>
  <c r="AB8" i="2"/>
  <c r="AA151" i="1" l="1"/>
  <c r="AA174" i="1"/>
  <c r="AA176" i="1" s="1"/>
  <c r="AA214" i="1"/>
  <c r="AA273" i="1"/>
  <c r="AA30" i="1"/>
  <c r="AA251" i="1"/>
  <c r="AA57" i="1"/>
  <c r="AA272" i="1"/>
  <c r="AA46" i="1"/>
  <c r="AA47" i="1" s="1"/>
  <c r="AA203" i="1"/>
  <c r="AA140" i="1"/>
  <c r="AA181" i="1"/>
  <c r="AA193" i="1"/>
  <c r="AA154" i="1"/>
  <c r="AA158" i="1" s="1"/>
  <c r="AA149" i="1"/>
  <c r="AA188" i="1"/>
  <c r="AA129" i="1" s="1"/>
  <c r="AA205" i="1"/>
  <c r="AA204" i="1" s="1"/>
  <c r="AA177" i="1"/>
  <c r="AA202" i="1"/>
  <c r="AF113" i="2"/>
  <c r="AB113" i="2"/>
  <c r="AA94" i="1" s="1"/>
  <c r="AD113" i="2"/>
  <c r="AB112" i="2"/>
  <c r="AA93" i="1" s="1"/>
  <c r="AF112" i="2"/>
  <c r="AB111" i="2"/>
  <c r="AA19" i="1"/>
  <c r="Y19" i="1"/>
  <c r="CL19" i="1"/>
  <c r="S19" i="1"/>
  <c r="AC16" i="1"/>
  <c r="T19" i="1"/>
  <c r="U19" i="1"/>
  <c r="V19" i="1"/>
  <c r="W19" i="1"/>
  <c r="Z19" i="1"/>
  <c r="AD17" i="1"/>
  <c r="X19" i="1"/>
  <c r="AA18" i="1"/>
  <c r="DA19" i="1"/>
  <c r="AB18" i="1"/>
  <c r="AE16" i="1"/>
  <c r="AC5" i="1"/>
  <c r="AC14" i="1" s="1"/>
  <c r="DB19" i="1"/>
  <c r="AD5" i="1"/>
  <c r="CP28" i="1"/>
  <c r="CP19" i="1"/>
  <c r="DB28" i="1"/>
  <c r="CX19" i="1"/>
  <c r="CO28" i="1"/>
  <c r="CO19" i="1"/>
  <c r="CN28" i="1"/>
  <c r="CN19" i="1"/>
  <c r="AB10" i="1"/>
  <c r="AB19" i="1" s="1"/>
  <c r="CU6" i="1"/>
  <c r="AC6" i="1"/>
  <c r="AC15" i="1" s="1"/>
  <c r="CQ10" i="1"/>
  <c r="CW19" i="1"/>
  <c r="CW28" i="1"/>
  <c r="CV19" i="1"/>
  <c r="CV28" i="1"/>
  <c r="CZ19" i="1"/>
  <c r="CR28" i="1"/>
  <c r="AD18" i="1"/>
  <c r="AE18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B1" i="9"/>
  <c r="AE111" i="2"/>
  <c r="AD112" i="2"/>
  <c r="AC112" i="2"/>
  <c r="AE112" i="2"/>
  <c r="A1" i="9"/>
  <c r="AD111" i="2"/>
  <c r="AC111" i="2"/>
  <c r="L1" i="9"/>
  <c r="AE113" i="2"/>
  <c r="AA268" i="1" l="1"/>
  <c r="AA118" i="1"/>
  <c r="AA36" i="1"/>
  <c r="AA195" i="1"/>
  <c r="AA266" i="1"/>
  <c r="AA264" i="1"/>
  <c r="AA53" i="1"/>
  <c r="AA185" i="1"/>
  <c r="AA186" i="1" s="1"/>
  <c r="AA201" i="1"/>
  <c r="AA206" i="1"/>
  <c r="AA37" i="1"/>
  <c r="AA48" i="1"/>
  <c r="AD14" i="1"/>
  <c r="AE14" i="1"/>
  <c r="AC10" i="1"/>
  <c r="AC19" i="1" s="1"/>
  <c r="CQ28" i="1"/>
  <c r="CY6" i="1"/>
  <c r="AD6" i="1"/>
  <c r="CU10" i="1"/>
  <c r="DB259" i="1"/>
  <c r="DA259" i="1"/>
  <c r="CZ259" i="1"/>
  <c r="CY259" i="1"/>
  <c r="CX259" i="1"/>
  <c r="CW259" i="1"/>
  <c r="CV259" i="1"/>
  <c r="CU259" i="1"/>
  <c r="CT259" i="1"/>
  <c r="CS259" i="1"/>
  <c r="CR259" i="1"/>
  <c r="CQ259" i="1"/>
  <c r="CP259" i="1"/>
  <c r="CO259" i="1"/>
  <c r="CN259" i="1"/>
  <c r="CM259" i="1"/>
  <c r="CK259" i="1"/>
  <c r="CK156" i="1"/>
  <c r="CM156" i="1" s="1"/>
  <c r="CN156" i="1" s="1"/>
  <c r="CO156" i="1" s="1"/>
  <c r="CP156" i="1" s="1"/>
  <c r="CQ156" i="1" s="1"/>
  <c r="CR156" i="1" s="1"/>
  <c r="CS156" i="1" s="1"/>
  <c r="CT156" i="1" s="1"/>
  <c r="CU156" i="1" s="1"/>
  <c r="CV156" i="1" s="1"/>
  <c r="CW156" i="1" s="1"/>
  <c r="CX156" i="1" s="1"/>
  <c r="CY156" i="1" s="1"/>
  <c r="CZ156" i="1" s="1"/>
  <c r="DA156" i="1" s="1"/>
  <c r="DB156" i="1" s="1"/>
  <c r="CH172" i="1"/>
  <c r="CJ259" i="1"/>
  <c r="Z259" i="1"/>
  <c r="AA49" i="1" l="1"/>
  <c r="AA54" i="1"/>
  <c r="AA132" i="1"/>
  <c r="AA252" i="1"/>
  <c r="AA253" i="1" s="1"/>
  <c r="CU19" i="1"/>
  <c r="CU28" i="1"/>
  <c r="AD15" i="1"/>
  <c r="AD10" i="1"/>
  <c r="AD19" i="1" s="1"/>
  <c r="AE6" i="1"/>
  <c r="AE10" i="1" s="1"/>
  <c r="AE19" i="1" s="1"/>
  <c r="CY10" i="1"/>
  <c r="CI259" i="1"/>
  <c r="CG156" i="1"/>
  <c r="CG259" i="1"/>
  <c r="CH259" i="1"/>
  <c r="AB33" i="1"/>
  <c r="AC33" i="1"/>
  <c r="AD33" i="1"/>
  <c r="AE33" i="1"/>
  <c r="AB34" i="1"/>
  <c r="AC34" i="1"/>
  <c r="AD34" i="1"/>
  <c r="AE34" i="1"/>
  <c r="AB44" i="1"/>
  <c r="AC44" i="1"/>
  <c r="AD44" i="1"/>
  <c r="AE44" i="1"/>
  <c r="AB45" i="1"/>
  <c r="AC45" i="1"/>
  <c r="AD45" i="1"/>
  <c r="AE45" i="1"/>
  <c r="AB67" i="1"/>
  <c r="AC67" i="1"/>
  <c r="AD67" i="1"/>
  <c r="AE67" i="1"/>
  <c r="AB179" i="1"/>
  <c r="AC179" i="1"/>
  <c r="AD179" i="1"/>
  <c r="AE179" i="1"/>
  <c r="AB193" i="1"/>
  <c r="AC193" i="1"/>
  <c r="AD193" i="1"/>
  <c r="AE193" i="1"/>
  <c r="CE156" i="1"/>
  <c r="CE259" i="1"/>
  <c r="CF259" i="1"/>
  <c r="AI217" i="1"/>
  <c r="AI222" i="1"/>
  <c r="AI226" i="1"/>
  <c r="AI229" i="1"/>
  <c r="AI259" i="1"/>
  <c r="Y259" i="1"/>
  <c r="AM156" i="1"/>
  <c r="AO156" i="1"/>
  <c r="AQ156" i="1"/>
  <c r="AS156" i="1"/>
  <c r="AU156" i="1"/>
  <c r="AW156" i="1"/>
  <c r="AY156" i="1"/>
  <c r="BA156" i="1"/>
  <c r="BC156" i="1"/>
  <c r="BE156" i="1"/>
  <c r="BG156" i="1"/>
  <c r="BI156" i="1"/>
  <c r="BK156" i="1"/>
  <c r="BM156" i="1"/>
  <c r="BO156" i="1"/>
  <c r="BQ156" i="1"/>
  <c r="BS156" i="1"/>
  <c r="BU156" i="1"/>
  <c r="BW156" i="1"/>
  <c r="BY156" i="1"/>
  <c r="CA156" i="1"/>
  <c r="CC156" i="1"/>
  <c r="CD259" i="1"/>
  <c r="CC259" i="1"/>
  <c r="AJ259" i="1"/>
  <c r="AK259" i="1"/>
  <c r="AL259" i="1"/>
  <c r="CB259" i="1"/>
  <c r="CA259" i="1"/>
  <c r="BZ259" i="1"/>
  <c r="BY259" i="1"/>
  <c r="BX259" i="1"/>
  <c r="BW259" i="1"/>
  <c r="BV259" i="1"/>
  <c r="BU259" i="1"/>
  <c r="BT259" i="1"/>
  <c r="BS259" i="1"/>
  <c r="BR259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58" i="1" l="1"/>
  <c r="AA75" i="1"/>
  <c r="CY28" i="1"/>
  <c r="CY19" i="1"/>
  <c r="AE15" i="1"/>
  <c r="Y1" i="1"/>
  <c r="Z1" i="1" s="1"/>
  <c r="AA60" i="1" l="1"/>
  <c r="AA61" i="1"/>
  <c r="AA1" i="1"/>
  <c r="AB1" i="1" s="1"/>
  <c r="AC1" i="1" s="1"/>
  <c r="AD1" i="1" s="1"/>
  <c r="AE1" i="1" s="1"/>
  <c r="AA62" i="1" l="1"/>
  <c r="AA265" i="1" s="1"/>
  <c r="AA254" i="1"/>
  <c r="AA68" i="1"/>
  <c r="A1" i="3"/>
  <c r="AA72" i="1" l="1"/>
  <c r="AA213" i="1"/>
  <c r="AA215" i="1" s="1"/>
  <c r="AA74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34" i="1" s="1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J20" i="3"/>
  <c r="BL39" i="3"/>
  <c r="BE46" i="3"/>
  <c r="BL9" i="3"/>
  <c r="BT19" i="3"/>
  <c r="BP26" i="3"/>
  <c r="BK34" i="3"/>
  <c r="BJ11" i="3"/>
  <c r="BJ27" i="3"/>
  <c r="BK5" i="3"/>
  <c r="BG21" i="3"/>
  <c r="BG37" i="3"/>
  <c r="BH4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EZ9" i="4" a="1"/>
  <c r="FE16" i="4" a="1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2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32" i="3"/>
  <c r="BP31" i="3"/>
  <c r="BI5" i="3"/>
  <c r="BG10" i="3"/>
  <c r="BE15" i="3"/>
  <c r="BM19" i="3"/>
  <c r="BK24" i="3"/>
  <c r="BK46" i="3"/>
  <c r="BJ23" i="3"/>
  <c r="BL42" i="3"/>
  <c r="BG23" i="3"/>
  <c r="BN6" i="3"/>
  <c r="BF22" i="3"/>
  <c r="BH41" i="3"/>
  <c r="BF8" i="3"/>
  <c r="BF16" i="3"/>
  <c r="CL40" i="1" s="1"/>
  <c r="BT25" i="3"/>
  <c r="BP28" i="3"/>
  <c r="BM35" i="3"/>
  <c r="BF13" i="3"/>
  <c r="BL28" i="3"/>
  <c r="BI6" i="3"/>
  <c r="BE22" i="3"/>
  <c r="BI38" i="3"/>
  <c r="BH7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36" i="3"/>
  <c r="BP39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J14" i="3"/>
  <c r="BJ22" i="3"/>
  <c r="BT31" i="3"/>
  <c r="BP34" i="3"/>
  <c r="BE37" i="3"/>
  <c r="BN13" i="3"/>
  <c r="BL30" i="3"/>
  <c r="BK7" i="3"/>
  <c r="BK23" i="3"/>
  <c r="BE40" i="3"/>
  <c r="BL13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F6" i="3"/>
  <c r="CL28" i="1" s="1"/>
  <c r="BH25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T46" i="3"/>
  <c r="BP19" i="3"/>
  <c r="BK6" i="3"/>
  <c r="BI11" i="3"/>
  <c r="BG16" i="3"/>
  <c r="BE21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4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I39" i="3"/>
  <c r="BJ21" i="3"/>
  <c r="BL46" i="3"/>
  <c r="BE24" i="3"/>
  <c r="BL11" i="3"/>
  <c r="BI46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65" i="1" s="1"/>
  <c r="BH9" i="3"/>
  <c r="BJ28" i="3"/>
  <c r="BL33" i="3"/>
  <c r="BL41" i="3"/>
  <c r="BT8" i="3"/>
  <c r="BM25" i="3"/>
  <c r="BI41" i="3"/>
  <c r="BL18" i="3"/>
  <c r="BF35" i="3"/>
  <c r="CL66" i="1" s="1"/>
  <c r="BG11" i="3"/>
  <c r="BE28" i="3"/>
  <c r="BJ8" i="3"/>
  <c r="BF28" i="3"/>
  <c r="CL52" i="1" s="1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D7" i="4" a="1"/>
  <c r="EX16" i="4" a="1"/>
  <c r="FF14" i="4" a="1"/>
  <c r="FF9" i="4" a="1"/>
  <c r="FF12" i="4" a="1"/>
  <c r="FD16" i="4" a="1"/>
  <c r="FC6" i="4" a="1"/>
  <c r="FE15" i="4" a="1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33" i="1" s="1"/>
  <c r="BV14" i="3"/>
  <c r="BV20" i="3"/>
  <c r="BQ8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CL67" i="1" s="1"/>
  <c r="BP25" i="3"/>
  <c r="BP45" i="3"/>
  <c r="BM7" i="3"/>
  <c r="BK12" i="3"/>
  <c r="BI17" i="3"/>
  <c r="BG22" i="3"/>
  <c r="BE35" i="3"/>
  <c r="BJ13" i="3"/>
  <c r="BL32" i="3"/>
  <c r="BG13" i="3"/>
  <c r="BK33" i="3"/>
  <c r="BN8" i="3"/>
  <c r="BJ12" i="3"/>
  <c r="BL31" i="3"/>
  <c r="BN12" i="3"/>
  <c r="BM46" i="3"/>
  <c r="BJ30" i="3"/>
  <c r="BT30" i="3"/>
  <c r="BE29" i="3"/>
  <c r="BM45" i="3"/>
  <c r="BL20" i="3"/>
  <c r="BJ37" i="3"/>
  <c r="BI14" i="3"/>
  <c r="BI30" i="3"/>
  <c r="BJ16" i="3"/>
  <c r="BN40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Q9" i="3"/>
  <c r="BQ15" i="3"/>
  <c r="BQ21" i="3"/>
  <c r="BQ27" i="3"/>
  <c r="BQ33" i="3"/>
  <c r="BQ39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H6" i="3"/>
  <c r="BF29" i="3"/>
  <c r="CL59" i="1" s="1"/>
  <c r="BI8" i="3"/>
  <c r="BG29" i="3"/>
  <c r="BN30" i="3"/>
  <c r="BT12" i="3"/>
  <c r="BP33" i="3"/>
  <c r="BP13" i="3"/>
  <c r="BG8" i="3"/>
  <c r="BE13" i="3"/>
  <c r="BM17" i="3"/>
  <c r="BK22" i="3"/>
  <c r="BK36" i="3"/>
  <c r="BF15" i="3"/>
  <c r="CL44" i="1" s="1"/>
  <c r="BH34" i="3"/>
  <c r="BM14" i="3"/>
  <c r="BG35" i="3"/>
  <c r="BH15" i="3"/>
  <c r="BF14" i="3"/>
  <c r="CL43" i="1" s="1"/>
  <c r="BH33" i="3"/>
  <c r="BH19" i="3"/>
  <c r="BG45" i="3"/>
  <c r="BT42" i="3"/>
  <c r="BG30" i="3"/>
  <c r="BJ5" i="3"/>
  <c r="BH22" i="3"/>
  <c r="BF39" i="3"/>
  <c r="BK15" i="3"/>
  <c r="BK31" i="3"/>
  <c r="BN22" i="3"/>
  <c r="BK45" i="3"/>
  <c r="BU9" i="3"/>
  <c r="BU15" i="3"/>
  <c r="BU21" i="3"/>
  <c r="BU27" i="3"/>
  <c r="BU33" i="3"/>
  <c r="BU39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F31" i="3"/>
  <c r="BK9" i="3"/>
  <c r="BM30" i="3"/>
  <c r="BH37" i="3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L15" i="3"/>
  <c r="BN34" i="3"/>
  <c r="BL25" i="3"/>
  <c r="BL17" i="3"/>
  <c r="BP6" i="3"/>
  <c r="BP8" i="3"/>
  <c r="BE31" i="3"/>
  <c r="BF7" i="3"/>
  <c r="BN23" i="3"/>
  <c r="BL40" i="3"/>
  <c r="BM16" i="3"/>
  <c r="BG33" i="3"/>
  <c r="BH29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U10" i="3"/>
  <c r="BU16" i="3"/>
  <c r="BE12" i="3"/>
  <c r="BV32" i="3"/>
  <c r="BS16" i="3"/>
  <c r="BT11" i="3"/>
  <c r="BG5" i="3"/>
  <c r="BG79" i="3" s="1"/>
  <c r="BP17" i="3"/>
  <c r="BE17" i="3"/>
  <c r="BH18" i="3"/>
  <c r="BM38" i="3"/>
  <c r="BJ36" i="3"/>
  <c r="BN28" i="3"/>
  <c r="BI27" i="3"/>
  <c r="BH26" i="3"/>
  <c r="BI26" i="3"/>
  <c r="AA110" i="2"/>
  <c r="Y26" i="2"/>
  <c r="Z9" i="2"/>
  <c r="BB9" i="3"/>
  <c r="BA19" i="3"/>
  <c r="Z110" i="2"/>
  <c r="Z53" i="2"/>
  <c r="Y50" i="2"/>
  <c r="BD11" i="3"/>
  <c r="BB18" i="3"/>
  <c r="Z57" i="2"/>
  <c r="AA85" i="2"/>
  <c r="AA71" i="2"/>
  <c r="Y84" i="2"/>
  <c r="AA33" i="2"/>
  <c r="BC21" i="3"/>
  <c r="Y7" i="2"/>
  <c r="BD25" i="3"/>
  <c r="Y59" i="2"/>
  <c r="Y69" i="2"/>
  <c r="BB23" i="3"/>
  <c r="Z60" i="2"/>
  <c r="Z41" i="2"/>
  <c r="Y97" i="2"/>
  <c r="EY14" i="4" a="1"/>
  <c r="EZ14" i="4" a="1"/>
  <c r="FD8" i="4" a="1"/>
  <c r="EX9" i="4" a="1"/>
  <c r="FB6" i="4" a="1"/>
  <c r="EY16" i="4" a="1"/>
  <c r="FD9" i="4" a="1"/>
  <c r="BB17" i="3"/>
  <c r="Y44" i="2"/>
  <c r="Z106" i="2"/>
  <c r="BD41" i="3"/>
  <c r="BB42" i="3"/>
  <c r="Z24" i="2"/>
  <c r="BB39" i="3"/>
  <c r="FC9" i="4" a="1"/>
  <c r="FD15" i="4" a="1"/>
  <c r="FB12" i="4" a="1"/>
  <c r="FC11" i="4" a="1"/>
  <c r="FB16" i="4" a="1"/>
  <c r="FD6" i="4" a="1"/>
  <c r="FB5" i="4" a="1"/>
  <c r="BC36" i="3"/>
  <c r="BC5" i="3"/>
  <c r="FF6" i="4" a="1"/>
  <c r="Y91" i="2"/>
  <c r="Y82" i="2"/>
  <c r="BB7" i="3"/>
  <c r="Z43" i="2"/>
  <c r="EX5" i="4" a="1"/>
  <c r="BE41" i="3"/>
  <c r="Y60" i="2"/>
  <c r="Z89" i="2"/>
  <c r="BB20" i="3"/>
  <c r="BA14" i="3"/>
  <c r="BA21" i="3"/>
  <c r="AA83" i="2"/>
  <c r="FA7" i="4" a="1"/>
  <c r="EY9" i="4" a="1"/>
  <c r="AA72" i="2"/>
  <c r="BA9" i="3"/>
  <c r="Z94" i="2"/>
  <c r="AV10" i="3"/>
  <c r="BA18" i="3"/>
  <c r="FD14" i="4" a="1"/>
  <c r="EZ8" i="4" a="1"/>
  <c r="BR23" i="3"/>
  <c r="BM39" i="3"/>
  <c r="BP14" i="3"/>
  <c r="BJ40" i="3"/>
  <c r="AA77" i="2"/>
  <c r="Y78" i="2"/>
  <c r="Z18" i="2"/>
  <c r="AA52" i="2"/>
  <c r="Y56" i="2"/>
  <c r="Z87" i="2"/>
  <c r="EZ11" i="4" a="1"/>
  <c r="BU22" i="3"/>
  <c r="BG31" i="3"/>
  <c r="BV34" i="3"/>
  <c r="BS18" i="3"/>
  <c r="BT33" i="3"/>
  <c r="BI12" i="3"/>
  <c r="BP21" i="3"/>
  <c r="BK18" i="3"/>
  <c r="BH20" i="3"/>
  <c r="BI40" i="3"/>
  <c r="BF38" i="3"/>
  <c r="BH35" i="3"/>
  <c r="BG32" i="3"/>
  <c r="BH32" i="3"/>
  <c r="BM28" i="3"/>
  <c r="AA24" i="2"/>
  <c r="Y68" i="2"/>
  <c r="AA93" i="2"/>
  <c r="BA31" i="3"/>
  <c r="BA22" i="3"/>
  <c r="Y42" i="2"/>
  <c r="Z96" i="2"/>
  <c r="Y15" i="2"/>
  <c r="BC14" i="3"/>
  <c r="BD19" i="3"/>
  <c r="AA20" i="2"/>
  <c r="Y92" i="2"/>
  <c r="AA64" i="2"/>
  <c r="AA32" i="2"/>
  <c r="BB13" i="3"/>
  <c r="BD7" i="3"/>
  <c r="Z83" i="2"/>
  <c r="BB31" i="3"/>
  <c r="Y70" i="2"/>
  <c r="Y52" i="2"/>
  <c r="BC26" i="3"/>
  <c r="Y40" i="2"/>
  <c r="Z17" i="2"/>
  <c r="AA45" i="2"/>
  <c r="FA6" i="4" a="1"/>
  <c r="FA5" i="4" a="1"/>
  <c r="FB7" i="4" a="1"/>
  <c r="FE14" i="4" a="1"/>
  <c r="EX6" i="4" a="1"/>
  <c r="EX8" i="4" a="1"/>
  <c r="FE13" i="4" a="1"/>
  <c r="BU28" i="3"/>
  <c r="BR35" i="3"/>
  <c r="BO19" i="3"/>
  <c r="BT39" i="3"/>
  <c r="BE14" i="3"/>
  <c r="BN27" i="3"/>
  <c r="BL45" i="3"/>
  <c r="BN33" i="3"/>
  <c r="AA19" i="2"/>
  <c r="Y32" i="2"/>
  <c r="BD23" i="3"/>
  <c r="Z19" i="2"/>
  <c r="BA27" i="3"/>
  <c r="AA84" i="2"/>
  <c r="Y67" i="2"/>
  <c r="Y95" i="2"/>
  <c r="Z93" i="2"/>
  <c r="BB34" i="3"/>
  <c r="EX13" i="4" a="1"/>
  <c r="FD13" i="4" a="1"/>
  <c r="BB5" i="3"/>
  <c r="BC31" i="3"/>
  <c r="BB35" i="3"/>
  <c r="BD31" i="3"/>
  <c r="BB36" i="3"/>
  <c r="Y110" i="2"/>
  <c r="EX11" i="4" a="1"/>
  <c r="EX12" i="4" a="1"/>
  <c r="BV46" i="3"/>
  <c r="BG9" i="3"/>
  <c r="AA6" i="2"/>
  <c r="AA5" i="2"/>
  <c r="AA65" i="2"/>
  <c r="BA24" i="3"/>
  <c r="FA16" i="4" a="1"/>
  <c r="BD32" i="3"/>
  <c r="Z75" i="2"/>
  <c r="Y48" i="2"/>
  <c r="BA10" i="3"/>
  <c r="EY13" i="4" a="1"/>
  <c r="FB15" i="4" a="1"/>
  <c r="BO31" i="3"/>
  <c r="BD33" i="3"/>
  <c r="BA42" i="3"/>
  <c r="Y47" i="2"/>
  <c r="Y93" i="2"/>
  <c r="BD12" i="3"/>
  <c r="AA69" i="2"/>
  <c r="AA95" i="2"/>
  <c r="FA8" i="4" a="1"/>
  <c r="Z80" i="2"/>
  <c r="Y77" i="2"/>
  <c r="BC30" i="3"/>
  <c r="BM32" i="3"/>
  <c r="BP37" i="3"/>
  <c r="BE19" i="3"/>
  <c r="BL27" i="3"/>
  <c r="BH11" i="3"/>
  <c r="BI33" i="3"/>
  <c r="BI34" i="3"/>
  <c r="Y10" i="2"/>
  <c r="Z44" i="2"/>
  <c r="BD6" i="3"/>
  <c r="AA42" i="2"/>
  <c r="AA89" i="2"/>
  <c r="BB12" i="3"/>
  <c r="Z52" i="2"/>
  <c r="BA30" i="3"/>
  <c r="Y29" i="2"/>
  <c r="BC46" i="3"/>
  <c r="FC16" i="4" a="1"/>
  <c r="FB11" i="4" a="1"/>
  <c r="EY12" i="4" a="1"/>
  <c r="EZ5" i="4" a="1"/>
  <c r="EY6" i="4" a="1"/>
  <c r="BD28" i="3"/>
  <c r="Z16" i="2"/>
  <c r="BD14" i="3"/>
  <c r="AA59" i="2"/>
  <c r="FE8" i="4" a="1"/>
  <c r="EZ13" i="4" a="1"/>
  <c r="Z6" i="2"/>
  <c r="AA99" i="2"/>
  <c r="FB13" i="4" a="1"/>
  <c r="BR17" i="3"/>
  <c r="BE8" i="3"/>
  <c r="BJ38" i="3"/>
  <c r="BL8" i="3"/>
  <c r="BU34" i="3"/>
  <c r="BN38" i="3"/>
  <c r="BV38" i="3"/>
  <c r="BS22" i="3"/>
  <c r="BP32" i="3"/>
  <c r="BK25" i="3"/>
  <c r="BP35" i="3"/>
  <c r="BM21" i="3"/>
  <c r="BJ31" i="3"/>
  <c r="BF42" i="3"/>
  <c r="CL71" i="1" s="1"/>
  <c r="BJ46" i="3"/>
  <c r="BT9" i="3"/>
  <c r="BK38" i="3"/>
  <c r="BH36" i="3"/>
  <c r="BK35" i="3"/>
  <c r="Z66" i="2"/>
  <c r="Y104" i="2"/>
  <c r="AA51" i="2"/>
  <c r="Y35" i="2"/>
  <c r="BD21" i="3"/>
  <c r="BD29" i="3"/>
  <c r="W6" i="2"/>
  <c r="AA81" i="2"/>
  <c r="Z12" i="2"/>
  <c r="BD8" i="3"/>
  <c r="BD45" i="3"/>
  <c r="Z59" i="2"/>
  <c r="Z10" i="2"/>
  <c r="AA96" i="2"/>
  <c r="AA92" i="2"/>
  <c r="BA12" i="3"/>
  <c r="BC9" i="3"/>
  <c r="Z88" i="2"/>
  <c r="BA13" i="3"/>
  <c r="AA43" i="2"/>
  <c r="AA49" i="2"/>
  <c r="BA46" i="3"/>
  <c r="BD40" i="3"/>
  <c r="Z42" i="2"/>
  <c r="BB11" i="3"/>
  <c r="EZ12" i="4" a="1"/>
  <c r="FB8" i="4" a="1"/>
  <c r="BT14" i="3"/>
  <c r="BH17" i="3"/>
  <c r="BJ15" i="3"/>
  <c r="BM12" i="3"/>
  <c r="BB25" i="3"/>
  <c r="Z79" i="2"/>
  <c r="AA70" i="2"/>
  <c r="BD9" i="3"/>
  <c r="AA25" i="2"/>
  <c r="FC14" i="4" a="1"/>
  <c r="EX15" i="4" a="1"/>
  <c r="AA34" i="2"/>
  <c r="AA67" i="2"/>
  <c r="BB40" i="3"/>
  <c r="EX14" i="4" a="1"/>
  <c r="BV28" i="3"/>
  <c r="BM13" i="3"/>
  <c r="BN26" i="3"/>
  <c r="BA29" i="3"/>
  <c r="Y55" i="2"/>
  <c r="FC13" i="4" a="1"/>
  <c r="AA108" i="2"/>
  <c r="AA31" i="2"/>
  <c r="AA15" i="2"/>
  <c r="FE12" i="4" a="1"/>
  <c r="BU40" i="3"/>
  <c r="BF46" i="3"/>
  <c r="CL84" i="1" s="1"/>
  <c r="BV40" i="3"/>
  <c r="BS24" i="3"/>
  <c r="BM27" i="3"/>
  <c r="BI32" i="3"/>
  <c r="BP7" i="3"/>
  <c r="BI23" i="3"/>
  <c r="BN37" i="3"/>
  <c r="BL29" i="3"/>
  <c r="BJ6" i="3"/>
  <c r="BT13" i="3"/>
  <c r="BG40" i="3"/>
  <c r="BH42" i="3"/>
  <c r="BM40" i="3"/>
  <c r="AA109" i="2"/>
  <c r="Y51" i="2"/>
  <c r="AA7" i="2"/>
  <c r="Z72" i="2"/>
  <c r="BC41" i="3"/>
  <c r="BB38" i="3"/>
  <c r="Y108" i="2"/>
  <c r="AA35" i="2"/>
  <c r="Z21" i="2"/>
  <c r="BB19" i="3"/>
  <c r="BA35" i="3"/>
  <c r="Z31" i="2"/>
  <c r="C5" i="2"/>
  <c r="AA13" i="2"/>
  <c r="Y30" i="2"/>
  <c r="BB6" i="3"/>
  <c r="FF16" i="4" a="1"/>
  <c r="FD11" i="4" a="1"/>
  <c r="BF18" i="3"/>
  <c r="CL45" i="1" s="1"/>
  <c r="BH13" i="3"/>
  <c r="Y6" i="2"/>
  <c r="AA41" i="2"/>
  <c r="Z99" i="2"/>
  <c r="Z82" i="2"/>
  <c r="BD20" i="3"/>
  <c r="EZ15" i="4" a="1"/>
  <c r="BD34" i="3"/>
  <c r="BO7" i="3"/>
  <c r="BH27" i="3"/>
  <c r="Y72" i="2"/>
  <c r="Z25" i="2"/>
  <c r="AA73" i="2"/>
  <c r="Y5" i="2"/>
  <c r="BC6" i="3"/>
  <c r="FF11" i="4" a="1"/>
  <c r="AA27" i="2"/>
  <c r="Y86" i="2"/>
  <c r="BA23" i="3"/>
  <c r="Y107" i="2"/>
  <c r="FC12" i="4" a="1"/>
  <c r="FB14" i="4" a="1"/>
  <c r="FD5" i="4" a="1"/>
  <c r="BL10" i="3"/>
  <c r="BI28" i="3"/>
  <c r="BF24" i="3"/>
  <c r="Z50" i="2"/>
  <c r="Y16" i="2"/>
  <c r="AA82" i="2"/>
  <c r="BC33" i="3"/>
  <c r="EY15" i="4" a="1"/>
  <c r="BB26" i="3"/>
  <c r="Z7" i="2"/>
  <c r="FA12" i="4" a="1"/>
  <c r="EZ6" i="4" a="1"/>
  <c r="BV5" i="3"/>
  <c r="BV16" i="3"/>
  <c r="BR41" i="3"/>
  <c r="BO25" i="3"/>
  <c r="BI29" i="3"/>
  <c r="BM34" i="3"/>
  <c r="BP23" i="3"/>
  <c r="BM23" i="3"/>
  <c r="BJ39" i="3"/>
  <c r="BF36" i="3"/>
  <c r="BF32" i="3"/>
  <c r="BT37" i="3"/>
  <c r="BG42" i="3"/>
  <c r="BF45" i="3"/>
  <c r="CL83" i="1" s="1"/>
  <c r="BI42" i="3"/>
  <c r="Y73" i="2"/>
  <c r="Y75" i="2"/>
  <c r="Z30" i="2"/>
  <c r="BB24" i="3"/>
  <c r="BC32" i="3"/>
  <c r="BD13" i="3"/>
  <c r="AA48" i="2"/>
  <c r="Z86" i="2"/>
  <c r="AA74" i="2"/>
  <c r="Y11" i="2"/>
  <c r="Z32" i="2"/>
  <c r="Z34" i="2"/>
  <c r="BC24" i="3"/>
  <c r="EY8" i="4" a="1"/>
  <c r="BE27" i="3"/>
  <c r="AA90" i="2"/>
  <c r="BB22" i="3"/>
  <c r="AA28" i="2"/>
  <c r="AA23" i="2"/>
  <c r="BD17" i="3"/>
  <c r="Z109" i="2"/>
  <c r="Z68" i="2"/>
  <c r="AA56" i="2"/>
  <c r="BD5" i="3"/>
  <c r="EY5" i="4" a="1"/>
  <c r="FE7" i="4" a="1"/>
  <c r="BL5" i="3"/>
  <c r="Y13" i="2"/>
  <c r="BB29" i="3"/>
  <c r="AA104" i="2"/>
  <c r="FC5" i="4" a="1"/>
  <c r="BF33" i="3"/>
  <c r="BH8" i="3"/>
  <c r="BP40" i="3"/>
  <c r="BK19" i="3"/>
  <c r="AA80" i="2"/>
  <c r="Z78" i="2"/>
  <c r="FD12" i="4" a="1"/>
  <c r="EZ16" i="4" a="1"/>
  <c r="FA14" i="4" a="1"/>
  <c r="BD10" i="3"/>
  <c r="Z74" i="2"/>
  <c r="X6" i="2"/>
  <c r="Z28" i="2"/>
  <c r="Y89" i="2"/>
  <c r="EY11" i="4" a="1"/>
  <c r="FE6" i="4" a="1"/>
  <c r="FE11" i="4" a="1"/>
  <c r="BV11" i="3"/>
  <c r="BS28" i="3"/>
  <c r="BI7" i="3"/>
  <c r="BL7" i="3"/>
  <c r="BT45" i="3"/>
  <c r="Y49" i="2"/>
  <c r="BA37" i="3"/>
  <c r="Z46" i="2"/>
  <c r="BA38" i="3"/>
  <c r="FF13" i="4" a="1"/>
  <c r="FA15" i="4" a="1"/>
  <c r="FF5" i="4" a="1"/>
  <c r="Z47" i="2"/>
  <c r="Y98" i="2"/>
  <c r="Z45" i="2"/>
  <c r="AA60" i="2"/>
  <c r="Z84" i="2"/>
  <c r="Z97" i="2"/>
  <c r="Z63" i="2"/>
  <c r="EZ7" i="4" a="1"/>
  <c r="BF11" i="3"/>
  <c r="CL35" i="1" s="1"/>
  <c r="BI18" i="3"/>
  <c r="BB10" i="3"/>
  <c r="BB28" i="3"/>
  <c r="Z51" i="2"/>
  <c r="FB9" i="4" a="1"/>
  <c r="FC15" i="4" a="1"/>
  <c r="FF7" i="4" a="1"/>
  <c r="Z98" i="2"/>
  <c r="AA107" i="2"/>
  <c r="FF15" i="4" a="1"/>
  <c r="EX7" i="4" a="1"/>
  <c r="BS12" i="3"/>
  <c r="BB27" i="3"/>
  <c r="Z8" i="2"/>
  <c r="Y53" i="2"/>
  <c r="BB21" i="3"/>
  <c r="FF8" i="4" a="1"/>
  <c r="BS42" i="3"/>
  <c r="BV22" i="3"/>
  <c r="BS6" i="3"/>
  <c r="BS30" i="3"/>
  <c r="BJ9" i="3"/>
  <c r="BN46" i="3"/>
  <c r="BE9" i="3"/>
  <c r="BK30" i="3"/>
  <c r="BK11" i="3"/>
  <c r="BN10" i="3"/>
  <c r="BN20" i="3"/>
  <c r="BT18" i="3"/>
  <c r="BN9" i="3"/>
  <c r="BM10" i="3"/>
  <c r="BL35" i="3"/>
  <c r="AA55" i="2"/>
  <c r="AA36" i="2"/>
  <c r="BA40" i="3"/>
  <c r="BI9" i="3"/>
  <c r="AA8" i="2"/>
  <c r="BS38" i="3"/>
  <c r="BJ19" i="3"/>
  <c r="BH23" i="3"/>
  <c r="BA17" i="3"/>
  <c r="Y33" i="2"/>
  <c r="BA5" i="3"/>
  <c r="AA22" i="2"/>
  <c r="Z11" i="2"/>
  <c r="BA25" i="3"/>
  <c r="BM31" i="3"/>
  <c r="BV26" i="3"/>
  <c r="BS10" i="3"/>
  <c r="BS34" i="3"/>
  <c r="BF23" i="3"/>
  <c r="CL55" i="1" s="1"/>
  <c r="BG12" i="3"/>
  <c r="BK40" i="3"/>
  <c r="BE20" i="3"/>
  <c r="BN18" i="3"/>
  <c r="BF40" i="3"/>
  <c r="BP20" i="3"/>
  <c r="BF17" i="3"/>
  <c r="CL41" i="1" s="1"/>
  <c r="BE18" i="3"/>
  <c r="BN16" i="3"/>
  <c r="Z76" i="2"/>
  <c r="Y64" i="2"/>
  <c r="Y99" i="2"/>
  <c r="BB45" i="3"/>
  <c r="BA16" i="3"/>
  <c r="Y43" i="2"/>
  <c r="Y80" i="2"/>
  <c r="AA26" i="2"/>
  <c r="BB16" i="3"/>
  <c r="BA28" i="3"/>
  <c r="AA16" i="2"/>
  <c r="Y31" i="2"/>
  <c r="BD46" i="3"/>
  <c r="Y18" i="2"/>
  <c r="BT20" i="3"/>
  <c r="Y22" i="2"/>
  <c r="Y17" i="2"/>
  <c r="AA76" i="2"/>
  <c r="BC17" i="3"/>
  <c r="FC7" i="4" a="1"/>
  <c r="BH30" i="3"/>
  <c r="BR29" i="3"/>
  <c r="BO13" i="3"/>
  <c r="BS39" i="3"/>
  <c r="BL34" i="3"/>
  <c r="BT24" i="3"/>
  <c r="BG14" i="3"/>
  <c r="BN11" i="3"/>
  <c r="BE32" i="3"/>
  <c r="BF30" i="3"/>
  <c r="BN36" i="3"/>
  <c r="BF25" i="3"/>
  <c r="CL56" i="1" s="1"/>
  <c r="BG25" i="3"/>
  <c r="BJ34" i="3"/>
  <c r="Y76" i="2"/>
  <c r="Z104" i="2"/>
  <c r="AA94" i="2"/>
  <c r="BD26" i="3"/>
  <c r="BB41" i="3"/>
  <c r="Y9" i="2"/>
  <c r="Z92" i="2"/>
  <c r="BC34" i="3"/>
  <c r="BG66" i="3"/>
  <c r="BQ56" i="3" l="1"/>
  <c r="BQ62" i="3"/>
  <c r="BK84" i="3"/>
  <c r="BH62" i="3"/>
  <c r="BP92" i="3"/>
  <c r="BH59" i="3"/>
  <c r="BP50" i="3"/>
  <c r="BU66" i="3"/>
  <c r="BG59" i="3"/>
  <c r="CL30" i="1"/>
  <c r="CL251" i="1"/>
  <c r="CL273" i="1"/>
  <c r="CL214" i="1"/>
  <c r="CL272" i="1"/>
  <c r="CL85" i="1"/>
  <c r="CL46" i="1"/>
  <c r="CL47" i="1" s="1"/>
  <c r="CK45" i="1"/>
  <c r="CK29" i="1"/>
  <c r="CK43" i="1"/>
  <c r="CK41" i="1"/>
  <c r="CK34" i="1"/>
  <c r="CK55" i="1"/>
  <c r="CK59" i="1"/>
  <c r="CK66" i="1"/>
  <c r="CK83" i="1"/>
  <c r="CK67" i="1"/>
  <c r="CK52" i="1"/>
  <c r="CK33" i="1"/>
  <c r="CK42" i="1"/>
  <c r="CK28" i="1"/>
  <c r="CK35" i="1"/>
  <c r="CK56" i="1"/>
  <c r="CK44" i="1"/>
  <c r="CK84" i="1"/>
  <c r="CK71" i="1"/>
  <c r="CK40" i="1"/>
  <c r="CK65" i="1"/>
  <c r="Z67" i="1"/>
  <c r="CH65" i="1"/>
  <c r="CH35" i="1"/>
  <c r="X146" i="1"/>
  <c r="X174" i="1" s="1"/>
  <c r="Z142" i="1"/>
  <c r="CH142" i="1" s="1"/>
  <c r="CI142" i="1" s="1"/>
  <c r="Z43" i="1"/>
  <c r="Z175" i="1"/>
  <c r="CH175" i="1" s="1"/>
  <c r="CH59" i="1"/>
  <c r="CJ65" i="1"/>
  <c r="CJ29" i="1"/>
  <c r="X87" i="1"/>
  <c r="Y138" i="1"/>
  <c r="X67" i="1"/>
  <c r="Y41" i="1"/>
  <c r="X152" i="1"/>
  <c r="X137" i="1"/>
  <c r="Y137" i="1"/>
  <c r="Y29" i="1"/>
  <c r="Z191" i="1"/>
  <c r="Z98" i="1"/>
  <c r="Y170" i="1"/>
  <c r="Y152" i="1"/>
  <c r="X173" i="1"/>
  <c r="Y139" i="1"/>
  <c r="Y192" i="1"/>
  <c r="CI66" i="1"/>
  <c r="Y180" i="1"/>
  <c r="Z179" i="1"/>
  <c r="X45" i="1"/>
  <c r="CH52" i="1"/>
  <c r="CH214" i="1" s="1"/>
  <c r="CJ43" i="1"/>
  <c r="CI67" i="1"/>
  <c r="CJ44" i="1"/>
  <c r="CH55" i="1"/>
  <c r="CG56" i="1"/>
  <c r="X166" i="1"/>
  <c r="Y147" i="1"/>
  <c r="X98" i="1"/>
  <c r="Z56" i="1"/>
  <c r="Z184" i="1"/>
  <c r="CH184" i="1" s="1"/>
  <c r="CI184" i="1" s="1"/>
  <c r="X191" i="1"/>
  <c r="Y66" i="1"/>
  <c r="Z183" i="1"/>
  <c r="CH183" i="1" s="1"/>
  <c r="CI183" i="1" s="1"/>
  <c r="Y171" i="1"/>
  <c r="X171" i="1"/>
  <c r="X52" i="1"/>
  <c r="X214" i="1" s="1"/>
  <c r="Z157" i="1"/>
  <c r="CH157" i="1" s="1"/>
  <c r="CI157" i="1" s="1"/>
  <c r="CH33" i="1"/>
  <c r="CG45" i="1"/>
  <c r="CJ41" i="1"/>
  <c r="Y52" i="1"/>
  <c r="Y214" i="1" s="1"/>
  <c r="Y160" i="1"/>
  <c r="Z139" i="1"/>
  <c r="CH139" i="1" s="1"/>
  <c r="CJ34" i="1"/>
  <c r="CG65" i="1"/>
  <c r="CG55" i="1"/>
  <c r="CI28" i="1"/>
  <c r="CG33" i="1"/>
  <c r="CG42" i="1"/>
  <c r="CH66" i="1"/>
  <c r="CH28" i="1"/>
  <c r="CH71" i="1"/>
  <c r="CG35" i="1"/>
  <c r="CJ56" i="1"/>
  <c r="CI65" i="1"/>
  <c r="CJ40" i="1"/>
  <c r="CN40" i="1" s="1"/>
  <c r="CR40" i="1" s="1"/>
  <c r="CV40" i="1" s="1"/>
  <c r="CZ40" i="1" s="1"/>
  <c r="X155" i="1"/>
  <c r="X151" i="1" s="1"/>
  <c r="Y146" i="1"/>
  <c r="Y174" i="1" s="1"/>
  <c r="Z55" i="1"/>
  <c r="Y65" i="1"/>
  <c r="X157" i="1"/>
  <c r="Y184" i="1"/>
  <c r="X29" i="1"/>
  <c r="X192" i="1"/>
  <c r="Z52" i="1"/>
  <c r="Z214" i="1" s="1"/>
  <c r="X147" i="1"/>
  <c r="X145" i="1"/>
  <c r="CI55" i="1"/>
  <c r="CH34" i="1"/>
  <c r="CI42" i="1"/>
  <c r="CH67" i="1"/>
  <c r="CJ84" i="1"/>
  <c r="CI84" i="1" s="1"/>
  <c r="CH84" i="1" s="1"/>
  <c r="CG84" i="1" s="1"/>
  <c r="CF84" i="1" s="1"/>
  <c r="CE84" i="1" s="1"/>
  <c r="CD84" i="1" s="1"/>
  <c r="CC84" i="1" s="1"/>
  <c r="CB84" i="1" s="1"/>
  <c r="CA84" i="1" s="1"/>
  <c r="BZ84" i="1" s="1"/>
  <c r="BY84" i="1" s="1"/>
  <c r="BX84" i="1" s="1"/>
  <c r="BW84" i="1" s="1"/>
  <c r="BV84" i="1" s="1"/>
  <c r="BU84" i="1" s="1"/>
  <c r="BT84" i="1" s="1"/>
  <c r="BS84" i="1" s="1"/>
  <c r="BR84" i="1" s="1"/>
  <c r="BQ84" i="1" s="1"/>
  <c r="BP84" i="1" s="1"/>
  <c r="BO84" i="1" s="1"/>
  <c r="BN84" i="1" s="1"/>
  <c r="BM84" i="1" s="1"/>
  <c r="BL84" i="1" s="1"/>
  <c r="BK84" i="1" s="1"/>
  <c r="BJ84" i="1" s="1"/>
  <c r="BI84" i="1" s="1"/>
  <c r="BH84" i="1" s="1"/>
  <c r="BG84" i="1" s="1"/>
  <c r="BF84" i="1" s="1"/>
  <c r="BE84" i="1" s="1"/>
  <c r="BD84" i="1" s="1"/>
  <c r="BC84" i="1" s="1"/>
  <c r="BB84" i="1" s="1"/>
  <c r="BA84" i="1" s="1"/>
  <c r="AZ84" i="1" s="1"/>
  <c r="AY84" i="1" s="1"/>
  <c r="AX84" i="1" s="1"/>
  <c r="AW84" i="1" s="1"/>
  <c r="AV84" i="1" s="1"/>
  <c r="AU84" i="1" s="1"/>
  <c r="AT84" i="1" s="1"/>
  <c r="AS84" i="1" s="1"/>
  <c r="AR84" i="1" s="1"/>
  <c r="AQ84" i="1" s="1"/>
  <c r="AP84" i="1" s="1"/>
  <c r="AO84" i="1" s="1"/>
  <c r="AN84" i="1" s="1"/>
  <c r="AM84" i="1" s="1"/>
  <c r="AL84" i="1" s="1"/>
  <c r="AK84" i="1" s="1"/>
  <c r="AJ84" i="1" s="1"/>
  <c r="AI84" i="1" s="1"/>
  <c r="CG43" i="1"/>
  <c r="CJ52" i="1"/>
  <c r="CG34" i="1"/>
  <c r="Z66" i="1"/>
  <c r="Z171" i="1"/>
  <c r="CH171" i="1" s="1"/>
  <c r="X59" i="1"/>
  <c r="Z65" i="1"/>
  <c r="X165" i="1"/>
  <c r="Y142" i="1"/>
  <c r="X175" i="1"/>
  <c r="Z44" i="1"/>
  <c r="X142" i="1"/>
  <c r="Z153" i="1"/>
  <c r="CH153" i="1" s="1"/>
  <c r="CI153" i="1" s="1"/>
  <c r="Z160" i="1"/>
  <c r="AA222" i="1" s="1"/>
  <c r="Z35" i="1"/>
  <c r="X33" i="1"/>
  <c r="Y97" i="1"/>
  <c r="Y190" i="1"/>
  <c r="Z190" i="1"/>
  <c r="X144" i="1"/>
  <c r="Y71" i="1"/>
  <c r="Y45" i="1"/>
  <c r="Y179" i="1"/>
  <c r="Z138" i="1"/>
  <c r="CH138" i="1" s="1"/>
  <c r="CI138" i="1" s="1"/>
  <c r="Y55" i="1"/>
  <c r="Y175" i="1"/>
  <c r="Z99" i="1"/>
  <c r="Z163" i="1"/>
  <c r="CH163" i="1" s="1"/>
  <c r="Z147" i="1"/>
  <c r="CH147" i="1" s="1"/>
  <c r="CI147" i="1" s="1"/>
  <c r="Y163" i="1"/>
  <c r="Y28" i="1"/>
  <c r="CG66" i="1"/>
  <c r="CJ83" i="1"/>
  <c r="CI83" i="1" s="1"/>
  <c r="CH83" i="1" s="1"/>
  <c r="CG83" i="1" s="1"/>
  <c r="CF83" i="1" s="1"/>
  <c r="CE83" i="1" s="1"/>
  <c r="CD83" i="1" s="1"/>
  <c r="CC83" i="1" s="1"/>
  <c r="CB83" i="1" s="1"/>
  <c r="CA83" i="1" s="1"/>
  <c r="BZ83" i="1" s="1"/>
  <c r="BY83" i="1" s="1"/>
  <c r="BX83" i="1" s="1"/>
  <c r="BW83" i="1" s="1"/>
  <c r="BV83" i="1" s="1"/>
  <c r="BU83" i="1" s="1"/>
  <c r="BT83" i="1" s="1"/>
  <c r="BS83" i="1" s="1"/>
  <c r="BR83" i="1" s="1"/>
  <c r="BQ83" i="1" s="1"/>
  <c r="BP83" i="1" s="1"/>
  <c r="BO83" i="1" s="1"/>
  <c r="BN83" i="1" s="1"/>
  <c r="BM83" i="1" s="1"/>
  <c r="BL83" i="1" s="1"/>
  <c r="BK83" i="1" s="1"/>
  <c r="BJ83" i="1" s="1"/>
  <c r="BI83" i="1" s="1"/>
  <c r="BH83" i="1" s="1"/>
  <c r="BG83" i="1" s="1"/>
  <c r="BF83" i="1" s="1"/>
  <c r="BE83" i="1" s="1"/>
  <c r="BD83" i="1" s="1"/>
  <c r="BC83" i="1" s="1"/>
  <c r="BB83" i="1" s="1"/>
  <c r="BA83" i="1" s="1"/>
  <c r="AZ83" i="1" s="1"/>
  <c r="AY83" i="1" s="1"/>
  <c r="AX83" i="1" s="1"/>
  <c r="AW83" i="1" s="1"/>
  <c r="AV83" i="1" s="1"/>
  <c r="AU83" i="1" s="1"/>
  <c r="AT83" i="1" s="1"/>
  <c r="AS83" i="1" s="1"/>
  <c r="AR83" i="1" s="1"/>
  <c r="AQ83" i="1" s="1"/>
  <c r="AP83" i="1" s="1"/>
  <c r="AO83" i="1" s="1"/>
  <c r="AN83" i="1" s="1"/>
  <c r="AM83" i="1" s="1"/>
  <c r="AL83" i="1" s="1"/>
  <c r="AK83" i="1" s="1"/>
  <c r="AJ83" i="1" s="1"/>
  <c r="AI83" i="1" s="1"/>
  <c r="CH45" i="1"/>
  <c r="CH42" i="1"/>
  <c r="CJ66" i="1"/>
  <c r="CG52" i="1"/>
  <c r="CI71" i="1"/>
  <c r="CI59" i="1"/>
  <c r="CG71" i="1"/>
  <c r="CH43" i="1"/>
  <c r="CJ28" i="1"/>
  <c r="CI43" i="1"/>
  <c r="CJ35" i="1"/>
  <c r="CJ33" i="1"/>
  <c r="CG28" i="1"/>
  <c r="CG251" i="1" s="1"/>
  <c r="CI41" i="1"/>
  <c r="CH40" i="1"/>
  <c r="CP40" i="1" s="1"/>
  <c r="CT40" i="1" s="1"/>
  <c r="CX40" i="1" s="1"/>
  <c r="DB40" i="1" s="1"/>
  <c r="CI52" i="1"/>
  <c r="CI214" i="1" s="1"/>
  <c r="CG44" i="1"/>
  <c r="X180" i="1"/>
  <c r="Y156" i="1"/>
  <c r="Y43" i="1"/>
  <c r="Z137" i="1"/>
  <c r="CH137" i="1" s="1"/>
  <c r="CI137" i="1" s="1"/>
  <c r="X56" i="1"/>
  <c r="Y155" i="1"/>
  <c r="Y151" i="1" s="1"/>
  <c r="Y67" i="1"/>
  <c r="Y35" i="1"/>
  <c r="X160" i="1"/>
  <c r="Y42" i="1"/>
  <c r="X43" i="1"/>
  <c r="X169" i="1"/>
  <c r="X97" i="1"/>
  <c r="Y167" i="1"/>
  <c r="Y191" i="1"/>
  <c r="Z164" i="1"/>
  <c r="CH164" i="1" s="1"/>
  <c r="Z152" i="1"/>
  <c r="CH152" i="1" s="1"/>
  <c r="Y166" i="1"/>
  <c r="Z33" i="1"/>
  <c r="Z28" i="1"/>
  <c r="Z251" i="1" s="1"/>
  <c r="Y165" i="1"/>
  <c r="Z71" i="1"/>
  <c r="Z169" i="1"/>
  <c r="CH169" i="1" s="1"/>
  <c r="Z155" i="1"/>
  <c r="CH155" i="1" s="1"/>
  <c r="CI155" i="1" s="1"/>
  <c r="Y33" i="1"/>
  <c r="Y183" i="1"/>
  <c r="X66" i="1"/>
  <c r="X167" i="1"/>
  <c r="Z166" i="1"/>
  <c r="CH166" i="1" s="1"/>
  <c r="Z59" i="1"/>
  <c r="Y40" i="1"/>
  <c r="X183" i="1"/>
  <c r="Z145" i="1"/>
  <c r="CH145" i="1" s="1"/>
  <c r="CI145" i="1" s="1"/>
  <c r="X99" i="1"/>
  <c r="X42" i="1"/>
  <c r="X138" i="1"/>
  <c r="Y87" i="1"/>
  <c r="Z97" i="1"/>
  <c r="X41" i="1"/>
  <c r="X139" i="1"/>
  <c r="Y98" i="1"/>
  <c r="Z146" i="1"/>
  <c r="CH146" i="1" s="1"/>
  <c r="CI146" i="1" s="1"/>
  <c r="Y56" i="1"/>
  <c r="Y144" i="1"/>
  <c r="X28" i="1"/>
  <c r="X251" i="1" s="1"/>
  <c r="CI44" i="1"/>
  <c r="CJ59" i="1"/>
  <c r="CH44" i="1"/>
  <c r="CI34" i="1"/>
  <c r="CJ55" i="1"/>
  <c r="CI35" i="1"/>
  <c r="CI33" i="1"/>
  <c r="CG59" i="1"/>
  <c r="CG40" i="1"/>
  <c r="CH56" i="1"/>
  <c r="CI56" i="1"/>
  <c r="CI40" i="1"/>
  <c r="CM40" i="1" s="1"/>
  <c r="CQ40" i="1" s="1"/>
  <c r="CU40" i="1" s="1"/>
  <c r="CY40" i="1" s="1"/>
  <c r="CJ42" i="1"/>
  <c r="CJ45" i="1"/>
  <c r="CH41" i="1"/>
  <c r="CE59" i="1"/>
  <c r="CG67" i="1"/>
  <c r="CJ67" i="1"/>
  <c r="CG29" i="1"/>
  <c r="CG41" i="1"/>
  <c r="CI45" i="1"/>
  <c r="CJ71" i="1"/>
  <c r="CH29" i="1"/>
  <c r="CI29" i="1"/>
  <c r="Y162" i="1"/>
  <c r="X71" i="1"/>
  <c r="Z144" i="1"/>
  <c r="CH144" i="1" s="1"/>
  <c r="CI144" i="1" s="1"/>
  <c r="Y153" i="1"/>
  <c r="Y44" i="1"/>
  <c r="X65" i="1"/>
  <c r="Z192" i="1"/>
  <c r="X35" i="1"/>
  <c r="Y169" i="1"/>
  <c r="Z180" i="1"/>
  <c r="CH180" i="1" s="1"/>
  <c r="X162" i="1"/>
  <c r="Y173" i="1"/>
  <c r="Y59" i="1"/>
  <c r="Z29" i="1"/>
  <c r="Z170" i="1"/>
  <c r="CH170" i="1" s="1"/>
  <c r="Y99" i="1"/>
  <c r="X55" i="1"/>
  <c r="X156" i="1"/>
  <c r="Z156" i="1"/>
  <c r="CH156" i="1" s="1"/>
  <c r="CI156" i="1" s="1"/>
  <c r="Z167" i="1"/>
  <c r="CH167" i="1" s="1"/>
  <c r="X153" i="1"/>
  <c r="Z40" i="1"/>
  <c r="Z165" i="1"/>
  <c r="CH165" i="1" s="1"/>
  <c r="Z162" i="1"/>
  <c r="CH162" i="1" s="1"/>
  <c r="X179" i="1"/>
  <c r="X170" i="1"/>
  <c r="Y145" i="1"/>
  <c r="Z41" i="1"/>
  <c r="Z42" i="1"/>
  <c r="Z87" i="1"/>
  <c r="Z45" i="1"/>
  <c r="X164" i="1"/>
  <c r="Y157" i="1"/>
  <c r="Y164" i="1"/>
  <c r="X184" i="1"/>
  <c r="X44" i="1"/>
  <c r="X40" i="1"/>
  <c r="Z173" i="1"/>
  <c r="CH173" i="1" s="1"/>
  <c r="X163" i="1"/>
  <c r="X190" i="1"/>
  <c r="JP9" i="4" s="1"/>
  <c r="JP16" i="4" s="1"/>
  <c r="JO16" i="4" s="1"/>
  <c r="JO9" i="4" s="1"/>
  <c r="JN9" i="4" s="1"/>
  <c r="JN16" i="4" s="1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6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V48" i="3"/>
  <c r="BH61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9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53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FU8" i="4" a="1"/>
  <c r="GF8" i="4" a="1"/>
  <c r="GG12" i="4" a="1"/>
  <c r="FZ5" i="4" a="1"/>
  <c r="FG8" i="4" a="1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64" i="1" s="1"/>
  <c r="CL199" i="1" s="1"/>
  <c r="Y111" i="2"/>
  <c r="BO83" i="3"/>
  <c r="BS81" i="3"/>
  <c r="BG48" i="3"/>
  <c r="BL73" i="3"/>
  <c r="BE69" i="3"/>
  <c r="BI87" i="3"/>
  <c r="BM63" i="3"/>
  <c r="BF56" i="3"/>
  <c r="CL13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GL13" i="4" a="1"/>
  <c r="FS11" i="4" a="1"/>
  <c r="FO12" i="4" a="1"/>
  <c r="FI13" i="4" a="1"/>
  <c r="HE6" i="4" a="1"/>
  <c r="GT11" i="4" a="1"/>
  <c r="GN12" i="4" a="1"/>
  <c r="GH13" i="4" a="1"/>
  <c r="GB14" i="4" a="1"/>
  <c r="GT8" i="4" a="1"/>
  <c r="GF13" i="4" a="1"/>
  <c r="GC15" i="4" a="1"/>
  <c r="HB15" i="4" a="1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73" i="1" s="1"/>
  <c r="CL203" i="1" s="1"/>
  <c r="BF66" i="3"/>
  <c r="CL17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94" i="1" s="1"/>
  <c r="BJ76" i="3"/>
  <c r="BJ55" i="3"/>
  <c r="BJ71" i="3"/>
  <c r="BK77" i="3"/>
  <c r="BK60" i="3"/>
  <c r="BK54" i="3"/>
  <c r="GT14" i="4" a="1"/>
  <c r="GN6" i="4" a="1"/>
  <c r="GK8" i="4" a="1"/>
  <c r="GB8" i="4" a="1"/>
  <c r="GX11" i="4" a="1"/>
  <c r="FY9" i="4" a="1"/>
  <c r="GW5" i="4" a="1"/>
  <c r="GG6" i="4" a="1"/>
  <c r="GB11" i="4" a="1"/>
  <c r="FW15" i="4" a="1"/>
  <c r="FW7" i="4" a="1"/>
  <c r="GX5" i="4" a="1"/>
  <c r="GZ9" i="4" a="1"/>
  <c r="FU14" i="4" a="1"/>
  <c r="FP6" i="4" a="1"/>
  <c r="GS8" i="4" a="1"/>
  <c r="FZ9" i="4" a="1"/>
  <c r="GD13" i="4" a="1"/>
  <c r="FM6" i="4" a="1"/>
  <c r="GI8" i="4" a="1"/>
  <c r="GR9" i="4" a="1"/>
  <c r="FP14" i="4" a="1"/>
  <c r="FU6" i="4" a="1"/>
  <c r="HA8" i="4" a="1"/>
  <c r="GV9" i="4" a="1"/>
  <c r="FM14" i="4" a="1"/>
  <c r="FW11" i="4" a="1"/>
  <c r="FR12" i="4" a="1"/>
  <c r="FL13" i="4" a="1"/>
  <c r="FN7" i="4" a="1"/>
  <c r="GY11" i="4" a="1"/>
  <c r="GS12" i="4" a="1"/>
  <c r="GM13" i="4" a="1"/>
  <c r="GG14" i="4" a="1"/>
  <c r="FQ9" i="4" a="1"/>
  <c r="HA13" i="4" a="1"/>
  <c r="GF15" i="4" a="1"/>
  <c r="HD15" i="4" a="1"/>
  <c r="FZ16" i="4" a="1"/>
  <c r="GX16" i="4" a="1"/>
  <c r="BP57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T49" i="3"/>
  <c r="BP60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80" i="1" s="1"/>
  <c r="BB65" i="3"/>
  <c r="BB74" i="3"/>
  <c r="BB78" i="3"/>
  <c r="BG77" i="3"/>
  <c r="BH68" i="3"/>
  <c r="BF88" i="3"/>
  <c r="CL14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U58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45" i="1" s="1"/>
  <c r="BB92" i="3"/>
  <c r="BB85" i="3"/>
  <c r="BB89" i="3"/>
  <c r="BG93" i="3"/>
  <c r="BH76" i="3"/>
  <c r="BF90" i="3"/>
  <c r="CL14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75" i="1" s="1"/>
  <c r="BF85" i="3"/>
  <c r="CL16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4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69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FP12" i="4" a="1"/>
  <c r="FJ13" i="4" a="1"/>
  <c r="HF13" i="4" a="1"/>
  <c r="GZ14" i="4" a="1"/>
  <c r="GR11" i="4" a="1"/>
  <c r="GP14" i="4" a="1"/>
  <c r="GP15" i="4" a="1"/>
  <c r="FL16" i="4" a="1"/>
  <c r="GJ16" i="4" a="1"/>
  <c r="HH16" i="4" a="1"/>
  <c r="HB8" i="4" a="1"/>
  <c r="GS13" i="4" a="1"/>
  <c r="FX15" i="4" a="1"/>
  <c r="HH8" i="4" a="1"/>
  <c r="HD13" i="4" a="1"/>
  <c r="BK70" i="3"/>
  <c r="BF87" i="3"/>
  <c r="CL17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8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44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BE85" i="3"/>
  <c r="BP67" i="3"/>
  <c r="BF79" i="3"/>
  <c r="CL16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7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3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HA11" i="4" a="1"/>
  <c r="GU12" i="4" a="1"/>
  <c r="GO13" i="4" a="1"/>
  <c r="GF9" i="4" a="1"/>
  <c r="FX12" i="4" a="1"/>
  <c r="FR13" i="4" a="1"/>
  <c r="FL14" i="4" a="1"/>
  <c r="HH14" i="4" a="1"/>
  <c r="FV12" i="4" a="1"/>
  <c r="HF14" i="4" a="1"/>
  <c r="BM76" i="3"/>
  <c r="BM92" i="3"/>
  <c r="BA77" i="3"/>
  <c r="BL74" i="3"/>
  <c r="BF80" i="3"/>
  <c r="CL179" i="1" s="1"/>
  <c r="BT75" i="3"/>
  <c r="BS64" i="3"/>
  <c r="BV62" i="3"/>
  <c r="BT60" i="3"/>
  <c r="BN66" i="3"/>
  <c r="BF77" i="3"/>
  <c r="CL160" i="1" s="1"/>
  <c r="BO91" i="3"/>
  <c r="BG47" i="3"/>
  <c r="BE77" i="3"/>
  <c r="BM55" i="3"/>
  <c r="BJ78" i="3"/>
  <c r="BJ73" i="3"/>
  <c r="BK87" i="3"/>
  <c r="FK15" i="4" a="1"/>
  <c r="GU8" i="4" a="1"/>
  <c r="FT12" i="4" a="1"/>
  <c r="FS6" i="4" a="1"/>
  <c r="GP9" i="4" a="1"/>
  <c r="GG5" i="4" a="1"/>
  <c r="FV7" i="4" a="1"/>
  <c r="GS14" i="4" a="1"/>
  <c r="GK7" i="4" a="1"/>
  <c r="FX11" i="4" a="1"/>
  <c r="FG7" i="4" a="1"/>
  <c r="FX8" i="4" a="1"/>
  <c r="GE6" i="4" a="1"/>
  <c r="FJ8" i="4" a="1"/>
  <c r="GD11" i="4" a="1"/>
  <c r="FK11" i="4" a="1"/>
  <c r="GE12" i="4" a="1"/>
  <c r="GW13" i="4" a="1"/>
  <c r="FH12" i="4" a="1"/>
  <c r="FZ13" i="4" a="1"/>
  <c r="GR14" i="4" a="1"/>
  <c r="HB12" i="4" a="1"/>
  <c r="GL15" i="4" a="1"/>
  <c r="FP16" i="4" a="1"/>
  <c r="GR16" i="4" a="1"/>
  <c r="GD14" i="4" a="1"/>
  <c r="FN12" i="4" a="1"/>
  <c r="HG14" i="4" a="1"/>
  <c r="FY15" i="4" a="1"/>
  <c r="GK13" i="4" a="1"/>
  <c r="GB15" i="4" a="1"/>
  <c r="HC15" i="4" a="1"/>
  <c r="FY16" i="4" a="1"/>
  <c r="GW16" i="4" a="1"/>
  <c r="GN13" i="4" a="1"/>
  <c r="BC63" i="3"/>
  <c r="BC86" i="3"/>
  <c r="BD47" i="3"/>
  <c r="BD91" i="3"/>
  <c r="BD68" i="3"/>
  <c r="Z112" i="2"/>
  <c r="GG15" i="4" a="1"/>
  <c r="HE15" i="4" a="1"/>
  <c r="GA16" i="4" a="1"/>
  <c r="FS14" i="4" a="1"/>
  <c r="BC64" i="3"/>
  <c r="BD48" i="3"/>
  <c r="BD81" i="3"/>
  <c r="GX8" i="4" a="1"/>
  <c r="GE5" i="4" a="1"/>
  <c r="FJ12" i="4" a="1"/>
  <c r="GG11" i="4" a="1"/>
  <c r="GL16" i="4" a="1"/>
  <c r="FU11" i="4" a="1"/>
  <c r="GL12" i="4" a="1"/>
  <c r="GC11" i="4" a="1"/>
  <c r="BC59" i="3"/>
  <c r="GN16" i="4" a="1"/>
  <c r="BD80" i="3"/>
  <c r="BF84" i="3"/>
  <c r="CL166" i="1" s="1"/>
  <c r="BF86" i="3"/>
  <c r="BA78" i="3"/>
  <c r="BL80" i="3"/>
  <c r="BF82" i="3"/>
  <c r="CL165" i="1" s="1"/>
  <c r="CL200" i="1" s="1"/>
  <c r="BT80" i="3"/>
  <c r="BS61" i="3"/>
  <c r="BV50" i="3"/>
  <c r="BT89" i="3"/>
  <c r="BN68" i="3"/>
  <c r="BF73" i="3"/>
  <c r="BO93" i="3"/>
  <c r="BG84" i="3"/>
  <c r="BE81" i="3"/>
  <c r="BF68" i="3"/>
  <c r="CL154" i="1" s="1"/>
  <c r="BJ80" i="3"/>
  <c r="BJ75" i="3"/>
  <c r="BK62" i="3"/>
  <c r="GE15" i="4" a="1"/>
  <c r="GM5" i="4" a="1"/>
  <c r="GJ12" i="4" a="1"/>
  <c r="GQ6" i="4" a="1"/>
  <c r="GJ6" i="4" a="1"/>
  <c r="GL5" i="4" a="1"/>
  <c r="HF8" i="4" a="1"/>
  <c r="FO15" i="4" a="1"/>
  <c r="HD7" i="4" a="1"/>
  <c r="GU6" i="4" a="1"/>
  <c r="FZ7" i="4" a="1"/>
  <c r="GV8" i="4" a="1"/>
  <c r="FZ8" i="4" a="1"/>
  <c r="GA8" i="4" a="1"/>
  <c r="GO6" i="4" a="1"/>
  <c r="FO11" i="4" a="1"/>
  <c r="GH12" i="4" a="1"/>
  <c r="GZ13" i="4" a="1"/>
  <c r="FM12" i="4" a="1"/>
  <c r="GE13" i="4" a="1"/>
  <c r="GW14" i="4" a="1"/>
  <c r="FU13" i="4" a="1"/>
  <c r="GN15" i="4" a="1"/>
  <c r="FR16" i="4" a="1"/>
  <c r="GT16" i="4" a="1"/>
  <c r="GY14" i="4" a="1"/>
  <c r="GI12" i="4" a="1"/>
  <c r="FI15" i="4" a="1"/>
  <c r="HF6" i="4" a="1"/>
  <c r="GV13" i="4" a="1"/>
  <c r="BB79" i="3"/>
  <c r="BD88" i="3"/>
  <c r="BC85" i="3"/>
  <c r="BL56" i="3"/>
  <c r="BQ76" i="3"/>
  <c r="BO49" i="3"/>
  <c r="BU60" i="3"/>
  <c r="BV88" i="3"/>
  <c r="BN79" i="3"/>
  <c r="BN70" i="3"/>
  <c r="BF69" i="3"/>
  <c r="BO96" i="3"/>
  <c r="BG90" i="3"/>
  <c r="BI63" i="3"/>
  <c r="BF74" i="3"/>
  <c r="CL157" i="1" s="1"/>
  <c r="BJ96" i="3"/>
  <c r="BJ77" i="3"/>
  <c r="BK76" i="3"/>
  <c r="FM5" i="4" a="1"/>
  <c r="FI6" i="4" a="1"/>
  <c r="HE12" i="4" a="1"/>
  <c r="HG6" i="4" a="1"/>
  <c r="GD7" i="4" a="1"/>
  <c r="FH6" i="4" a="1"/>
  <c r="GM6" i="4" a="1"/>
  <c r="FI7" i="4" a="1"/>
  <c r="GP5" i="4" a="1"/>
  <c r="GM11" i="4" a="1"/>
  <c r="HC7" i="4" a="1"/>
  <c r="HD9" i="4" a="1"/>
  <c r="FK5" i="4" a="1"/>
  <c r="HF5" i="4" a="1"/>
  <c r="FS9" i="4" a="1"/>
  <c r="GA11" i="4" a="1"/>
  <c r="GP12" i="4" a="1"/>
  <c r="GI7" i="4" a="1"/>
  <c r="FU12" i="4" a="1"/>
  <c r="GP13" i="4" a="1"/>
  <c r="HE14" i="4" a="1"/>
  <c r="FJ14" i="4" a="1"/>
  <c r="GR15" i="4" a="1"/>
  <c r="FT16" i="4" a="1"/>
  <c r="GV16" i="4" a="1"/>
  <c r="FV15" i="4" a="1"/>
  <c r="GT12" i="4" a="1"/>
  <c r="FM15" i="4" a="1"/>
  <c r="GD8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BP95" i="3"/>
  <c r="BK75" i="3"/>
  <c r="GX6" i="4" a="1"/>
  <c r="GH11" i="4" a="1"/>
  <c r="GT9" i="4" a="1"/>
  <c r="FS12" i="4" a="1"/>
  <c r="BD56" i="3"/>
  <c r="GJ14" i="4" a="1"/>
  <c r="HG12" i="4" a="1"/>
  <c r="GS16" i="4" a="1"/>
  <c r="BC62" i="3"/>
  <c r="BB55" i="3"/>
  <c r="BD70" i="3"/>
  <c r="BC57" i="3"/>
  <c r="BL87" i="3"/>
  <c r="BQ72" i="3"/>
  <c r="BO55" i="3"/>
  <c r="BU62" i="3"/>
  <c r="BV84" i="3"/>
  <c r="BN89" i="3"/>
  <c r="BN72" i="3"/>
  <c r="BF55" i="3"/>
  <c r="BS62" i="3"/>
  <c r="BH97" i="3"/>
  <c r="BI65" i="3"/>
  <c r="BF58" i="3"/>
  <c r="CL139" i="1" s="1"/>
  <c r="BJ95" i="3"/>
  <c r="BJ79" i="3"/>
  <c r="BK86" i="3"/>
  <c r="FS5" i="4" a="1"/>
  <c r="FG6" i="4" a="1"/>
  <c r="GA13" i="4" a="1"/>
  <c r="GC7" i="4" a="1"/>
  <c r="FX9" i="4" a="1"/>
  <c r="GU7" i="4" a="1"/>
  <c r="FP8" i="4" a="1"/>
  <c r="GP8" i="4" a="1"/>
  <c r="FL6" i="4" a="1"/>
  <c r="FI12" i="4" a="1"/>
  <c r="FV6" i="4" a="1"/>
  <c r="FN11" i="4" a="1"/>
  <c r="FJ5" i="4" a="1"/>
  <c r="GN5" i="4" a="1"/>
  <c r="FL12" i="4" a="1"/>
  <c r="GE11" i="4" a="1"/>
  <c r="GX12" i="4" a="1"/>
  <c r="GT7" i="4" a="1"/>
  <c r="GC12" i="4" a="1"/>
  <c r="GU13" i="4" a="1"/>
  <c r="FO6" i="4" a="1"/>
  <c r="FO14" i="4" a="1"/>
  <c r="GT15" i="4" a="1"/>
  <c r="FV16" i="4" a="1"/>
  <c r="GZ16" i="4" a="1"/>
  <c r="GP6" i="4" a="1"/>
  <c r="FM13" i="4" a="1"/>
  <c r="FT15" i="4" a="1"/>
  <c r="GU9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BT56" i="3"/>
  <c r="GR5" i="4" a="1"/>
  <c r="FL8" i="4" a="1"/>
  <c r="GQ11" i="4" a="1"/>
  <c r="FH16" i="4" a="1"/>
  <c r="GL14" i="4" a="1"/>
  <c r="GH15" i="4" a="1"/>
  <c r="FQ15" i="4" a="1"/>
  <c r="BC75" i="3"/>
  <c r="BB56" i="3"/>
  <c r="BU47" i="3"/>
  <c r="BQ54" i="3"/>
  <c r="BE78" i="3"/>
  <c r="BQ80" i="3"/>
  <c r="BO88" i="3"/>
  <c r="BU85" i="3"/>
  <c r="BV94" i="3"/>
  <c r="BN67" i="3"/>
  <c r="BN81" i="3"/>
  <c r="AA111" i="2"/>
  <c r="BS74" i="3"/>
  <c r="BL54" i="3"/>
  <c r="BI79" i="3"/>
  <c r="BF96" i="3"/>
  <c r="CL183" i="1" s="1"/>
  <c r="BJ87" i="3"/>
  <c r="BK73" i="3"/>
  <c r="BK94" i="3"/>
  <c r="GB5" i="4" a="1"/>
  <c r="GE9" i="4" a="1"/>
  <c r="HA14" i="4" a="1"/>
  <c r="GQ8" i="4" a="1"/>
  <c r="GU11" i="4" a="1"/>
  <c r="GO5" i="4" a="1"/>
  <c r="GN8" i="4" a="1"/>
  <c r="FI5" i="4" a="1"/>
  <c r="FR6" i="4" a="1"/>
  <c r="HB13" i="4" a="1"/>
  <c r="FM7" i="4" a="1"/>
  <c r="GF11" i="4" a="1"/>
  <c r="FR5" i="4" a="1"/>
  <c r="GW6" i="4" a="1"/>
  <c r="GR12" i="4" a="1"/>
  <c r="GK11" i="4" a="1"/>
  <c r="HC12" i="4" a="1"/>
  <c r="FM8" i="4" a="1"/>
  <c r="GF12" i="4" a="1"/>
  <c r="GX13" i="4" a="1"/>
  <c r="FY7" i="4" a="1"/>
  <c r="FZ14" i="4" a="1"/>
  <c r="GV15" i="4" a="1"/>
  <c r="FX16" i="4" a="1"/>
  <c r="HB16" i="4" a="1"/>
  <c r="GJ7" i="4" a="1"/>
  <c r="FX13" i="4" a="1"/>
  <c r="GA15" i="4" a="1"/>
  <c r="FI11" i="4" a="1"/>
  <c r="FW14" i="4" a="1"/>
  <c r="GM15" i="4" a="1"/>
  <c r="FI16" i="4" a="1"/>
  <c r="GG16" i="4" a="1"/>
  <c r="HE16" i="4" a="1"/>
  <c r="BC96" i="3"/>
  <c r="BC78" i="3"/>
  <c r="BC87" i="3"/>
  <c r="BD60" i="3"/>
  <c r="BD63" i="3"/>
  <c r="BO85" i="3"/>
  <c r="BJ84" i="3"/>
  <c r="BK47" i="3"/>
  <c r="GC8" i="4" a="1"/>
  <c r="FV13" i="4" a="1"/>
  <c r="HG8" i="4" a="1"/>
  <c r="GB13" i="4" a="1"/>
  <c r="FY14" i="4" a="1"/>
  <c r="HE13" i="4" a="1"/>
  <c r="FS16" i="4" a="1"/>
  <c r="BC97" i="3"/>
  <c r="Y113" i="2"/>
  <c r="FK12" i="4" a="1"/>
  <c r="BB69" i="3"/>
  <c r="BU48" i="3"/>
  <c r="BQ55" i="3"/>
  <c r="BE72" i="3"/>
  <c r="BQ81" i="3"/>
  <c r="BO89" i="3"/>
  <c r="BU89" i="3"/>
  <c r="BV96" i="3"/>
  <c r="BN95" i="3"/>
  <c r="BN83" i="3"/>
  <c r="AA113" i="2"/>
  <c r="BS76" i="3"/>
  <c r="BL95" i="3"/>
  <c r="BI77" i="3"/>
  <c r="BF72" i="3"/>
  <c r="CL155" i="1" s="1"/>
  <c r="BJ91" i="3"/>
  <c r="BK81" i="3"/>
  <c r="BK56" i="3"/>
  <c r="GQ5" i="4" a="1"/>
  <c r="GH6" i="4" a="1"/>
  <c r="FR15" i="4" a="1"/>
  <c r="HC8" i="4" a="1"/>
  <c r="GO12" i="4" a="1"/>
  <c r="FK6" i="4" a="1"/>
  <c r="FJ11" i="4" a="1"/>
  <c r="GI5" i="4" a="1"/>
  <c r="FK7" i="4" a="1"/>
  <c r="FX14" i="4" a="1"/>
  <c r="GF7" i="4" a="1"/>
  <c r="GZ6" i="4" a="1"/>
  <c r="GD5" i="4" a="1"/>
  <c r="HB7" i="4" a="1"/>
  <c r="FN13" i="4" a="1"/>
  <c r="GN11" i="4" a="1"/>
  <c r="HF12" i="4" a="1"/>
  <c r="FK9" i="4" a="1"/>
  <c r="GK12" i="4" a="1"/>
  <c r="HC13" i="4" a="1"/>
  <c r="FN8" i="4" a="1"/>
  <c r="GE14" i="4" a="1"/>
  <c r="GX15" i="4" a="1"/>
  <c r="GB16" i="4" a="1"/>
  <c r="HD16" i="4" a="1"/>
  <c r="FV8" i="4" a="1"/>
  <c r="HH13" i="4" a="1"/>
  <c r="GD15" i="4" a="1"/>
  <c r="FY11" i="4" a="1"/>
  <c r="GH14" i="4" a="1"/>
  <c r="GO15" i="4" a="1"/>
  <c r="FK16" i="4" a="1"/>
  <c r="GI16" i="4" a="1"/>
  <c r="HG16" i="4" a="1"/>
  <c r="BC90" i="3"/>
  <c r="BC88" i="3"/>
  <c r="BC93" i="3"/>
  <c r="BD74" i="3"/>
  <c r="BD96" i="3"/>
  <c r="BC95" i="3"/>
  <c r="BD66" i="3"/>
  <c r="BC48" i="3"/>
  <c r="BS94" i="3"/>
  <c r="GQ14" i="4" a="1"/>
  <c r="FU16" i="4" a="1"/>
  <c r="BB90" i="3"/>
  <c r="BI49" i="3"/>
  <c r="BH79" i="3"/>
  <c r="BE48" i="3"/>
  <c r="BU74" i="3"/>
  <c r="BO77" i="3"/>
  <c r="BU88" i="3"/>
  <c r="BT63" i="3"/>
  <c r="BN54" i="3"/>
  <c r="BN97" i="3"/>
  <c r="BO48" i="3"/>
  <c r="BS89" i="3"/>
  <c r="BE49" i="3"/>
  <c r="BI61" i="3"/>
  <c r="BJ49" i="3"/>
  <c r="BJ62" i="3"/>
  <c r="BK55" i="3"/>
  <c r="BK49" i="3"/>
  <c r="FJ7" i="4" a="1"/>
  <c r="GZ8" i="4" a="1"/>
  <c r="HA9" i="4" a="1"/>
  <c r="GA7" i="4" a="1"/>
  <c r="GI13" i="4" a="1"/>
  <c r="GI6" i="4" a="1"/>
  <c r="FV11" i="4" a="1"/>
  <c r="FT5" i="4" a="1"/>
  <c r="FW9" i="4" a="1"/>
  <c r="GV14" i="4" a="1"/>
  <c r="GW8" i="4" a="1"/>
  <c r="GN9" i="4" a="1"/>
  <c r="GS6" i="4" a="1"/>
  <c r="GM9" i="4" a="1"/>
  <c r="GK14" i="4" a="1"/>
  <c r="GV11" i="4" a="1"/>
  <c r="FQ13" i="4" a="1"/>
  <c r="GA9" i="4" a="1"/>
  <c r="GV12" i="4" a="1"/>
  <c r="FI14" i="4" a="1"/>
  <c r="GL9" i="4" a="1"/>
  <c r="GU14" i="4" a="1"/>
  <c r="GZ15" i="4" a="1"/>
  <c r="GD16" i="4" a="1"/>
  <c r="HF16" i="4" a="1"/>
  <c r="FV9" i="4" a="1"/>
  <c r="FK14" i="4" a="1"/>
  <c r="FM11" i="4" a="1"/>
  <c r="GW11" i="4" a="1"/>
  <c r="GM14" i="4" a="1"/>
  <c r="GQ15" i="4" a="1"/>
  <c r="FM16" i="4" a="1"/>
  <c r="GK16" i="4" a="1"/>
  <c r="GL8" i="4" a="1"/>
  <c r="BC70" i="3"/>
  <c r="BC81" i="3"/>
  <c r="BC91" i="3"/>
  <c r="BD87" i="3"/>
  <c r="BD71" i="3"/>
  <c r="GY9" i="4" a="1"/>
  <c r="BD97" i="3"/>
  <c r="BE54" i="3"/>
  <c r="BJ94" i="3"/>
  <c r="GX9" i="4" a="1"/>
  <c r="GR6" i="4" a="1"/>
  <c r="FR8" i="4" a="1"/>
  <c r="FG13" i="4" a="1"/>
  <c r="FN15" i="4" a="1"/>
  <c r="GQ16" i="4" a="1"/>
  <c r="BD77" i="3"/>
  <c r="FO13" i="4" a="1"/>
  <c r="GJ11" i="4" a="1"/>
  <c r="GI14" i="4" a="1"/>
  <c r="GZ11" i="4" a="1"/>
  <c r="BD65" i="3"/>
  <c r="BB93" i="3"/>
  <c r="BB87" i="3"/>
  <c r="BI69" i="3"/>
  <c r="BH71" i="3"/>
  <c r="BE70" i="3"/>
  <c r="BU75" i="3"/>
  <c r="BO79" i="3"/>
  <c r="BU64" i="3"/>
  <c r="BT58" i="3"/>
  <c r="BN55" i="3"/>
  <c r="BP54" i="3"/>
  <c r="BO69" i="3"/>
  <c r="BS49" i="3"/>
  <c r="BE47" i="3"/>
  <c r="BI50" i="3"/>
  <c r="BJ74" i="3"/>
  <c r="BJ64" i="3"/>
  <c r="BK88" i="3"/>
  <c r="BK65" i="3"/>
  <c r="GH7" i="4" a="1"/>
  <c r="FR9" i="4" a="1"/>
  <c r="FO5" i="4" a="1"/>
  <c r="FL9" i="4" a="1"/>
  <c r="HG13" i="4" a="1"/>
  <c r="FX7" i="4" a="1"/>
  <c r="GS5" i="4" a="1"/>
  <c r="GV6" i="4" a="1"/>
  <c r="HC6" i="4" a="1"/>
  <c r="FZ15" i="4" a="1"/>
  <c r="GU5" i="4" a="1"/>
  <c r="FY12" i="4" a="1"/>
  <c r="FR7" i="4" a="1"/>
  <c r="FK8" i="4" a="1"/>
  <c r="FG15" i="4" a="1"/>
  <c r="HD11" i="4" a="1"/>
  <c r="FT13" i="4" a="1"/>
  <c r="GI11" i="4" a="1"/>
  <c r="HA12" i="4" a="1"/>
  <c r="FQ14" i="4" a="1"/>
  <c r="HC9" i="4" a="1"/>
  <c r="FL15" i="4" a="1"/>
  <c r="HF15" i="4" a="1"/>
  <c r="GF16" i="4" a="1"/>
  <c r="HE7" i="4" a="1"/>
  <c r="GQ9" i="4" a="1"/>
  <c r="FV14" i="4" a="1"/>
  <c r="GD12" i="4" a="1"/>
  <c r="HH11" i="4" a="1"/>
  <c r="GX14" i="4" a="1"/>
  <c r="GS15" i="4" a="1"/>
  <c r="FO16" i="4" a="1"/>
  <c r="GM16" i="4" a="1"/>
  <c r="GG9" i="4" a="1"/>
  <c r="BC67" i="3"/>
  <c r="BC77" i="3"/>
  <c r="BC68" i="3"/>
  <c r="BD59" i="3"/>
  <c r="BD79" i="3"/>
  <c r="BC61" i="3"/>
  <c r="BM75" i="3"/>
  <c r="BG72" i="3"/>
  <c r="BI86" i="3"/>
  <c r="BH90" i="3"/>
  <c r="BI94" i="3"/>
  <c r="BR58" i="3"/>
  <c r="BS84" i="3"/>
  <c r="BR74" i="3"/>
  <c r="BT47" i="3"/>
  <c r="BN90" i="3"/>
  <c r="BP69" i="3"/>
  <c r="BO54" i="3"/>
  <c r="BS54" i="3"/>
  <c r="BE79" i="3"/>
  <c r="BM69" i="3"/>
  <c r="BJ82" i="3"/>
  <c r="BJ92" i="3"/>
  <c r="BK83" i="3"/>
  <c r="BK97" i="3"/>
  <c r="HF7" i="4" a="1"/>
  <c r="GH9" i="4" a="1"/>
  <c r="GA5" i="4" a="1"/>
  <c r="GJ9" i="4" a="1"/>
  <c r="GO7" i="4" a="1"/>
  <c r="FQ8" i="4" a="1"/>
  <c r="GK5" i="4" a="1"/>
  <c r="FO7" i="4" a="1"/>
  <c r="GW7" i="4" a="1"/>
  <c r="FI9" i="4" a="1"/>
  <c r="FT6" i="4" a="1"/>
  <c r="GZ12" i="4" a="1"/>
  <c r="GM7" i="4" a="1"/>
  <c r="GJ8" i="4" a="1"/>
  <c r="GV5" i="4" a="1"/>
  <c r="FG12" i="4" a="1"/>
  <c r="FY13" i="4" a="1"/>
  <c r="GL11" i="4" a="1"/>
  <c r="HD12" i="4" a="1"/>
  <c r="FT14" i="4" a="1"/>
  <c r="FQ11" i="4" a="1"/>
  <c r="FP15" i="4" a="1"/>
  <c r="HH15" i="4" a="1"/>
  <c r="GH16" i="4" a="1"/>
  <c r="GO11" i="4" a="1"/>
  <c r="HG9" i="4" a="1"/>
  <c r="GA14" i="4" a="1"/>
  <c r="GC13" i="4" a="1"/>
  <c r="GA12" i="4" a="1"/>
  <c r="HC14" i="4" a="1"/>
  <c r="GU15" i="4" a="1"/>
  <c r="FQ16" i="4" a="1"/>
  <c r="GO16" i="4" a="1"/>
  <c r="BC76" i="3"/>
  <c r="BN48" i="3"/>
  <c r="FH5" i="4" a="1"/>
  <c r="GP7" i="4" a="1"/>
  <c r="BC92" i="3"/>
  <c r="FJ16" i="4" a="1"/>
  <c r="BG94" i="3"/>
  <c r="BI74" i="3"/>
  <c r="BH80" i="3"/>
  <c r="BI47" i="3"/>
  <c r="BR63" i="3"/>
  <c r="BS85" i="3"/>
  <c r="BR72" i="3"/>
  <c r="BH54" i="3"/>
  <c r="BB80" i="3"/>
  <c r="BL71" i="3"/>
  <c r="BF71" i="3"/>
  <c r="BV65" i="3"/>
  <c r="BS78" i="3"/>
  <c r="BR77" i="3"/>
  <c r="BT78" i="3"/>
  <c r="BN58" i="3"/>
  <c r="BP79" i="3"/>
  <c r="BO61" i="3"/>
  <c r="BP65" i="3"/>
  <c r="BE65" i="3"/>
  <c r="BM87" i="3"/>
  <c r="BJ66" i="3"/>
  <c r="BJ63" i="3"/>
  <c r="BK48" i="3"/>
  <c r="BK79" i="3"/>
  <c r="FU7" i="4" a="1"/>
  <c r="FW6" i="4" a="1"/>
  <c r="GC6" i="4" a="1"/>
  <c r="FT8" i="4" a="1"/>
  <c r="GS9" i="4" a="1"/>
  <c r="FQ6" i="4" a="1"/>
  <c r="GB12" i="4" a="1"/>
  <c r="FI8" i="4" a="1"/>
  <c r="HF9" i="4" a="1"/>
  <c r="FN5" i="4" a="1"/>
  <c r="FO9" i="4" a="1"/>
  <c r="GN14" i="4" a="1"/>
  <c r="GA6" i="4" a="1"/>
  <c r="FH11" i="4" a="1"/>
  <c r="GW9" i="4" a="1"/>
  <c r="FW12" i="4" a="1"/>
  <c r="GJ13" i="4" a="1"/>
  <c r="HB11" i="4" a="1"/>
  <c r="BM49" i="3"/>
  <c r="BH64" i="3"/>
  <c r="BB82" i="3"/>
  <c r="BL64" i="3"/>
  <c r="BF65" i="3"/>
  <c r="CL170" i="1" s="1"/>
  <c r="BV81" i="3"/>
  <c r="BS47" i="3"/>
  <c r="BR69" i="3"/>
  <c r="BT54" i="3"/>
  <c r="BN94" i="3"/>
  <c r="BP82" i="3"/>
  <c r="BO86" i="3"/>
  <c r="BG82" i="3"/>
  <c r="BE59" i="3"/>
  <c r="BM58" i="3"/>
  <c r="BJ68" i="3"/>
  <c r="BJ65" i="3"/>
  <c r="BK85" i="3"/>
  <c r="BK89" i="3"/>
  <c r="GS7" i="4" a="1"/>
  <c r="FZ6" i="4" a="1"/>
  <c r="HD6" i="4" a="1"/>
  <c r="FM9" i="4" a="1"/>
  <c r="FG5" i="4" a="1"/>
  <c r="GB6" i="4" a="1"/>
  <c r="GW12" i="4" a="1"/>
  <c r="GD6" i="4" a="1"/>
  <c r="FP11" i="4" a="1"/>
  <c r="GK6" i="4" a="1"/>
  <c r="GG7" i="4" a="1"/>
  <c r="FJ15" i="4" a="1"/>
  <c r="GN7" i="4" a="1"/>
  <c r="FT11" i="4" a="1"/>
  <c r="FG11" i="4" a="1"/>
  <c r="FZ12" i="4" a="1"/>
  <c r="GR13" i="4" a="1"/>
  <c r="HG11" i="4" a="1"/>
  <c r="FW13" i="4" a="1"/>
  <c r="GO14" i="4" a="1"/>
  <c r="GQ12" i="4" a="1"/>
  <c r="GJ15" i="4" a="1"/>
  <c r="FN16" i="4" a="1"/>
  <c r="GP16" i="4" a="1"/>
  <c r="FN14" i="4" a="1"/>
  <c r="HE11" i="4" a="1"/>
  <c r="HB14" i="4" a="1"/>
  <c r="FH15" i="4" a="1"/>
  <c r="FP13" i="4" a="1"/>
  <c r="FU15" i="4" a="1"/>
  <c r="HA15" i="4" a="1"/>
  <c r="FW16" i="4" a="1"/>
  <c r="GU16" i="4" a="1"/>
  <c r="GY12" i="4" a="1"/>
  <c r="BC73" i="3"/>
  <c r="BC89" i="3"/>
  <c r="BC80" i="3"/>
  <c r="BD64" i="3"/>
  <c r="BD69" i="3"/>
  <c r="BA65" i="3"/>
  <c r="GY16" i="4" a="1"/>
  <c r="BC79" i="3"/>
  <c r="BD57" i="3"/>
  <c r="FS15" i="4" a="1"/>
  <c r="GW15" i="4" a="1"/>
  <c r="FH13" i="4" a="1"/>
  <c r="GY15" i="4" a="1"/>
  <c r="BC66" i="3"/>
  <c r="CL148" i="1" l="1"/>
  <c r="CH179" i="1"/>
  <c r="CK30" i="1"/>
  <c r="CL32" i="1" s="1"/>
  <c r="CH160" i="1"/>
  <c r="CI160" i="1" s="1"/>
  <c r="CL118" i="1"/>
  <c r="CL119" i="1" s="1"/>
  <c r="CL36" i="1"/>
  <c r="CK85" i="1"/>
  <c r="CL181" i="1"/>
  <c r="CL188" i="1" s="1"/>
  <c r="CL129" i="1" s="1"/>
  <c r="CL168" i="1"/>
  <c r="CL140" i="1"/>
  <c r="CL149" i="1" s="1"/>
  <c r="CL176" i="1"/>
  <c r="CL205" i="1" s="1"/>
  <c r="CL204" i="1" s="1"/>
  <c r="CL158" i="1"/>
  <c r="CO40" i="1"/>
  <c r="CS40" i="1" s="1"/>
  <c r="CK46" i="1"/>
  <c r="CK47" i="1" s="1"/>
  <c r="CJ138" i="1"/>
  <c r="CK138" i="1" s="1"/>
  <c r="CM138" i="1" s="1"/>
  <c r="CN138" i="1" s="1"/>
  <c r="CO138" i="1" s="1"/>
  <c r="CP138" i="1" s="1"/>
  <c r="CQ138" i="1" s="1"/>
  <c r="CR138" i="1" s="1"/>
  <c r="CS138" i="1" s="1"/>
  <c r="CT138" i="1" s="1"/>
  <c r="CU138" i="1" s="1"/>
  <c r="CV138" i="1" s="1"/>
  <c r="CW138" i="1" s="1"/>
  <c r="CX138" i="1" s="1"/>
  <c r="CY138" i="1" s="1"/>
  <c r="CZ138" i="1" s="1"/>
  <c r="DA138" i="1" s="1"/>
  <c r="DB138" i="1" s="1"/>
  <c r="KE16" i="4" s="1"/>
  <c r="CJ169" i="1"/>
  <c r="KB16" i="4" s="1"/>
  <c r="JS9" i="4" s="1"/>
  <c r="KC9" i="4" s="1"/>
  <c r="JQ9" i="4" s="1"/>
  <c r="JZ9" i="4" s="1"/>
  <c r="CJ163" i="1"/>
  <c r="JY9" i="4" s="1"/>
  <c r="KA16" i="4" s="1"/>
  <c r="JS16" i="4" s="1"/>
  <c r="JS21" i="4" s="1"/>
  <c r="KE14" i="4" s="1"/>
  <c r="JR9" i="4" s="1"/>
  <c r="JT9" i="4" s="1"/>
  <c r="CJ170" i="1"/>
  <c r="CJ160" i="1"/>
  <c r="KE9" i="4" s="1"/>
  <c r="CJ172" i="1"/>
  <c r="JX16" i="4" s="1"/>
  <c r="JW9" i="4" s="1"/>
  <c r="KA9" i="4" s="1"/>
  <c r="CK93" i="1"/>
  <c r="JU16" i="4" s="1"/>
  <c r="CJ171" i="1"/>
  <c r="CJ183" i="1"/>
  <c r="CK183" i="1" s="1"/>
  <c r="CM183" i="1" s="1"/>
  <c r="CN183" i="1" s="1"/>
  <c r="CO183" i="1" s="1"/>
  <c r="CP183" i="1" s="1"/>
  <c r="CQ183" i="1" s="1"/>
  <c r="CR183" i="1" s="1"/>
  <c r="CS183" i="1" s="1"/>
  <c r="CT183" i="1" s="1"/>
  <c r="CU183" i="1" s="1"/>
  <c r="CV183" i="1" s="1"/>
  <c r="CW183" i="1" s="1"/>
  <c r="CJ157" i="1"/>
  <c r="CK157" i="1" s="1"/>
  <c r="CM157" i="1" s="1"/>
  <c r="CN157" i="1" s="1"/>
  <c r="CO157" i="1" s="1"/>
  <c r="CP157" i="1" s="1"/>
  <c r="CQ157" i="1" s="1"/>
  <c r="CR157" i="1" s="1"/>
  <c r="CS157" i="1" s="1"/>
  <c r="CT157" i="1" s="1"/>
  <c r="CU157" i="1" s="1"/>
  <c r="CV157" i="1" s="1"/>
  <c r="CW157" i="1" s="1"/>
  <c r="CX157" i="1" s="1"/>
  <c r="CY157" i="1" s="1"/>
  <c r="CZ157" i="1" s="1"/>
  <c r="DA157" i="1" s="1"/>
  <c r="DB157" i="1" s="1"/>
  <c r="KE15" i="4" s="1"/>
  <c r="Z94" i="1"/>
  <c r="CJ145" i="1"/>
  <c r="CK145" i="1" s="1"/>
  <c r="CJ142" i="1"/>
  <c r="CK142" i="1" s="1"/>
  <c r="CM142" i="1" s="1"/>
  <c r="CN142" i="1" s="1"/>
  <c r="CO142" i="1" s="1"/>
  <c r="CP142" i="1" s="1"/>
  <c r="CQ142" i="1" s="1"/>
  <c r="CR142" i="1" s="1"/>
  <c r="CS142" i="1" s="1"/>
  <c r="CT142" i="1" s="1"/>
  <c r="CU142" i="1" s="1"/>
  <c r="CV142" i="1" s="1"/>
  <c r="CW142" i="1" s="1"/>
  <c r="CX142" i="1" s="1"/>
  <c r="CY142" i="1" s="1"/>
  <c r="CZ142" i="1" s="1"/>
  <c r="DA142" i="1" s="1"/>
  <c r="DB142" i="1" s="1"/>
  <c r="KG16" i="4" s="1"/>
  <c r="JY16" i="4" s="1"/>
  <c r="JQ16" i="4" s="1"/>
  <c r="JQ21" i="4" s="1"/>
  <c r="CK97" i="1" s="1"/>
  <c r="KF16" i="4" s="1"/>
  <c r="JV16" i="4" s="1"/>
  <c r="CJ146" i="1"/>
  <c r="CK146" i="1" s="1"/>
  <c r="CM146" i="1" s="1"/>
  <c r="CN146" i="1" s="1"/>
  <c r="CO146" i="1" s="1"/>
  <c r="CP146" i="1" s="1"/>
  <c r="CQ146" i="1" s="1"/>
  <c r="CR146" i="1" s="1"/>
  <c r="CS146" i="1" s="1"/>
  <c r="CT146" i="1" s="1"/>
  <c r="CU146" i="1" s="1"/>
  <c r="CV146" i="1" s="1"/>
  <c r="CW146" i="1" s="1"/>
  <c r="CX146" i="1" s="1"/>
  <c r="CY146" i="1" s="1"/>
  <c r="CZ146" i="1" s="1"/>
  <c r="DA146" i="1" s="1"/>
  <c r="DB146" i="1" s="1"/>
  <c r="CJ155" i="1"/>
  <c r="CK155" i="1" s="1"/>
  <c r="CM155" i="1" s="1"/>
  <c r="CN155" i="1" s="1"/>
  <c r="CO155" i="1" s="1"/>
  <c r="CP155" i="1" s="1"/>
  <c r="CQ155" i="1" s="1"/>
  <c r="CR155" i="1" s="1"/>
  <c r="CS155" i="1" s="1"/>
  <c r="CT155" i="1" s="1"/>
  <c r="CU155" i="1" s="1"/>
  <c r="CV155" i="1" s="1"/>
  <c r="CW155" i="1" s="1"/>
  <c r="CX155" i="1" s="1"/>
  <c r="CY155" i="1" s="1"/>
  <c r="CZ155" i="1" s="1"/>
  <c r="DA155" i="1" s="1"/>
  <c r="DB155" i="1" s="1"/>
  <c r="JU15" i="4" s="1"/>
  <c r="JV9" i="4" s="1"/>
  <c r="CJ153" i="1"/>
  <c r="CK153" i="1" s="1"/>
  <c r="KC16" i="4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J184" i="1"/>
  <c r="CK184" i="1" s="1"/>
  <c r="CM184" i="1" s="1"/>
  <c r="CN184" i="1" s="1"/>
  <c r="CO184" i="1" s="1"/>
  <c r="CP184" i="1" s="1"/>
  <c r="CQ184" i="1" s="1"/>
  <c r="CR184" i="1" s="1"/>
  <c r="CS184" i="1" s="1"/>
  <c r="CT184" i="1" s="1"/>
  <c r="CU184" i="1" s="1"/>
  <c r="CV184" i="1" s="1"/>
  <c r="CW184" i="1" s="1"/>
  <c r="CX184" i="1" s="1"/>
  <c r="CY184" i="1" s="1"/>
  <c r="CZ184" i="1" s="1"/>
  <c r="DA184" i="1" s="1"/>
  <c r="DB184" i="1" s="1"/>
  <c r="CJ139" i="1"/>
  <c r="CJ166" i="1"/>
  <c r="KD16" i="4" s="1"/>
  <c r="CJ147" i="1"/>
  <c r="CK147" i="1" s="1"/>
  <c r="CM147" i="1" s="1"/>
  <c r="CN147" i="1" s="1"/>
  <c r="CO147" i="1" s="1"/>
  <c r="CP147" i="1" s="1"/>
  <c r="CQ147" i="1" s="1"/>
  <c r="CR147" i="1" s="1"/>
  <c r="CS147" i="1" s="1"/>
  <c r="CT147" i="1" s="1"/>
  <c r="CU147" i="1" s="1"/>
  <c r="CV147" i="1" s="1"/>
  <c r="CW147" i="1" s="1"/>
  <c r="CX147" i="1" s="1"/>
  <c r="CY147" i="1" s="1"/>
  <c r="CZ147" i="1" s="1"/>
  <c r="DA147" i="1" s="1"/>
  <c r="DB147" i="1" s="1"/>
  <c r="JT16" i="4" s="1"/>
  <c r="CJ179" i="1"/>
  <c r="CJ164" i="1"/>
  <c r="CJ199" i="1" s="1"/>
  <c r="CK199" i="1" s="1"/>
  <c r="JW16" i="4" s="1"/>
  <c r="CJ154" i="1"/>
  <c r="CK53" i="1" s="1"/>
  <c r="CJ174" i="1"/>
  <c r="KA7" i="4" s="1"/>
  <c r="KB9" i="4" s="1"/>
  <c r="KG9" i="4" s="1"/>
  <c r="Z93" i="1"/>
  <c r="CJ180" i="1"/>
  <c r="CK94" i="1"/>
  <c r="CJ162" i="1"/>
  <c r="CH93" i="1"/>
  <c r="KH16" i="4" s="1"/>
  <c r="JZ16" i="4" s="1"/>
  <c r="JR16" i="4" s="1"/>
  <c r="CJ94" i="1"/>
  <c r="CJ175" i="1"/>
  <c r="CJ144" i="1"/>
  <c r="CK144" i="1" s="1"/>
  <c r="CM144" i="1" s="1"/>
  <c r="CG93" i="1"/>
  <c r="CJ93" i="1"/>
  <c r="CG94" i="1"/>
  <c r="CI93" i="1"/>
  <c r="KD9" i="4" s="1"/>
  <c r="KD14" i="4" s="1"/>
  <c r="CJ165" i="1"/>
  <c r="CJ200" i="1" s="1"/>
  <c r="CK200" i="1" s="1"/>
  <c r="CH94" i="1"/>
  <c r="JU9" i="4" s="1"/>
  <c r="KF9" i="4" s="1"/>
  <c r="X93" i="1"/>
  <c r="CJ173" i="1"/>
  <c r="CJ203" i="1" s="1"/>
  <c r="CK203" i="1" s="1"/>
  <c r="CJ167" i="1"/>
  <c r="Y94" i="1"/>
  <c r="CI94" i="1"/>
  <c r="X199" i="1"/>
  <c r="CK36" i="1"/>
  <c r="CK11" i="1"/>
  <c r="Z272" i="1"/>
  <c r="X200" i="1"/>
  <c r="Y199" i="1"/>
  <c r="Y193" i="1"/>
  <c r="Y30" i="1"/>
  <c r="X203" i="1"/>
  <c r="Y272" i="1"/>
  <c r="Y251" i="1"/>
  <c r="Z199" i="1"/>
  <c r="Y181" i="1"/>
  <c r="Z229" i="1" s="1"/>
  <c r="X30" i="1"/>
  <c r="Z151" i="1"/>
  <c r="Z154" i="1" s="1"/>
  <c r="Y203" i="1"/>
  <c r="Z181" i="1"/>
  <c r="AA229" i="1" s="1"/>
  <c r="X272" i="1"/>
  <c r="Z273" i="1"/>
  <c r="Y273" i="1"/>
  <c r="Y46" i="1"/>
  <c r="Y168" i="1"/>
  <c r="Z203" i="1"/>
  <c r="Z200" i="1"/>
  <c r="X193" i="1"/>
  <c r="CH181" i="1"/>
  <c r="CI229" i="1" s="1"/>
  <c r="Y154" i="1"/>
  <c r="Y158" i="1" s="1"/>
  <c r="Z140" i="1"/>
  <c r="AA227" i="1" s="1"/>
  <c r="Z168" i="1"/>
  <c r="AA216" i="1" s="1"/>
  <c r="Z174" i="1"/>
  <c r="CH174" i="1" s="1"/>
  <c r="CH176" i="1" s="1"/>
  <c r="CH205" i="1" s="1"/>
  <c r="X168" i="1"/>
  <c r="X202" i="1" s="1"/>
  <c r="X273" i="1"/>
  <c r="CK118" i="1"/>
  <c r="CG214" i="1"/>
  <c r="CG273" i="1"/>
  <c r="Y176" i="1"/>
  <c r="CH273" i="1"/>
  <c r="CG272" i="1"/>
  <c r="X154" i="1"/>
  <c r="CH199" i="1"/>
  <c r="CI199" i="1" s="1"/>
  <c r="CI251" i="1"/>
  <c r="CI30" i="1"/>
  <c r="CJ118" i="1"/>
  <c r="Y222" i="1"/>
  <c r="Y200" i="1"/>
  <c r="CG30" i="1"/>
  <c r="Z193" i="1"/>
  <c r="Z30" i="1"/>
  <c r="X176" i="1"/>
  <c r="Y140" i="1"/>
  <c r="X148" i="1"/>
  <c r="X181" i="1"/>
  <c r="X140" i="1"/>
  <c r="X195" i="1" s="1"/>
  <c r="Y148" i="1"/>
  <c r="Z46" i="1"/>
  <c r="X46" i="1"/>
  <c r="CI152" i="1"/>
  <c r="CJ152" i="1" s="1"/>
  <c r="CH272" i="1"/>
  <c r="CJ46" i="1"/>
  <c r="CI148" i="1"/>
  <c r="CG46" i="1"/>
  <c r="CH30" i="1"/>
  <c r="CH46" i="1"/>
  <c r="CI272" i="1"/>
  <c r="CJ273" i="1"/>
  <c r="CH251" i="1"/>
  <c r="CJ251" i="1"/>
  <c r="CI273" i="1"/>
  <c r="CH200" i="1"/>
  <c r="CI200" i="1" s="1"/>
  <c r="CH203" i="1"/>
  <c r="CI203" i="1" s="1"/>
  <c r="CJ272" i="1"/>
  <c r="CJ30" i="1"/>
  <c r="Y93" i="1"/>
  <c r="X94" i="1"/>
  <c r="Z222" i="1"/>
  <c r="CI46" i="1"/>
  <c r="CI85" i="1"/>
  <c r="CJ214" i="1"/>
  <c r="Z148" i="1"/>
  <c r="CH85" i="1"/>
  <c r="CG85" i="1"/>
  <c r="CJ85" i="1"/>
  <c r="CH168" i="1"/>
  <c r="CH202" i="1" s="1"/>
  <c r="CH148" i="1"/>
  <c r="CH140" i="1"/>
  <c r="JP15" i="4"/>
  <c r="JP14" i="4"/>
  <c r="JP8" i="4"/>
  <c r="JP7" i="4"/>
  <c r="JP21" i="4"/>
  <c r="CJ97" i="1" s="1"/>
  <c r="JO21" i="4"/>
  <c r="CI97" i="1" s="1"/>
  <c r="JO7" i="4"/>
  <c r="JO15" i="4"/>
  <c r="JO14" i="4"/>
  <c r="JO8" i="4"/>
  <c r="JN21" i="4"/>
  <c r="CH97" i="1" s="1"/>
  <c r="JN15" i="4"/>
  <c r="JN14" i="4"/>
  <c r="JN7" i="4"/>
  <c r="JN8" i="4"/>
  <c r="CB33" i="1"/>
  <c r="KC21" i="4" l="1"/>
  <c r="CI222" i="1"/>
  <c r="CW40" i="1"/>
  <c r="DA40" i="1" s="1"/>
  <c r="AA31" i="1"/>
  <c r="AA208" i="1"/>
  <c r="AA226" i="1"/>
  <c r="AA225" i="1" s="1"/>
  <c r="AA269" i="1"/>
  <c r="JR21" i="4"/>
  <c r="CL97" i="1" s="1"/>
  <c r="JX9" i="4" s="1"/>
  <c r="KH9" i="4" s="1"/>
  <c r="JQ15" i="4"/>
  <c r="JZ21" i="4"/>
  <c r="JS7" i="4"/>
  <c r="JS14" i="4"/>
  <c r="JT14" i="4"/>
  <c r="JV8" i="4"/>
  <c r="KA21" i="4"/>
  <c r="KH15" i="4"/>
  <c r="Z195" i="1"/>
  <c r="Z202" i="1"/>
  <c r="Z11" i="1"/>
  <c r="CL264" i="1"/>
  <c r="JV14" i="4"/>
  <c r="KG21" i="4"/>
  <c r="KF15" i="4"/>
  <c r="KA14" i="4"/>
  <c r="KA19" i="4" s="1"/>
  <c r="JU21" i="4"/>
  <c r="JZ14" i="4"/>
  <c r="JY21" i="4"/>
  <c r="JV21" i="4"/>
  <c r="JS8" i="4"/>
  <c r="KC8" i="4"/>
  <c r="KD7" i="4"/>
  <c r="KD19" i="4" s="1"/>
  <c r="JZ15" i="4"/>
  <c r="JV15" i="4"/>
  <c r="JV20" i="4" s="1"/>
  <c r="KC15" i="4"/>
  <c r="KG7" i="4"/>
  <c r="KG15" i="4"/>
  <c r="JV7" i="4"/>
  <c r="JU8" i="4"/>
  <c r="JU20" i="4" s="1"/>
  <c r="KC7" i="4"/>
  <c r="KE7" i="4"/>
  <c r="KE19" i="4" s="1"/>
  <c r="JZ8" i="4"/>
  <c r="JY7" i="4"/>
  <c r="CL245" i="1"/>
  <c r="CL48" i="1"/>
  <c r="CL37" i="1"/>
  <c r="CL266" i="1"/>
  <c r="CL268" i="1"/>
  <c r="CL177" i="1"/>
  <c r="CL185" i="1" s="1"/>
  <c r="CL186" i="1" s="1"/>
  <c r="CL202" i="1"/>
  <c r="CL112" i="1"/>
  <c r="CL114" i="1" s="1"/>
  <c r="KB7" i="4"/>
  <c r="JR15" i="4"/>
  <c r="JR8" i="4"/>
  <c r="JS15" i="4"/>
  <c r="JW7" i="4"/>
  <c r="JR7" i="4"/>
  <c r="JW14" i="4"/>
  <c r="JW19" i="4" s="1"/>
  <c r="KF14" i="4"/>
  <c r="JT15" i="4"/>
  <c r="KD15" i="4"/>
  <c r="JR14" i="4"/>
  <c r="JR19" i="4" s="1"/>
  <c r="CL98" i="1" s="1"/>
  <c r="KG14" i="4"/>
  <c r="KH8" i="4"/>
  <c r="KC14" i="4"/>
  <c r="JQ7" i="4"/>
  <c r="JT7" i="4"/>
  <c r="KF7" i="4"/>
  <c r="KD21" i="4"/>
  <c r="JX8" i="4"/>
  <c r="KD8" i="4"/>
  <c r="JX14" i="4"/>
  <c r="CK119" i="1"/>
  <c r="CJ222" i="1"/>
  <c r="CK160" i="1"/>
  <c r="CL222" i="1" s="1"/>
  <c r="CK37" i="1"/>
  <c r="CL39" i="1"/>
  <c r="CL208" i="1"/>
  <c r="CL31" i="1"/>
  <c r="CJ151" i="1"/>
  <c r="CK151" i="1" s="1"/>
  <c r="CM153" i="1"/>
  <c r="CN153" i="1" s="1"/>
  <c r="CO153" i="1" s="1"/>
  <c r="CP153" i="1" s="1"/>
  <c r="CJ148" i="1"/>
  <c r="CJ158" i="1"/>
  <c r="JY8" i="4"/>
  <c r="KF8" i="4"/>
  <c r="JQ8" i="4"/>
  <c r="JU7" i="4"/>
  <c r="KB15" i="4"/>
  <c r="KH14" i="4"/>
  <c r="JW21" i="4"/>
  <c r="CJ181" i="1"/>
  <c r="JT21" i="4"/>
  <c r="JX7" i="4"/>
  <c r="JT8" i="4"/>
  <c r="KA15" i="4"/>
  <c r="KE8" i="4"/>
  <c r="CJ168" i="1"/>
  <c r="CJ202" i="1" s="1"/>
  <c r="KB14" i="4"/>
  <c r="KA8" i="4"/>
  <c r="JY14" i="4"/>
  <c r="KB21" i="4"/>
  <c r="JW15" i="4"/>
  <c r="JU14" i="4"/>
  <c r="JU19" i="4" s="1"/>
  <c r="JY15" i="4"/>
  <c r="JY20" i="4" s="1"/>
  <c r="JW8" i="4"/>
  <c r="JZ7" i="4"/>
  <c r="JQ14" i="4"/>
  <c r="CJ140" i="1"/>
  <c r="CJ112" i="1" s="1"/>
  <c r="CJ114" i="1" s="1"/>
  <c r="KB8" i="4"/>
  <c r="KF21" i="4"/>
  <c r="KG8" i="4"/>
  <c r="JX15" i="4"/>
  <c r="JX21" i="4"/>
  <c r="KE21" i="4"/>
  <c r="CJ176" i="1"/>
  <c r="CJ205" i="1" s="1"/>
  <c r="CJ204" i="1" s="1"/>
  <c r="CK204" i="1" s="1"/>
  <c r="KH7" i="4"/>
  <c r="CK32" i="1"/>
  <c r="CJ11" i="1"/>
  <c r="CI36" i="1"/>
  <c r="CI48" i="1" s="1"/>
  <c r="CI11" i="1"/>
  <c r="X36" i="1"/>
  <c r="X11" i="1"/>
  <c r="CK48" i="1"/>
  <c r="CK31" i="1"/>
  <c r="CG11" i="1"/>
  <c r="Y36" i="1"/>
  <c r="Y37" i="1" s="1"/>
  <c r="Y11" i="1"/>
  <c r="CH11" i="1"/>
  <c r="Y208" i="1"/>
  <c r="X118" i="1"/>
  <c r="Y118" i="1"/>
  <c r="Z216" i="1"/>
  <c r="Y31" i="1"/>
  <c r="X47" i="1"/>
  <c r="Y53" i="1"/>
  <c r="Y47" i="1"/>
  <c r="CH151" i="1"/>
  <c r="CH154" i="1" s="1"/>
  <c r="Y216" i="1"/>
  <c r="Y202" i="1"/>
  <c r="Y201" i="1" s="1"/>
  <c r="Z201" i="1"/>
  <c r="Z176" i="1"/>
  <c r="AA217" i="1" s="1"/>
  <c r="AA218" i="1" s="1"/>
  <c r="AA219" i="1" s="1"/>
  <c r="Z268" i="1"/>
  <c r="X177" i="1"/>
  <c r="Z47" i="1"/>
  <c r="CG47" i="1"/>
  <c r="CG36" i="1"/>
  <c r="X149" i="1"/>
  <c r="CI47" i="1"/>
  <c r="Y205" i="1"/>
  <c r="Y177" i="1"/>
  <c r="Y185" i="1" s="1"/>
  <c r="X158" i="1"/>
  <c r="X53" i="1"/>
  <c r="CH204" i="1"/>
  <c r="CI204" i="1" s="1"/>
  <c r="X268" i="1"/>
  <c r="Y229" i="1"/>
  <c r="Z208" i="1"/>
  <c r="Z31" i="1"/>
  <c r="Z36" i="1"/>
  <c r="AA38" i="1" s="1"/>
  <c r="Z118" i="1"/>
  <c r="Y195" i="1"/>
  <c r="Y268" i="1"/>
  <c r="X57" i="1"/>
  <c r="X188" i="1"/>
  <c r="X129" i="1" s="1"/>
  <c r="CH112" i="1"/>
  <c r="CH114" i="1" s="1"/>
  <c r="CI226" i="1"/>
  <c r="X205" i="1"/>
  <c r="Y217" i="1"/>
  <c r="Y269" i="1"/>
  <c r="Y226" i="1"/>
  <c r="Y188" i="1"/>
  <c r="Y129" i="1" s="1"/>
  <c r="CK148" i="1"/>
  <c r="Y57" i="1"/>
  <c r="Y149" i="1"/>
  <c r="Z188" i="1"/>
  <c r="Z129" i="1" s="1"/>
  <c r="Z226" i="1"/>
  <c r="CI32" i="1"/>
  <c r="CJ36" i="1"/>
  <c r="CK39" i="1" s="1"/>
  <c r="CJ119" i="1"/>
  <c r="CJ122" i="1" s="1"/>
  <c r="CH47" i="1"/>
  <c r="CJ245" i="1"/>
  <c r="CJ32" i="1"/>
  <c r="CJ47" i="1"/>
  <c r="CH36" i="1"/>
  <c r="CL38" i="1" s="1"/>
  <c r="CH32" i="1"/>
  <c r="Z149" i="1"/>
  <c r="Z57" i="1"/>
  <c r="Z269" i="1"/>
  <c r="Y266" i="1"/>
  <c r="CH177" i="1"/>
  <c r="Y264" i="1"/>
  <c r="CH188" i="1"/>
  <c r="CI269" i="1"/>
  <c r="CH268" i="1"/>
  <c r="X201" i="1"/>
  <c r="Z158" i="1"/>
  <c r="AA223" i="1" s="1"/>
  <c r="AA221" i="1" s="1"/>
  <c r="Z53" i="1"/>
  <c r="CH149" i="1"/>
  <c r="CM199" i="1"/>
  <c r="CN144" i="1"/>
  <c r="CM200" i="1"/>
  <c r="CM203" i="1"/>
  <c r="CX183" i="1"/>
  <c r="CX137" i="1"/>
  <c r="JP20" i="4"/>
  <c r="CJ99" i="1" s="1"/>
  <c r="JP19" i="4"/>
  <c r="CJ98" i="1" s="1"/>
  <c r="JO19" i="4"/>
  <c r="CI98" i="1" s="1"/>
  <c r="JO20" i="4"/>
  <c r="CI99" i="1" s="1"/>
  <c r="JN20" i="4"/>
  <c r="CH99" i="1" s="1"/>
  <c r="JN19" i="4"/>
  <c r="CH98" i="1" s="1"/>
  <c r="CH201" i="1"/>
  <c r="CI201" i="1" s="1"/>
  <c r="CH206" i="1"/>
  <c r="CL122" i="1" l="1"/>
  <c r="AA230" i="1"/>
  <c r="AA231" i="1" s="1"/>
  <c r="KC20" i="4"/>
  <c r="JS20" i="4"/>
  <c r="CK49" i="1"/>
  <c r="CK38" i="1"/>
  <c r="AA233" i="1"/>
  <c r="CJ226" i="1"/>
  <c r="KH20" i="4"/>
  <c r="JS19" i="4"/>
  <c r="CJ269" i="1"/>
  <c r="KH21" i="4"/>
  <c r="KG19" i="4"/>
  <c r="CK222" i="1"/>
  <c r="JZ20" i="4"/>
  <c r="JV19" i="4"/>
  <c r="KF20" i="4"/>
  <c r="JZ19" i="4"/>
  <c r="KG20" i="4"/>
  <c r="KC19" i="4"/>
  <c r="JR20" i="4"/>
  <c r="CL99" i="1" s="1"/>
  <c r="KF19" i="4"/>
  <c r="KD20" i="4"/>
  <c r="KB19" i="4"/>
  <c r="JT20" i="4"/>
  <c r="JX20" i="4"/>
  <c r="CJ149" i="1"/>
  <c r="CK122" i="1"/>
  <c r="KA20" i="4"/>
  <c r="KE20" i="4"/>
  <c r="JT19" i="4"/>
  <c r="JX19" i="4"/>
  <c r="JQ20" i="4"/>
  <c r="CK99" i="1" s="1"/>
  <c r="JQ19" i="4"/>
  <c r="CK98" i="1" s="1"/>
  <c r="KB20" i="4"/>
  <c r="Z177" i="1"/>
  <c r="JY19" i="4"/>
  <c r="CL252" i="1"/>
  <c r="CL253" i="1" s="1"/>
  <c r="CL270" i="1"/>
  <c r="CL54" i="1"/>
  <c r="CL58" i="1" s="1"/>
  <c r="CL49" i="1"/>
  <c r="CL201" i="1"/>
  <c r="CL206" i="1"/>
  <c r="CL209" i="1" s="1"/>
  <c r="KH19" i="4"/>
  <c r="CJ264" i="1"/>
  <c r="JW20" i="4"/>
  <c r="CK54" i="1"/>
  <c r="CK58" i="1" s="1"/>
  <c r="CL51" i="1"/>
  <c r="CL123" i="1"/>
  <c r="CL115" i="1"/>
  <c r="CL127" i="1"/>
  <c r="CL130" i="1" s="1"/>
  <c r="CL269" i="1"/>
  <c r="CL226" i="1"/>
  <c r="AB153" i="1"/>
  <c r="CQ153" i="1"/>
  <c r="CR153" i="1" s="1"/>
  <c r="CS153" i="1" s="1"/>
  <c r="CT153" i="1" s="1"/>
  <c r="CJ268" i="1"/>
  <c r="CK229" i="1"/>
  <c r="CJ266" i="1"/>
  <c r="Y38" i="1"/>
  <c r="Y48" i="1"/>
  <c r="X37" i="1"/>
  <c r="X48" i="1"/>
  <c r="CJ177" i="1"/>
  <c r="CJ185" i="1" s="1"/>
  <c r="CI37" i="1"/>
  <c r="Z205" i="1"/>
  <c r="Z204" i="1" s="1"/>
  <c r="Y218" i="1"/>
  <c r="CI151" i="1"/>
  <c r="CI154" i="1" s="1"/>
  <c r="CJ53" i="1" s="1"/>
  <c r="Z217" i="1"/>
  <c r="Z218" i="1" s="1"/>
  <c r="Z38" i="1"/>
  <c r="Z48" i="1"/>
  <c r="Z37" i="1"/>
  <c r="X264" i="1"/>
  <c r="X266" i="1"/>
  <c r="X185" i="1"/>
  <c r="X186" i="1" s="1"/>
  <c r="Y223" i="1"/>
  <c r="Y221" i="1" s="1"/>
  <c r="CJ116" i="1"/>
  <c r="CJ115" i="1"/>
  <c r="CH116" i="1"/>
  <c r="CG48" i="1"/>
  <c r="CG37" i="1"/>
  <c r="CK205" i="1"/>
  <c r="Y204" i="1"/>
  <c r="Y206" i="1"/>
  <c r="CI205" i="1"/>
  <c r="CI172" i="1"/>
  <c r="CM160" i="1"/>
  <c r="CJ201" i="1"/>
  <c r="CK201" i="1" s="1"/>
  <c r="CJ206" i="1"/>
  <c r="Y186" i="1"/>
  <c r="CH115" i="1"/>
  <c r="CI39" i="1"/>
  <c r="CH37" i="1"/>
  <c r="X204" i="1"/>
  <c r="X206" i="1"/>
  <c r="CM145" i="1"/>
  <c r="CJ39" i="1"/>
  <c r="CJ48" i="1"/>
  <c r="CK51" i="1" s="1"/>
  <c r="CJ37" i="1"/>
  <c r="CK226" i="1"/>
  <c r="CK269" i="1"/>
  <c r="CH48" i="1"/>
  <c r="CL50" i="1" s="1"/>
  <c r="CH39" i="1"/>
  <c r="CI57" i="1"/>
  <c r="CH129" i="1"/>
  <c r="Z223" i="1"/>
  <c r="Z221" i="1" s="1"/>
  <c r="Z266" i="1"/>
  <c r="Z264" i="1"/>
  <c r="CI53" i="1"/>
  <c r="CH158" i="1"/>
  <c r="CM47" i="1"/>
  <c r="CJ128" i="1"/>
  <c r="CJ124" i="1"/>
  <c r="CH128" i="1"/>
  <c r="CI127" i="1"/>
  <c r="CH127" i="1"/>
  <c r="CI128" i="1"/>
  <c r="CJ127" i="1"/>
  <c r="CJ123" i="1"/>
  <c r="CN200" i="1"/>
  <c r="CO144" i="1"/>
  <c r="CI202" i="1"/>
  <c r="CI166" i="1"/>
  <c r="CN203" i="1"/>
  <c r="CN199" i="1"/>
  <c r="CY137" i="1"/>
  <c r="CY183" i="1"/>
  <c r="CI54" i="1"/>
  <c r="CI252" i="1"/>
  <c r="CI253" i="1" s="1"/>
  <c r="CI49" i="1"/>
  <c r="CL246" i="1" l="1"/>
  <c r="CL132" i="1"/>
  <c r="AA50" i="1"/>
  <c r="AA270" i="1"/>
  <c r="AA271" i="1" s="1"/>
  <c r="CK50" i="1"/>
  <c r="Z185" i="1"/>
  <c r="Z186" i="1" s="1"/>
  <c r="CL133" i="1"/>
  <c r="CL124" i="1"/>
  <c r="CL116" i="1"/>
  <c r="CL128" i="1"/>
  <c r="CL131" i="1" s="1"/>
  <c r="CJ186" i="1"/>
  <c r="CK124" i="1"/>
  <c r="CK128" i="1"/>
  <c r="CK123" i="1"/>
  <c r="CK127" i="1"/>
  <c r="CK60" i="1"/>
  <c r="CK61" i="1"/>
  <c r="CL60" i="1"/>
  <c r="CL61" i="1"/>
  <c r="CL271" i="1"/>
  <c r="Y270" i="1"/>
  <c r="Y271" i="1" s="1"/>
  <c r="Y132" i="1"/>
  <c r="Y54" i="1"/>
  <c r="Y49" i="1"/>
  <c r="Y252" i="1"/>
  <c r="Y253" i="1" s="1"/>
  <c r="X54" i="1"/>
  <c r="X132" i="1"/>
  <c r="X252" i="1"/>
  <c r="X253" i="1" s="1"/>
  <c r="X49" i="1"/>
  <c r="Y50" i="1"/>
  <c r="CI58" i="1"/>
  <c r="CU153" i="1"/>
  <c r="CV153" i="1" s="1"/>
  <c r="CW153" i="1" s="1"/>
  <c r="CX153" i="1" s="1"/>
  <c r="AC153" i="1"/>
  <c r="Z206" i="1"/>
  <c r="AA209" i="1" s="1"/>
  <c r="AA210" i="1" s="1"/>
  <c r="CI158" i="1"/>
  <c r="CJ223" i="1" s="1"/>
  <c r="CJ221" i="1" s="1"/>
  <c r="CI270" i="1"/>
  <c r="CI271" i="1" s="1"/>
  <c r="CK132" i="1"/>
  <c r="Z54" i="1"/>
  <c r="Z132" i="1"/>
  <c r="Z252" i="1"/>
  <c r="Z253" i="1" s="1"/>
  <c r="Z270" i="1"/>
  <c r="Z271" i="1" s="1"/>
  <c r="Z49" i="1"/>
  <c r="Z50" i="1"/>
  <c r="Y209" i="1"/>
  <c r="Y210" i="1" s="1"/>
  <c r="CM37" i="1"/>
  <c r="CG54" i="1"/>
  <c r="CG58" i="1" s="1"/>
  <c r="CG49" i="1"/>
  <c r="CG252" i="1"/>
  <c r="CG253" i="1" s="1"/>
  <c r="CM222" i="1"/>
  <c r="CN160" i="1"/>
  <c r="CK202" i="1"/>
  <c r="CK206" i="1" s="1"/>
  <c r="CM204" i="1"/>
  <c r="CJ51" i="1"/>
  <c r="CJ270" i="1"/>
  <c r="CJ271" i="1" s="1"/>
  <c r="CJ252" i="1"/>
  <c r="CJ253" i="1" s="1"/>
  <c r="CH49" i="1"/>
  <c r="CH54" i="1"/>
  <c r="CH58" i="1" s="1"/>
  <c r="CH51" i="1"/>
  <c r="CH270" i="1"/>
  <c r="CI51" i="1"/>
  <c r="CH252" i="1"/>
  <c r="CH253" i="1" s="1"/>
  <c r="CJ246" i="1"/>
  <c r="CJ132" i="1"/>
  <c r="CJ49" i="1"/>
  <c r="CJ54" i="1"/>
  <c r="CN145" i="1"/>
  <c r="CM148" i="1"/>
  <c r="CM269" i="1" s="1"/>
  <c r="CH130" i="1"/>
  <c r="CH131" i="1"/>
  <c r="CK214" i="1"/>
  <c r="CK152" i="1"/>
  <c r="CH266" i="1"/>
  <c r="CH185" i="1"/>
  <c r="CH186" i="1" s="1"/>
  <c r="CN47" i="1"/>
  <c r="CP144" i="1"/>
  <c r="CO199" i="1"/>
  <c r="CO200" i="1"/>
  <c r="CO203" i="1"/>
  <c r="CZ183" i="1"/>
  <c r="CZ137" i="1"/>
  <c r="CM65" i="1"/>
  <c r="CN65" i="1" s="1"/>
  <c r="CO65" i="1" s="1"/>
  <c r="CP65" i="1" s="1"/>
  <c r="CQ65" i="1" s="1"/>
  <c r="CR65" i="1" s="1"/>
  <c r="CS65" i="1" s="1"/>
  <c r="CT65" i="1" s="1"/>
  <c r="CU65" i="1" s="1"/>
  <c r="CM66" i="1"/>
  <c r="CL134" i="1" l="1"/>
  <c r="CK62" i="1"/>
  <c r="CK68" i="1"/>
  <c r="Y58" i="1"/>
  <c r="CI61" i="1"/>
  <c r="Y75" i="1"/>
  <c r="CI60" i="1"/>
  <c r="Z209" i="1"/>
  <c r="Z210" i="1" s="1"/>
  <c r="X58" i="1"/>
  <c r="X75" i="1"/>
  <c r="CL64" i="1"/>
  <c r="CL254" i="1"/>
  <c r="CL68" i="1"/>
  <c r="CL62" i="1"/>
  <c r="CL265" i="1" s="1"/>
  <c r="CJ58" i="1"/>
  <c r="CJ61" i="1" s="1"/>
  <c r="CL75" i="1"/>
  <c r="CK154" i="1"/>
  <c r="CL152" i="1"/>
  <c r="CL151" i="1" s="1"/>
  <c r="CY153" i="1"/>
  <c r="CZ153" i="1" s="1"/>
  <c r="DA153" i="1" s="1"/>
  <c r="DB153" i="1" s="1"/>
  <c r="AE153" i="1" s="1"/>
  <c r="AD153" i="1"/>
  <c r="CO47" i="1"/>
  <c r="CP47" i="1" s="1"/>
  <c r="CI223" i="1"/>
  <c r="CI221" i="1" s="1"/>
  <c r="Z58" i="1"/>
  <c r="Z75" i="1"/>
  <c r="CN222" i="1"/>
  <c r="CO160" i="1"/>
  <c r="CH61" i="1"/>
  <c r="CL63" i="1" s="1"/>
  <c r="CH60" i="1"/>
  <c r="CG61" i="1"/>
  <c r="CG60" i="1"/>
  <c r="CN204" i="1"/>
  <c r="CM205" i="1"/>
  <c r="CM201" i="1"/>
  <c r="CO145" i="1"/>
  <c r="CN148" i="1"/>
  <c r="CN269" i="1" s="1"/>
  <c r="CM226" i="1"/>
  <c r="CN37" i="1"/>
  <c r="CP203" i="1"/>
  <c r="CP200" i="1"/>
  <c r="CP199" i="1"/>
  <c r="CQ144" i="1"/>
  <c r="DA137" i="1"/>
  <c r="DA183" i="1"/>
  <c r="CE85" i="1"/>
  <c r="AB65" i="1"/>
  <c r="AC65" i="1"/>
  <c r="CV65" i="1"/>
  <c r="CW65" i="1" s="1"/>
  <c r="CX65" i="1" s="1"/>
  <c r="CY65" i="1" s="1"/>
  <c r="AB55" i="1"/>
  <c r="CN66" i="1"/>
  <c r="CO66" i="1" s="1"/>
  <c r="CP66" i="1" s="1"/>
  <c r="CQ66" i="1" s="1"/>
  <c r="CK63" i="1" l="1"/>
  <c r="CI62" i="1"/>
  <c r="CI265" i="1" s="1"/>
  <c r="Y60" i="1"/>
  <c r="Y61" i="1"/>
  <c r="CI254" i="1"/>
  <c r="CI68" i="1"/>
  <c r="CK72" i="1"/>
  <c r="CK86" i="1"/>
  <c r="CJ60" i="1"/>
  <c r="X60" i="1"/>
  <c r="X61" i="1"/>
  <c r="CL53" i="1"/>
  <c r="CM53" i="1" s="1"/>
  <c r="CN53" i="1" s="1"/>
  <c r="CO53" i="1" s="1"/>
  <c r="CP53" i="1" s="1"/>
  <c r="CQ53" i="1" s="1"/>
  <c r="CR53" i="1" s="1"/>
  <c r="CS53" i="1" s="1"/>
  <c r="CT53" i="1" s="1"/>
  <c r="CU53" i="1" s="1"/>
  <c r="CV53" i="1" s="1"/>
  <c r="CW53" i="1" s="1"/>
  <c r="CX53" i="1" s="1"/>
  <c r="CY53" i="1" s="1"/>
  <c r="CZ53" i="1" s="1"/>
  <c r="DA53" i="1" s="1"/>
  <c r="DB53" i="1" s="1"/>
  <c r="CK158" i="1"/>
  <c r="CL72" i="1"/>
  <c r="CL213" i="1"/>
  <c r="CL215" i="1" s="1"/>
  <c r="CL86" i="1"/>
  <c r="CM151" i="1"/>
  <c r="CN151" i="1" s="1"/>
  <c r="CO151" i="1" s="1"/>
  <c r="CP151" i="1" s="1"/>
  <c r="CK64" i="1"/>
  <c r="CL247" i="1"/>
  <c r="CK223" i="1"/>
  <c r="CK221" i="1" s="1"/>
  <c r="CL223" i="1"/>
  <c r="CL221" i="1" s="1"/>
  <c r="CI139" i="1"/>
  <c r="CQ47" i="1"/>
  <c r="CM60" i="1"/>
  <c r="Z61" i="1"/>
  <c r="AA63" i="1" s="1"/>
  <c r="Z60" i="1"/>
  <c r="CP160" i="1"/>
  <c r="CP222" i="1" s="1"/>
  <c r="CO222" i="1"/>
  <c r="CI64" i="1"/>
  <c r="CH68" i="1"/>
  <c r="CH72" i="1" s="1"/>
  <c r="CH62" i="1"/>
  <c r="CH265" i="1" s="1"/>
  <c r="CH254" i="1"/>
  <c r="CO204" i="1"/>
  <c r="CN205" i="1"/>
  <c r="CJ62" i="1"/>
  <c r="CJ265" i="1" s="1"/>
  <c r="CJ254" i="1"/>
  <c r="CJ64" i="1"/>
  <c r="CJ68" i="1"/>
  <c r="CJ247" i="1"/>
  <c r="CG62" i="1"/>
  <c r="CG265" i="1" s="1"/>
  <c r="CH64" i="1"/>
  <c r="CG254" i="1"/>
  <c r="CG68" i="1"/>
  <c r="CG213" i="1" s="1"/>
  <c r="CG215" i="1" s="1"/>
  <c r="CM202" i="1"/>
  <c r="CM206" i="1" s="1"/>
  <c r="CN201" i="1"/>
  <c r="CP145" i="1"/>
  <c r="CO148" i="1"/>
  <c r="CO269" i="1" s="1"/>
  <c r="CN226" i="1"/>
  <c r="X254" i="1"/>
  <c r="X62" i="1"/>
  <c r="X265" i="1" s="1"/>
  <c r="Y63" i="1"/>
  <c r="X68" i="1"/>
  <c r="Y254" i="1"/>
  <c r="Y62" i="1"/>
  <c r="Y265" i="1" s="1"/>
  <c r="Y68" i="1"/>
  <c r="CO37" i="1"/>
  <c r="CP37" i="1" s="1"/>
  <c r="CB85" i="1"/>
  <c r="BL85" i="1"/>
  <c r="CR144" i="1"/>
  <c r="CQ199" i="1"/>
  <c r="CQ203" i="1"/>
  <c r="CC85" i="1"/>
  <c r="CQ200" i="1"/>
  <c r="DB137" i="1"/>
  <c r="DB183" i="1"/>
  <c r="AL85" i="1"/>
  <c r="CF85" i="1"/>
  <c r="CD85" i="1"/>
  <c r="BY85" i="1"/>
  <c r="BZ85" i="1"/>
  <c r="CA85" i="1"/>
  <c r="CI140" i="1"/>
  <c r="CI72" i="1"/>
  <c r="CI86" i="1"/>
  <c r="CI213" i="1"/>
  <c r="CI215" i="1" s="1"/>
  <c r="AD65" i="1"/>
  <c r="AB66" i="1"/>
  <c r="CZ65" i="1"/>
  <c r="DA65" i="1" s="1"/>
  <c r="DB65" i="1" s="1"/>
  <c r="AE65" i="1" s="1"/>
  <c r="AC55" i="1"/>
  <c r="CR66" i="1"/>
  <c r="CS66" i="1" s="1"/>
  <c r="CT66" i="1" s="1"/>
  <c r="CU66" i="1" s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EV15" i="4" a="1"/>
  <c r="EO16" i="4" a="1"/>
  <c r="EM9" i="4" a="1"/>
  <c r="ET11" i="4" a="1"/>
  <c r="ER12" i="4" a="1"/>
  <c r="EM7" i="4" a="1"/>
  <c r="EW5" i="4" a="1"/>
  <c r="ET9" i="4" a="1"/>
  <c r="EO13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EL7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F15" i="3"/>
  <c r="AT19" i="3"/>
  <c r="AS31" i="3"/>
  <c r="AY39" i="3"/>
  <c r="AC6" i="6" a="1"/>
  <c r="EN5" i="4" a="1"/>
  <c r="ER14" i="4" a="1"/>
  <c r="ET6" i="4" a="1"/>
  <c r="EW8" i="4" a="1"/>
  <c r="EN6" i="4" a="1"/>
  <c r="EQ6" i="4" a="1"/>
  <c r="EO8" i="4" a="1"/>
  <c r="EQ7" i="4" a="1"/>
  <c r="EW6" i="4" a="1"/>
  <c r="ES9" i="4" a="1"/>
  <c r="AV18" i="3"/>
  <c r="AS11" i="3"/>
  <c r="AF42" i="3"/>
  <c r="F46" i="3"/>
  <c r="AZ25" i="3"/>
  <c r="AW15" i="3"/>
  <c r="AX13" i="3"/>
  <c r="AT33" i="3"/>
  <c r="ES5" i="4" a="1"/>
  <c r="EM6" i="4" a="1"/>
  <c r="EV11" i="4" a="1"/>
  <c r="EO6" i="4" a="1"/>
  <c r="EW9" i="4" a="1"/>
  <c r="ES13" i="4" a="1"/>
  <c r="AS34" i="3"/>
  <c r="AV23" i="3"/>
  <c r="AY8" i="3"/>
  <c r="AZ33" i="3"/>
  <c r="D6" i="6" a="1"/>
  <c r="AF16" i="3"/>
  <c r="AF31" i="3"/>
  <c r="AX27" i="3"/>
  <c r="AF39" i="3"/>
  <c r="AZ19" i="3"/>
  <c r="AU37" i="3"/>
  <c r="ES8" i="4" a="1"/>
  <c r="ET14" i="4" a="1"/>
  <c r="EP16" i="4" a="1"/>
  <c r="EV5" i="4" a="1"/>
  <c r="ES11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AX18" i="3"/>
  <c r="D5" i="6" a="1"/>
  <c r="EO15" i="4" a="1"/>
  <c r="AS28" i="3"/>
  <c r="AX5" i="6" a="1"/>
  <c r="EP11" i="4" a="1"/>
  <c r="ER7" i="4" a="1"/>
  <c r="ER6" i="4" a="1"/>
  <c r="ES12" i="4" a="1"/>
  <c r="EL12" i="4" a="1"/>
  <c r="EQ8" i="4" a="1"/>
  <c r="AX45" i="3"/>
  <c r="AS25" i="3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W29" i="3"/>
  <c r="AT26" i="3"/>
  <c r="AU45" i="3"/>
  <c r="AS5" i="6" a="1"/>
  <c r="EO12" i="4" a="1"/>
  <c r="EL6" i="4" a="1"/>
  <c r="EU7" i="4" a="1"/>
  <c r="AV45" i="3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AW38" i="3"/>
  <c r="AH5" i="6" a="1"/>
  <c r="AY16" i="3"/>
  <c r="AF33" i="3"/>
  <c r="AT16" i="3"/>
  <c r="X6" i="6" a="1"/>
  <c r="EP5" i="4" a="1"/>
  <c r="EN14" i="4" a="1"/>
  <c r="EW12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F28" i="3"/>
  <c r="AX11" i="3"/>
  <c r="AT6" i="3"/>
  <c r="AV15" i="3"/>
  <c r="S6" i="6" a="1"/>
  <c r="AT34" i="3"/>
  <c r="AS42" i="3"/>
  <c r="ER13" i="4" a="1"/>
  <c r="EQ5" i="4" a="1"/>
  <c r="EU16" i="4" a="1"/>
  <c r="EU15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AU11" i="3"/>
  <c r="AF8" i="3"/>
  <c r="AT15" i="3"/>
  <c r="AX15" i="3"/>
  <c r="AV37" i="3"/>
  <c r="V6" i="6" a="1"/>
  <c r="AS14" i="3"/>
  <c r="AU32" i="3"/>
  <c r="AS6" i="6" a="1"/>
  <c r="AQ5" i="6" a="1"/>
  <c r="AU31" i="3"/>
  <c r="EL16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W22" i="3"/>
  <c r="U5" i="6" a="1"/>
  <c r="EP8" i="4" a="1"/>
  <c r="EN8" i="4" a="1"/>
  <c r="EW13" i="4" a="1"/>
  <c r="ET7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T41" i="3"/>
  <c r="AU33" i="3"/>
  <c r="AW26" i="3"/>
  <c r="AZ40" i="3"/>
  <c r="EQ11" i="4" a="1"/>
  <c r="EQ13" i="4" a="1"/>
  <c r="EU8" i="4" a="1"/>
  <c r="EO5" i="4" a="1"/>
  <c r="EN15" i="4" a="1"/>
  <c r="EL15" i="4" a="1"/>
  <c r="Z62" i="1" l="1"/>
  <c r="Z265" i="1" s="1"/>
  <c r="AB151" i="1"/>
  <c r="CQ151" i="1"/>
  <c r="CR151" i="1" s="1"/>
  <c r="CS151" i="1" s="1"/>
  <c r="CT151" i="1" s="1"/>
  <c r="CJ86" i="1"/>
  <c r="CL89" i="1" s="1"/>
  <c r="CL74" i="1"/>
  <c r="CR47" i="1"/>
  <c r="CN60" i="1"/>
  <c r="CG72" i="1"/>
  <c r="Z254" i="1"/>
  <c r="CQ160" i="1"/>
  <c r="CQ222" i="1" s="1"/>
  <c r="CJ213" i="1"/>
  <c r="CJ215" i="1" s="1"/>
  <c r="Z68" i="1"/>
  <c r="Z227" i="1" s="1"/>
  <c r="Z225" i="1" s="1"/>
  <c r="Z63" i="1"/>
  <c r="CG86" i="1"/>
  <c r="CH213" i="1"/>
  <c r="CH215" i="1" s="1"/>
  <c r="CH86" i="1"/>
  <c r="CK89" i="1" s="1"/>
  <c r="CK107" i="1" s="1"/>
  <c r="CJ74" i="1"/>
  <c r="CJ72" i="1"/>
  <c r="CO205" i="1"/>
  <c r="CP204" i="1"/>
  <c r="CN202" i="1"/>
  <c r="CN206" i="1" s="1"/>
  <c r="CO201" i="1"/>
  <c r="CQ145" i="1"/>
  <c r="CP148" i="1"/>
  <c r="CP269" i="1" s="1"/>
  <c r="CO226" i="1"/>
  <c r="BY42" i="1"/>
  <c r="CA29" i="1"/>
  <c r="CE42" i="1"/>
  <c r="CA42" i="1"/>
  <c r="CF42" i="1"/>
  <c r="CD42" i="1"/>
  <c r="BZ42" i="1"/>
  <c r="BL42" i="1"/>
  <c r="CC42" i="1"/>
  <c r="CB42" i="1"/>
  <c r="CF29" i="1"/>
  <c r="CD29" i="1"/>
  <c r="BY29" i="1"/>
  <c r="CE29" i="1"/>
  <c r="BZ29" i="1"/>
  <c r="CC29" i="1"/>
  <c r="CB29" i="1"/>
  <c r="BL29" i="1"/>
  <c r="Y213" i="1"/>
  <c r="Y215" i="1" s="1"/>
  <c r="Y219" i="1" s="1"/>
  <c r="Y233" i="1" s="1"/>
  <c r="Y227" i="1"/>
  <c r="Y225" i="1" s="1"/>
  <c r="Y74" i="1"/>
  <c r="Y72" i="1"/>
  <c r="X213" i="1"/>
  <c r="X215" i="1" s="1"/>
  <c r="X72" i="1"/>
  <c r="X74" i="1"/>
  <c r="CD45" i="1"/>
  <c r="CC65" i="1"/>
  <c r="CA28" i="1"/>
  <c r="CA251" i="1" s="1"/>
  <c r="CD59" i="1"/>
  <c r="AH7" i="6" s="1"/>
  <c r="CD55" i="1"/>
  <c r="CF56" i="1"/>
  <c r="BY65" i="1"/>
  <c r="BL65" i="1"/>
  <c r="CD66" i="1"/>
  <c r="AV7" i="6" s="1"/>
  <c r="CB40" i="1"/>
  <c r="R7" i="6" s="1"/>
  <c r="X7" i="6" s="1"/>
  <c r="CD65" i="1"/>
  <c r="CD35" i="1"/>
  <c r="V7" i="6" s="1"/>
  <c r="BY35" i="1"/>
  <c r="CB28" i="1"/>
  <c r="CB251" i="1" s="1"/>
  <c r="BY71" i="1"/>
  <c r="BL28" i="1"/>
  <c r="AW7" i="6" s="1"/>
  <c r="BY41" i="1"/>
  <c r="CA33" i="1"/>
  <c r="CB43" i="1"/>
  <c r="BZ56" i="1"/>
  <c r="O7" i="6" s="1"/>
  <c r="BL67" i="1"/>
  <c r="AQ7" i="6" s="1"/>
  <c r="CF28" i="1"/>
  <c r="JJ9" i="4" s="1"/>
  <c r="BY66" i="1"/>
  <c r="AM7" i="6" s="1"/>
  <c r="JM16" i="4" s="1"/>
  <c r="CF67" i="1"/>
  <c r="CA44" i="1"/>
  <c r="BL43" i="1"/>
  <c r="BL66" i="1"/>
  <c r="CF55" i="1"/>
  <c r="BL56" i="1"/>
  <c r="BZ65" i="1"/>
  <c r="CC45" i="1"/>
  <c r="CC41" i="1"/>
  <c r="JM9" i="4" s="1"/>
  <c r="CA41" i="1"/>
  <c r="JL16" i="4" s="1"/>
  <c r="BZ44" i="1"/>
  <c r="CB41" i="1"/>
  <c r="CC33" i="1"/>
  <c r="JK16" i="4" s="1"/>
  <c r="CA71" i="1"/>
  <c r="BZ34" i="1"/>
  <c r="CE35" i="1"/>
  <c r="CC34" i="1"/>
  <c r="C7" i="6" s="1"/>
  <c r="T7" i="6" s="1"/>
  <c r="BY44" i="1"/>
  <c r="CC66" i="1"/>
  <c r="CC28" i="1"/>
  <c r="CC251" i="1" s="1"/>
  <c r="CB55" i="1"/>
  <c r="JL9" i="4" s="1"/>
  <c r="CF59" i="1"/>
  <c r="AL7" i="6" s="1"/>
  <c r="BZ52" i="1"/>
  <c r="BZ214" i="1" s="1"/>
  <c r="BZ55" i="1"/>
  <c r="J7" i="6" s="1"/>
  <c r="BY67" i="1"/>
  <c r="Z7" i="6" s="1"/>
  <c r="BL40" i="1"/>
  <c r="CF33" i="1"/>
  <c r="CF43" i="1"/>
  <c r="BZ33" i="1"/>
  <c r="CA35" i="1"/>
  <c r="CD34" i="1"/>
  <c r="BL41" i="1"/>
  <c r="BY34" i="1"/>
  <c r="CE52" i="1"/>
  <c r="CE214" i="1" s="1"/>
  <c r="AD7" i="6" s="1"/>
  <c r="CF45" i="1"/>
  <c r="CE40" i="1"/>
  <c r="CA67" i="1"/>
  <c r="CD56" i="1"/>
  <c r="CB44" i="1"/>
  <c r="CD67" i="1"/>
  <c r="AP7" i="6" s="1"/>
  <c r="Y7" i="6" s="1"/>
  <c r="CA45" i="1"/>
  <c r="AA7" i="6" s="1"/>
  <c r="AJ7" i="6" s="1"/>
  <c r="BY28" i="1"/>
  <c r="BY43" i="1"/>
  <c r="CB59" i="1"/>
  <c r="CE45" i="1"/>
  <c r="I7" i="6" s="1"/>
  <c r="AK7" i="6" s="1"/>
  <c r="CE34" i="1"/>
  <c r="K7" i="6" s="1"/>
  <c r="F7" i="6" s="1"/>
  <c r="CB65" i="1"/>
  <c r="CF44" i="1"/>
  <c r="AC7" i="6" s="1"/>
  <c r="AE7" i="6" s="1"/>
  <c r="M7" i="6" s="1"/>
  <c r="Q7" i="6" s="1"/>
  <c r="CA66" i="1"/>
  <c r="BZ66" i="1"/>
  <c r="CA56" i="1"/>
  <c r="CF66" i="1"/>
  <c r="AU7" i="6" s="1"/>
  <c r="BL35" i="1"/>
  <c r="CE44" i="1"/>
  <c r="CB52" i="1"/>
  <c r="CB214" i="1" s="1"/>
  <c r="CC67" i="1"/>
  <c r="CC71" i="1"/>
  <c r="AX7" i="6" s="1"/>
  <c r="BZ43" i="1"/>
  <c r="AT7" i="6" s="1"/>
  <c r="S7" i="6" s="1"/>
  <c r="BY33" i="1"/>
  <c r="CE55" i="1"/>
  <c r="CA65" i="1"/>
  <c r="CB67" i="1"/>
  <c r="CA55" i="1"/>
  <c r="CF71" i="1"/>
  <c r="CF41" i="1"/>
  <c r="CA40" i="1"/>
  <c r="AN7" i="6" s="1"/>
  <c r="CE66" i="1"/>
  <c r="CC35" i="1"/>
  <c r="CE71" i="1"/>
  <c r="CF35" i="1"/>
  <c r="G7" i="6" s="1"/>
  <c r="BL52" i="1"/>
  <c r="AF7" i="6" s="1"/>
  <c r="CC40" i="1"/>
  <c r="CD40" i="1"/>
  <c r="JJ16" i="4" s="1"/>
  <c r="BY45" i="1"/>
  <c r="CB66" i="1"/>
  <c r="CE28" i="1"/>
  <c r="AB7" i="6" s="1"/>
  <c r="BL34" i="1"/>
  <c r="CD71" i="1"/>
  <c r="BY40" i="1"/>
  <c r="BZ35" i="1"/>
  <c r="CD41" i="1"/>
  <c r="L7" i="6" s="1"/>
  <c r="BL59" i="1"/>
  <c r="BZ28" i="1"/>
  <c r="BZ251" i="1" s="1"/>
  <c r="CA52" i="1"/>
  <c r="BZ59" i="1"/>
  <c r="BY52" i="1"/>
  <c r="BY214" i="1" s="1"/>
  <c r="AI7" i="6" s="1"/>
  <c r="CC59" i="1"/>
  <c r="D7" i="6" s="1"/>
  <c r="BZ41" i="1"/>
  <c r="AG7" i="6" s="1"/>
  <c r="BZ40" i="1"/>
  <c r="BL71" i="1"/>
  <c r="W7" i="6" s="1"/>
  <c r="CB71" i="1"/>
  <c r="CE67" i="1"/>
  <c r="CF40" i="1"/>
  <c r="CC43" i="1"/>
  <c r="CD43" i="1"/>
  <c r="CE33" i="1"/>
  <c r="BY55" i="1"/>
  <c r="CC55" i="1"/>
  <c r="BZ71" i="1"/>
  <c r="AS7" i="6" s="1"/>
  <c r="BZ67" i="1"/>
  <c r="CE56" i="1"/>
  <c r="CD33" i="1"/>
  <c r="BL55" i="1"/>
  <c r="CB34" i="1"/>
  <c r="CC52" i="1"/>
  <c r="CC214" i="1" s="1"/>
  <c r="BY59" i="1"/>
  <c r="H7" i="6" s="1"/>
  <c r="CA43" i="1"/>
  <c r="BZ45" i="1"/>
  <c r="CD28" i="1"/>
  <c r="CD251" i="1" s="1"/>
  <c r="AR7" i="6" s="1"/>
  <c r="CF34" i="1"/>
  <c r="BL33" i="1"/>
  <c r="BL44" i="1"/>
  <c r="JK9" i="4" s="1"/>
  <c r="AO7" i="6" s="1"/>
  <c r="CA59" i="1"/>
  <c r="BL45" i="1"/>
  <c r="CA34" i="1"/>
  <c r="CE65" i="1"/>
  <c r="CD44" i="1"/>
  <c r="P7" i="6" s="1"/>
  <c r="E7" i="6" s="1"/>
  <c r="U7" i="6" s="1"/>
  <c r="CC44" i="1"/>
  <c r="AY7" i="6" s="1"/>
  <c r="CD52" i="1"/>
  <c r="CB35" i="1"/>
  <c r="CC56" i="1"/>
  <c r="CB56" i="1"/>
  <c r="CE43" i="1"/>
  <c r="CE41" i="1"/>
  <c r="CF52" i="1"/>
  <c r="CF214" i="1" s="1"/>
  <c r="CB45" i="1"/>
  <c r="BY56" i="1"/>
  <c r="CF65" i="1"/>
  <c r="N7" i="6" s="1"/>
  <c r="CQ37" i="1"/>
  <c r="CI149" i="1"/>
  <c r="CI112" i="1"/>
  <c r="CS144" i="1"/>
  <c r="CR200" i="1"/>
  <c r="CR203" i="1"/>
  <c r="CR199" i="1"/>
  <c r="CJ227" i="1"/>
  <c r="CJ225" i="1" s="1"/>
  <c r="CJ75" i="1"/>
  <c r="CI227" i="1"/>
  <c r="CI225" i="1" s="1"/>
  <c r="AC66" i="1"/>
  <c r="CV66" i="1"/>
  <c r="CW66" i="1" s="1"/>
  <c r="CX66" i="1" s="1"/>
  <c r="CY66" i="1" s="1"/>
  <c r="AD55" i="1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C70" i="3"/>
  <c r="AZ61" i="3"/>
  <c r="AX69" i="3"/>
  <c r="AW69" i="3"/>
  <c r="C56" i="3"/>
  <c r="AV55" i="3"/>
  <c r="AU47" i="3"/>
  <c r="AF69" i="3"/>
  <c r="AT84" i="3"/>
  <c r="AY87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S89" i="3"/>
  <c r="AU57" i="3"/>
  <c r="AT91" i="3"/>
  <c r="C57" i="3"/>
  <c r="AS60" i="3"/>
  <c r="AY90" i="3"/>
  <c r="AV56" i="3"/>
  <c r="AU74" i="3"/>
  <c r="AV79" i="3"/>
  <c r="AX87" i="3"/>
  <c r="AS61" i="3"/>
  <c r="AZ95" i="3"/>
  <c r="AY91" i="3"/>
  <c r="AS97" i="3"/>
  <c r="AW66" i="3"/>
  <c r="AW71" i="3"/>
  <c r="AY63" i="3"/>
  <c r="AZ87" i="3"/>
  <c r="C81" i="3"/>
  <c r="AF90" i="3"/>
  <c r="AS80" i="3"/>
  <c r="AV76" i="3"/>
  <c r="AZ59" i="3"/>
  <c r="AU62" i="3"/>
  <c r="AT88" i="3"/>
  <c r="AX61" i="3"/>
  <c r="AV50" i="3"/>
  <c r="C65" i="3"/>
  <c r="AU87" i="3"/>
  <c r="AY65" i="3"/>
  <c r="AS68" i="3"/>
  <c r="AU96" i="3"/>
  <c r="AY55" i="3"/>
  <c r="AX58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W65" i="3"/>
  <c r="AF55" i="3"/>
  <c r="AT83" i="3"/>
  <c r="AF76" i="3"/>
  <c r="AX70" i="3"/>
  <c r="AZ55" i="3"/>
  <c r="AT79" i="3"/>
  <c r="AF63" i="3"/>
  <c r="C80" i="3"/>
  <c r="AV96" i="3"/>
  <c r="AZ60" i="3"/>
  <c r="AU75" i="3"/>
  <c r="AF89" i="3"/>
  <c r="AT61" i="3"/>
  <c r="AY54" i="3"/>
  <c r="AF62" i="3"/>
  <c r="AW95" i="3"/>
  <c r="AT54" i="3"/>
  <c r="AF61" i="3"/>
  <c r="AF95" i="3"/>
  <c r="AS65" i="3"/>
  <c r="AZ67" i="3"/>
  <c r="AS63" i="3"/>
  <c r="AV67" i="3"/>
  <c r="AZ76" i="3"/>
  <c r="AF74" i="3"/>
  <c r="AS73" i="3"/>
  <c r="AF85" i="3"/>
  <c r="AT65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U71" i="3"/>
  <c r="AX66" i="3"/>
  <c r="AZ84" i="3"/>
  <c r="AV89" i="3"/>
  <c r="AY56" i="3"/>
  <c r="AW77" i="3"/>
  <c r="AX67" i="3"/>
  <c r="AZ49" i="3"/>
  <c r="AY85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X60" i="3"/>
  <c r="AS56" i="3"/>
  <c r="AZ50" i="3"/>
  <c r="AT75" i="3"/>
  <c r="C76" i="3"/>
  <c r="AX64" i="3"/>
  <c r="AS71" i="3"/>
  <c r="AT81" i="3"/>
  <c r="AU67" i="3"/>
  <c r="AV62" i="3"/>
  <c r="AZ56" i="3"/>
  <c r="AS81" i="3"/>
  <c r="AU64" i="3"/>
  <c r="C87" i="3"/>
  <c r="AW80" i="3"/>
  <c r="AY71" i="3"/>
  <c r="AF49" i="3"/>
  <c r="AT49" i="3"/>
  <c r="AY48" i="3"/>
  <c r="AU91" i="3"/>
  <c r="C67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W79" i="3"/>
  <c r="AF70" i="3"/>
  <c r="C63" i="3"/>
  <c r="AX59" i="3"/>
  <c r="AT95" i="3"/>
  <c r="AU83" i="3"/>
  <c r="AX47" i="3"/>
  <c r="AF47" i="3"/>
  <c r="AV86" i="3"/>
  <c r="AS59" i="3"/>
  <c r="AV80" i="3"/>
  <c r="AU65" i="3"/>
  <c r="AT55" i="3"/>
  <c r="AV85" i="3"/>
  <c r="C90" i="3"/>
  <c r="AU58" i="3"/>
  <c r="AT92" i="3"/>
  <c r="AZ82" i="3"/>
  <c r="C77" i="3"/>
  <c r="AW74" i="3"/>
  <c r="AU77" i="3"/>
  <c r="AX75" i="3"/>
  <c r="AY73" i="3"/>
  <c r="AS88" i="3"/>
  <c r="AY80" i="3"/>
  <c r="AW84" i="3"/>
  <c r="AS95" i="3"/>
  <c r="AX86" i="3"/>
  <c r="AZ48" i="3"/>
  <c r="AT85" i="3"/>
  <c r="AY60" i="3"/>
  <c r="AY77" i="3"/>
  <c r="AX78" i="3"/>
  <c r="AY86" i="3"/>
  <c r="AU49" i="3"/>
  <c r="C58" i="3"/>
  <c r="C64" i="3"/>
  <c r="AS69" i="3"/>
  <c r="AY58" i="3"/>
  <c r="AU50" i="3"/>
  <c r="AT60" i="3"/>
  <c r="AU79" i="3"/>
  <c r="AY57" i="3"/>
  <c r="C96" i="3"/>
  <c r="AV61" i="3"/>
  <c r="AT56" i="3"/>
  <c r="AX83" i="3"/>
  <c r="C92" i="3"/>
  <c r="AS64" i="3"/>
  <c r="AY67" i="3"/>
  <c r="AY74" i="3"/>
  <c r="C78" i="3"/>
  <c r="AU59" i="3"/>
  <c r="AT97" i="3"/>
  <c r="AS87" i="3"/>
  <c r="AW89" i="3"/>
  <c r="AF58" i="3"/>
  <c r="AZ71" i="3"/>
  <c r="AZ93" i="3"/>
  <c r="AV97" i="3"/>
  <c r="AV84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S67" i="3"/>
  <c r="AU95" i="3"/>
  <c r="AY94" i="3"/>
  <c r="AX74" i="3"/>
  <c r="AW96" i="3"/>
  <c r="AU72" i="3"/>
  <c r="AX89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W75" i="3"/>
  <c r="AY76" i="3"/>
  <c r="AW76" i="3"/>
  <c r="AT59" i="3"/>
  <c r="AS83" i="3"/>
  <c r="AT96" i="3"/>
  <c r="AF86" i="3"/>
  <c r="AW63" i="3"/>
  <c r="AT71" i="3"/>
  <c r="C94" i="3"/>
  <c r="AW54" i="3"/>
  <c r="CO60" i="1" l="1"/>
  <c r="AC151" i="1"/>
  <c r="CU151" i="1"/>
  <c r="CV151" i="1" s="1"/>
  <c r="CW151" i="1" s="1"/>
  <c r="CX151" i="1" s="1"/>
  <c r="CL105" i="1"/>
  <c r="CL106" i="1"/>
  <c r="CL107" i="1"/>
  <c r="CS47" i="1"/>
  <c r="CT47" i="1" s="1"/>
  <c r="CU47" i="1" s="1"/>
  <c r="CP60" i="1"/>
  <c r="CQ60" i="1" s="1"/>
  <c r="Z213" i="1"/>
  <c r="Z215" i="1" s="1"/>
  <c r="Z219" i="1" s="1"/>
  <c r="Z233" i="1" s="1"/>
  <c r="CR160" i="1"/>
  <c r="CR222" i="1" s="1"/>
  <c r="CJ89" i="1"/>
  <c r="Z72" i="1"/>
  <c r="Z74" i="1"/>
  <c r="CK105" i="1"/>
  <c r="CK106" i="1"/>
  <c r="CQ204" i="1"/>
  <c r="CP205" i="1"/>
  <c r="CO202" i="1"/>
  <c r="CO206" i="1" s="1"/>
  <c r="CP201" i="1"/>
  <c r="CR145" i="1"/>
  <c r="CQ148" i="1"/>
  <c r="CQ269" i="1" s="1"/>
  <c r="CP226" i="1"/>
  <c r="BZ145" i="1"/>
  <c r="CA145" i="1" s="1"/>
  <c r="BL93" i="1"/>
  <c r="CF94" i="1"/>
  <c r="CB166" i="1"/>
  <c r="CC166" i="1" s="1"/>
  <c r="CD173" i="1"/>
  <c r="CD203" i="1" s="1"/>
  <c r="CE203" i="1" s="1"/>
  <c r="CB184" i="1"/>
  <c r="CC184" i="1" s="1"/>
  <c r="BL144" i="1"/>
  <c r="BM144" i="1" s="1"/>
  <c r="CD153" i="1"/>
  <c r="CD144" i="1"/>
  <c r="CE144" i="1" s="1"/>
  <c r="CF147" i="1"/>
  <c r="CG147" i="1" s="1"/>
  <c r="CB147" i="1"/>
  <c r="CC147" i="1" s="1"/>
  <c r="CB172" i="1"/>
  <c r="CC172" i="1" s="1"/>
  <c r="CB164" i="1"/>
  <c r="CB199" i="1" s="1"/>
  <c r="CC199" i="1" s="1"/>
  <c r="BZ173" i="1"/>
  <c r="BZ203" i="1" s="1"/>
  <c r="CA203" i="1" s="1"/>
  <c r="BZ184" i="1"/>
  <c r="CA184" i="1" s="1"/>
  <c r="BZ174" i="1"/>
  <c r="CA174" i="1" s="1"/>
  <c r="BZ180" i="1"/>
  <c r="BZ170" i="1"/>
  <c r="CA170" i="1" s="1"/>
  <c r="BZ152" i="1"/>
  <c r="BL165" i="1"/>
  <c r="BL200" i="1" s="1"/>
  <c r="BM200" i="1" s="1"/>
  <c r="BL173" i="1"/>
  <c r="BL203" i="1" s="1"/>
  <c r="BM203" i="1" s="1"/>
  <c r="BL142" i="1"/>
  <c r="BM142" i="1" s="1"/>
  <c r="CA93" i="1"/>
  <c r="CF93" i="1"/>
  <c r="CF166" i="1"/>
  <c r="CG166" i="1" s="1"/>
  <c r="CF153" i="1"/>
  <c r="CB94" i="1"/>
  <c r="CF164" i="1"/>
  <c r="CF199" i="1" s="1"/>
  <c r="CG199" i="1" s="1"/>
  <c r="CG164" i="1" s="1"/>
  <c r="CF142" i="1"/>
  <c r="CG142" i="1" s="1"/>
  <c r="CB169" i="1"/>
  <c r="CC169" i="1" s="1"/>
  <c r="CF184" i="1"/>
  <c r="CG184" i="1" s="1"/>
  <c r="CB145" i="1"/>
  <c r="CC145" i="1" s="1"/>
  <c r="CB183" i="1"/>
  <c r="CC183" i="1" s="1"/>
  <c r="CD94" i="1"/>
  <c r="CB179" i="1"/>
  <c r="CD165" i="1"/>
  <c r="CD200" i="1" s="1"/>
  <c r="CE200" i="1" s="1"/>
  <c r="CD142" i="1"/>
  <c r="CE142" i="1" s="1"/>
  <c r="BL145" i="1"/>
  <c r="CD151" i="1"/>
  <c r="CD171" i="1"/>
  <c r="CE171" i="1" s="1"/>
  <c r="CD179" i="1"/>
  <c r="CD162" i="1"/>
  <c r="CE162" i="1" s="1"/>
  <c r="CF160" i="1"/>
  <c r="CF146" i="1"/>
  <c r="CG146" i="1" s="1"/>
  <c r="CB162" i="1"/>
  <c r="CC162" i="1" s="1"/>
  <c r="BL174" i="1"/>
  <c r="BM174" i="1" s="1"/>
  <c r="BL183" i="1"/>
  <c r="BM183" i="1" s="1"/>
  <c r="BL184" i="1"/>
  <c r="CB146" i="1"/>
  <c r="CC146" i="1" s="1"/>
  <c r="CE94" i="1"/>
  <c r="BZ179" i="1"/>
  <c r="BZ183" i="1"/>
  <c r="CA183" i="1" s="1"/>
  <c r="BZ139" i="1"/>
  <c r="BZ147" i="1"/>
  <c r="CA147" i="1" s="1"/>
  <c r="CF165" i="1"/>
  <c r="CF200" i="1" s="1"/>
  <c r="CG200" i="1" s="1"/>
  <c r="CG165" i="1" s="1"/>
  <c r="CF152" i="1"/>
  <c r="CF169" i="1"/>
  <c r="CB139" i="1"/>
  <c r="CB165" i="1"/>
  <c r="CB200" i="1" s="1"/>
  <c r="CC200" i="1" s="1"/>
  <c r="CD180" i="1"/>
  <c r="CD172" i="1"/>
  <c r="CE172" i="1" s="1"/>
  <c r="CB93" i="1"/>
  <c r="BZ175" i="1"/>
  <c r="CA175" i="1" s="1"/>
  <c r="BZ153" i="1"/>
  <c r="BZ137" i="1"/>
  <c r="BZ167" i="1"/>
  <c r="CA167" i="1" s="1"/>
  <c r="BZ94" i="1"/>
  <c r="BZ144" i="1"/>
  <c r="CA144" i="1" s="1"/>
  <c r="BZ146" i="1"/>
  <c r="CA146" i="1" s="1"/>
  <c r="BZ162" i="1"/>
  <c r="CA162" i="1" s="1"/>
  <c r="BZ151" i="1"/>
  <c r="BL153" i="1"/>
  <c r="BL169" i="1"/>
  <c r="BM169" i="1" s="1"/>
  <c r="CF144" i="1"/>
  <c r="CF173" i="1"/>
  <c r="CF203" i="1" s="1"/>
  <c r="CG203" i="1" s="1"/>
  <c r="CG173" i="1" s="1"/>
  <c r="CD174" i="1"/>
  <c r="CE174" i="1" s="1"/>
  <c r="CF174" i="1"/>
  <c r="CG174" i="1" s="1"/>
  <c r="CB151" i="1"/>
  <c r="CB174" i="1"/>
  <c r="CC174" i="1" s="1"/>
  <c r="BY94" i="1"/>
  <c r="CD183" i="1"/>
  <c r="CE183" i="1" s="1"/>
  <c r="CD155" i="1"/>
  <c r="CE155" i="1" s="1"/>
  <c r="BL180" i="1"/>
  <c r="CB173" i="1"/>
  <c r="CB203" i="1" s="1"/>
  <c r="CC203" i="1" s="1"/>
  <c r="CB138" i="1"/>
  <c r="CC138" i="1" s="1"/>
  <c r="BL170" i="1"/>
  <c r="BM170" i="1" s="1"/>
  <c r="CD147" i="1"/>
  <c r="CE147" i="1" s="1"/>
  <c r="CD167" i="1"/>
  <c r="CE167" i="1" s="1"/>
  <c r="CD139" i="1"/>
  <c r="CD166" i="1"/>
  <c r="CE166" i="1" s="1"/>
  <c r="CD175" i="1"/>
  <c r="CE175" i="1" s="1"/>
  <c r="CD160" i="1"/>
  <c r="CE160" i="1" s="1"/>
  <c r="CF137" i="1"/>
  <c r="CF138" i="1"/>
  <c r="CG138" i="1" s="1"/>
  <c r="CF171" i="1"/>
  <c r="CG171" i="1" s="1"/>
  <c r="CF183" i="1"/>
  <c r="CG183" i="1" s="1"/>
  <c r="CB180" i="1"/>
  <c r="CB160" i="1"/>
  <c r="AI94" i="1"/>
  <c r="BL167" i="1"/>
  <c r="BM167" i="1" s="1"/>
  <c r="BL155" i="1"/>
  <c r="BM155" i="1" s="1"/>
  <c r="BL146" i="1"/>
  <c r="BM146" i="1" s="1"/>
  <c r="CB144" i="1"/>
  <c r="CC144" i="1" s="1"/>
  <c r="BL166" i="1"/>
  <c r="BM166" i="1" s="1"/>
  <c r="BZ155" i="1"/>
  <c r="CA155" i="1" s="1"/>
  <c r="BZ93" i="1"/>
  <c r="BL172" i="1"/>
  <c r="BM172" i="1" s="1"/>
  <c r="CB152" i="1"/>
  <c r="CF167" i="1"/>
  <c r="CG167" i="1" s="1"/>
  <c r="CB167" i="1"/>
  <c r="CC167" i="1" s="1"/>
  <c r="CD93" i="1"/>
  <c r="CC94" i="1"/>
  <c r="CD138" i="1"/>
  <c r="CE138" i="1" s="1"/>
  <c r="BL139" i="1"/>
  <c r="CD145" i="1"/>
  <c r="CE145" i="1" s="1"/>
  <c r="CF179" i="1"/>
  <c r="CF172" i="1"/>
  <c r="CG172" i="1" s="1"/>
  <c r="CE93" i="1"/>
  <c r="BZ165" i="1"/>
  <c r="BZ200" i="1" s="1"/>
  <c r="CA200" i="1" s="1"/>
  <c r="BZ142" i="1"/>
  <c r="CA142" i="1" s="1"/>
  <c r="BZ164" i="1"/>
  <c r="BZ199" i="1" s="1"/>
  <c r="CA199" i="1" s="1"/>
  <c r="BZ138" i="1"/>
  <c r="CA138" i="1" s="1"/>
  <c r="BZ169" i="1"/>
  <c r="BZ171" i="1"/>
  <c r="CA171" i="1" s="1"/>
  <c r="BZ166" i="1"/>
  <c r="CA166" i="1" s="1"/>
  <c r="BZ160" i="1"/>
  <c r="CA160" i="1" s="1"/>
  <c r="BZ172" i="1"/>
  <c r="CA172" i="1" s="1"/>
  <c r="BL175" i="1"/>
  <c r="BM175" i="1" s="1"/>
  <c r="BL164" i="1"/>
  <c r="BL199" i="1" s="1"/>
  <c r="BM199" i="1" s="1"/>
  <c r="BL151" i="1"/>
  <c r="BL152" i="1"/>
  <c r="CA94" i="1"/>
  <c r="CF175" i="1"/>
  <c r="CG175" i="1" s="1"/>
  <c r="CF170" i="1"/>
  <c r="CG170" i="1" s="1"/>
  <c r="CF180" i="1"/>
  <c r="CB137" i="1"/>
  <c r="CC137" i="1" s="1"/>
  <c r="CF151" i="1"/>
  <c r="CF139" i="1"/>
  <c r="CG139" i="1" s="1"/>
  <c r="CF145" i="1"/>
  <c r="CG145" i="1" s="1"/>
  <c r="CD146" i="1"/>
  <c r="CE146" i="1" s="1"/>
  <c r="CB175" i="1"/>
  <c r="CC175" i="1" s="1"/>
  <c r="CB155" i="1"/>
  <c r="CC155" i="1" s="1"/>
  <c r="CB171" i="1"/>
  <c r="CC171" i="1" s="1"/>
  <c r="CD137" i="1"/>
  <c r="BL160" i="1"/>
  <c r="CB153" i="1"/>
  <c r="BL147" i="1"/>
  <c r="BM147" i="1" s="1"/>
  <c r="CD152" i="1"/>
  <c r="CD164" i="1"/>
  <c r="CD199" i="1" s="1"/>
  <c r="CE199" i="1" s="1"/>
  <c r="CD170" i="1"/>
  <c r="CE170" i="1" s="1"/>
  <c r="CD169" i="1"/>
  <c r="CE169" i="1" s="1"/>
  <c r="CD184" i="1"/>
  <c r="CE184" i="1" s="1"/>
  <c r="CF155" i="1"/>
  <c r="CG155" i="1" s="1"/>
  <c r="CF162" i="1"/>
  <c r="CG162" i="1" s="1"/>
  <c r="CC93" i="1"/>
  <c r="CB170" i="1"/>
  <c r="CC170" i="1" s="1"/>
  <c r="CB142" i="1"/>
  <c r="CC142" i="1" s="1"/>
  <c r="BL179" i="1"/>
  <c r="BL137" i="1"/>
  <c r="BM137" i="1" s="1"/>
  <c r="BL171" i="1"/>
  <c r="BM171" i="1" s="1"/>
  <c r="BL162" i="1"/>
  <c r="BM162" i="1" s="1"/>
  <c r="BL138" i="1"/>
  <c r="BM138" i="1" s="1"/>
  <c r="BL273" i="1"/>
  <c r="CH118" i="1"/>
  <c r="CH119" i="1" s="1"/>
  <c r="CB157" i="1"/>
  <c r="CC157" i="1" s="1"/>
  <c r="CF157" i="1"/>
  <c r="CG157" i="1" s="1"/>
  <c r="CD157" i="1"/>
  <c r="CE157" i="1" s="1"/>
  <c r="BL157" i="1"/>
  <c r="BM157" i="1" s="1"/>
  <c r="BZ157" i="1"/>
  <c r="CA157" i="1" s="1"/>
  <c r="BL163" i="1"/>
  <c r="CD163" i="1"/>
  <c r="CB163" i="1"/>
  <c r="CF163" i="1"/>
  <c r="BZ163" i="1"/>
  <c r="CA272" i="1"/>
  <c r="JJ21" i="4"/>
  <c r="CD97" i="1" s="1"/>
  <c r="CA30" i="1"/>
  <c r="JK14" i="4"/>
  <c r="BL30" i="1"/>
  <c r="BY30" i="1"/>
  <c r="BL214" i="1"/>
  <c r="CF30" i="1"/>
  <c r="AA78" i="1" s="1"/>
  <c r="CF272" i="1"/>
  <c r="JL21" i="4"/>
  <c r="CF97" i="1" s="1"/>
  <c r="Y230" i="1"/>
  <c r="Y231" i="1" s="1"/>
  <c r="CF118" i="1"/>
  <c r="CF119" i="1" s="1"/>
  <c r="CB46" i="1"/>
  <c r="CE251" i="1"/>
  <c r="CC273" i="1"/>
  <c r="CA46" i="1"/>
  <c r="CE272" i="1"/>
  <c r="CC272" i="1"/>
  <c r="JM7" i="4"/>
  <c r="CA273" i="1"/>
  <c r="JJ8" i="4"/>
  <c r="CF46" i="1"/>
  <c r="BZ272" i="1"/>
  <c r="BZ30" i="1"/>
  <c r="BZ11" i="1" s="1"/>
  <c r="CA214" i="1"/>
  <c r="CD273" i="1"/>
  <c r="CB118" i="1"/>
  <c r="CB119" i="1" s="1"/>
  <c r="JK21" i="4"/>
  <c r="CE97" i="1" s="1"/>
  <c r="JK15" i="4"/>
  <c r="CD272" i="1"/>
  <c r="JL14" i="4"/>
  <c r="CC46" i="1"/>
  <c r="BY46" i="1"/>
  <c r="CI118" i="1"/>
  <c r="CI119" i="1" s="1"/>
  <c r="CI122" i="1" s="1"/>
  <c r="CF251" i="1"/>
  <c r="BY273" i="1"/>
  <c r="JL8" i="4"/>
  <c r="CE46" i="1"/>
  <c r="BL272" i="1"/>
  <c r="CE118" i="1"/>
  <c r="CE119" i="1" s="1"/>
  <c r="CD30" i="1"/>
  <c r="CC30" i="1"/>
  <c r="CC11" i="1" s="1"/>
  <c r="CD214" i="1"/>
  <c r="CE30" i="1"/>
  <c r="CE11" i="1" s="1"/>
  <c r="CG118" i="1"/>
  <c r="CG119" i="1" s="1"/>
  <c r="CD118" i="1"/>
  <c r="CD119" i="1" s="1"/>
  <c r="CB30" i="1"/>
  <c r="CB272" i="1"/>
  <c r="CC118" i="1"/>
  <c r="CC119" i="1" s="1"/>
  <c r="JJ15" i="4"/>
  <c r="CB273" i="1"/>
  <c r="BY272" i="1"/>
  <c r="CD46" i="1"/>
  <c r="JM8" i="4"/>
  <c r="JL7" i="4"/>
  <c r="CF273" i="1"/>
  <c r="JJ7" i="4"/>
  <c r="JK8" i="4"/>
  <c r="JM21" i="4"/>
  <c r="CG97" i="1" s="1"/>
  <c r="BZ273" i="1"/>
  <c r="CE273" i="1"/>
  <c r="JK7" i="4"/>
  <c r="BL46" i="1"/>
  <c r="JL15" i="4"/>
  <c r="BZ46" i="1"/>
  <c r="JM14" i="4"/>
  <c r="JM15" i="4"/>
  <c r="JJ14" i="4"/>
  <c r="CI114" i="1"/>
  <c r="CI116" i="1"/>
  <c r="CI115" i="1"/>
  <c r="CR37" i="1"/>
  <c r="CS37" i="1" s="1"/>
  <c r="CS200" i="1"/>
  <c r="CS203" i="1"/>
  <c r="CS199" i="1"/>
  <c r="CT144" i="1"/>
  <c r="AD66" i="1"/>
  <c r="CZ66" i="1"/>
  <c r="DA66" i="1" s="1"/>
  <c r="DB66" i="1" s="1"/>
  <c r="AE55" i="1"/>
  <c r="U28" i="1"/>
  <c r="V28" i="1"/>
  <c r="W28" i="1"/>
  <c r="CF11" i="1" l="1"/>
  <c r="AD151" i="1"/>
  <c r="CY151" i="1"/>
  <c r="CZ151" i="1" s="1"/>
  <c r="DA151" i="1" s="1"/>
  <c r="DB151" i="1" s="1"/>
  <c r="AE151" i="1" s="1"/>
  <c r="CJ107" i="1"/>
  <c r="CJ106" i="1"/>
  <c r="CS160" i="1"/>
  <c r="CS222" i="1" s="1"/>
  <c r="CV47" i="1"/>
  <c r="CJ105" i="1"/>
  <c r="Z230" i="1"/>
  <c r="Z231" i="1" s="1"/>
  <c r="CR60" i="1"/>
  <c r="CS60" i="1" s="1"/>
  <c r="CT60" i="1" s="1"/>
  <c r="CB36" i="1"/>
  <c r="CB37" i="1" s="1"/>
  <c r="CB11" i="1"/>
  <c r="CD36" i="1"/>
  <c r="CH38" i="1" s="1"/>
  <c r="CD11" i="1"/>
  <c r="BY36" i="1"/>
  <c r="BY11" i="1"/>
  <c r="BL36" i="1"/>
  <c r="BL11" i="1"/>
  <c r="CA36" i="1"/>
  <c r="CA37" i="1" s="1"/>
  <c r="CA11" i="1"/>
  <c r="CR204" i="1"/>
  <c r="CQ205" i="1"/>
  <c r="CP202" i="1"/>
  <c r="CP206" i="1" s="1"/>
  <c r="CQ201" i="1"/>
  <c r="CS145" i="1"/>
  <c r="CR148" i="1"/>
  <c r="CR269" i="1" s="1"/>
  <c r="CQ226" i="1"/>
  <c r="BZ181" i="1"/>
  <c r="BL181" i="1"/>
  <c r="CB222" i="1"/>
  <c r="CA137" i="1"/>
  <c r="BZ140" i="1"/>
  <c r="BZ112" i="1" s="1"/>
  <c r="BL140" i="1"/>
  <c r="BL112" i="1" s="1"/>
  <c r="CB181" i="1"/>
  <c r="CC229" i="1" s="1"/>
  <c r="CG144" i="1"/>
  <c r="CG148" i="1" s="1"/>
  <c r="CF148" i="1"/>
  <c r="CD154" i="1"/>
  <c r="CE53" i="1" s="1"/>
  <c r="CC160" i="1"/>
  <c r="CD222" i="1" s="1"/>
  <c r="CE137" i="1"/>
  <c r="CD140" i="1"/>
  <c r="CD112" i="1" s="1"/>
  <c r="CD114" i="1" s="1"/>
  <c r="BM160" i="1"/>
  <c r="BM222" i="1" s="1"/>
  <c r="CD181" i="1"/>
  <c r="CF222" i="1"/>
  <c r="CE148" i="1"/>
  <c r="BM145" i="1"/>
  <c r="BM148" i="1" s="1"/>
  <c r="BL148" i="1"/>
  <c r="CG160" i="1"/>
  <c r="CG169" i="1"/>
  <c r="CG176" i="1" s="1"/>
  <c r="CF176" i="1"/>
  <c r="CF205" i="1" s="1"/>
  <c r="CF204" i="1" s="1"/>
  <c r="CG137" i="1"/>
  <c r="CG140" i="1" s="1"/>
  <c r="CF140" i="1"/>
  <c r="CF112" i="1" s="1"/>
  <c r="CF114" i="1" s="1"/>
  <c r="CA169" i="1"/>
  <c r="BZ176" i="1"/>
  <c r="BZ205" i="1" s="1"/>
  <c r="BZ204" i="1" s="1"/>
  <c r="BZ154" i="1"/>
  <c r="BZ158" i="1" s="1"/>
  <c r="CA148" i="1"/>
  <c r="CB154" i="1"/>
  <c r="CF181" i="1"/>
  <c r="BL154" i="1"/>
  <c r="CF154" i="1"/>
  <c r="CF158" i="1" s="1"/>
  <c r="CC148" i="1"/>
  <c r="CB148" i="1"/>
  <c r="CE222" i="1"/>
  <c r="BZ148" i="1"/>
  <c r="CB176" i="1"/>
  <c r="CB205" i="1" s="1"/>
  <c r="CB204" i="1" s="1"/>
  <c r="BL176" i="1"/>
  <c r="BL205" i="1" s="1"/>
  <c r="BL204" i="1" s="1"/>
  <c r="CD176" i="1"/>
  <c r="CD205" i="1" s="1"/>
  <c r="CD204" i="1" s="1"/>
  <c r="CB140" i="1"/>
  <c r="CD148" i="1"/>
  <c r="CH122" i="1"/>
  <c r="CH123" i="1"/>
  <c r="CH124" i="1"/>
  <c r="BM163" i="1"/>
  <c r="BL168" i="1"/>
  <c r="CE163" i="1"/>
  <c r="CD168" i="1"/>
  <c r="CC163" i="1"/>
  <c r="CB168" i="1"/>
  <c r="CG163" i="1"/>
  <c r="CG168" i="1" s="1"/>
  <c r="CG202" i="1" s="1"/>
  <c r="CG201" i="1" s="1"/>
  <c r="CF168" i="1"/>
  <c r="CA163" i="1"/>
  <c r="BZ168" i="1"/>
  <c r="CD122" i="1"/>
  <c r="CA47" i="1"/>
  <c r="CA32" i="1"/>
  <c r="JK19" i="4"/>
  <c r="CE98" i="1" s="1"/>
  <c r="BL47" i="1"/>
  <c r="CC31" i="1"/>
  <c r="CC47" i="1"/>
  <c r="CI245" i="1"/>
  <c r="CF36" i="1"/>
  <c r="AA79" i="1" s="1"/>
  <c r="CG32" i="1"/>
  <c r="CJ31" i="1"/>
  <c r="BY47" i="1"/>
  <c r="JL20" i="4"/>
  <c r="CF99" i="1" s="1"/>
  <c r="CF124" i="1" s="1"/>
  <c r="BZ36" i="1"/>
  <c r="CF47" i="1"/>
  <c r="Y78" i="1"/>
  <c r="JJ19" i="4"/>
  <c r="CD98" i="1" s="1"/>
  <c r="CD127" i="1" s="1"/>
  <c r="JM20" i="4"/>
  <c r="CG99" i="1" s="1"/>
  <c r="CD47" i="1"/>
  <c r="JM19" i="4"/>
  <c r="CG98" i="1" s="1"/>
  <c r="CE173" i="1"/>
  <c r="CE176" i="1" s="1"/>
  <c r="CE205" i="1" s="1"/>
  <c r="CE204" i="1" s="1"/>
  <c r="CF122" i="1"/>
  <c r="JJ20" i="4"/>
  <c r="CD99" i="1" s="1"/>
  <c r="CD128" i="1" s="1"/>
  <c r="JL19" i="4"/>
  <c r="CF98" i="1" s="1"/>
  <c r="JK20" i="4"/>
  <c r="CE99" i="1" s="1"/>
  <c r="CE128" i="1" s="1"/>
  <c r="CD208" i="1"/>
  <c r="CD31" i="1"/>
  <c r="BZ32" i="1"/>
  <c r="CD245" i="1"/>
  <c r="BZ47" i="1"/>
  <c r="CE164" i="1"/>
  <c r="CE208" i="1"/>
  <c r="CG208" i="1"/>
  <c r="CF31" i="1"/>
  <c r="CH245" i="1"/>
  <c r="CJ208" i="1"/>
  <c r="CE47" i="1"/>
  <c r="CC36" i="1"/>
  <c r="CF245" i="1"/>
  <c r="CB32" i="1"/>
  <c r="CH264" i="1"/>
  <c r="Z78" i="1"/>
  <c r="CE31" i="1"/>
  <c r="CG122" i="1"/>
  <c r="CE122" i="1"/>
  <c r="CG245" i="1"/>
  <c r="CF32" i="1"/>
  <c r="CF208" i="1"/>
  <c r="CE245" i="1"/>
  <c r="CC32" i="1"/>
  <c r="CC245" i="1"/>
  <c r="CE165" i="1"/>
  <c r="CB47" i="1"/>
  <c r="CD32" i="1"/>
  <c r="CH31" i="1"/>
  <c r="CI208" i="1"/>
  <c r="CI123" i="1"/>
  <c r="CE36" i="1"/>
  <c r="CI31" i="1"/>
  <c r="CI124" i="1"/>
  <c r="CG31" i="1"/>
  <c r="CE32" i="1"/>
  <c r="CH208" i="1"/>
  <c r="CA222" i="1"/>
  <c r="CT37" i="1"/>
  <c r="CU37" i="1" s="1"/>
  <c r="CT199" i="1"/>
  <c r="CT203" i="1"/>
  <c r="CU144" i="1"/>
  <c r="CT200" i="1"/>
  <c r="AE66" i="1"/>
  <c r="V251" i="1"/>
  <c r="W251" i="1"/>
  <c r="U251" i="1"/>
  <c r="CT160" i="1" l="1"/>
  <c r="CT222" i="1" s="1"/>
  <c r="BL37" i="1"/>
  <c r="BY48" i="1"/>
  <c r="CC39" i="1"/>
  <c r="BY37" i="1"/>
  <c r="BL48" i="1"/>
  <c r="CF48" i="1"/>
  <c r="AA80" i="1" s="1"/>
  <c r="CB48" i="1"/>
  <c r="CD37" i="1"/>
  <c r="CD48" i="1"/>
  <c r="CW47" i="1"/>
  <c r="CD38" i="1"/>
  <c r="CE39" i="1"/>
  <c r="CB39" i="1"/>
  <c r="CA48" i="1"/>
  <c r="CC222" i="1"/>
  <c r="CR205" i="1"/>
  <c r="CS204" i="1"/>
  <c r="CG269" i="1"/>
  <c r="CQ202" i="1"/>
  <c r="CQ206" i="1" s="1"/>
  <c r="CR201" i="1"/>
  <c r="CH222" i="1"/>
  <c r="CG222" i="1"/>
  <c r="CA229" i="1"/>
  <c r="BZ268" i="1"/>
  <c r="CT145" i="1"/>
  <c r="CS148" i="1"/>
  <c r="CS269" i="1" s="1"/>
  <c r="CD226" i="1"/>
  <c r="CF269" i="1"/>
  <c r="BM229" i="1"/>
  <c r="BL268" i="1"/>
  <c r="CF226" i="1"/>
  <c r="CF149" i="1"/>
  <c r="CR226" i="1"/>
  <c r="BL149" i="1"/>
  <c r="BL188" i="1"/>
  <c r="BL129" i="1" s="1"/>
  <c r="CA53" i="1"/>
  <c r="CA154" i="1"/>
  <c r="CB158" i="1"/>
  <c r="CC53" i="1"/>
  <c r="CC154" i="1"/>
  <c r="BZ188" i="1"/>
  <c r="BZ149" i="1"/>
  <c r="CF115" i="1"/>
  <c r="CD158" i="1"/>
  <c r="CE154" i="1"/>
  <c r="CE229" i="1"/>
  <c r="CD268" i="1"/>
  <c r="CA269" i="1"/>
  <c r="CA226" i="1"/>
  <c r="BM226" i="1"/>
  <c r="BM269" i="1"/>
  <c r="CH227" i="1"/>
  <c r="CG112" i="1"/>
  <c r="CG115" i="1" s="1"/>
  <c r="CG227" i="1"/>
  <c r="CG229" i="1"/>
  <c r="CF188" i="1"/>
  <c r="CF268" i="1"/>
  <c r="BM154" i="1"/>
  <c r="BM158" i="1" s="1"/>
  <c r="BL158" i="1"/>
  <c r="BL266" i="1" s="1"/>
  <c r="CG53" i="1"/>
  <c r="CG154" i="1"/>
  <c r="CH269" i="1"/>
  <c r="CH271" i="1" s="1"/>
  <c r="CH226" i="1"/>
  <c r="CG149" i="1"/>
  <c r="CG226" i="1"/>
  <c r="CB269" i="1"/>
  <c r="CB149" i="1"/>
  <c r="CB188" i="1"/>
  <c r="CB226" i="1"/>
  <c r="CB112" i="1"/>
  <c r="CB268" i="1"/>
  <c r="CC269" i="1"/>
  <c r="CC226" i="1"/>
  <c r="CE226" i="1"/>
  <c r="CD269" i="1"/>
  <c r="CD149" i="1"/>
  <c r="CD188" i="1"/>
  <c r="CE269" i="1"/>
  <c r="BL202" i="1"/>
  <c r="BL177" i="1"/>
  <c r="CD202" i="1"/>
  <c r="CD177" i="1"/>
  <c r="CB202" i="1"/>
  <c r="CB177" i="1"/>
  <c r="CF202" i="1"/>
  <c r="CF177" i="1"/>
  <c r="CF185" i="1" s="1"/>
  <c r="BZ202" i="1"/>
  <c r="BZ177" i="1"/>
  <c r="BZ185" i="1" s="1"/>
  <c r="CE123" i="1"/>
  <c r="CE127" i="1"/>
  <c r="BZ39" i="1"/>
  <c r="BZ48" i="1"/>
  <c r="BZ37" i="1"/>
  <c r="CA39" i="1"/>
  <c r="CG205" i="1"/>
  <c r="CH217" i="1"/>
  <c r="CG217" i="1"/>
  <c r="CJ38" i="1"/>
  <c r="CF37" i="1"/>
  <c r="CG39" i="1"/>
  <c r="CF38" i="1"/>
  <c r="BZ266" i="1"/>
  <c r="CF266" i="1"/>
  <c r="CF264" i="1"/>
  <c r="CF128" i="1"/>
  <c r="CF116" i="1"/>
  <c r="CG128" i="1"/>
  <c r="CG124" i="1"/>
  <c r="CG127" i="1"/>
  <c r="CG123" i="1"/>
  <c r="CF127" i="1"/>
  <c r="CF123" i="1"/>
  <c r="CG51" i="1"/>
  <c r="CI132" i="1"/>
  <c r="CG38" i="1"/>
  <c r="CC37" i="1"/>
  <c r="Y79" i="1"/>
  <c r="CC48" i="1"/>
  <c r="CC54" i="1" s="1"/>
  <c r="CC58" i="1" s="1"/>
  <c r="CD39" i="1"/>
  <c r="CC38" i="1"/>
  <c r="CD116" i="1"/>
  <c r="CD123" i="1"/>
  <c r="CE168" i="1"/>
  <c r="CD115" i="1"/>
  <c r="CE217" i="1"/>
  <c r="CG216" i="1"/>
  <c r="CD124" i="1"/>
  <c r="CF217" i="1"/>
  <c r="CG270" i="1"/>
  <c r="CE124" i="1"/>
  <c r="CF49" i="1"/>
  <c r="CF252" i="1"/>
  <c r="CF253" i="1" s="1"/>
  <c r="CJ50" i="1"/>
  <c r="CF54" i="1"/>
  <c r="CG177" i="1"/>
  <c r="CH216" i="1"/>
  <c r="CF39" i="1"/>
  <c r="CE38" i="1"/>
  <c r="CI38" i="1"/>
  <c r="Z79" i="1"/>
  <c r="CE48" i="1"/>
  <c r="CE37" i="1"/>
  <c r="CV37" i="1"/>
  <c r="CU199" i="1"/>
  <c r="CV144" i="1"/>
  <c r="CU200" i="1"/>
  <c r="CU203" i="1"/>
  <c r="AB170" i="1"/>
  <c r="A1" i="1"/>
  <c r="CU160" i="1" l="1"/>
  <c r="CI246" i="1"/>
  <c r="CD49" i="1"/>
  <c r="CB49" i="1"/>
  <c r="CB252" i="1"/>
  <c r="CB253" i="1" s="1"/>
  <c r="CB54" i="1"/>
  <c r="CB58" i="1" s="1"/>
  <c r="BY54" i="1"/>
  <c r="BY58" i="1" s="1"/>
  <c r="BL54" i="1"/>
  <c r="BL58" i="1" s="1"/>
  <c r="BL49" i="1"/>
  <c r="CA49" i="1"/>
  <c r="BY49" i="1"/>
  <c r="CG246" i="1"/>
  <c r="CB270" i="1"/>
  <c r="CF50" i="1"/>
  <c r="CH50" i="1"/>
  <c r="CD252" i="1"/>
  <c r="CD253" i="1" s="1"/>
  <c r="CD54" i="1"/>
  <c r="CD58" i="1" s="1"/>
  <c r="CD61" i="1" s="1"/>
  <c r="CD254" i="1" s="1"/>
  <c r="CA252" i="1"/>
  <c r="CA253" i="1" s="1"/>
  <c r="CB51" i="1"/>
  <c r="CX47" i="1"/>
  <c r="CY47" i="1"/>
  <c r="CA54" i="1"/>
  <c r="CA58" i="1" s="1"/>
  <c r="CZ47" i="1"/>
  <c r="CF186" i="1"/>
  <c r="CT204" i="1"/>
  <c r="CS205" i="1"/>
  <c r="CG271" i="1"/>
  <c r="CR202" i="1"/>
  <c r="CR206" i="1" s="1"/>
  <c r="CS201" i="1"/>
  <c r="CA158" i="1"/>
  <c r="CB53" i="1"/>
  <c r="CB185" i="1"/>
  <c r="CB186" i="1" s="1"/>
  <c r="CD185" i="1"/>
  <c r="CD186" i="1" s="1"/>
  <c r="CU145" i="1"/>
  <c r="CT148" i="1"/>
  <c r="CT269" i="1" s="1"/>
  <c r="CB266" i="1"/>
  <c r="CB264" i="1"/>
  <c r="CE158" i="1"/>
  <c r="CF53" i="1"/>
  <c r="CS226" i="1"/>
  <c r="CG225" i="1"/>
  <c r="BZ186" i="1"/>
  <c r="CD53" i="1"/>
  <c r="CC158" i="1"/>
  <c r="BZ129" i="1"/>
  <c r="CA57" i="1"/>
  <c r="CD264" i="1"/>
  <c r="CD266" i="1"/>
  <c r="CH225" i="1"/>
  <c r="CG114" i="1"/>
  <c r="CG116" i="1"/>
  <c r="CF129" i="1"/>
  <c r="CG57" i="1"/>
  <c r="CH53" i="1"/>
  <c r="CG158" i="1"/>
  <c r="CB129" i="1"/>
  <c r="CC57" i="1"/>
  <c r="CD129" i="1"/>
  <c r="CE57" i="1"/>
  <c r="CF201" i="1"/>
  <c r="CF206" i="1"/>
  <c r="CJ209" i="1" s="1"/>
  <c r="BL206" i="1"/>
  <c r="BL201" i="1"/>
  <c r="CD206" i="1"/>
  <c r="CD201" i="1"/>
  <c r="CB206" i="1"/>
  <c r="CB201" i="1"/>
  <c r="BZ201" i="1"/>
  <c r="BZ206" i="1"/>
  <c r="CG218" i="1"/>
  <c r="CG219" i="1" s="1"/>
  <c r="BZ49" i="1"/>
  <c r="BZ54" i="1"/>
  <c r="CA270" i="1"/>
  <c r="CA271" i="1" s="1"/>
  <c r="CA51" i="1"/>
  <c r="BZ252" i="1"/>
  <c r="BZ253" i="1" s="1"/>
  <c r="CD50" i="1"/>
  <c r="BZ51" i="1"/>
  <c r="BZ270" i="1"/>
  <c r="CB132" i="1"/>
  <c r="CH218" i="1"/>
  <c r="CH219" i="1" s="1"/>
  <c r="CD132" i="1"/>
  <c r="CC270" i="1"/>
  <c r="CC271" i="1" s="1"/>
  <c r="CE216" i="1"/>
  <c r="CE218" i="1" s="1"/>
  <c r="CE177" i="1"/>
  <c r="CG204" i="1"/>
  <c r="CG206" i="1"/>
  <c r="CC252" i="1"/>
  <c r="CC253" i="1" s="1"/>
  <c r="CG50" i="1"/>
  <c r="Y80" i="1"/>
  <c r="CC49" i="1"/>
  <c r="CC246" i="1"/>
  <c r="CD270" i="1"/>
  <c r="CD271" i="1" s="1"/>
  <c r="CC132" i="1"/>
  <c r="CD246" i="1"/>
  <c r="CC51" i="1"/>
  <c r="CD51" i="1"/>
  <c r="CC50" i="1"/>
  <c r="CC61" i="1"/>
  <c r="CC60" i="1"/>
  <c r="CF58" i="1"/>
  <c r="CI75" i="1"/>
  <c r="CE202" i="1"/>
  <c r="CF216" i="1"/>
  <c r="CF218" i="1" s="1"/>
  <c r="CF132" i="1"/>
  <c r="CE51" i="1"/>
  <c r="CE132" i="1"/>
  <c r="CE246" i="1"/>
  <c r="CE270" i="1"/>
  <c r="CE271" i="1" s="1"/>
  <c r="CF270" i="1"/>
  <c r="CF271" i="1" s="1"/>
  <c r="CE252" i="1"/>
  <c r="CE253" i="1" s="1"/>
  <c r="Z80" i="1"/>
  <c r="CE50" i="1"/>
  <c r="CH132" i="1"/>
  <c r="CE49" i="1"/>
  <c r="CG132" i="1"/>
  <c r="CE54" i="1"/>
  <c r="CH246" i="1"/>
  <c r="CF51" i="1"/>
  <c r="CI50" i="1"/>
  <c r="CF246" i="1"/>
  <c r="CU60" i="1"/>
  <c r="CV60" i="1" s="1"/>
  <c r="CW37" i="1"/>
  <c r="CX37" i="1" s="1"/>
  <c r="CV160" i="1"/>
  <c r="CW144" i="1"/>
  <c r="CV199" i="1"/>
  <c r="CV203" i="1"/>
  <c r="CU222" i="1"/>
  <c r="CV200" i="1"/>
  <c r="AC170" i="1"/>
  <c r="CB271" i="1" l="1"/>
  <c r="CD68" i="1"/>
  <c r="CD72" i="1" s="1"/>
  <c r="CB61" i="1"/>
  <c r="BY61" i="1"/>
  <c r="BL60" i="1"/>
  <c r="CH63" i="1"/>
  <c r="CD60" i="1"/>
  <c r="CD62" i="1"/>
  <c r="CD265" i="1" s="1"/>
  <c r="CD75" i="1"/>
  <c r="CB60" i="1"/>
  <c r="BY60" i="1"/>
  <c r="BL61" i="1"/>
  <c r="DA47" i="1"/>
  <c r="DB47" i="1" s="1"/>
  <c r="CA61" i="1"/>
  <c r="CA60" i="1"/>
  <c r="CT205" i="1"/>
  <c r="CU204" i="1"/>
  <c r="CD131" i="1"/>
  <c r="CD134" i="1" s="1"/>
  <c r="CD130" i="1"/>
  <c r="CD133" i="1" s="1"/>
  <c r="CS202" i="1"/>
  <c r="CS206" i="1" s="1"/>
  <c r="CT201" i="1"/>
  <c r="CA223" i="1"/>
  <c r="CA221" i="1" s="1"/>
  <c r="CB223" i="1"/>
  <c r="CB221" i="1" s="1"/>
  <c r="CE223" i="1"/>
  <c r="CE221" i="1" s="1"/>
  <c r="CF223" i="1"/>
  <c r="CF221" i="1" s="1"/>
  <c r="CH223" i="1"/>
  <c r="CH221" i="1" s="1"/>
  <c r="CH233" i="1" s="1"/>
  <c r="CG223" i="1"/>
  <c r="CG221" i="1" s="1"/>
  <c r="CV145" i="1"/>
  <c r="CU148" i="1"/>
  <c r="CU269" i="1" s="1"/>
  <c r="CT226" i="1"/>
  <c r="CD223" i="1"/>
  <c r="CD221" i="1" s="1"/>
  <c r="CC223" i="1"/>
  <c r="CC221" i="1" s="1"/>
  <c r="CF209" i="1"/>
  <c r="CF130" i="1"/>
  <c r="CF133" i="1" s="1"/>
  <c r="CF131" i="1"/>
  <c r="CF134" i="1" s="1"/>
  <c r="CD209" i="1"/>
  <c r="CH209" i="1"/>
  <c r="BZ58" i="1"/>
  <c r="CB75" i="1"/>
  <c r="CF61" i="1"/>
  <c r="AA81" i="1" s="1"/>
  <c r="CF60" i="1"/>
  <c r="CG63" i="1"/>
  <c r="CC254" i="1"/>
  <c r="CC68" i="1"/>
  <c r="CC62" i="1"/>
  <c r="CC265" i="1" s="1"/>
  <c r="CD64" i="1"/>
  <c r="CE201" i="1"/>
  <c r="CE206" i="1"/>
  <c r="CC64" i="1"/>
  <c r="CD213" i="1"/>
  <c r="CD215" i="1" s="1"/>
  <c r="CH133" i="1"/>
  <c r="CH134" i="1"/>
  <c r="CF75" i="1"/>
  <c r="CH75" i="1"/>
  <c r="CG75" i="1"/>
  <c r="CE58" i="1"/>
  <c r="CM84" i="1"/>
  <c r="CN84" i="1" s="1"/>
  <c r="CO84" i="1" s="1"/>
  <c r="CP84" i="1" s="1"/>
  <c r="CQ84" i="1" s="1"/>
  <c r="CR84" i="1" s="1"/>
  <c r="CS84" i="1" s="1"/>
  <c r="CT84" i="1" s="1"/>
  <c r="CU84" i="1" s="1"/>
  <c r="CV84" i="1" s="1"/>
  <c r="CW84" i="1" s="1"/>
  <c r="CX84" i="1" s="1"/>
  <c r="CY84" i="1" s="1"/>
  <c r="CZ84" i="1" s="1"/>
  <c r="DA84" i="1" s="1"/>
  <c r="DB84" i="1" s="1"/>
  <c r="CW60" i="1"/>
  <c r="CX60" i="1" s="1"/>
  <c r="CY37" i="1"/>
  <c r="CZ37" i="1" s="1"/>
  <c r="CX144" i="1"/>
  <c r="CW200" i="1"/>
  <c r="CW199" i="1"/>
  <c r="CW160" i="1"/>
  <c r="CW203" i="1"/>
  <c r="CV222" i="1"/>
  <c r="AE170" i="1"/>
  <c r="AD170" i="1"/>
  <c r="CD86" i="1" l="1"/>
  <c r="CD247" i="1"/>
  <c r="CC63" i="1"/>
  <c r="Y81" i="1"/>
  <c r="CB68" i="1"/>
  <c r="CB64" i="1"/>
  <c r="CB254" i="1"/>
  <c r="CB62" i="1"/>
  <c r="CB265" i="1" s="1"/>
  <c r="BL68" i="1"/>
  <c r="BL62" i="1"/>
  <c r="BL265" i="1" s="1"/>
  <c r="BY62" i="1"/>
  <c r="BY265" i="1" s="1"/>
  <c r="BY68" i="1"/>
  <c r="CF254" i="1"/>
  <c r="CA68" i="1"/>
  <c r="CA254" i="1"/>
  <c r="CA62" i="1"/>
  <c r="CA265" i="1" s="1"/>
  <c r="CA72" i="1"/>
  <c r="CA139" i="1"/>
  <c r="CA140" i="1" s="1"/>
  <c r="CA86" i="1"/>
  <c r="CA213" i="1"/>
  <c r="CA215" i="1" s="1"/>
  <c r="CV204" i="1"/>
  <c r="CU205" i="1"/>
  <c r="CG233" i="1"/>
  <c r="CG230" i="1"/>
  <c r="CG180" i="1" s="1"/>
  <c r="CG181" i="1" s="1"/>
  <c r="CG231" i="1" s="1"/>
  <c r="CT202" i="1"/>
  <c r="CT206" i="1" s="1"/>
  <c r="CU201" i="1"/>
  <c r="CW145" i="1"/>
  <c r="CV148" i="1"/>
  <c r="CV269" i="1" s="1"/>
  <c r="CU226" i="1"/>
  <c r="CF63" i="1"/>
  <c r="CF62" i="1"/>
  <c r="CF265" i="1" s="1"/>
  <c r="BZ61" i="1"/>
  <c r="BZ60" i="1"/>
  <c r="CJ63" i="1"/>
  <c r="CG64" i="1"/>
  <c r="CI247" i="1"/>
  <c r="CF68" i="1"/>
  <c r="CC72" i="1"/>
  <c r="CC139" i="1"/>
  <c r="CC140" i="1" s="1"/>
  <c r="CC86" i="1"/>
  <c r="CC213" i="1"/>
  <c r="CC215" i="1" s="1"/>
  <c r="CE61" i="1"/>
  <c r="CE60" i="1"/>
  <c r="CY60" i="1"/>
  <c r="CZ60" i="1" s="1"/>
  <c r="DA37" i="1"/>
  <c r="DB37" i="1" s="1"/>
  <c r="CX203" i="1"/>
  <c r="CX200" i="1"/>
  <c r="CX199" i="1"/>
  <c r="CX160" i="1"/>
  <c r="CY144" i="1"/>
  <c r="CW222" i="1"/>
  <c r="AB146" i="1"/>
  <c r="AB156" i="1"/>
  <c r="AB155" i="1"/>
  <c r="AB147" i="1"/>
  <c r="AB142" i="1"/>
  <c r="AB171" i="1"/>
  <c r="AB163" i="1"/>
  <c r="AB138" i="1"/>
  <c r="CB227" i="1" l="1"/>
  <c r="CB225" i="1" s="1"/>
  <c r="CB86" i="1"/>
  <c r="CB213" i="1"/>
  <c r="CB215" i="1" s="1"/>
  <c r="BL213" i="1"/>
  <c r="BL215" i="1" s="1"/>
  <c r="CB72" i="1"/>
  <c r="BL86" i="1"/>
  <c r="BL72" i="1"/>
  <c r="CD74" i="1"/>
  <c r="BY213" i="1"/>
  <c r="BY215" i="1" s="1"/>
  <c r="BY72" i="1"/>
  <c r="BY86" i="1"/>
  <c r="CA149" i="1"/>
  <c r="CA227" i="1"/>
  <c r="CA225" i="1" s="1"/>
  <c r="CA112" i="1"/>
  <c r="CV205" i="1"/>
  <c r="CW204" i="1"/>
  <c r="CU202" i="1"/>
  <c r="CU206" i="1" s="1"/>
  <c r="CV201" i="1"/>
  <c r="CX145" i="1"/>
  <c r="CW148" i="1"/>
  <c r="CW269" i="1" s="1"/>
  <c r="CV226" i="1"/>
  <c r="BZ62" i="1"/>
  <c r="BZ265" i="1" s="1"/>
  <c r="BZ64" i="1"/>
  <c r="CC247" i="1"/>
  <c r="BZ68" i="1"/>
  <c r="CC74" i="1" s="1"/>
  <c r="BZ254" i="1"/>
  <c r="CD63" i="1"/>
  <c r="CA64" i="1"/>
  <c r="CG268" i="1"/>
  <c r="CH229" i="1"/>
  <c r="CH230" i="1" s="1"/>
  <c r="CH231" i="1" s="1"/>
  <c r="CG264" i="1"/>
  <c r="CG266" i="1"/>
  <c r="CG185" i="1"/>
  <c r="CG186" i="1" s="1"/>
  <c r="CG188" i="1"/>
  <c r="CF213" i="1"/>
  <c r="CF215" i="1" s="1"/>
  <c r="CF219" i="1" s="1"/>
  <c r="CF233" i="1" s="1"/>
  <c r="CF72" i="1"/>
  <c r="CF86" i="1"/>
  <c r="CI89" i="1" s="1"/>
  <c r="CI74" i="1"/>
  <c r="CC112" i="1"/>
  <c r="CC149" i="1"/>
  <c r="CC75" i="1" s="1"/>
  <c r="CC227" i="1"/>
  <c r="CC225" i="1" s="1"/>
  <c r="CD227" i="1"/>
  <c r="CD225" i="1" s="1"/>
  <c r="CG247" i="1"/>
  <c r="CI63" i="1"/>
  <c r="CH247" i="1"/>
  <c r="CE64" i="1"/>
  <c r="CE62" i="1"/>
  <c r="CE265" i="1" s="1"/>
  <c r="CE63" i="1"/>
  <c r="CF64" i="1"/>
  <c r="CE68" i="1"/>
  <c r="CF247" i="1"/>
  <c r="CE247" i="1"/>
  <c r="Z81" i="1"/>
  <c r="CE254" i="1"/>
  <c r="DA60" i="1"/>
  <c r="DB60" i="1" s="1"/>
  <c r="CY200" i="1"/>
  <c r="CZ144" i="1"/>
  <c r="CY199" i="1"/>
  <c r="CY160" i="1"/>
  <c r="CY222" i="1" s="1"/>
  <c r="CX222" i="1"/>
  <c r="CY203" i="1"/>
  <c r="AC156" i="1"/>
  <c r="AC146" i="1"/>
  <c r="AB184" i="1"/>
  <c r="AC142" i="1"/>
  <c r="AC171" i="1"/>
  <c r="AB167" i="1"/>
  <c r="AB174" i="1"/>
  <c r="AC163" i="1"/>
  <c r="AC147" i="1"/>
  <c r="AB175" i="1"/>
  <c r="AC138" i="1"/>
  <c r="AC155" i="1"/>
  <c r="CD89" i="1" l="1"/>
  <c r="CD106" i="1" s="1"/>
  <c r="CX204" i="1"/>
  <c r="CW205" i="1"/>
  <c r="CV202" i="1"/>
  <c r="CV206" i="1" s="1"/>
  <c r="CW201" i="1"/>
  <c r="CY145" i="1"/>
  <c r="CX148" i="1"/>
  <c r="CX269" i="1" s="1"/>
  <c r="CW226" i="1"/>
  <c r="CB74" i="1"/>
  <c r="BZ86" i="1"/>
  <c r="BZ72" i="1"/>
  <c r="BZ213" i="1"/>
  <c r="BZ215" i="1" s="1"/>
  <c r="CH57" i="1"/>
  <c r="CG129" i="1"/>
  <c r="CI107" i="1"/>
  <c r="CI105" i="1"/>
  <c r="CI106" i="1"/>
  <c r="CL110" i="1" s="1"/>
  <c r="CE72" i="1"/>
  <c r="CE139" i="1"/>
  <c r="CE140" i="1" s="1"/>
  <c r="CE74" i="1" s="1"/>
  <c r="CE213" i="1"/>
  <c r="CE215" i="1" s="1"/>
  <c r="CE219" i="1" s="1"/>
  <c r="CE233" i="1" s="1"/>
  <c r="CE86" i="1"/>
  <c r="CF74" i="1"/>
  <c r="CG74" i="1"/>
  <c r="CH74" i="1"/>
  <c r="DA144" i="1"/>
  <c r="CZ160" i="1"/>
  <c r="CZ222" i="1" s="1"/>
  <c r="CZ203" i="1"/>
  <c r="CZ200" i="1"/>
  <c r="CZ199" i="1"/>
  <c r="AE156" i="1"/>
  <c r="AD156" i="1"/>
  <c r="AE146" i="1"/>
  <c r="AD146" i="1"/>
  <c r="AC184" i="1"/>
  <c r="AE171" i="1"/>
  <c r="AD171" i="1"/>
  <c r="AE163" i="1"/>
  <c r="AD163" i="1"/>
  <c r="AD138" i="1"/>
  <c r="AE138" i="1"/>
  <c r="AC174" i="1"/>
  <c r="AE147" i="1"/>
  <c r="AD147" i="1"/>
  <c r="AE155" i="1"/>
  <c r="AD155" i="1"/>
  <c r="AC175" i="1"/>
  <c r="AC167" i="1"/>
  <c r="AE142" i="1"/>
  <c r="AD142" i="1"/>
  <c r="CD105" i="1" l="1"/>
  <c r="CD107" i="1"/>
  <c r="CX205" i="1"/>
  <c r="CY204" i="1"/>
  <c r="CW202" i="1"/>
  <c r="CW206" i="1" s="1"/>
  <c r="CX201" i="1"/>
  <c r="CZ145" i="1"/>
  <c r="CY148" i="1"/>
  <c r="CY269" i="1" s="1"/>
  <c r="CX226" i="1"/>
  <c r="CC89" i="1"/>
  <c r="CB89" i="1"/>
  <c r="CG131" i="1"/>
  <c r="CG134" i="1" s="1"/>
  <c r="CG130" i="1"/>
  <c r="CG133" i="1" s="1"/>
  <c r="CF89" i="1"/>
  <c r="CH89" i="1"/>
  <c r="CL90" i="1" s="1"/>
  <c r="CG89" i="1"/>
  <c r="CK90" i="1" s="1"/>
  <c r="CE89" i="1"/>
  <c r="CE112" i="1"/>
  <c r="CF227" i="1"/>
  <c r="CF225" i="1" s="1"/>
  <c r="CE149" i="1"/>
  <c r="CE75" i="1" s="1"/>
  <c r="CE227" i="1"/>
  <c r="CE225" i="1" s="1"/>
  <c r="CE230" i="1" s="1"/>
  <c r="CE180" i="1" s="1"/>
  <c r="CE181" i="1" s="1"/>
  <c r="CE185" i="1" s="1"/>
  <c r="DA199" i="1"/>
  <c r="DA200" i="1"/>
  <c r="DA160" i="1"/>
  <c r="DB160" i="1" s="1"/>
  <c r="DB222" i="1" s="1"/>
  <c r="DA203" i="1"/>
  <c r="DB144" i="1"/>
  <c r="AE184" i="1"/>
  <c r="AD184" i="1"/>
  <c r="AE174" i="1"/>
  <c r="AD174" i="1"/>
  <c r="AE175" i="1"/>
  <c r="AD175" i="1"/>
  <c r="AE167" i="1"/>
  <c r="AD167" i="1"/>
  <c r="BY251" i="1"/>
  <c r="CZ204" i="1" l="1"/>
  <c r="CY205" i="1"/>
  <c r="DA145" i="1"/>
  <c r="CZ148" i="1"/>
  <c r="CZ269" i="1" s="1"/>
  <c r="CX202" i="1"/>
  <c r="CX206" i="1" s="1"/>
  <c r="CY201" i="1"/>
  <c r="CY226" i="1"/>
  <c r="CE114" i="1"/>
  <c r="CE115" i="1"/>
  <c r="CE116" i="1"/>
  <c r="CE264" i="1"/>
  <c r="CE105" i="1"/>
  <c r="CE106" i="1"/>
  <c r="CI90" i="1"/>
  <c r="CE107" i="1"/>
  <c r="CE268" i="1"/>
  <c r="CG90" i="1"/>
  <c r="CG105" i="1"/>
  <c r="CG107" i="1"/>
  <c r="CG106" i="1"/>
  <c r="CE188" i="1"/>
  <c r="CE129" i="1" s="1"/>
  <c r="CE131" i="1" s="1"/>
  <c r="CE134" i="1" s="1"/>
  <c r="CF229" i="1"/>
  <c r="CF230" i="1" s="1"/>
  <c r="CF231" i="1" s="1"/>
  <c r="CE266" i="1"/>
  <c r="CH90" i="1"/>
  <c r="CH106" i="1"/>
  <c r="CK110" i="1" s="1"/>
  <c r="CH105" i="1"/>
  <c r="CH107" i="1"/>
  <c r="CE231" i="1"/>
  <c r="CF90" i="1"/>
  <c r="CJ90" i="1"/>
  <c r="CF107" i="1"/>
  <c r="CF105" i="1"/>
  <c r="CF106" i="1"/>
  <c r="DA222" i="1"/>
  <c r="DB200" i="1"/>
  <c r="DB199" i="1"/>
  <c r="DB203" i="1"/>
  <c r="CE186" i="1"/>
  <c r="AB40" i="1"/>
  <c r="DA204" i="1" l="1"/>
  <c r="CZ205" i="1"/>
  <c r="DB145" i="1"/>
  <c r="DB148" i="1" s="1"/>
  <c r="DA148" i="1"/>
  <c r="CZ226" i="1"/>
  <c r="CY202" i="1"/>
  <c r="CY206" i="1" s="1"/>
  <c r="CZ201" i="1"/>
  <c r="CJ110" i="1"/>
  <c r="CH110" i="1"/>
  <c r="CF57" i="1"/>
  <c r="CI110" i="1"/>
  <c r="CG110" i="1"/>
  <c r="CE130" i="1"/>
  <c r="CE133" i="1" s="1"/>
  <c r="AC40" i="1"/>
  <c r="BY252" i="1"/>
  <c r="BY253" i="1" s="1"/>
  <c r="DB204" i="1" l="1"/>
  <c r="DB205" i="1" s="1"/>
  <c r="DA205" i="1"/>
  <c r="DA226" i="1"/>
  <c r="DA269" i="1"/>
  <c r="DB226" i="1"/>
  <c r="DB269" i="1"/>
  <c r="CZ202" i="1"/>
  <c r="CZ206" i="1" s="1"/>
  <c r="DA201" i="1"/>
  <c r="AD40" i="1"/>
  <c r="BY254" i="1"/>
  <c r="DA202" i="1" l="1"/>
  <c r="DA206" i="1" s="1"/>
  <c r="DB201" i="1"/>
  <c r="DB202" i="1" s="1"/>
  <c r="DB206" i="1" s="1"/>
  <c r="AE40" i="1"/>
  <c r="BI85" i="1" l="1"/>
  <c r="AT85" i="1"/>
  <c r="BT85" i="1"/>
  <c r="AV85" i="1"/>
  <c r="AX85" i="1"/>
  <c r="AR85" i="1"/>
  <c r="AO85" i="1" l="1"/>
  <c r="BK85" i="1"/>
  <c r="AN85" i="1"/>
  <c r="AW85" i="1"/>
  <c r="BB85" i="1"/>
  <c r="BM85" i="1"/>
  <c r="BQ85" i="1"/>
  <c r="AJ85" i="1"/>
  <c r="BS85" i="1"/>
  <c r="BR85" i="1"/>
  <c r="BO85" i="1"/>
  <c r="AM85" i="1"/>
  <c r="AI85" i="1"/>
  <c r="AP85" i="1"/>
  <c r="AZ85" i="1"/>
  <c r="AS85" i="1"/>
  <c r="BN85" i="1"/>
  <c r="BU85" i="1"/>
  <c r="BA85" i="1"/>
  <c r="BC85" i="1"/>
  <c r="AU85" i="1"/>
  <c r="BW85" i="1"/>
  <c r="BP85" i="1"/>
  <c r="BJ85" i="1"/>
  <c r="BH85" i="1"/>
  <c r="BX85" i="1"/>
  <c r="BG85" i="1"/>
  <c r="AQ85" i="1"/>
  <c r="AY85" i="1"/>
  <c r="AK85" i="1"/>
  <c r="BE85" i="1"/>
  <c r="BD85" i="1"/>
  <c r="BV85" i="1"/>
  <c r="BF85" i="1"/>
  <c r="BL251" i="1" l="1"/>
  <c r="CM97" i="1" l="1"/>
  <c r="AB160" i="1"/>
  <c r="CN97" i="1" l="1"/>
  <c r="AB222" i="1"/>
  <c r="CO97" i="1" l="1"/>
  <c r="CM8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DB16" i="4" a="1"/>
  <c r="AP16" i="4" a="1"/>
  <c r="EJ7" i="4" a="1"/>
  <c r="CF12" i="4" a="1"/>
  <c r="AR12" i="4" a="1"/>
  <c r="F8" i="4" a="1"/>
  <c r="BV15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BC5" i="4" a="1"/>
  <c r="X6" i="4" a="1"/>
  <c r="AP15" i="4" a="1"/>
  <c r="CE5" i="4" a="1"/>
  <c r="ED6" i="4" a="1"/>
  <c r="EF5" i="4" a="1"/>
  <c r="CR9" i="4" a="1"/>
  <c r="BS15" i="4" a="1"/>
  <c r="BJ9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AC12" i="4" a="1"/>
  <c r="CU8" i="4" a="1"/>
  <c r="F16" i="4" a="1"/>
  <c r="X8" i="4" a="1"/>
  <c r="DP11" i="4" a="1"/>
  <c r="DF13" i="4" a="1"/>
  <c r="AK5" i="4" a="1"/>
  <c r="BY15" i="4" a="1"/>
  <c r="DQ14" i="4" a="1"/>
  <c r="BU13" i="4" a="1"/>
  <c r="BP8" i="4" a="1"/>
  <c r="DV15" i="4" a="1"/>
  <c r="DE16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X7" i="2"/>
  <c r="U15" i="2"/>
  <c r="D34" i="2"/>
  <c r="H22" i="2"/>
  <c r="W32" i="2"/>
  <c r="S22" i="2"/>
  <c r="W29" i="2"/>
  <c r="U20" i="2"/>
  <c r="P30" i="2"/>
  <c r="O34" i="2"/>
  <c r="G11" i="2"/>
  <c r="M17" i="2"/>
  <c r="R17" i="2"/>
  <c r="AR93" i="3"/>
  <c r="U33" i="2"/>
  <c r="C65" i="2"/>
  <c r="E27" i="2"/>
  <c r="I34" i="2"/>
  <c r="E21" i="2"/>
  <c r="AG45" i="3"/>
  <c r="E25" i="3"/>
  <c r="E39" i="3"/>
  <c r="D29" i="3"/>
  <c r="AR32" i="3"/>
  <c r="AR38" i="3"/>
  <c r="F11" i="3"/>
  <c r="E31" i="3"/>
  <c r="AR31" i="3"/>
  <c r="AR28" i="3"/>
  <c r="D31" i="3"/>
  <c r="F38" i="3"/>
  <c r="DV16" i="4" a="1"/>
  <c r="BF11" i="4" a="1"/>
  <c r="BM8" i="4" a="1"/>
  <c r="CF16" i="4" a="1"/>
  <c r="AI16" i="4" a="1"/>
  <c r="BX8" i="4" a="1"/>
  <c r="BD15" i="4" a="1"/>
  <c r="BP7" i="4" a="1"/>
  <c r="EC7" i="4" a="1"/>
  <c r="DH15" i="4" a="1"/>
  <c r="DR5" i="4" a="1"/>
  <c r="R13" i="4" a="1"/>
  <c r="J5" i="4" a="1"/>
  <c r="BT13" i="4" a="1"/>
  <c r="DC12" i="4" a="1"/>
  <c r="BH6" i="4" a="1"/>
  <c r="AI13" i="4" a="1"/>
  <c r="CX15" i="4" a="1"/>
  <c r="DL13" i="4" a="1"/>
  <c r="DL11" i="4" a="1"/>
  <c r="CM13" i="4" a="1"/>
  <c r="DN12" i="4" a="1"/>
  <c r="AH15" i="4" a="1"/>
  <c r="EA8" i="4" a="1"/>
  <c r="BS16" i="4" a="1"/>
  <c r="BG11" i="4" a="1"/>
  <c r="CT7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T35" i="2"/>
  <c r="N9" i="2"/>
  <c r="F6" i="2"/>
  <c r="P23" i="2"/>
  <c r="N14" i="2"/>
  <c r="V10" i="2"/>
  <c r="M26" i="2"/>
  <c r="I30" i="2"/>
  <c r="Q29" i="2"/>
  <c r="X21" i="2"/>
  <c r="E15" i="2"/>
  <c r="P5" i="2"/>
  <c r="R36" i="2"/>
  <c r="X24" i="2"/>
  <c r="W70" i="2"/>
  <c r="K19" i="2"/>
  <c r="F22" i="2"/>
  <c r="X29" i="2"/>
  <c r="C12" i="2"/>
  <c r="G7" i="3"/>
  <c r="E33" i="2"/>
  <c r="F89" i="2"/>
  <c r="W13" i="2"/>
  <c r="F28" i="2"/>
  <c r="W20" i="2"/>
  <c r="W11" i="2"/>
  <c r="I17" i="2"/>
  <c r="R14" i="2"/>
  <c r="Q31" i="2"/>
  <c r="P32" i="2"/>
  <c r="W7" i="2"/>
  <c r="U5" i="2"/>
  <c r="C7" i="2"/>
  <c r="C10" i="2"/>
  <c r="R26" i="2"/>
  <c r="D5" i="2"/>
  <c r="V19" i="2"/>
  <c r="M21" i="2"/>
  <c r="U31" i="2"/>
  <c r="AJ46" i="3"/>
  <c r="AR41" i="3"/>
  <c r="AA45" i="3"/>
  <c r="G46" i="3"/>
  <c r="V46" i="3"/>
  <c r="D9" i="3"/>
  <c r="AD7" i="3"/>
  <c r="N46" i="3"/>
  <c r="F5" i="3"/>
  <c r="D25" i="3"/>
  <c r="D35" i="3"/>
  <c r="AR16" i="3"/>
  <c r="AZ15" i="4" a="1"/>
  <c r="BF9" i="4" a="1"/>
  <c r="BF13" i="4" a="1"/>
  <c r="AO12" i="4" a="1"/>
  <c r="CM16" i="4" a="1"/>
  <c r="AC11" i="4" a="1"/>
  <c r="BO8" i="4" a="1"/>
  <c r="AI11" i="4" a="1"/>
  <c r="DF5" i="4" a="1"/>
  <c r="BK13" i="4" a="1"/>
  <c r="EK5" i="4" a="1"/>
  <c r="EG16" i="4" a="1"/>
  <c r="R14" i="4" a="1"/>
  <c r="M5" i="4" a="1"/>
  <c r="CO9" i="4" a="1"/>
  <c r="BT9" i="4" a="1"/>
  <c r="CA8" i="4" a="1"/>
  <c r="BI5" i="4" a="1"/>
  <c r="DP16" i="4" a="1"/>
  <c r="BL8" i="4" a="1"/>
  <c r="EA13" i="4" a="1"/>
  <c r="BE6" i="4" a="1"/>
  <c r="U9" i="4" a="1"/>
  <c r="EA15" i="4" a="1"/>
  <c r="CH8" i="4" a="1"/>
  <c r="CE6" i="4" a="1"/>
  <c r="BG12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X19" i="2"/>
  <c r="D32" i="2"/>
  <c r="I31" i="2"/>
  <c r="K17" i="2"/>
  <c r="C22" i="2"/>
  <c r="D35" i="2"/>
  <c r="I24" i="2"/>
  <c r="H27" i="2"/>
  <c r="K59" i="2"/>
  <c r="G8" i="2"/>
  <c r="V31" i="2"/>
  <c r="C14" i="2"/>
  <c r="L5" i="2"/>
  <c r="T8" i="2"/>
  <c r="H14" i="2"/>
  <c r="M31" i="2"/>
  <c r="X26" i="2"/>
  <c r="N22" i="2"/>
  <c r="L27" i="2"/>
  <c r="AR19" i="3"/>
  <c r="F20" i="3"/>
  <c r="E20" i="3"/>
  <c r="AR11" i="3"/>
  <c r="AR27" i="3"/>
  <c r="Z45" i="3"/>
  <c r="F24" i="3"/>
  <c r="D6" i="3"/>
  <c r="AR18" i="3"/>
  <c r="Y46" i="3"/>
  <c r="K45" i="3"/>
  <c r="AD11" i="3"/>
  <c r="X13" i="4" a="1"/>
  <c r="CI7" i="4" a="1"/>
  <c r="BL13" i="4" a="1"/>
  <c r="BX9" i="4" a="1"/>
  <c r="D14" i="4" a="1"/>
  <c r="CR8" i="4" a="1"/>
  <c r="DF15" i="4" a="1"/>
  <c r="BL9" i="4" a="1"/>
  <c r="DP9" i="4" a="1"/>
  <c r="AZ7" i="4" a="1"/>
  <c r="DG15" i="4" a="1"/>
  <c r="AB11" i="4" a="1"/>
  <c r="AE6" i="4" a="1"/>
  <c r="CV9" i="4" a="1"/>
  <c r="DC7" i="4" a="1"/>
  <c r="CJ9" i="4" a="1"/>
  <c r="AG9" i="4" a="1"/>
  <c r="C8" i="4" a="1"/>
  <c r="AK6" i="4" a="1"/>
  <c r="BH14" i="4" a="1"/>
  <c r="CM6" i="4" a="1"/>
  <c r="EI6" i="4" a="1"/>
  <c r="CS15" i="4" a="1"/>
  <c r="Y6" i="4" a="1"/>
  <c r="DA8" i="4" a="1"/>
  <c r="EG6" i="4" a="1"/>
  <c r="DZ6" i="4" a="1"/>
  <c r="DF16" i="4" a="1"/>
  <c r="M22" i="2"/>
  <c r="G19" i="2"/>
  <c r="T22" i="2"/>
  <c r="H49" i="2"/>
  <c r="D15" i="2"/>
  <c r="D10" i="2"/>
  <c r="P33" i="2"/>
  <c r="H7" i="2"/>
  <c r="F19" i="2"/>
  <c r="U16" i="2"/>
  <c r="J20" i="2"/>
  <c r="Q32" i="2"/>
  <c r="V11" i="2"/>
  <c r="M24" i="2"/>
  <c r="R16" i="2"/>
  <c r="M30" i="2"/>
  <c r="P12" i="2"/>
  <c r="D14" i="2"/>
  <c r="AR86" i="3"/>
  <c r="D33" i="3"/>
  <c r="AR12" i="3"/>
  <c r="E18" i="3"/>
  <c r="R46" i="3"/>
  <c r="K46" i="3"/>
  <c r="AQ45" i="3"/>
  <c r="F34" i="3"/>
  <c r="M45" i="3"/>
  <c r="E12" i="3"/>
  <c r="AD16" i="3"/>
  <c r="D41" i="3"/>
  <c r="AR35" i="3"/>
  <c r="BV7" i="4" a="1"/>
  <c r="CY6" i="4" a="1"/>
  <c r="F12" i="4" a="1"/>
  <c r="EI16" i="4" a="1"/>
  <c r="BU12" i="4" a="1"/>
  <c r="BV5" i="4" a="1"/>
  <c r="DB14" i="4" a="1"/>
  <c r="CN11" i="4" a="1"/>
  <c r="CO6" i="4" a="1"/>
  <c r="DH12" i="4" a="1"/>
  <c r="CT8" i="4" a="1"/>
  <c r="AR11" i="4" a="1"/>
  <c r="BU8" i="4" a="1"/>
  <c r="AE16" i="4" a="1"/>
  <c r="D13" i="4" a="1"/>
  <c r="CD8" i="4" a="1"/>
  <c r="P9" i="4" a="1"/>
  <c r="BO12" i="4" a="1"/>
  <c r="DD13" i="4" a="1"/>
  <c r="CF14" i="4" a="1"/>
  <c r="BK12" i="4" a="1"/>
  <c r="BS12" i="4" a="1"/>
  <c r="EE12" i="4" a="1"/>
  <c r="CM7" i="4" a="1"/>
  <c r="CF6" i="4" a="1"/>
  <c r="BK11" i="4" a="1"/>
  <c r="DP1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T5" i="2"/>
  <c r="Q16" i="2"/>
  <c r="T12" i="2"/>
  <c r="I19" i="2"/>
  <c r="O22" i="2"/>
  <c r="E31" i="2"/>
  <c r="T18" i="2"/>
  <c r="L26" i="2"/>
  <c r="L36" i="2"/>
  <c r="F29" i="2"/>
  <c r="L6" i="2"/>
  <c r="Q7" i="2"/>
  <c r="Q59" i="2"/>
  <c r="P18" i="2"/>
  <c r="R19" i="2"/>
  <c r="E20" i="2"/>
  <c r="S10" i="2"/>
  <c r="H35" i="2"/>
  <c r="AR81" i="3"/>
  <c r="F39" i="3"/>
  <c r="AR36" i="3"/>
  <c r="I46" i="3"/>
  <c r="V45" i="3"/>
  <c r="C46" i="3"/>
  <c r="G18" i="3"/>
  <c r="P46" i="3"/>
  <c r="F9" i="3"/>
  <c r="E29" i="3"/>
  <c r="AR29" i="3"/>
  <c r="D46" i="3"/>
  <c r="F28" i="3"/>
  <c r="EJ14" i="4" a="1"/>
  <c r="DM5" i="4" a="1"/>
  <c r="EJ5" i="4" a="1"/>
  <c r="CF7" i="4" a="1"/>
  <c r="E14" i="4" a="1"/>
  <c r="DT12" i="4" a="1"/>
  <c r="DR16" i="4" a="1"/>
  <c r="DP14" i="4" a="1"/>
  <c r="BW15" i="4" a="1"/>
  <c r="CB13" i="4" a="1"/>
  <c r="EG5" i="4" a="1"/>
  <c r="EA5" i="4" a="1"/>
  <c r="X7" i="4" a="1"/>
  <c r="BS7" i="4" a="1"/>
  <c r="K14" i="4" a="1"/>
  <c r="CH7" i="4" a="1"/>
  <c r="M14" i="4" a="1"/>
  <c r="CW7" i="4" a="1"/>
  <c r="CP14" i="4" a="1"/>
  <c r="O6" i="4" a="1"/>
  <c r="AU11" i="4" a="1"/>
  <c r="T8" i="4" a="1"/>
  <c r="Q5" i="4" a="1"/>
  <c r="CG8" i="4" a="1"/>
  <c r="BB16" i="4" a="1"/>
  <c r="CA12" i="4" a="1"/>
  <c r="L5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EB12" i="4" a="1"/>
  <c r="BR8" i="4" a="1"/>
  <c r="DU13" i="4" a="1"/>
  <c r="M15" i="4" a="1"/>
  <c r="BF16" i="4" a="1"/>
  <c r="CP16" i="4" a="1"/>
  <c r="AR14" i="4" a="1"/>
  <c r="DJ13" i="4" a="1"/>
  <c r="H8" i="4" a="1"/>
  <c r="DH16" i="4" a="1"/>
  <c r="DW9" i="4" a="1"/>
  <c r="AE5" i="4" a="1"/>
  <c r="BL5" i="4" a="1"/>
  <c r="G6" i="2"/>
  <c r="N24" i="2"/>
  <c r="R5" i="2"/>
  <c r="F31" i="2"/>
  <c r="X22" i="2"/>
  <c r="E26" i="2"/>
  <c r="G35" i="2"/>
  <c r="L31" i="2"/>
  <c r="V13" i="2"/>
  <c r="S8" i="2"/>
  <c r="D13" i="2"/>
  <c r="O23" i="2"/>
  <c r="T11" i="2"/>
  <c r="O21" i="2"/>
  <c r="E5" i="2"/>
  <c r="AR48" i="3"/>
  <c r="K14" i="2"/>
  <c r="I21" i="2"/>
  <c r="G18" i="2"/>
  <c r="J46" i="3"/>
  <c r="AD17" i="3"/>
  <c r="E32" i="3"/>
  <c r="D15" i="3"/>
  <c r="E42" i="3"/>
  <c r="AD46" i="3"/>
  <c r="E13" i="3"/>
  <c r="AO6" i="3"/>
  <c r="E7" i="3"/>
  <c r="G20" i="3"/>
  <c r="I45" i="3"/>
  <c r="F35" i="3"/>
  <c r="AF7" i="4" a="1"/>
  <c r="DZ14" i="4" a="1"/>
  <c r="AG7" i="4" a="1"/>
  <c r="J9" i="4" a="1"/>
  <c r="BI13" i="4" a="1"/>
  <c r="DK5" i="4" a="1"/>
  <c r="CG16" i="4" a="1"/>
  <c r="DV7" i="4" a="1"/>
  <c r="CF9" i="4" a="1"/>
  <c r="T7" i="4" a="1"/>
  <c r="AH8" i="4" a="1"/>
  <c r="DM15" i="4" a="1"/>
  <c r="DF7" i="4" a="1"/>
  <c r="DO12" i="4" a="1"/>
  <c r="R11" i="4" a="1"/>
  <c r="AQ15" i="4" a="1"/>
  <c r="BI6" i="4" a="1"/>
  <c r="DX6" i="4" a="1"/>
  <c r="BQ9" i="4" a="1"/>
  <c r="BE7" i="4" a="1"/>
  <c r="CP13" i="4" a="1"/>
  <c r="V5" i="4" a="1"/>
  <c r="AI8" i="4" a="1"/>
  <c r="AU13" i="4" a="1"/>
  <c r="DR12" i="4" a="1"/>
  <c r="CS12" i="4" a="1"/>
  <c r="W8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D19" i="2"/>
  <c r="Q56" i="2"/>
  <c r="U25" i="2"/>
  <c r="W12" i="2"/>
  <c r="J7" i="2"/>
  <c r="X63" i="2"/>
  <c r="G24" i="2"/>
  <c r="L21" i="2"/>
  <c r="E24" i="2"/>
  <c r="Q20" i="2"/>
  <c r="I7" i="2"/>
  <c r="J32" i="2"/>
  <c r="AR57" i="3"/>
  <c r="J11" i="2"/>
  <c r="C26" i="2"/>
  <c r="AR87" i="3"/>
  <c r="I11" i="2"/>
  <c r="H25" i="2"/>
  <c r="V15" i="2"/>
  <c r="H45" i="3"/>
  <c r="D16" i="3"/>
  <c r="AR33" i="3"/>
  <c r="D30" i="3"/>
  <c r="AD14" i="3"/>
  <c r="AL45" i="3"/>
  <c r="G10" i="3"/>
  <c r="AJ45" i="3"/>
  <c r="F30" i="3"/>
  <c r="F7" i="3"/>
  <c r="J45" i="3"/>
  <c r="R16" i="4" a="1"/>
  <c r="CX7" i="4" a="1"/>
  <c r="BU6" i="4" a="1"/>
  <c r="AK9" i="4" a="1"/>
  <c r="DG12" i="4" a="1"/>
  <c r="DL15" i="4" a="1"/>
  <c r="CZ12" i="4" a="1"/>
  <c r="BQ7" i="4" a="1"/>
  <c r="C9" i="4" a="1"/>
  <c r="CQ14" i="4" a="1"/>
  <c r="DM12" i="4" a="1"/>
  <c r="BN16" i="4" a="1"/>
  <c r="M7" i="4" a="1"/>
  <c r="CX6" i="4" a="1"/>
  <c r="DY16" i="4" a="1"/>
  <c r="BP11" i="4" a="1"/>
  <c r="CU6" i="4" a="1"/>
  <c r="BY5" i="4" a="1"/>
  <c r="W13" i="4" a="1"/>
  <c r="BR13" i="4" a="1"/>
  <c r="BD5" i="4" a="1"/>
  <c r="EB8" i="4" a="1"/>
  <c r="DF11" i="4" a="1"/>
  <c r="DP12" i="4" a="1"/>
  <c r="DS6" i="4" a="1"/>
  <c r="DP5" i="4" a="1"/>
  <c r="AM6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M16" i="2"/>
  <c r="O35" i="2"/>
  <c r="P15" i="2"/>
  <c r="P20" i="2"/>
  <c r="Q9" i="2"/>
  <c r="N10" i="2"/>
  <c r="T13" i="2"/>
  <c r="H18" i="2"/>
  <c r="P35" i="2"/>
  <c r="M15" i="2"/>
  <c r="E12" i="2"/>
  <c r="P25" i="2"/>
  <c r="AR71" i="3"/>
  <c r="F26" i="2"/>
  <c r="J16" i="2"/>
  <c r="AR75" i="3"/>
  <c r="M9" i="2"/>
  <c r="M6" i="2"/>
  <c r="O14" i="2"/>
  <c r="D37" i="3"/>
  <c r="E41" i="3"/>
  <c r="L46" i="3"/>
  <c r="D39" i="3"/>
  <c r="AG46" i="3"/>
  <c r="AR46" i="3"/>
  <c r="D22" i="3"/>
  <c r="D38" i="3"/>
  <c r="E46" i="3"/>
  <c r="AB46" i="3"/>
  <c r="E8" i="3"/>
  <c r="F11" i="4" a="1"/>
  <c r="AB12" i="4" a="1"/>
  <c r="Y16" i="4" a="1"/>
  <c r="CM12" i="4" a="1"/>
  <c r="Z15" i="4" a="1"/>
  <c r="DE11" i="4" a="1"/>
  <c r="BE11" i="4" a="1"/>
  <c r="BD6" i="4" a="1"/>
  <c r="BV13" i="4" a="1"/>
  <c r="CS14" i="4" a="1"/>
  <c r="AC16" i="4" a="1"/>
  <c r="K15" i="4" a="1"/>
  <c r="G17" i="2"/>
  <c r="K33" i="2"/>
  <c r="U11" i="2"/>
  <c r="D28" i="2"/>
  <c r="N17" i="2"/>
  <c r="G30" i="2"/>
  <c r="S6" i="2"/>
  <c r="U8" i="2"/>
  <c r="H11" i="2"/>
  <c r="D18" i="2"/>
  <c r="I25" i="2"/>
  <c r="T10" i="2"/>
  <c r="AR60" i="3"/>
  <c r="V20" i="2"/>
  <c r="F8" i="2"/>
  <c r="AR54" i="3"/>
  <c r="C11" i="2"/>
  <c r="K15" i="2"/>
  <c r="I26" i="2"/>
  <c r="G27" i="3"/>
  <c r="F19" i="3"/>
  <c r="D40" i="3"/>
  <c r="G45" i="3"/>
  <c r="O45" i="3"/>
  <c r="M46" i="3"/>
  <c r="E24" i="3"/>
  <c r="AR14" i="3"/>
  <c r="D20" i="3"/>
  <c r="E27" i="3"/>
  <c r="G22" i="3"/>
  <c r="BO14" i="4" a="1"/>
  <c r="DO14" i="4" a="1"/>
  <c r="Y5" i="4" a="1"/>
  <c r="BC9" i="4" a="1"/>
  <c r="DK7" i="4" a="1"/>
  <c r="EG12" i="4" a="1"/>
  <c r="DG8" i="4" a="1"/>
  <c r="C15" i="4" a="1"/>
  <c r="CX14" i="4" a="1"/>
  <c r="EI14" i="4" a="1"/>
  <c r="AK14" i="4" a="1"/>
  <c r="BZ5" i="4" a="1"/>
  <c r="CY16" i="4" a="1"/>
  <c r="BK6" i="4" a="1"/>
  <c r="DZ16" i="4" a="1"/>
  <c r="AE7" i="4" a="1"/>
  <c r="AV16" i="4" a="1"/>
  <c r="AM5" i="4" a="1"/>
  <c r="AX6" i="4" a="1"/>
  <c r="CU9" i="4" a="1"/>
  <c r="AB9" i="4" a="1"/>
  <c r="BI7" i="4" a="1"/>
  <c r="DG5" i="4" a="1"/>
  <c r="AZ8" i="4" a="1"/>
  <c r="AY6" i="4" a="1"/>
  <c r="CN15" i="4" a="1"/>
  <c r="EJ16" i="4" a="1"/>
  <c r="AE12" i="4" a="1"/>
  <c r="CH14" i="4" a="1"/>
  <c r="BC8" i="4" a="1"/>
  <c r="CK11" i="4" a="1"/>
  <c r="BM13" i="4" a="1"/>
  <c r="U21" i="2"/>
  <c r="C20" i="2"/>
  <c r="U35" i="2"/>
  <c r="P14" i="2"/>
  <c r="S15" i="2"/>
  <c r="I35" i="2"/>
  <c r="F20" i="2"/>
  <c r="M13" i="2"/>
  <c r="S7" i="2"/>
  <c r="X30" i="2"/>
  <c r="E23" i="2"/>
  <c r="E34" i="2"/>
  <c r="AR69" i="3"/>
  <c r="V17" i="2"/>
  <c r="F32" i="2"/>
  <c r="AR95" i="3"/>
  <c r="F14" i="2"/>
  <c r="E22" i="2"/>
  <c r="AR37" i="3"/>
  <c r="S46" i="3"/>
  <c r="E26" i="3"/>
  <c r="D12" i="3"/>
  <c r="E23" i="3"/>
  <c r="E35" i="3"/>
  <c r="G15" i="3"/>
  <c r="F27" i="3"/>
  <c r="AO46" i="3"/>
  <c r="E34" i="3"/>
  <c r="G8" i="3"/>
  <c r="F26" i="3"/>
  <c r="CI14" i="4" a="1"/>
  <c r="AL12" i="4" a="1"/>
  <c r="Z8" i="4" a="1"/>
  <c r="AI9" i="4" a="1"/>
  <c r="CB7" i="4" a="1"/>
  <c r="AS6" i="4" a="1"/>
  <c r="AK8" i="4" a="1"/>
  <c r="L9" i="4" a="1"/>
  <c r="CD5" i="4" a="1"/>
  <c r="CN16" i="4" a="1"/>
  <c r="BG8" i="4" a="1"/>
  <c r="BA5" i="4" a="1"/>
  <c r="ED14" i="4" a="1"/>
  <c r="CN8" i="4" a="1"/>
  <c r="V12" i="4" a="1"/>
  <c r="CV6" i="4" a="1"/>
  <c r="DE12" i="4" a="1"/>
  <c r="AY7" i="4" a="1"/>
  <c r="CI13" i="4" a="1"/>
  <c r="C7" i="4" a="1"/>
  <c r="CN7" i="4" a="1"/>
  <c r="BO5" i="4" a="1"/>
  <c r="EE11" i="4" a="1"/>
  <c r="N11" i="2"/>
  <c r="AR55" i="3"/>
  <c r="W46" i="3"/>
  <c r="E15" i="3"/>
  <c r="BJ12" i="4" a="1"/>
  <c r="CT14" i="4" a="1"/>
  <c r="AQ13" i="4" a="1"/>
  <c r="AD5" i="4" a="1"/>
  <c r="G12" i="4" a="1"/>
  <c r="CC16" i="4" a="1"/>
  <c r="CP12" i="4" a="1"/>
  <c r="V16" i="4" a="1"/>
  <c r="V6" i="4" a="1"/>
  <c r="AB5" i="4" a="1"/>
  <c r="DJ16" i="4" a="1"/>
  <c r="AA13" i="4" a="1"/>
  <c r="AL13" i="4" a="1"/>
  <c r="BU14" i="4" a="1"/>
  <c r="EB5" i="4" a="1"/>
  <c r="EA9" i="4" a="1"/>
  <c r="BW6" i="4" a="1"/>
  <c r="U6" i="4" a="1"/>
  <c r="EI5" i="4" a="1"/>
  <c r="J12" i="4" a="1"/>
  <c r="U8" i="4" a="1"/>
  <c r="E12" i="4" a="1"/>
  <c r="DB13" i="4" a="1"/>
  <c r="DC16" i="4" a="1"/>
  <c r="BZ6" i="4" a="1"/>
  <c r="DO11" i="4" a="1"/>
  <c r="D16" i="4" a="1"/>
  <c r="CQ7" i="4" a="1"/>
  <c r="EA14" i="4" a="1"/>
  <c r="DR8" i="4" a="1"/>
  <c r="CW11" i="4" a="1"/>
  <c r="U15" i="4" a="1"/>
  <c r="AY13" i="4" a="1"/>
  <c r="CD7" i="4" a="1"/>
  <c r="BD9" i="4" a="1"/>
  <c r="AW15" i="4" a="1"/>
  <c r="CV11" i="4" a="1"/>
  <c r="BZ16" i="4" a="1"/>
  <c r="T13" i="4" a="1"/>
  <c r="CC7" i="4" a="1"/>
  <c r="BC7" i="4" a="1"/>
  <c r="M8" i="4" a="1"/>
  <c r="CR7" i="4" a="1"/>
  <c r="EC16" i="4" a="1"/>
  <c r="AB7" i="4" a="1"/>
  <c r="CT16" i="4" a="1"/>
  <c r="AL9" i="4" a="1"/>
  <c r="BO7" i="4" a="1"/>
  <c r="EH15" i="4" a="1"/>
  <c r="AY15" i="4" a="1"/>
  <c r="DV11" i="4" a="1"/>
  <c r="AM14" i="4" a="1"/>
  <c r="EA12" i="4" a="1"/>
  <c r="AT11" i="4" a="1"/>
  <c r="Y15" i="4" a="1"/>
  <c r="BU16" i="4" a="1"/>
  <c r="DC6" i="4" a="1"/>
  <c r="DB5" i="4" a="1"/>
  <c r="EI13" i="4" a="1"/>
  <c r="CV8" i="4" a="1"/>
  <c r="CB11" i="4" a="1"/>
  <c r="AS7" i="4" a="1"/>
  <c r="BE14" i="4" a="1"/>
  <c r="AA5" i="4" a="1"/>
  <c r="BU15" i="4" a="1"/>
  <c r="DN13" i="4" a="1"/>
  <c r="DG6" i="4" a="1"/>
  <c r="AL11" i="4" a="1"/>
  <c r="BK7" i="4" a="1"/>
  <c r="AW6" i="4" a="1"/>
  <c r="DE9" i="4" a="1"/>
  <c r="N8" i="4" a="1"/>
  <c r="BV12" i="4" a="1"/>
  <c r="DA16" i="4" a="1"/>
  <c r="DU12" i="4" a="1"/>
  <c r="AP12" i="4" a="1"/>
  <c r="EG15" i="4" a="1"/>
  <c r="BP13" i="4" a="1"/>
  <c r="C12" i="4" a="1"/>
  <c r="Q16" i="4" a="1"/>
  <c r="EI15" i="4" a="1"/>
  <c r="CN5" i="4" a="1"/>
  <c r="AP6" i="4" a="1"/>
  <c r="BQ14" i="4" a="1"/>
  <c r="CK16" i="4" a="1"/>
  <c r="W16" i="4" a="1"/>
  <c r="AE13" i="4" a="1"/>
  <c r="CS13" i="4" a="1"/>
  <c r="CU16" i="4" a="1"/>
  <c r="ED8" i="4" a="1"/>
  <c r="BR9" i="4" a="1"/>
  <c r="CE12" i="4" a="1"/>
  <c r="AI12" i="4" a="1"/>
  <c r="CH9" i="4" a="1"/>
  <c r="DR11" i="4" a="1"/>
  <c r="BH16" i="4" a="1"/>
  <c r="ED11" i="4" a="1"/>
  <c r="I9" i="4" a="1"/>
  <c r="X11" i="4" a="1"/>
  <c r="V7" i="4" a="1"/>
  <c r="CK9" i="4" a="1"/>
  <c r="CW6" i="4" a="1"/>
  <c r="CB6" i="4" a="1"/>
  <c r="CE9" i="4" a="1"/>
  <c r="K5" i="4" a="1"/>
  <c r="EK13" i="4" a="1"/>
  <c r="AP8" i="4" a="1"/>
  <c r="CK12" i="4" a="1"/>
  <c r="R33" i="2"/>
  <c r="E18" i="2"/>
  <c r="AH46" i="3"/>
  <c r="U46" i="3"/>
  <c r="AN7" i="4" a="1"/>
  <c r="DI14" i="4" a="1"/>
  <c r="AO11" i="4" a="1"/>
  <c r="AL5" i="4" a="1"/>
  <c r="DG16" i="4" a="1"/>
  <c r="BB6" i="4" a="1"/>
  <c r="CP8" i="4" a="1"/>
  <c r="DG14" i="4" a="1"/>
  <c r="AA11" i="4" a="1"/>
  <c r="M6" i="4" a="1"/>
  <c r="CG7" i="4" a="1"/>
  <c r="CK5" i="4" a="1"/>
  <c r="BS13" i="4" a="1"/>
  <c r="J14" i="4" a="1"/>
  <c r="AQ5" i="4" a="1"/>
  <c r="DX5" i="4" a="1"/>
  <c r="AR16" i="4" a="1"/>
  <c r="CQ15" i="4" a="1"/>
  <c r="CC14" i="4" a="1"/>
  <c r="CQ5" i="4" a="1"/>
  <c r="AW12" i="4" a="1"/>
  <c r="CE11" i="4" a="1"/>
  <c r="N11" i="4" a="1"/>
  <c r="BR7" i="4" a="1"/>
  <c r="S12" i="4" a="1"/>
  <c r="K6" i="4" a="1"/>
  <c r="DW13" i="4" a="1"/>
  <c r="AB14" i="4" a="1"/>
  <c r="O9" i="4" a="1"/>
  <c r="EF6" i="4" a="1"/>
  <c r="DA9" i="4" a="1"/>
  <c r="DL12" i="4" a="1"/>
  <c r="AW13" i="4" a="1"/>
  <c r="S7" i="4" a="1"/>
  <c r="CA5" i="4" a="1"/>
  <c r="AA14" i="4" a="1"/>
  <c r="DU9" i="4" a="1"/>
  <c r="DR9" i="4" a="1"/>
  <c r="BX14" i="4" a="1"/>
  <c r="DZ8" i="4" a="1"/>
  <c r="CZ11" i="4" a="1"/>
  <c r="EG8" i="4" a="1"/>
  <c r="AY8" i="4" a="1"/>
  <c r="AV6" i="4" a="1"/>
  <c r="DQ12" i="4" a="1"/>
  <c r="AC13" i="4" a="1"/>
  <c r="CP5" i="4" a="1"/>
  <c r="AF14" i="4" a="1"/>
  <c r="S8" i="4" a="1"/>
  <c r="BS5" i="4" a="1"/>
  <c r="DD7" i="4" a="1"/>
  <c r="BR16" i="4" a="1"/>
  <c r="H9" i="4" a="1"/>
  <c r="H7" i="4" a="1"/>
  <c r="CC15" i="4" a="1"/>
  <c r="BG14" i="4" a="1"/>
  <c r="EB7" i="4" a="1"/>
  <c r="EE5" i="4" a="1"/>
  <c r="CE16" i="4" a="1"/>
  <c r="BC6" i="4" a="1"/>
  <c r="DK12" i="4" a="1"/>
  <c r="DJ12" i="4" a="1"/>
  <c r="DE5" i="4" a="1"/>
  <c r="AV7" i="4" a="1"/>
  <c r="U34" i="2"/>
  <c r="R11" i="2"/>
  <c r="D11" i="3"/>
  <c r="AR23" i="3"/>
  <c r="AI14" i="4" a="1"/>
  <c r="CG12" i="4" a="1"/>
  <c r="P14" i="4" a="1"/>
  <c r="DD9" i="4" a="1"/>
  <c r="CR5" i="4" a="1"/>
  <c r="P8" i="4" a="1"/>
  <c r="BA6" i="4" a="1"/>
  <c r="X9" i="4" a="1"/>
  <c r="EF15" i="4" a="1"/>
  <c r="BW16" i="4" a="1"/>
  <c r="BC15" i="4" a="1"/>
  <c r="AJ5" i="4" a="1"/>
  <c r="AG14" i="4" a="1"/>
  <c r="BI15" i="4" a="1"/>
  <c r="BB15" i="4" a="1"/>
  <c r="CA11" i="4" a="1"/>
  <c r="BR6" i="4" a="1"/>
  <c r="Y11" i="4" a="1"/>
  <c r="DC13" i="4" a="1"/>
  <c r="CV13" i="4" a="1"/>
  <c r="Y7" i="4" a="1"/>
  <c r="DZ13" i="4" a="1"/>
  <c r="CM14" i="4" a="1"/>
  <c r="EE15" i="4" a="1"/>
  <c r="BX6" i="4" a="1"/>
  <c r="DO15" i="4" a="1"/>
  <c r="DN8" i="4" a="1"/>
  <c r="AH7" i="4" a="1"/>
  <c r="CY13" i="4" a="1"/>
  <c r="EE13" i="4" a="1"/>
  <c r="AD6" i="4" a="1"/>
  <c r="N6" i="4" a="1"/>
  <c r="M12" i="4" a="1"/>
  <c r="W9" i="4" a="1"/>
  <c r="BL14" i="4" a="1"/>
  <c r="DC5" i="4" a="1"/>
  <c r="CD13" i="4" a="1"/>
  <c r="EF9" i="4" a="1"/>
  <c r="AQ8" i="4" a="1"/>
  <c r="EH6" i="4" a="1"/>
  <c r="Z6" i="4" a="1"/>
  <c r="AF12" i="4" a="1"/>
  <c r="CN6" i="4" a="1"/>
  <c r="CH11" i="4" a="1"/>
  <c r="CG11" i="4" a="1"/>
  <c r="S14" i="4" a="1"/>
  <c r="AM12" i="4" a="1"/>
  <c r="BH13" i="4" a="1"/>
  <c r="EF16" i="4" a="1"/>
  <c r="DM9" i="4" a="1"/>
  <c r="CY5" i="4" a="1"/>
  <c r="DI11" i="4" a="1"/>
  <c r="CU7" i="4" a="1"/>
  <c r="AO16" i="4" a="1"/>
  <c r="CU15" i="4" a="1"/>
  <c r="AN6" i="4" a="1"/>
  <c r="EB13" i="4" a="1"/>
  <c r="DE7" i="4" a="1"/>
  <c r="BI12" i="4" a="1"/>
  <c r="BW14" i="4" a="1"/>
  <c r="AQ11" i="4" a="1"/>
  <c r="CP11" i="4" a="1"/>
  <c r="AE8" i="4" a="1"/>
  <c r="AL16" i="4" a="1"/>
  <c r="BF6" i="4" a="1"/>
  <c r="AG6" i="4" a="1"/>
  <c r="EJ8" i="4" a="1"/>
  <c r="Q11" i="4" a="1"/>
  <c r="Q9" i="4" a="1"/>
  <c r="BL6" i="4" a="1"/>
  <c r="DT15" i="4" a="1"/>
  <c r="DV13" i="4" a="1"/>
  <c r="DV14" i="4" a="1"/>
  <c r="DK15" i="4" a="1"/>
  <c r="CS11" i="4" a="1"/>
  <c r="CX9" i="4" a="1"/>
  <c r="CC12" i="4" a="1"/>
  <c r="BU11" i="4" a="1"/>
  <c r="BW8" i="4" a="1"/>
  <c r="AF5" i="4" a="1"/>
  <c r="DU15" i="4" a="1"/>
  <c r="BA13" i="4" a="1"/>
  <c r="BE16" i="4" a="1"/>
  <c r="DV9" i="4" a="1"/>
  <c r="Q6" i="4" a="1"/>
  <c r="CZ6" i="4" a="1"/>
  <c r="N5" i="4" a="1"/>
  <c r="EH14" i="4" a="1"/>
  <c r="BY12" i="4" a="1"/>
  <c r="EH12" i="4" a="1"/>
  <c r="BH11" i="4" a="1"/>
  <c r="AO13" i="4" a="1"/>
  <c r="BA11" i="4" a="1"/>
  <c r="E5" i="4" a="1"/>
  <c r="BY6" i="4" a="1"/>
  <c r="EC6" i="4" a="1"/>
  <c r="AU5" i="4" a="1"/>
  <c r="BL7" i="4" a="1"/>
  <c r="EE9" i="4" a="1"/>
  <c r="AM16" i="4" a="1"/>
  <c r="DS5" i="4" a="1"/>
  <c r="DG9" i="4" a="1"/>
  <c r="DI12" i="4" a="1"/>
  <c r="DK8" i="4" a="1"/>
  <c r="N35" i="2"/>
  <c r="AR83" i="3"/>
  <c r="F6" i="3"/>
  <c r="F41" i="3"/>
  <c r="S11" i="4" a="1"/>
  <c r="CQ13" i="4" a="1"/>
  <c r="P16" i="4" a="1"/>
  <c r="DW6" i="4" a="1"/>
  <c r="CL9" i="4" a="1"/>
  <c r="W12" i="4" a="1"/>
  <c r="DC15" i="4" a="1"/>
  <c r="H6" i="4" a="1"/>
  <c r="DF12" i="4" a="1"/>
  <c r="K9" i="4" a="1"/>
  <c r="CD6" i="4" a="1"/>
  <c r="CH15" i="4" a="1"/>
  <c r="D11" i="4" a="1"/>
  <c r="DO16" i="4" a="1"/>
  <c r="BJ15" i="4" a="1"/>
  <c r="CY8" i="4" a="1"/>
  <c r="CI12" i="4" a="1"/>
  <c r="BR11" i="4" a="1"/>
  <c r="CP15" i="4" a="1"/>
  <c r="R5" i="4" a="1"/>
  <c r="BP9" i="4" a="1"/>
  <c r="I12" i="4" a="1"/>
  <c r="BP14" i="4" a="1"/>
  <c r="BY11" i="4" a="1"/>
  <c r="CO5" i="4" a="1"/>
  <c r="AS11" i="4" a="1"/>
  <c r="AJ8" i="4" a="1"/>
  <c r="DJ8" i="4" a="1"/>
  <c r="CG5" i="4" a="1"/>
  <c r="BN8" i="4" a="1"/>
  <c r="CZ5" i="4" a="1"/>
  <c r="AP5" i="4" a="1"/>
  <c r="DD5" i="4" a="1"/>
  <c r="DL7" i="4" a="1"/>
  <c r="DD8" i="4" a="1"/>
  <c r="EC5" i="4" a="1"/>
  <c r="DX16" i="4" a="1"/>
  <c r="AT16" i="4" a="1"/>
  <c r="F14" i="4" a="1"/>
  <c r="DN7" i="4" a="1"/>
  <c r="AT9" i="4" a="1"/>
  <c r="AS16" i="4" a="1"/>
  <c r="BJ13" i="4" a="1"/>
  <c r="BU9" i="4" a="1"/>
  <c r="DY12" i="4" a="1"/>
  <c r="CX13" i="4" a="1"/>
  <c r="E7" i="4" a="1"/>
  <c r="T14" i="4" a="1"/>
  <c r="AT12" i="4" a="1"/>
  <c r="EE7" i="4" a="1"/>
  <c r="DW8" i="4" a="1"/>
  <c r="BW5" i="4" a="1"/>
  <c r="CA13" i="4" a="1"/>
  <c r="BF8" i="4" a="1"/>
  <c r="DK11" i="4" a="1"/>
  <c r="Z12" i="4" a="1"/>
  <c r="Z14" i="4" a="1"/>
  <c r="AC8" i="4" a="1"/>
  <c r="CZ14" i="4" a="1"/>
  <c r="DD15" i="4" a="1"/>
  <c r="BQ5" i="4" a="1"/>
  <c r="O13" i="4" a="1"/>
  <c r="L15" i="4" a="1"/>
  <c r="CC9" i="4" a="1"/>
  <c r="AN14" i="4" a="1"/>
  <c r="EJ9" i="4" a="1"/>
  <c r="AO15" i="4" a="1"/>
  <c r="EG13" i="4" a="1"/>
  <c r="CM5" i="4" a="1"/>
  <c r="BM7" i="4" a="1"/>
  <c r="CO12" i="4" a="1"/>
  <c r="T11" i="4" a="1"/>
  <c r="AM15" i="4" a="1"/>
  <c r="BK14" i="4" a="1"/>
  <c r="DA6" i="4" a="1"/>
  <c r="BA16" i="4" a="1"/>
  <c r="AQ7" i="4" a="1"/>
  <c r="BK5" i="4" a="1"/>
  <c r="EB11" i="4" a="1"/>
  <c r="CW12" i="4" a="1"/>
  <c r="EI7" i="4" a="1"/>
  <c r="DZ5" i="4" a="1"/>
  <c r="CV5" i="4" a="1"/>
  <c r="CJ14" i="4" a="1"/>
  <c r="CL15" i="4" a="1"/>
  <c r="EJ6" i="4" a="1"/>
  <c r="CG9" i="4" a="1"/>
  <c r="G13" i="4" a="1"/>
  <c r="DN5" i="4" a="1"/>
  <c r="BA12" i="4" a="1"/>
  <c r="EK11" i="4" a="1"/>
  <c r="AJ6" i="4" a="1"/>
  <c r="AK11" i="4" a="1"/>
  <c r="BP15" i="4" a="1"/>
  <c r="AV12" i="4" a="1"/>
  <c r="BN13" i="4" a="1"/>
  <c r="AR6" i="4" a="1"/>
  <c r="AG5" i="4" a="1"/>
  <c r="EK6" i="4" a="1"/>
  <c r="J6" i="4" a="1"/>
  <c r="Y13" i="4" a="1"/>
  <c r="DH11" i="4" a="1"/>
  <c r="CG15" i="4" a="1"/>
  <c r="DW16" i="4" a="1"/>
  <c r="DS14" i="4" a="1"/>
  <c r="O15" i="4" a="1"/>
  <c r="CG13" i="4" a="1"/>
  <c r="Q24" i="2"/>
  <c r="K27" i="2"/>
  <c r="D32" i="3"/>
  <c r="R45" i="3"/>
  <c r="DU7" i="4" a="1"/>
  <c r="DN9" i="4" a="1"/>
  <c r="AO5" i="4" a="1"/>
  <c r="AY9" i="4" a="1"/>
  <c r="DU5" i="4" a="1"/>
  <c r="AD12" i="4" a="1"/>
  <c r="I13" i="4" a="1"/>
  <c r="BP5" i="4" a="1"/>
  <c r="D9" i="4" a="1"/>
  <c r="EI12" i="4" a="1"/>
  <c r="BS14" i="4" a="1"/>
  <c r="BV11" i="4" a="1"/>
  <c r="G11" i="4" a="1"/>
  <c r="AL6" i="4" a="1"/>
  <c r="EB16" i="4" a="1"/>
  <c r="V8" i="4" a="1"/>
  <c r="EE6" i="4" a="1"/>
  <c r="DM16" i="4" a="1"/>
  <c r="EH8" i="4" a="1"/>
  <c r="CF13" i="4" a="1"/>
  <c r="DH13" i="4" a="1"/>
  <c r="AZ13" i="4" a="1"/>
  <c r="V9" i="4" a="1"/>
  <c r="BK9" i="4" a="1"/>
  <c r="DT13" i="4" a="1"/>
  <c r="H5" i="4" a="1"/>
  <c r="AA8" i="4" a="1"/>
  <c r="DA13" i="4" a="1"/>
  <c r="AT13" i="4" a="1"/>
  <c r="DU6" i="4" a="1"/>
  <c r="EK14" i="4" a="1"/>
  <c r="C11" i="4" a="1"/>
  <c r="DX15" i="4" a="1"/>
  <c r="BY9" i="4" a="1"/>
  <c r="AH6" i="4" a="1"/>
  <c r="M13" i="4" a="1"/>
  <c r="DH5" i="4" a="1"/>
  <c r="R9" i="4" a="1"/>
  <c r="AW8" i="4" a="1"/>
  <c r="CP6" i="4" a="1"/>
  <c r="EG9" i="4" a="1"/>
  <c r="EK7" i="4" a="1"/>
  <c r="DR15" i="4" a="1"/>
  <c r="AD13" i="4" a="1"/>
  <c r="AG8" i="4" a="1"/>
  <c r="BB7" i="4" a="1"/>
  <c r="CL7" i="4" a="1"/>
  <c r="AN5" i="4" a="1"/>
  <c r="DE6" i="4" a="1"/>
  <c r="BN5" i="4" a="1"/>
  <c r="CZ7" i="4" a="1"/>
  <c r="CY11" i="4" a="1"/>
  <c r="ED13" i="4" a="1"/>
  <c r="DS7" i="4" a="1"/>
  <c r="BQ12" i="4" a="1"/>
  <c r="CA14" i="4" a="1"/>
  <c r="DB15" i="4" a="1"/>
  <c r="BW9" i="4" a="1"/>
  <c r="AD14" i="4" a="1"/>
  <c r="BF15" i="4" a="1"/>
  <c r="DN16" i="4" a="1"/>
  <c r="N16" i="4" a="1"/>
  <c r="AW16" i="4" a="1"/>
  <c r="DY15" i="4" a="1"/>
  <c r="BC11" i="4" a="1"/>
  <c r="CR14" i="4" a="1"/>
  <c r="DB11" i="4" a="1"/>
  <c r="BI11" i="4" a="1"/>
  <c r="DR13" i="4" a="1"/>
  <c r="G5" i="4" a="1"/>
  <c r="AQ6" i="4" a="1"/>
  <c r="BS9" i="4" a="1"/>
  <c r="BB5" i="4" a="1"/>
  <c r="CV7" i="4" a="1"/>
  <c r="BH9" i="4" a="1"/>
  <c r="AF11" i="4" a="1"/>
  <c r="O12" i="4" a="1"/>
  <c r="L14" i="4" a="1"/>
  <c r="DY7" i="4" a="1"/>
  <c r="Q7" i="4" a="1"/>
  <c r="U13" i="2"/>
  <c r="C30" i="2"/>
  <c r="D8" i="3"/>
  <c r="ED16" i="4" a="1"/>
  <c r="BH5" i="4" a="1"/>
  <c r="BM15" i="4" a="1"/>
  <c r="DE15" i="4" a="1"/>
  <c r="ED9" i="4" a="1"/>
  <c r="CQ8" i="4" a="1"/>
  <c r="CT12" i="4" a="1"/>
  <c r="AN11" i="4" a="1"/>
  <c r="EI9" i="4" a="1"/>
  <c r="AT8" i="4" a="1"/>
  <c r="DX8" i="4" a="1"/>
  <c r="F15" i="4" a="1"/>
  <c r="EA7" i="4" a="1"/>
  <c r="AS15" i="4" a="1"/>
  <c r="L16" i="4" a="1"/>
  <c r="BC16" i="4" a="1"/>
  <c r="P6" i="4" a="1"/>
  <c r="BC13" i="4" a="1"/>
  <c r="T9" i="4" a="1"/>
  <c r="G6" i="4" a="1"/>
  <c r="CN12" i="4" a="1"/>
  <c r="AV5" i="4" a="1"/>
  <c r="AP13" i="4" a="1"/>
  <c r="DR14" i="4" a="1"/>
  <c r="DS8" i="4" a="1"/>
  <c r="DC8" i="4" a="1"/>
  <c r="CM9" i="4" a="1"/>
  <c r="BT14" i="4" a="1"/>
  <c r="F6" i="4" a="1"/>
  <c r="EH9" i="4" a="1"/>
  <c r="BZ14" i="4" a="1"/>
  <c r="BD14" i="4" a="1"/>
  <c r="CV15" i="4" a="1"/>
  <c r="P11" i="4" a="1"/>
  <c r="CR12" i="4" a="1"/>
  <c r="DV8" i="4" a="1"/>
  <c r="Y9" i="4" a="1"/>
  <c r="AR7" i="4" a="1"/>
  <c r="CH16" i="4" a="1"/>
  <c r="CL5" i="4" a="1"/>
  <c r="N15" i="4" a="1"/>
  <c r="EK9" i="4" a="1"/>
  <c r="DH9" i="4" a="1"/>
  <c r="BM12" i="4" a="1"/>
  <c r="AU8" i="4" a="1"/>
  <c r="ED15" i="4" a="1"/>
  <c r="AX7" i="4" a="1"/>
  <c r="AE14" i="4" a="1"/>
  <c r="AQ14" i="4" a="1"/>
  <c r="CU12" i="4" a="1"/>
  <c r="CZ13" i="4" a="1"/>
  <c r="CB16" i="4" a="1"/>
  <c r="AU6" i="4" a="1"/>
  <c r="BA8" i="4" a="1"/>
  <c r="BX15" i="4" a="1"/>
  <c r="AO6" i="4" a="1"/>
  <c r="AN16" i="4" a="1"/>
  <c r="DI6" i="4" a="1"/>
  <c r="DY13" i="4" a="1"/>
  <c r="CQ16" i="4" a="1"/>
  <c r="ED12" i="4" a="1"/>
  <c r="CI6" i="4" a="1"/>
  <c r="CO15" i="4" a="1"/>
  <c r="BZ7" i="4" a="1"/>
  <c r="CI5" i="4" a="1"/>
  <c r="S9" i="4" a="1"/>
  <c r="BY16" i="4" a="1"/>
  <c r="AW11" i="4" a="1"/>
  <c r="R12" i="4" a="1"/>
  <c r="CV16" i="4" a="1"/>
  <c r="BD13" i="4" a="1"/>
  <c r="CJ15" i="4" a="1"/>
  <c r="S6" i="4" a="1"/>
  <c r="CD15" i="4" a="1"/>
  <c r="CO7" i="4" a="1"/>
  <c r="CH5" i="4" a="1"/>
  <c r="CA7" i="4" a="1"/>
  <c r="BQ13" i="4" a="1"/>
  <c r="S16" i="4" a="1"/>
  <c r="AG15" i="4" a="1"/>
  <c r="U5" i="4" a="1"/>
  <c r="BD11" i="4" a="1"/>
  <c r="CS5" i="4" a="1"/>
  <c r="F13" i="4" a="1"/>
  <c r="CU5" i="4" a="1"/>
  <c r="CU14" i="4" a="1"/>
  <c r="M9" i="4" a="1"/>
  <c r="BH8" i="4" a="1"/>
  <c r="AM13" i="4" a="1"/>
  <c r="EH11" i="4" a="1"/>
  <c r="CO8" i="4" a="1"/>
  <c r="EJ11" i="4" a="1"/>
  <c r="U13" i="4" a="1"/>
  <c r="DS9" i="4" a="1"/>
  <c r="CK7" i="4" a="1"/>
  <c r="CL14" i="4" a="1"/>
  <c r="BG9" i="4" a="1"/>
  <c r="DA5" i="4" a="1"/>
  <c r="G25" i="2"/>
  <c r="AM46" i="3"/>
  <c r="P45" i="3"/>
  <c r="DO5" i="4" a="1"/>
  <c r="AD8" i="4" a="1"/>
  <c r="AK13" i="4" a="1"/>
  <c r="DG11" i="4" a="1"/>
  <c r="AF8" i="4" a="1"/>
  <c r="DJ14" i="4" a="1"/>
  <c r="BX5" i="4" a="1"/>
  <c r="AW14" i="4" a="1"/>
  <c r="DY14" i="4" a="1"/>
  <c r="AT6" i="4" a="1"/>
  <c r="AJ9" i="4" a="1"/>
  <c r="AA16" i="4" a="1"/>
  <c r="BX12" i="4" a="1"/>
  <c r="CB12" i="4" a="1"/>
  <c r="CM15" i="4" a="1"/>
  <c r="AR9" i="4" a="1"/>
  <c r="CV14" i="4" a="1"/>
  <c r="L11" i="4" a="1"/>
  <c r="AB6" i="4" a="1"/>
  <c r="BC14" i="4" a="1"/>
  <c r="CF8" i="4" a="1"/>
  <c r="DP6" i="4" a="1"/>
  <c r="CS6" i="4" a="1"/>
  <c r="AF13" i="4" a="1"/>
  <c r="DY5" i="4" a="1"/>
  <c r="X14" i="4" a="1"/>
  <c r="DU16" i="4" a="1"/>
  <c r="CY9" i="4" a="1"/>
  <c r="H12" i="4" a="1"/>
  <c r="EB15" i="4" a="1"/>
  <c r="P5" i="4" a="1"/>
  <c r="EF11" i="4" a="1"/>
  <c r="BD16" i="4" a="1"/>
  <c r="M11" i="4" a="1"/>
  <c r="CC5" i="4" a="1"/>
  <c r="CX12" i="4" a="1"/>
  <c r="S5" i="4" a="1"/>
  <c r="AW9" i="4" a="1"/>
  <c r="BN15" i="4" a="1"/>
  <c r="BG16" i="4" a="1"/>
  <c r="CE14" i="4" a="1"/>
  <c r="DJ11" i="4" a="1"/>
  <c r="BN12" i="4" a="1"/>
  <c r="AZ16" i="4" a="1"/>
  <c r="BG13" i="4" a="1"/>
  <c r="CW16" i="4" a="1"/>
  <c r="Z13" i="4" a="1"/>
  <c r="BM11" i="4" a="1"/>
  <c r="AA15" i="4" a="1"/>
  <c r="BL15" i="4" a="1"/>
  <c r="DY9" i="4" a="1"/>
  <c r="DU14" i="4" a="1"/>
  <c r="CF5" i="4" a="1"/>
  <c r="DS15" i="4" a="1"/>
  <c r="AH11" i="4" a="1"/>
  <c r="BQ6" i="4" a="1"/>
  <c r="CU13" i="4" a="1"/>
  <c r="AB8" i="4" a="1"/>
  <c r="DE13" i="4" a="1"/>
  <c r="G16" i="4" a="1"/>
  <c r="AM9" i="4" a="1"/>
  <c r="EB14" i="4" a="1"/>
  <c r="CE15" i="4" a="1"/>
  <c r="H13" i="4" a="1"/>
  <c r="CO11" i="4" a="1"/>
  <c r="CS9" i="4" a="1"/>
  <c r="C16" i="4" a="1"/>
  <c r="AY14" i="4" a="1"/>
  <c r="CX8" i="4" a="1"/>
  <c r="DO13" i="4" a="1"/>
  <c r="BX7" i="4" a="1"/>
  <c r="AJ11" i="4" a="1"/>
  <c r="AJ15" i="4" a="1"/>
  <c r="DO7" i="4" a="1"/>
  <c r="DM7" i="4" a="1"/>
  <c r="DT8" i="4" a="1"/>
  <c r="CI8" i="4" a="1"/>
  <c r="P12" i="4" a="1"/>
  <c r="AG13" i="4" a="1"/>
  <c r="AX12" i="4" a="1"/>
  <c r="CR15" i="4" a="1"/>
  <c r="P15" i="4" a="1"/>
  <c r="AC7" i="4" a="1"/>
  <c r="D5" i="4" a="1"/>
  <c r="F16" i="3"/>
  <c r="DQ5" i="4" a="1"/>
  <c r="DN6" i="4" a="1"/>
  <c r="I15" i="4" a="1"/>
  <c r="DJ9" i="4" a="1"/>
  <c r="DI5" i="4" a="1"/>
  <c r="DQ6" i="4" a="1"/>
  <c r="J15" i="4" a="1"/>
  <c r="R7" i="4" a="1"/>
  <c r="Y14" i="4" a="1"/>
  <c r="DM14" i="4" a="1"/>
  <c r="L8" i="4" a="1"/>
  <c r="CL8" i="4" a="1"/>
  <c r="CW15" i="4" a="1"/>
  <c r="BT11" i="4" a="1"/>
  <c r="DS11" i="4" a="1"/>
  <c r="DY6" i="4" a="1"/>
  <c r="AZ11" i="4" a="1"/>
  <c r="CU11" i="4" a="1"/>
  <c r="BN14" i="4" a="1"/>
  <c r="D33" i="2"/>
  <c r="F22" i="3"/>
  <c r="F37" i="3"/>
  <c r="DL9" i="4" a="1"/>
  <c r="DS12" i="4" a="1"/>
  <c r="U16" i="4" a="1"/>
  <c r="CC8" i="4" a="1"/>
  <c r="EK8" i="4" a="1"/>
  <c r="DI13" i="4" a="1"/>
  <c r="DO6" i="4" a="1"/>
  <c r="BM14" i="4" a="1"/>
  <c r="BL16" i="4" a="1"/>
  <c r="BG7" i="4" a="1"/>
  <c r="U14" i="4" a="1"/>
  <c r="BV9" i="4" a="1"/>
  <c r="BO16" i="4" a="1"/>
  <c r="AK15" i="4" a="1"/>
  <c r="DT11" i="4" a="1"/>
  <c r="AP7" i="4" a="1"/>
  <c r="AS8" i="4" a="1"/>
  <c r="G7" i="4" a="1"/>
  <c r="R8" i="4" a="1"/>
  <c r="DO8" i="4" a="1"/>
  <c r="AB16" i="4" a="1"/>
  <c r="AQ16" i="4" a="1"/>
  <c r="EC14" i="4" a="1"/>
  <c r="AP14" i="4" a="1"/>
  <c r="BR14" i="4" a="1"/>
  <c r="AQ9" i="4" a="1"/>
  <c r="AE9" i="4" a="1"/>
  <c r="CC6" i="4" a="1"/>
  <c r="AA7" i="4" a="1"/>
  <c r="CO16" i="4" a="1"/>
  <c r="DK9" i="4" a="1"/>
  <c r="CW5" i="4" a="1"/>
  <c r="W7" i="4" a="1"/>
  <c r="BA14" i="4" a="1"/>
  <c r="DD11" i="4" a="1"/>
  <c r="G8" i="4" a="1"/>
  <c r="BF5" i="4" a="1"/>
  <c r="CH12" i="4" a="1"/>
  <c r="CA16" i="4" a="1"/>
  <c r="CB8" i="4" a="1"/>
  <c r="V13" i="4" a="1"/>
  <c r="BT12" i="4" a="1"/>
  <c r="DV12" i="4" a="1"/>
  <c r="DH7" i="4" a="1"/>
  <c r="P13" i="4" a="1"/>
  <c r="CR11" i="4" a="1"/>
  <c r="F5" i="4" a="1"/>
  <c r="Q15" i="4" a="1"/>
  <c r="X12" i="4" a="1"/>
  <c r="DB9" i="4" a="1"/>
  <c r="DW11" i="4" a="1"/>
  <c r="EG11" i="4" a="1"/>
  <c r="H11" i="4" a="1"/>
  <c r="AO8" i="4" a="1"/>
  <c r="EF12" i="4" a="1"/>
  <c r="BP6" i="4" a="1"/>
  <c r="BD8" i="4" a="1"/>
  <c r="G15" i="4" a="1"/>
  <c r="CX11" i="4" a="1"/>
  <c r="CI9" i="4" a="1"/>
  <c r="CY7" i="4" a="1"/>
  <c r="BX11" i="4" a="1"/>
  <c r="K11" i="4" a="1"/>
  <c r="AL14" i="4" a="1"/>
  <c r="BD7" i="4" a="1"/>
  <c r="BO11" i="4" a="1"/>
  <c r="DL8" i="4" a="1"/>
  <c r="E11" i="4" a="1"/>
  <c r="Z11" i="4" a="1"/>
  <c r="AT7" i="4" a="1"/>
  <c r="W14" i="4" a="1"/>
  <c r="DF8" i="4" a="1"/>
  <c r="DP13" i="4" a="1"/>
  <c r="CQ9" i="4" a="1"/>
  <c r="DC11" i="4" a="1"/>
  <c r="BE9" i="4" a="1"/>
  <c r="J13" i="4" a="1"/>
  <c r="DM8" i="4" a="1"/>
  <c r="U7" i="4" a="1"/>
  <c r="BZ12" i="4" a="1"/>
  <c r="CJ7" i="4" a="1"/>
  <c r="AM8" i="4" a="1"/>
  <c r="CS16" i="4" a="1"/>
  <c r="O5" i="4" a="1"/>
  <c r="AH16" i="4" a="1"/>
  <c r="DA15" i="4" a="1"/>
  <c r="DN11" i="4" a="1"/>
  <c r="DD16" i="4" a="1"/>
  <c r="AS12" i="4" a="1"/>
  <c r="T6" i="4" a="1"/>
  <c r="AZ6" i="4" a="1"/>
  <c r="CQ11" i="4" a="1"/>
  <c r="DD6" i="4" a="1"/>
  <c r="AU14" i="4" a="1"/>
  <c r="F36" i="2"/>
  <c r="AI46" i="3"/>
  <c r="AD12" i="3"/>
  <c r="CY15" i="4" a="1"/>
  <c r="AJ14" i="4" a="1"/>
  <c r="W5" i="4" a="1"/>
  <c r="Y8" i="4" a="1"/>
  <c r="AH5" i="4" a="1"/>
  <c r="CA9" i="4" a="1"/>
  <c r="AX16" i="4" a="1"/>
  <c r="BH7" i="4" a="1"/>
  <c r="AC6" i="4" a="1"/>
  <c r="DZ11" i="4" a="1"/>
  <c r="AT15" i="4" a="1"/>
  <c r="CG14" i="4" a="1"/>
  <c r="AW5" i="4" a="1"/>
  <c r="AH12" i="4" a="1"/>
  <c r="AX13" i="4" a="1"/>
  <c r="BZ13" i="4" a="1"/>
  <c r="DV6" i="4" a="1"/>
  <c r="CK13" i="4" a="1"/>
  <c r="CR16" i="4" a="1"/>
  <c r="R15" i="4" a="1"/>
  <c r="CW8" i="4" a="1"/>
  <c r="L12" i="4" a="1"/>
  <c r="K13" i="4" a="1"/>
  <c r="AH14" i="4" a="1"/>
  <c r="Q12" i="4" a="1"/>
  <c r="BK15" i="4" a="1"/>
  <c r="N12" i="4" a="1"/>
  <c r="EI11" i="4" a="1"/>
  <c r="EJ15" i="4" a="1"/>
  <c r="EB9" i="4" a="1"/>
  <c r="DI9" i="4" a="1"/>
  <c r="CJ16" i="4" a="1"/>
  <c r="BS8" i="4" a="1"/>
  <c r="BU5" i="4" a="1"/>
  <c r="AX5" i="4" a="1"/>
  <c r="H15" i="2"/>
  <c r="G31" i="3"/>
  <c r="AR8" i="3"/>
  <c r="BK8" i="4" a="1"/>
  <c r="AF16" i="4" a="1"/>
  <c r="DQ13" i="4" a="1"/>
  <c r="J7" i="4" a="1"/>
  <c r="DQ11" i="4" a="1"/>
  <c r="D15" i="4" a="1"/>
  <c r="D7" i="4" a="1"/>
  <c r="DA14" i="4" a="1"/>
  <c r="BI9" i="4" a="1"/>
  <c r="AD16" i="4" a="1"/>
  <c r="AR13" i="4" a="1"/>
  <c r="CZ8" i="4" a="1"/>
  <c r="BB11" i="4" a="1"/>
  <c r="BO15" i="4" a="1"/>
  <c r="DX11" i="4" a="1"/>
  <c r="C13" i="4" a="1"/>
  <c r="BJ14" i="4" a="1"/>
  <c r="AL7" i="4" a="1"/>
  <c r="AY16" i="4" a="1"/>
  <c r="E13" i="4" a="1"/>
  <c r="C14" i="4" a="1"/>
  <c r="DZ15" i="4" a="1"/>
  <c r="AF15" i="4" a="1"/>
  <c r="AF6" i="4" a="1"/>
  <c r="BO6" i="4" a="1"/>
  <c r="AV13" i="4" a="1"/>
  <c r="X15" i="4" a="1"/>
  <c r="AU15" i="4" a="1"/>
  <c r="DJ7" i="4" a="1"/>
  <c r="DB6" i="4" a="1"/>
  <c r="CE8" i="4" a="1"/>
  <c r="BH15" i="4" a="1"/>
  <c r="O14" i="4" a="1"/>
  <c r="O16" i="4" a="1"/>
  <c r="DJ15" i="4" a="1"/>
  <c r="BI8" i="4" a="1"/>
  <c r="BK16" i="4" a="1"/>
  <c r="EI8" i="4" a="1"/>
  <c r="DD14" i="4" a="1"/>
  <c r="I6" i="4" a="1"/>
  <c r="S13" i="4" a="1"/>
  <c r="DW12" i="4" a="1"/>
  <c r="W14" i="2"/>
  <c r="AD15" i="3"/>
  <c r="R27" i="2"/>
  <c r="AD13" i="3"/>
  <c r="F15" i="3"/>
  <c r="AV9" i="4" a="1"/>
  <c r="BB13" i="4" a="1"/>
  <c r="BH12" i="4" a="1"/>
  <c r="BZ9" i="4" a="1"/>
  <c r="DK13" i="4" a="1"/>
  <c r="AY12" i="4" a="1"/>
  <c r="BQ8" i="4" a="1"/>
  <c r="DL5" i="4" a="1"/>
  <c r="Z5" i="4" a="1"/>
  <c r="EH13" i="4" a="1"/>
  <c r="BT16" i="4" a="1"/>
  <c r="AZ12" i="4" a="1"/>
  <c r="EG7" i="4" a="1"/>
  <c r="AO9" i="4" a="1"/>
  <c r="BM9" i="4" a="1"/>
  <c r="BD12" i="4" a="1"/>
  <c r="AV11" i="4" a="1"/>
  <c r="AE15" i="4" a="1"/>
  <c r="EF7" i="4" a="1"/>
  <c r="BM5" i="4" a="1"/>
  <c r="K12" i="4" a="1"/>
  <c r="DX9" i="4" a="1"/>
  <c r="BN6" i="4" a="1"/>
  <c r="CD11" i="4" a="1"/>
  <c r="CY14" i="4" a="1"/>
  <c r="G9" i="4" a="1"/>
  <c r="AN12" i="4" a="1"/>
  <c r="H15" i="4" a="1"/>
  <c r="AV14" i="4" a="1"/>
  <c r="BT8" i="4" a="1"/>
  <c r="BG6" i="4" a="1"/>
  <c r="BB12" i="4" a="1"/>
  <c r="CX16" i="4" a="1"/>
  <c r="X16" i="4" a="1"/>
  <c r="BE13" i="4" a="1"/>
  <c r="EA11" i="4" a="1"/>
  <c r="CY12" i="4" a="1"/>
  <c r="AR15" i="4" a="1"/>
  <c r="T5" i="4" a="1"/>
  <c r="AI6" i="4" a="1"/>
  <c r="AD15" i="4" a="1"/>
  <c r="CL13" i="4" a="1"/>
  <c r="AU9" i="4" a="1"/>
  <c r="J11" i="4" a="1"/>
  <c r="F88" i="3"/>
  <c r="G86" i="3"/>
  <c r="G81" i="3"/>
  <c r="F83" i="3"/>
  <c r="G71" i="3"/>
  <c r="F73" i="3"/>
  <c r="G93" i="3"/>
  <c r="F81" i="3"/>
  <c r="G57" i="3"/>
  <c r="F47" i="3"/>
  <c r="F75" i="3"/>
  <c r="F78" i="3"/>
  <c r="G92" i="3"/>
  <c r="F97" i="3"/>
  <c r="F87" i="3"/>
  <c r="G75" i="3"/>
  <c r="F76" i="3"/>
  <c r="G63" i="3"/>
  <c r="F49" i="3"/>
  <c r="F74" i="3"/>
  <c r="G89" i="3"/>
  <c r="F79" i="3"/>
  <c r="G96" i="3"/>
  <c r="G73" i="3"/>
  <c r="G94" i="3"/>
  <c r="F54" i="3"/>
  <c r="G59" i="3"/>
  <c r="F57" i="3"/>
  <c r="F80" i="3"/>
  <c r="G85" i="3"/>
  <c r="F70" i="3"/>
  <c r="F65" i="3"/>
  <c r="G68" i="3"/>
  <c r="F67" i="3"/>
  <c r="F77" i="3"/>
  <c r="G65" i="3"/>
  <c r="G87" i="3"/>
  <c r="G66" i="3"/>
  <c r="F95" i="3"/>
  <c r="F63" i="3"/>
  <c r="G97" i="3"/>
  <c r="G61" i="3"/>
  <c r="F96" i="3"/>
  <c r="G62" i="3"/>
  <c r="G80" i="3"/>
  <c r="F84" i="3"/>
  <c r="G90" i="3"/>
  <c r="G95" i="3"/>
  <c r="G83" i="3"/>
  <c r="G77" i="3"/>
  <c r="G67" i="3"/>
  <c r="F85" i="3"/>
  <c r="G55" i="3"/>
  <c r="F59" i="3"/>
  <c r="F71" i="3"/>
  <c r="G76" i="3"/>
  <c r="F66" i="3"/>
  <c r="G74" i="3"/>
  <c r="G88" i="3"/>
  <c r="F61" i="3"/>
  <c r="G78" i="3"/>
  <c r="F58" i="3"/>
  <c r="F82" i="3"/>
  <c r="F64" i="3"/>
  <c r="G56" i="3"/>
  <c r="G69" i="3"/>
  <c r="G84" i="3"/>
  <c r="G58" i="3"/>
  <c r="F69" i="3"/>
  <c r="G79" i="3"/>
  <c r="G70" i="3"/>
  <c r="G60" i="3"/>
  <c r="F50" i="3"/>
  <c r="F91" i="3"/>
  <c r="F86" i="3"/>
  <c r="G91" i="3"/>
  <c r="F90" i="3"/>
  <c r="F60" i="3"/>
  <c r="F48" i="3"/>
  <c r="G54" i="3" l="1"/>
  <c r="G72" i="3"/>
  <c r="F93" i="3"/>
  <c r="G82" i="3"/>
  <c r="G64" i="3"/>
  <c r="F92" i="3"/>
  <c r="F72" i="3"/>
  <c r="F94" i="3"/>
  <c r="F89" i="3"/>
  <c r="F56" i="3"/>
  <c r="F62" i="3"/>
  <c r="F68" i="3"/>
  <c r="F55" i="3"/>
  <c r="D85" i="3"/>
  <c r="AD56" i="3"/>
  <c r="AD73" i="3"/>
  <c r="E61" i="3"/>
  <c r="D63" i="3"/>
  <c r="AD61" i="3"/>
  <c r="E56" i="3"/>
  <c r="D91" i="3"/>
  <c r="AD93" i="3"/>
  <c r="E80" i="3"/>
  <c r="AD60" i="3"/>
  <c r="AD67" i="3"/>
  <c r="E83" i="3"/>
  <c r="D84" i="3"/>
  <c r="E70" i="3"/>
  <c r="D92" i="3"/>
  <c r="AD57" i="3"/>
  <c r="D54" i="3"/>
  <c r="D70" i="3"/>
  <c r="D72" i="3"/>
  <c r="AD70" i="3"/>
  <c r="AD97" i="3"/>
  <c r="E67" i="3"/>
  <c r="D83" i="3"/>
  <c r="E72" i="3"/>
  <c r="E60" i="3"/>
  <c r="AD83" i="3"/>
  <c r="D80" i="3"/>
  <c r="D74" i="3"/>
  <c r="D61" i="3"/>
  <c r="E74" i="3"/>
  <c r="D66" i="3"/>
  <c r="E82" i="3"/>
  <c r="D88" i="3"/>
  <c r="E62" i="3"/>
  <c r="AD81" i="3"/>
  <c r="AD84" i="3"/>
  <c r="D75" i="3"/>
  <c r="D64" i="3"/>
  <c r="AD96" i="3"/>
  <c r="D68" i="3"/>
  <c r="AD65" i="3"/>
  <c r="E55" i="3"/>
  <c r="D82" i="3"/>
  <c r="E68" i="3"/>
  <c r="E93" i="3"/>
  <c r="D86" i="3"/>
  <c r="AD74" i="3"/>
  <c r="D76" i="3"/>
  <c r="AD86" i="3"/>
  <c r="E69" i="3"/>
  <c r="AD79" i="3"/>
  <c r="AD62" i="3"/>
  <c r="AD64" i="3"/>
  <c r="AD66" i="3"/>
  <c r="E59" i="3"/>
  <c r="E94" i="3"/>
  <c r="AD85" i="3"/>
  <c r="AD88" i="3"/>
  <c r="D73" i="3"/>
  <c r="AD89" i="3"/>
  <c r="E81" i="3"/>
  <c r="D81" i="3"/>
  <c r="AD58" i="3"/>
  <c r="E84" i="3"/>
  <c r="E65" i="3"/>
  <c r="D79" i="3"/>
  <c r="AD55" i="3"/>
  <c r="E78" i="3"/>
  <c r="D96" i="3"/>
  <c r="E75" i="3"/>
  <c r="E64" i="3"/>
  <c r="AD63" i="3"/>
  <c r="D87" i="3"/>
  <c r="D89" i="3"/>
  <c r="E73" i="3"/>
  <c r="D69" i="3"/>
  <c r="AD72" i="3"/>
  <c r="D59" i="3"/>
  <c r="E66" i="3"/>
  <c r="E63" i="3"/>
  <c r="AD59" i="3"/>
  <c r="D60" i="3"/>
  <c r="E54" i="3"/>
  <c r="D77" i="3"/>
  <c r="AD69" i="3"/>
  <c r="E77" i="3"/>
  <c r="D55" i="3"/>
  <c r="AD80" i="3"/>
  <c r="AD71" i="3"/>
  <c r="D62" i="3"/>
  <c r="AD78" i="3"/>
  <c r="D78" i="3"/>
  <c r="E76" i="3"/>
  <c r="D97" i="3"/>
  <c r="E91" i="3"/>
  <c r="AD76" i="3"/>
  <c r="D94" i="3"/>
  <c r="D56" i="3"/>
  <c r="E96" i="3"/>
  <c r="AD91" i="3"/>
  <c r="AD75" i="3"/>
  <c r="D58" i="3"/>
  <c r="E57" i="3"/>
  <c r="D57" i="3"/>
  <c r="E86" i="3"/>
  <c r="E87" i="3"/>
  <c r="E71" i="3"/>
  <c r="D90" i="3"/>
  <c r="AD87" i="3"/>
  <c r="AD90" i="3"/>
  <c r="AD95" i="3"/>
  <c r="D71" i="3"/>
  <c r="D65" i="3"/>
  <c r="E88" i="3"/>
  <c r="E85" i="3"/>
  <c r="E95" i="3"/>
  <c r="D67" i="3"/>
  <c r="AD77" i="3"/>
  <c r="E97" i="3"/>
  <c r="AD82" i="3"/>
  <c r="E58" i="3"/>
  <c r="E90" i="3"/>
  <c r="D95" i="3"/>
  <c r="E89" i="3"/>
  <c r="D93" i="3"/>
  <c r="AD54" i="3"/>
  <c r="E92" i="3"/>
  <c r="AD68" i="3"/>
  <c r="E79" i="3"/>
  <c r="AD92" i="3"/>
  <c r="AD94" i="3"/>
  <c r="HV16" i="4" s="1"/>
  <c r="IV16" i="4" s="1"/>
  <c r="IL16" i="4" s="1"/>
  <c r="IN9" i="4" s="1"/>
  <c r="ID9" i="4" s="1"/>
  <c r="AL44" i="1"/>
  <c r="Q52" i="1"/>
  <c r="Q214" i="1" s="1"/>
  <c r="BJ44" i="1"/>
  <c r="V40" i="1"/>
  <c r="II16" i="4" s="1"/>
  <c r="HS16" i="4" s="1"/>
  <c r="IE16" i="4" s="1"/>
  <c r="HX16" i="4" s="1"/>
  <c r="BX28" i="1"/>
  <c r="G43" i="1"/>
  <c r="JF9" i="4" s="1"/>
  <c r="IT16" i="4" s="1"/>
  <c r="BJ34" i="1"/>
  <c r="IX16" i="4" s="1"/>
  <c r="IG9" i="4" s="1"/>
  <c r="IQ9" i="4" s="1"/>
  <c r="IS16" i="4" s="1"/>
  <c r="HU16" i="4" s="1"/>
  <c r="C66" i="1"/>
  <c r="IZ9" i="4" s="1"/>
  <c r="AL40" i="1"/>
  <c r="IA9" i="4" s="1"/>
  <c r="JE9" i="4" s="1"/>
  <c r="HW16" i="4" s="1"/>
  <c r="HZ9" i="4" s="1"/>
  <c r="F56" i="1"/>
  <c r="JC9" i="4" s="1"/>
  <c r="HY15" i="4" s="1"/>
  <c r="JI9" i="4" s="1"/>
  <c r="JH9" i="4" s="1"/>
  <c r="HR16" i="4" s="1"/>
  <c r="B59" i="1"/>
  <c r="T44" i="1"/>
  <c r="IH9" i="4" s="1"/>
  <c r="IM9" i="4" s="1"/>
  <c r="HT9" i="4" s="1"/>
  <c r="II9" i="4" s="1"/>
  <c r="JA16" i="4" s="1"/>
  <c r="JF16" i="4" s="1"/>
  <c r="IE9" i="4" s="1"/>
  <c r="J52" i="1"/>
  <c r="J214" i="1" s="1"/>
  <c r="IO9" i="4" s="1"/>
  <c r="IC16" i="4" s="1"/>
  <c r="IX15" i="4" s="1"/>
  <c r="IR9" i="4" s="1"/>
  <c r="AL28" i="1"/>
  <c r="BX180" i="1"/>
  <c r="M71" i="1"/>
  <c r="IY9" i="4" s="1"/>
  <c r="IA16" i="4" s="1"/>
  <c r="JG9" i="4" s="1"/>
  <c r="JD9" i="4" s="1"/>
  <c r="IG16" i="4" s="1"/>
  <c r="IV9" i="4" s="1"/>
  <c r="JI8" i="4" s="1"/>
  <c r="JA9" i="4" s="1"/>
  <c r="IM16" i="4" s="1"/>
  <c r="HV9" i="4" s="1"/>
  <c r="IX9" i="4" s="1"/>
  <c r="HZ14" i="4" s="1"/>
  <c r="BX55" i="1"/>
  <c r="AJ35" i="1"/>
  <c r="Q33" i="1"/>
  <c r="HY14" i="4" s="1"/>
  <c r="IW9" i="4" s="1"/>
  <c r="HS9" i="4" s="1"/>
  <c r="IY16" i="4" s="1"/>
  <c r="D45" i="1"/>
  <c r="Q66" i="1"/>
  <c r="HQ9" i="4" s="1"/>
  <c r="IH16" i="4" s="1"/>
  <c r="IH21" i="4" s="1"/>
  <c r="BB97" i="1" s="1"/>
  <c r="IU16" i="4" s="1"/>
  <c r="AK44" i="1"/>
  <c r="M33" i="1"/>
  <c r="HR9" i="4" s="1"/>
  <c r="HW8" i="4" s="1"/>
  <c r="AL67" i="1"/>
  <c r="AK65" i="1"/>
  <c r="AM44" i="1"/>
  <c r="AK66" i="1"/>
  <c r="AK55" i="1"/>
  <c r="AJ34" i="1"/>
  <c r="AK67" i="1"/>
  <c r="E40" i="1"/>
  <c r="BX184" i="1"/>
  <c r="BY184" i="1" s="1"/>
  <c r="E65" i="1"/>
  <c r="U41" i="1"/>
  <c r="BX152" i="1"/>
  <c r="D55" i="1"/>
  <c r="W59" i="1"/>
  <c r="R29" i="1"/>
  <c r="L44" i="1"/>
  <c r="H71" i="1"/>
  <c r="R43" i="1"/>
  <c r="O40" i="1"/>
  <c r="T71" i="1"/>
  <c r="IU9" i="4" s="1"/>
  <c r="ID16" i="4" s="1"/>
  <c r="IY8" i="4" s="1"/>
  <c r="AJ29" i="1"/>
  <c r="BX43" i="1"/>
  <c r="J43" i="1"/>
  <c r="B33" i="1"/>
  <c r="BX142" i="1"/>
  <c r="BY142" i="1" s="1"/>
  <c r="H56" i="1"/>
  <c r="C45" i="1"/>
  <c r="G33" i="1"/>
  <c r="R28" i="1"/>
  <c r="R251" i="1" s="1"/>
  <c r="F59" i="1"/>
  <c r="M41" i="1"/>
  <c r="T33" i="1"/>
  <c r="J66" i="1"/>
  <c r="F41" i="1"/>
  <c r="N40" i="1"/>
  <c r="L28" i="1"/>
  <c r="L251" i="1" s="1"/>
  <c r="O56" i="1"/>
  <c r="D35" i="1"/>
  <c r="L43" i="1"/>
  <c r="O71" i="1"/>
  <c r="G45" i="1"/>
  <c r="S44" i="1"/>
  <c r="O43" i="1"/>
  <c r="N71" i="1"/>
  <c r="IX14" i="4" s="1"/>
  <c r="HW9" i="4" s="1"/>
  <c r="IR16" i="4" s="1"/>
  <c r="IR21" i="4" s="1"/>
  <c r="BL97" i="1" s="1"/>
  <c r="BL114" i="1" s="1"/>
  <c r="JE16" i="4" s="1"/>
  <c r="AM33" i="1"/>
  <c r="BJ43" i="1"/>
  <c r="AJ40" i="1"/>
  <c r="U43" i="1"/>
  <c r="G56" i="1"/>
  <c r="H33" i="1"/>
  <c r="BX172" i="1"/>
  <c r="BY172" i="1" s="1"/>
  <c r="I33" i="1"/>
  <c r="BX138" i="1"/>
  <c r="BY138" i="1" s="1"/>
  <c r="I65" i="1"/>
  <c r="H29" i="1"/>
  <c r="W152" i="1"/>
  <c r="I29" i="1"/>
  <c r="V35" i="1"/>
  <c r="T56" i="1"/>
  <c r="P147" i="1"/>
  <c r="C42" i="1"/>
  <c r="IK16" i="4" s="1"/>
  <c r="JI16" i="4" s="1"/>
  <c r="JI21" i="4" s="1"/>
  <c r="CC97" i="1" s="1"/>
  <c r="CC105" i="1" s="1"/>
  <c r="JH7" i="4" s="1"/>
  <c r="IC9" i="4" s="1"/>
  <c r="IK9" i="4" s="1"/>
  <c r="IC15" i="4" s="1"/>
  <c r="HU7" i="4" s="1"/>
  <c r="IP9" i="4" s="1"/>
  <c r="AL66" i="1"/>
  <c r="AM29" i="1"/>
  <c r="AK71" i="1"/>
  <c r="AJ44" i="1"/>
  <c r="BJ41" i="1"/>
  <c r="F45" i="1"/>
  <c r="J40" i="1"/>
  <c r="S33" i="1"/>
  <c r="N55" i="1"/>
  <c r="C44" i="1"/>
  <c r="U44" i="1"/>
  <c r="F71" i="1"/>
  <c r="F28" i="1"/>
  <c r="AL52" i="1"/>
  <c r="AL214" i="1" s="1"/>
  <c r="BX59" i="1"/>
  <c r="AK59" i="1"/>
  <c r="AM45" i="1"/>
  <c r="BX164" i="1"/>
  <c r="G71" i="1"/>
  <c r="Q42" i="1"/>
  <c r="O45" i="1"/>
  <c r="P29" i="1"/>
  <c r="K28" i="1"/>
  <c r="K251" i="1" s="1"/>
  <c r="E67" i="1"/>
  <c r="S45" i="1"/>
  <c r="H42" i="1"/>
  <c r="S35" i="1"/>
  <c r="IF9" i="4" s="1"/>
  <c r="HY16" i="4" s="1"/>
  <c r="II8" i="4" s="1"/>
  <c r="BX66" i="1"/>
  <c r="BJ40" i="1"/>
  <c r="AK34" i="1"/>
  <c r="AL65" i="1"/>
  <c r="AK45" i="1"/>
  <c r="BX34" i="1"/>
  <c r="C40" i="1"/>
  <c r="O35" i="1"/>
  <c r="L59" i="1"/>
  <c r="U33" i="1"/>
  <c r="P65" i="1"/>
  <c r="E42" i="1"/>
  <c r="G29" i="1"/>
  <c r="O66" i="1"/>
  <c r="C43" i="1"/>
  <c r="G183" i="1"/>
  <c r="F42" i="1"/>
  <c r="HY9" i="4" s="1"/>
  <c r="HY21" i="4" s="1"/>
  <c r="AS97" i="1" s="1"/>
  <c r="JB9" i="4" s="1"/>
  <c r="IY15" i="4" s="1"/>
  <c r="HP14" i="4" s="1"/>
  <c r="BJ35" i="1"/>
  <c r="BX45" i="1"/>
  <c r="AJ28" i="1"/>
  <c r="AJ251" i="1" s="1"/>
  <c r="BX35" i="1"/>
  <c r="AK29" i="1"/>
  <c r="AL29" i="1"/>
  <c r="AL30" i="1" s="1"/>
  <c r="K52" i="1"/>
  <c r="K214" i="1" s="1"/>
  <c r="G40" i="1"/>
  <c r="B40" i="1"/>
  <c r="G52" i="1"/>
  <c r="G214" i="1" s="1"/>
  <c r="C71" i="1"/>
  <c r="J41" i="1"/>
  <c r="C65" i="1"/>
  <c r="W42" i="1"/>
  <c r="IE14" i="4" s="1"/>
  <c r="II7" i="4" s="1"/>
  <c r="IJ9" i="4" s="1"/>
  <c r="BX40" i="1"/>
  <c r="AJ66" i="1"/>
  <c r="AJ56" i="1"/>
  <c r="U42" i="1"/>
  <c r="B29" i="1"/>
  <c r="V29" i="1"/>
  <c r="V30" i="1" s="1"/>
  <c r="O65" i="1"/>
  <c r="Q40" i="1"/>
  <c r="H41" i="1"/>
  <c r="V33" i="1"/>
  <c r="V44" i="1"/>
  <c r="D66" i="1"/>
  <c r="B35" i="1"/>
  <c r="W67" i="1"/>
  <c r="J42" i="1"/>
  <c r="D43" i="1"/>
  <c r="P67" i="1"/>
  <c r="H59" i="1"/>
  <c r="M40" i="1"/>
  <c r="O55" i="1"/>
  <c r="E28" i="1"/>
  <c r="E251" i="1" s="1"/>
  <c r="S71" i="1"/>
  <c r="HP9" i="4" s="1"/>
  <c r="IQ16" i="4" s="1"/>
  <c r="JG16" i="4" s="1"/>
  <c r="JG21" i="4" s="1"/>
  <c r="CA97" i="1" s="1"/>
  <c r="IP16" i="4" s="1"/>
  <c r="BX52" i="1"/>
  <c r="BX214" i="1" s="1"/>
  <c r="AL35" i="1"/>
  <c r="AJ59" i="1"/>
  <c r="AK56" i="1"/>
  <c r="D52" i="1"/>
  <c r="D214" i="1" s="1"/>
  <c r="T66" i="1"/>
  <c r="Q41" i="1"/>
  <c r="L41" i="1"/>
  <c r="F33" i="1"/>
  <c r="O59" i="1"/>
  <c r="V67" i="1"/>
  <c r="V65" i="1"/>
  <c r="T43" i="1"/>
  <c r="W29" i="1"/>
  <c r="W30" i="1" s="1"/>
  <c r="W11" i="1" s="1"/>
  <c r="BJ45" i="1"/>
  <c r="AJ67" i="1"/>
  <c r="AM35" i="1"/>
  <c r="D142" i="1"/>
  <c r="BX174" i="1"/>
  <c r="BY174" i="1" s="1"/>
  <c r="Q29" i="1"/>
  <c r="B55" i="1"/>
  <c r="I55" i="1"/>
  <c r="C33" i="1"/>
  <c r="BX93" i="1"/>
  <c r="I41" i="1"/>
  <c r="S28" i="1"/>
  <c r="B45" i="1"/>
  <c r="V43" i="1"/>
  <c r="M28" i="1"/>
  <c r="S40" i="1"/>
  <c r="M29" i="1"/>
  <c r="W52" i="1"/>
  <c r="N33" i="1"/>
  <c r="O28" i="1"/>
  <c r="G28" i="1"/>
  <c r="G251" i="1" s="1"/>
  <c r="K65" i="1"/>
  <c r="I56" i="1"/>
  <c r="S59" i="1"/>
  <c r="I43" i="1"/>
  <c r="E71" i="1"/>
  <c r="J55" i="1"/>
  <c r="F66" i="1"/>
  <c r="P59" i="1"/>
  <c r="K35" i="1"/>
  <c r="R56" i="1"/>
  <c r="L45" i="1"/>
  <c r="T35" i="1"/>
  <c r="BX33" i="1"/>
  <c r="AM55" i="1"/>
  <c r="AM42" i="1"/>
  <c r="BX44" i="1"/>
  <c r="AM43" i="1"/>
  <c r="AL34" i="1"/>
  <c r="AL56" i="1"/>
  <c r="BJ33" i="1"/>
  <c r="BX65" i="1"/>
  <c r="M43" i="1"/>
  <c r="W35" i="1"/>
  <c r="C56" i="1"/>
  <c r="P173" i="1"/>
  <c r="G66" i="1"/>
  <c r="V42" i="1"/>
  <c r="BX179" i="1"/>
  <c r="P175" i="1"/>
  <c r="J45" i="1"/>
  <c r="D29" i="1"/>
  <c r="BY93" i="1"/>
  <c r="D41" i="1"/>
  <c r="L33" i="1"/>
  <c r="L29" i="1"/>
  <c r="O44" i="1"/>
  <c r="F40" i="1"/>
  <c r="G55" i="1"/>
  <c r="S67" i="1"/>
  <c r="V59" i="1"/>
  <c r="M66" i="1"/>
  <c r="Q44" i="1"/>
  <c r="N56" i="1"/>
  <c r="S43" i="1"/>
  <c r="M52" i="1"/>
  <c r="M214" i="1" s="1"/>
  <c r="N42" i="1"/>
  <c r="V41" i="1"/>
  <c r="U71" i="1"/>
  <c r="N28" i="1"/>
  <c r="N251" i="1" s="1"/>
  <c r="N29" i="1"/>
  <c r="N30" i="1" s="1"/>
  <c r="J33" i="1"/>
  <c r="P45" i="1"/>
  <c r="T42" i="1"/>
  <c r="E44" i="1"/>
  <c r="L65" i="1"/>
  <c r="S42" i="1"/>
  <c r="K45" i="1"/>
  <c r="F52" i="1"/>
  <c r="F214" i="1" s="1"/>
  <c r="U45" i="1"/>
  <c r="M42" i="1"/>
  <c r="I42" i="1"/>
  <c r="F65" i="1"/>
  <c r="Q55" i="1"/>
  <c r="C29" i="1"/>
  <c r="N35" i="1"/>
  <c r="Q67" i="1"/>
  <c r="N43" i="1"/>
  <c r="J65" i="1"/>
  <c r="N41" i="1"/>
  <c r="O29" i="1"/>
  <c r="K41" i="1"/>
  <c r="E179" i="1"/>
  <c r="H40" i="1"/>
  <c r="P28" i="1"/>
  <c r="F55" i="1"/>
  <c r="L40" i="1"/>
  <c r="P52" i="1"/>
  <c r="P214" i="1" s="1"/>
  <c r="R42" i="1"/>
  <c r="J29" i="1"/>
  <c r="K42" i="1"/>
  <c r="U55" i="1"/>
  <c r="V71" i="1"/>
  <c r="R41" i="1"/>
  <c r="P40" i="1"/>
  <c r="C67" i="1"/>
  <c r="K66" i="1"/>
  <c r="J44" i="1"/>
  <c r="D42" i="1"/>
  <c r="T59" i="1"/>
  <c r="R35" i="1"/>
  <c r="B28" i="1"/>
  <c r="W33" i="1"/>
  <c r="K55" i="1"/>
  <c r="P180" i="1"/>
  <c r="N65" i="1"/>
  <c r="T67" i="1"/>
  <c r="T52" i="1"/>
  <c r="T214" i="1" s="1"/>
  <c r="E55" i="1"/>
  <c r="T29" i="1"/>
  <c r="G173" i="1"/>
  <c r="C35" i="1"/>
  <c r="G44" i="1"/>
  <c r="H43" i="1"/>
  <c r="P35" i="1"/>
  <c r="R44" i="1"/>
  <c r="E41" i="1"/>
  <c r="P66" i="1"/>
  <c r="T45" i="1"/>
  <c r="I66" i="1"/>
  <c r="F67" i="1"/>
  <c r="M45" i="1"/>
  <c r="T55" i="1"/>
  <c r="T40" i="1"/>
  <c r="P42" i="1"/>
  <c r="H55" i="1"/>
  <c r="U67" i="1"/>
  <c r="BX56" i="1"/>
  <c r="AJ42" i="1"/>
  <c r="AK43" i="1"/>
  <c r="AL59" i="1"/>
  <c r="BX183" i="1"/>
  <c r="BY183" i="1" s="1"/>
  <c r="U56" i="1"/>
  <c r="U272" i="1" s="1"/>
  <c r="S41" i="1"/>
  <c r="B43" i="1"/>
  <c r="BX166" i="1"/>
  <c r="BY166" i="1" s="1"/>
  <c r="W65" i="1"/>
  <c r="BX151" i="1"/>
  <c r="BX94" i="1"/>
  <c r="BX146" i="1"/>
  <c r="BY146" i="1" s="1"/>
  <c r="K33" i="1"/>
  <c r="BX173" i="1"/>
  <c r="B56" i="1"/>
  <c r="B272" i="1" s="1"/>
  <c r="B71" i="1"/>
  <c r="V66" i="1"/>
  <c r="L35" i="1"/>
  <c r="K43" i="1"/>
  <c r="I35" i="1"/>
  <c r="D67" i="1"/>
  <c r="S29" i="1"/>
  <c r="N59" i="1"/>
  <c r="C41" i="1"/>
  <c r="D40" i="1"/>
  <c r="J67" i="1"/>
  <c r="B41" i="1"/>
  <c r="Q173" i="1"/>
  <c r="W55" i="1"/>
  <c r="C144" i="1"/>
  <c r="U35" i="1"/>
  <c r="T28" i="1"/>
  <c r="T251" i="1" s="1"/>
  <c r="W137" i="1"/>
  <c r="R71" i="1"/>
  <c r="HP16" i="4" s="1"/>
  <c r="HP21" i="4" s="1"/>
  <c r="AJ97" i="1" s="1"/>
  <c r="IR14" i="4" s="1"/>
  <c r="IU8" i="4" s="1"/>
  <c r="HX14" i="4" s="1"/>
  <c r="IH7" i="4" s="1"/>
  <c r="IN7" i="4" s="1"/>
  <c r="AJ43" i="1"/>
  <c r="AJ45" i="1"/>
  <c r="BX67" i="1"/>
  <c r="BX41" i="1"/>
  <c r="BX71" i="1"/>
  <c r="AJ65" i="1"/>
  <c r="AK52" i="1"/>
  <c r="AK214" i="1" s="1"/>
  <c r="AL41" i="1"/>
  <c r="BX162" i="1"/>
  <c r="BY162" i="1" s="1"/>
  <c r="BX160" i="1"/>
  <c r="I59" i="1"/>
  <c r="E43" i="1"/>
  <c r="B44" i="1"/>
  <c r="BX170" i="1"/>
  <c r="BY170" i="1" s="1"/>
  <c r="I40" i="1"/>
  <c r="S65" i="1"/>
  <c r="BX155" i="1"/>
  <c r="BY155" i="1" s="1"/>
  <c r="BX147" i="1"/>
  <c r="BY147" i="1" s="1"/>
  <c r="BX137" i="1"/>
  <c r="BY137" i="1" s="1"/>
  <c r="G65" i="1"/>
  <c r="K59" i="1"/>
  <c r="J28" i="1"/>
  <c r="B65" i="1"/>
  <c r="E66" i="1"/>
  <c r="L67" i="1"/>
  <c r="Q43" i="1"/>
  <c r="S52" i="1"/>
  <c r="S214" i="1" s="1"/>
  <c r="E56" i="1"/>
  <c r="W43" i="1"/>
  <c r="I28" i="1"/>
  <c r="E33" i="1"/>
  <c r="H65" i="1"/>
  <c r="U66" i="1"/>
  <c r="Q28" i="1"/>
  <c r="Q45" i="1"/>
  <c r="J35" i="1"/>
  <c r="E52" i="1"/>
  <c r="E214" i="1" s="1"/>
  <c r="O52" i="1"/>
  <c r="O214" i="1" s="1"/>
  <c r="U29" i="1"/>
  <c r="U30" i="1" s="1"/>
  <c r="U11" i="1" s="1"/>
  <c r="G67" i="1"/>
  <c r="W40" i="1"/>
  <c r="R52" i="1"/>
  <c r="I45" i="1"/>
  <c r="H52" i="1"/>
  <c r="H214" i="1" s="1"/>
  <c r="W66" i="1"/>
  <c r="HT7" i="4" s="1"/>
  <c r="IY14" i="4" s="1"/>
  <c r="JH16" i="4" s="1"/>
  <c r="BJ28" i="1"/>
  <c r="BJ251" i="1" s="1"/>
  <c r="AL55" i="1"/>
  <c r="BX29" i="1"/>
  <c r="AJ55" i="1"/>
  <c r="AK28" i="1"/>
  <c r="AJ41" i="1"/>
  <c r="BX42" i="1"/>
  <c r="AL45" i="1"/>
  <c r="BX171" i="1"/>
  <c r="BY171" i="1" s="1"/>
  <c r="R33" i="1"/>
  <c r="U52" i="1"/>
  <c r="B66" i="1"/>
  <c r="F35" i="1"/>
  <c r="C59" i="1"/>
  <c r="BX167" i="1"/>
  <c r="BY167" i="1" s="1"/>
  <c r="S56" i="1"/>
  <c r="BX175" i="1"/>
  <c r="BY175" i="1" s="1"/>
  <c r="BX169" i="1"/>
  <c r="BY169" i="1" s="1"/>
  <c r="L55" i="1"/>
  <c r="K56" i="1"/>
  <c r="K40" i="1"/>
  <c r="D28" i="1"/>
  <c r="J139" i="1"/>
  <c r="D33" i="1"/>
  <c r="P55" i="1"/>
  <c r="V52" i="1"/>
  <c r="V273" i="1" s="1"/>
  <c r="E35" i="1"/>
  <c r="W45" i="1"/>
  <c r="W56" i="1"/>
  <c r="W272" i="1" s="1"/>
  <c r="E29" i="1"/>
  <c r="H67" i="1"/>
  <c r="R59" i="1"/>
  <c r="L52" i="1"/>
  <c r="L214" i="1" s="1"/>
  <c r="V45" i="1"/>
  <c r="L56" i="1"/>
  <c r="D59" i="1"/>
  <c r="Q65" i="1"/>
  <c r="G42" i="1"/>
  <c r="V55" i="1"/>
  <c r="L42" i="1"/>
  <c r="W44" i="1"/>
  <c r="K71" i="1"/>
  <c r="Q35" i="1"/>
  <c r="Q56" i="1"/>
  <c r="R66" i="1"/>
  <c r="Q71" i="1"/>
  <c r="F43" i="1"/>
  <c r="T41" i="1"/>
  <c r="F29" i="1"/>
  <c r="R65" i="1"/>
  <c r="U65" i="1"/>
  <c r="IT9" i="4" s="1"/>
  <c r="IB9" i="4" s="1"/>
  <c r="AJ52" i="1"/>
  <c r="AL42" i="1"/>
  <c r="AM34" i="1"/>
  <c r="AK40" i="1"/>
  <c r="AM28" i="1"/>
  <c r="AM251" i="1" s="1"/>
  <c r="AJ33" i="1"/>
  <c r="AK42" i="1"/>
  <c r="AL71" i="1"/>
  <c r="AM41" i="1"/>
  <c r="F44" i="1"/>
  <c r="BX165" i="1"/>
  <c r="T65" i="1"/>
  <c r="H44" i="1"/>
  <c r="M65" i="1"/>
  <c r="W71" i="1"/>
  <c r="BX163" i="1"/>
  <c r="BY163" i="1" s="1"/>
  <c r="BX139" i="1"/>
  <c r="BY139" i="1" s="1"/>
  <c r="BX157" i="1"/>
  <c r="BY157" i="1" s="1"/>
  <c r="H28" i="1"/>
  <c r="H251" i="1" s="1"/>
  <c r="M44" i="1"/>
  <c r="BL94" i="1"/>
  <c r="BX153" i="1"/>
  <c r="R45" i="1"/>
  <c r="P56" i="1"/>
  <c r="I71" i="1"/>
  <c r="C52" i="1"/>
  <c r="P44" i="1"/>
  <c r="M59" i="1"/>
  <c r="D56" i="1"/>
  <c r="O33" i="1"/>
  <c r="L71" i="1"/>
  <c r="O42" i="1"/>
  <c r="C55" i="1"/>
  <c r="J71" i="1"/>
  <c r="N45" i="1"/>
  <c r="B52" i="1"/>
  <c r="B42" i="1"/>
  <c r="L66" i="1"/>
  <c r="P41" i="1"/>
  <c r="N66" i="1"/>
  <c r="H45" i="1"/>
  <c r="G59" i="1"/>
  <c r="K29" i="1"/>
  <c r="P71" i="1"/>
  <c r="I44" i="1"/>
  <c r="D65" i="1"/>
  <c r="K67" i="1"/>
  <c r="N44" i="1"/>
  <c r="G41" i="1"/>
  <c r="IB16" i="4" s="1"/>
  <c r="AM56" i="1"/>
  <c r="AM59" i="1"/>
  <c r="AM40" i="1"/>
  <c r="AM52" i="1"/>
  <c r="AM214" i="1" s="1"/>
  <c r="AJ71" i="1"/>
  <c r="AK41" i="1"/>
  <c r="AL43" i="1"/>
  <c r="AK33" i="1"/>
  <c r="AK35" i="1"/>
  <c r="AL33" i="1"/>
  <c r="E45" i="1"/>
  <c r="E59" i="1"/>
  <c r="Q59" i="1"/>
  <c r="D44" i="1"/>
  <c r="BX145" i="1"/>
  <c r="BY145" i="1" s="1"/>
  <c r="R67" i="1"/>
  <c r="R40" i="1"/>
  <c r="U59" i="1"/>
  <c r="M35" i="1"/>
  <c r="I67" i="1"/>
  <c r="BX144" i="1"/>
  <c r="BY144" i="1" s="1"/>
  <c r="S55" i="1"/>
  <c r="M55" i="1"/>
  <c r="B67" i="1"/>
  <c r="W41" i="1"/>
  <c r="H66" i="1"/>
  <c r="O67" i="1"/>
  <c r="P43" i="1"/>
  <c r="N67" i="1"/>
  <c r="J59" i="1"/>
  <c r="O41" i="1"/>
  <c r="J56" i="1"/>
  <c r="D71" i="1"/>
  <c r="R55" i="1"/>
  <c r="U40" i="1"/>
  <c r="H35" i="1"/>
  <c r="S66" i="1"/>
  <c r="P33" i="1"/>
  <c r="M56" i="1"/>
  <c r="M67" i="1"/>
  <c r="N52" i="1"/>
  <c r="N214" i="1" s="1"/>
  <c r="K44" i="1"/>
  <c r="I52" i="1"/>
  <c r="I214" i="1" s="1"/>
  <c r="G35" i="1"/>
  <c r="C28" i="1"/>
  <c r="V56" i="1"/>
  <c r="V272" i="1" s="1"/>
  <c r="AL94" i="1"/>
  <c r="AL165" i="1"/>
  <c r="AL170" i="1"/>
  <c r="AM170" i="1" s="1"/>
  <c r="AL162" i="1"/>
  <c r="AM162" i="1" s="1"/>
  <c r="AL145" i="1"/>
  <c r="AM145" i="1" s="1"/>
  <c r="AL184" i="1"/>
  <c r="AM184" i="1" s="1"/>
  <c r="AL169" i="1"/>
  <c r="AM169" i="1" s="1"/>
  <c r="AL139" i="1"/>
  <c r="AL153" i="1"/>
  <c r="AL183" i="1"/>
  <c r="AM183" i="1" s="1"/>
  <c r="AL171" i="1"/>
  <c r="AM171" i="1" s="1"/>
  <c r="AL142" i="1"/>
  <c r="AM142" i="1" s="1"/>
  <c r="AL166" i="1"/>
  <c r="AM166" i="1" s="1"/>
  <c r="AL172" i="1"/>
  <c r="AM172" i="1" s="1"/>
  <c r="AL179" i="1"/>
  <c r="AL164" i="1"/>
  <c r="AL174" i="1"/>
  <c r="AM174" i="1" s="1"/>
  <c r="AL146" i="1"/>
  <c r="AM146" i="1" s="1"/>
  <c r="AL138" i="1"/>
  <c r="AM138" i="1" s="1"/>
  <c r="AL152" i="1"/>
  <c r="AL180" i="1"/>
  <c r="AL147" i="1"/>
  <c r="AM147" i="1" s="1"/>
  <c r="AL93" i="1"/>
  <c r="AL167" i="1"/>
  <c r="AM167" i="1" s="1"/>
  <c r="AL160" i="1"/>
  <c r="AM160" i="1" s="1"/>
  <c r="AM222" i="1" s="1"/>
  <c r="AL157" i="1"/>
  <c r="AM157" i="1" s="1"/>
  <c r="AL163" i="1"/>
  <c r="IR7" i="4"/>
  <c r="HX8" i="4"/>
  <c r="IL14" i="4"/>
  <c r="IE8" i="4"/>
  <c r="IW15" i="4"/>
  <c r="IA8" i="4"/>
  <c r="IA15" i="4"/>
  <c r="IZ15" i="4"/>
  <c r="JG7" i="4"/>
  <c r="IS14" i="4"/>
  <c r="IJ15" i="4"/>
  <c r="IC8" i="4"/>
  <c r="IA7" i="4"/>
  <c r="C251" i="1"/>
  <c r="JC14" i="4"/>
  <c r="HS15" i="4"/>
  <c r="HP7" i="4"/>
  <c r="JH8" i="4"/>
  <c r="HQ15" i="4"/>
  <c r="HZ8" i="4"/>
  <c r="IR15" i="4"/>
  <c r="HQ7" i="4"/>
  <c r="HT15" i="4"/>
  <c r="IX8" i="4"/>
  <c r="JA8" i="4"/>
  <c r="JB7" i="4"/>
  <c r="IT8" i="4"/>
  <c r="IQ14" i="4"/>
  <c r="IH14" i="4"/>
  <c r="JD15" i="4"/>
  <c r="IS8" i="4"/>
  <c r="IQ7" i="4"/>
  <c r="IK14" i="4"/>
  <c r="JF14" i="4"/>
  <c r="IF8" i="4"/>
  <c r="IP7" i="4"/>
  <c r="HV8" i="4"/>
  <c r="HW15" i="4"/>
  <c r="JH15" i="4"/>
  <c r="HS8" i="4"/>
  <c r="JB14" i="4"/>
  <c r="CP97" i="1"/>
  <c r="CN83" i="1"/>
  <c r="CM85" i="1"/>
  <c r="Q251" i="1" l="1"/>
  <c r="I273" i="1"/>
  <c r="U273" i="1"/>
  <c r="U214" i="1"/>
  <c r="J273" i="1"/>
  <c r="D30" i="1"/>
  <c r="HR21" i="4"/>
  <c r="AL97" i="1" s="1"/>
  <c r="F272" i="1"/>
  <c r="HP15" i="4" s="1"/>
  <c r="JC16" i="4" s="1"/>
  <c r="IM21" i="4"/>
  <c r="BG97" i="1" s="1"/>
  <c r="B251" i="1"/>
  <c r="IK21" i="4"/>
  <c r="BE97" i="1" s="1"/>
  <c r="W273" i="1"/>
  <c r="W214" i="1"/>
  <c r="C30" i="1"/>
  <c r="Q30" i="1"/>
  <c r="K272" i="1"/>
  <c r="AK251" i="1"/>
  <c r="O251" i="1"/>
  <c r="O273" i="1"/>
  <c r="Q272" i="1"/>
  <c r="S272" i="1"/>
  <c r="AJ57" i="1"/>
  <c r="IU21" i="4"/>
  <c r="BO97" i="1" s="1"/>
  <c r="IW16" i="4" s="1"/>
  <c r="IN16" i="4" s="1"/>
  <c r="IN21" i="4" s="1"/>
  <c r="BH97" i="1" s="1"/>
  <c r="IZ16" i="4" s="1"/>
  <c r="IO16" i="4" s="1"/>
  <c r="JE21" i="4"/>
  <c r="BY97" i="1" s="1"/>
  <c r="IJ16" i="4" s="1"/>
  <c r="IP21" i="4"/>
  <c r="BJ97" i="1" s="1"/>
  <c r="JD16" i="4" s="1"/>
  <c r="JD21" i="4" s="1"/>
  <c r="BX97" i="1" s="1"/>
  <c r="BX181" i="1"/>
  <c r="BY229" i="1" s="1"/>
  <c r="JH21" i="4"/>
  <c r="CB97" i="1" s="1"/>
  <c r="HR7" i="4" s="1"/>
  <c r="HZ7" i="4" s="1"/>
  <c r="HX9" i="4" s="1"/>
  <c r="AL175" i="1"/>
  <c r="AM175" i="1" s="1"/>
  <c r="AL151" i="1"/>
  <c r="AL155" i="1"/>
  <c r="AM155" i="1" s="1"/>
  <c r="AL173" i="1"/>
  <c r="AL137" i="1"/>
  <c r="AM137" i="1" s="1"/>
  <c r="AL144" i="1"/>
  <c r="AM144" i="1" s="1"/>
  <c r="II21" i="4"/>
  <c r="BC97" i="1" s="1"/>
  <c r="JF21" i="4"/>
  <c r="BZ97" i="1" s="1"/>
  <c r="BZ114" i="1" s="1"/>
  <c r="HW21" i="4"/>
  <c r="AQ97" i="1" s="1"/>
  <c r="IX21" i="4"/>
  <c r="BR97" i="1" s="1"/>
  <c r="IQ21" i="4"/>
  <c r="BK97" i="1" s="1"/>
  <c r="IE21" i="4"/>
  <c r="AY97" i="1" s="1"/>
  <c r="IV21" i="4"/>
  <c r="BP97" i="1" s="1"/>
  <c r="HW14" i="4"/>
  <c r="IG7" i="4"/>
  <c r="HY7" i="4"/>
  <c r="IR8" i="4"/>
  <c r="JD14" i="4"/>
  <c r="IX7" i="4"/>
  <c r="JF8" i="4"/>
  <c r="HQ14" i="4"/>
  <c r="D273" i="1"/>
  <c r="L46" i="1"/>
  <c r="F30" i="1"/>
  <c r="IL15" i="4"/>
  <c r="HS7" i="4"/>
  <c r="JE8" i="4"/>
  <c r="HX15" i="4"/>
  <c r="HT14" i="4"/>
  <c r="JG14" i="4"/>
  <c r="IB8" i="4"/>
  <c r="IJ7" i="4"/>
  <c r="JE15" i="4"/>
  <c r="AL273" i="1"/>
  <c r="IS15" i="4"/>
  <c r="IG21" i="4"/>
  <c r="BA97" i="1" s="1"/>
  <c r="IA21" i="4"/>
  <c r="AU97" i="1" s="1"/>
  <c r="IO21" i="4"/>
  <c r="BI97" i="1" s="1"/>
  <c r="IW8" i="4"/>
  <c r="JA7" i="4"/>
  <c r="II15" i="4"/>
  <c r="IE7" i="4"/>
  <c r="R30" i="1"/>
  <c r="AL251" i="1"/>
  <c r="IP8" i="4"/>
  <c r="IK15" i="4"/>
  <c r="JB15" i="4"/>
  <c r="IB14" i="4"/>
  <c r="HU14" i="4"/>
  <c r="HZ15" i="4"/>
  <c r="IF15" i="4"/>
  <c r="ID21" i="4"/>
  <c r="AX97" i="1" s="1"/>
  <c r="V36" i="1"/>
  <c r="V37" i="1" s="1"/>
  <c r="IK7" i="4"/>
  <c r="HR15" i="4"/>
  <c r="IV7" i="4"/>
  <c r="IO8" i="4"/>
  <c r="AJ30" i="1"/>
  <c r="JG8" i="4"/>
  <c r="T272" i="1"/>
  <c r="AK30" i="1"/>
  <c r="BY160" i="1"/>
  <c r="BZ222" i="1" s="1"/>
  <c r="C272" i="1"/>
  <c r="BX203" i="1"/>
  <c r="BY203" i="1" s="1"/>
  <c r="BJ183" i="1"/>
  <c r="BK183" i="1" s="1"/>
  <c r="BJ164" i="1"/>
  <c r="AJ147" i="1"/>
  <c r="AK147" i="1" s="1"/>
  <c r="BJ147" i="1"/>
  <c r="BK147" i="1" s="1"/>
  <c r="BJ180" i="1"/>
  <c r="BJ169" i="1"/>
  <c r="AJ171" i="1"/>
  <c r="AK171" i="1" s="1"/>
  <c r="AJ169" i="1"/>
  <c r="AK169" i="1" s="1"/>
  <c r="AJ172" i="1"/>
  <c r="AK172" i="1" s="1"/>
  <c r="BJ146" i="1"/>
  <c r="BK146" i="1" s="1"/>
  <c r="BJ172" i="1"/>
  <c r="BK172" i="1" s="1"/>
  <c r="BJ145" i="1"/>
  <c r="BK145" i="1" s="1"/>
  <c r="AJ153" i="1"/>
  <c r="AJ180" i="1"/>
  <c r="AJ145" i="1"/>
  <c r="AK145" i="1" s="1"/>
  <c r="BJ166" i="1"/>
  <c r="BK166" i="1" s="1"/>
  <c r="BJ138" i="1"/>
  <c r="BK138" i="1" s="1"/>
  <c r="BJ153" i="1"/>
  <c r="AJ152" i="1"/>
  <c r="AJ160" i="1"/>
  <c r="AK160" i="1" s="1"/>
  <c r="BJ142" i="1"/>
  <c r="BK142" i="1" s="1"/>
  <c r="AJ151" i="1"/>
  <c r="AJ167" i="1"/>
  <c r="AK167" i="1" s="1"/>
  <c r="BX199" i="1"/>
  <c r="BY199" i="1" s="1"/>
  <c r="B30" i="1"/>
  <c r="BX30" i="1"/>
  <c r="BX11" i="1" s="1"/>
  <c r="BJ174" i="1"/>
  <c r="BK174" i="1" s="1"/>
  <c r="AJ183" i="1"/>
  <c r="AK183" i="1" s="1"/>
  <c r="AJ179" i="1"/>
  <c r="AJ142" i="1"/>
  <c r="AK142" i="1" s="1"/>
  <c r="BJ167" i="1"/>
  <c r="BK167" i="1" s="1"/>
  <c r="AJ170" i="1"/>
  <c r="AK170" i="1" s="1"/>
  <c r="BJ144" i="1"/>
  <c r="BK144" i="1" s="1"/>
  <c r="BJ151" i="1"/>
  <c r="BJ184" i="1"/>
  <c r="AJ174" i="1"/>
  <c r="AK174" i="1" s="1"/>
  <c r="BJ155" i="1"/>
  <c r="BK155" i="1" s="1"/>
  <c r="BJ152" i="1"/>
  <c r="AJ165" i="1"/>
  <c r="AJ166" i="1"/>
  <c r="AK166" i="1" s="1"/>
  <c r="BJ173" i="1"/>
  <c r="BJ171" i="1"/>
  <c r="BK171" i="1" s="1"/>
  <c r="AJ184" i="1"/>
  <c r="AK184" i="1" s="1"/>
  <c r="AJ175" i="1"/>
  <c r="AK175" i="1" s="1"/>
  <c r="AJ157" i="1"/>
  <c r="AK157" i="1" s="1"/>
  <c r="BJ163" i="1"/>
  <c r="BX251" i="1"/>
  <c r="BX272" i="1"/>
  <c r="AJ144" i="1"/>
  <c r="AK144" i="1" s="1"/>
  <c r="BJ179" i="1"/>
  <c r="AJ173" i="1"/>
  <c r="BJ175" i="1"/>
  <c r="BK175" i="1" s="1"/>
  <c r="BJ165" i="1"/>
  <c r="AJ162" i="1"/>
  <c r="AK162" i="1" s="1"/>
  <c r="BJ139" i="1"/>
  <c r="BJ160" i="1"/>
  <c r="BK160" i="1" s="1"/>
  <c r="BL222" i="1" s="1"/>
  <c r="BJ162" i="1"/>
  <c r="BK162" i="1" s="1"/>
  <c r="AJ164" i="1"/>
  <c r="AJ139" i="1"/>
  <c r="AJ137" i="1"/>
  <c r="AK137" i="1" s="1"/>
  <c r="BJ170" i="1"/>
  <c r="BK170" i="1" s="1"/>
  <c r="AJ146" i="1"/>
  <c r="AK146" i="1" s="1"/>
  <c r="AJ138" i="1"/>
  <c r="AK138" i="1" s="1"/>
  <c r="BJ137" i="1"/>
  <c r="AJ155" i="1"/>
  <c r="AK155" i="1" s="1"/>
  <c r="AJ163" i="1"/>
  <c r="AK163" i="1" s="1"/>
  <c r="BJ157" i="1"/>
  <c r="BK157" i="1" s="1"/>
  <c r="CA118" i="1"/>
  <c r="CA119" i="1" s="1"/>
  <c r="ID14" i="4"/>
  <c r="IZ21" i="4"/>
  <c r="BT97" i="1" s="1"/>
  <c r="IG14" i="4"/>
  <c r="IM8" i="4"/>
  <c r="U46" i="1"/>
  <c r="JI15" i="4"/>
  <c r="JF7" i="4"/>
  <c r="HS14" i="4"/>
  <c r="II14" i="4"/>
  <c r="IF7" i="4"/>
  <c r="IK8" i="4"/>
  <c r="I272" i="1"/>
  <c r="R272" i="1"/>
  <c r="AL272" i="1"/>
  <c r="BX200" i="1"/>
  <c r="BY200" i="1" s="1"/>
  <c r="BX154" i="1"/>
  <c r="BY154" i="1" s="1"/>
  <c r="D272" i="1"/>
  <c r="O46" i="1"/>
  <c r="B273" i="1"/>
  <c r="K30" i="1"/>
  <c r="HP8" i="4"/>
  <c r="IB21" i="4"/>
  <c r="AV97" i="1" s="1"/>
  <c r="IT21" i="4"/>
  <c r="BN97" i="1" s="1"/>
  <c r="V46" i="1"/>
  <c r="IN8" i="4"/>
  <c r="HX7" i="4"/>
  <c r="JC8" i="4"/>
  <c r="IW7" i="4"/>
  <c r="HV14" i="4"/>
  <c r="JD8" i="4"/>
  <c r="IZ8" i="4"/>
  <c r="M251" i="1"/>
  <c r="M273" i="1"/>
  <c r="M30" i="1"/>
  <c r="M272" i="1"/>
  <c r="R273" i="1"/>
  <c r="R214" i="1"/>
  <c r="C214" i="1"/>
  <c r="C273" i="1"/>
  <c r="HV21" i="4"/>
  <c r="AP97" i="1" s="1"/>
  <c r="AL46" i="1"/>
  <c r="AL47" i="1" s="1"/>
  <c r="HS21" i="4"/>
  <c r="AM97" i="1" s="1"/>
  <c r="HX21" i="4"/>
  <c r="AR97" i="1" s="1"/>
  <c r="IW14" i="4"/>
  <c r="IL8" i="4"/>
  <c r="IV8" i="4"/>
  <c r="ID15" i="4"/>
  <c r="ID7" i="4"/>
  <c r="IZ7" i="4"/>
  <c r="JB8" i="4"/>
  <c r="IJ14" i="4"/>
  <c r="IV14" i="4"/>
  <c r="HY8" i="4"/>
  <c r="JG15" i="4"/>
  <c r="IV15" i="4"/>
  <c r="IB7" i="4"/>
  <c r="JE14" i="4"/>
  <c r="JD7" i="4"/>
  <c r="JE7" i="4"/>
  <c r="HR14" i="4"/>
  <c r="HR19" i="4" s="1"/>
  <c r="AL98" i="1" s="1"/>
  <c r="IT14" i="4"/>
  <c r="IO14" i="4"/>
  <c r="JC7" i="4"/>
  <c r="JC15" i="4"/>
  <c r="JI14" i="4"/>
  <c r="JA21" i="4"/>
  <c r="BU97" i="1" s="1"/>
  <c r="IQ15" i="4"/>
  <c r="IH8" i="4"/>
  <c r="IC21" i="4"/>
  <c r="AW97" i="1" s="1"/>
  <c r="IJ8" i="4"/>
  <c r="IJ20" i="4" s="1"/>
  <c r="BD99" i="1" s="1"/>
  <c r="BD128" i="1" s="1"/>
  <c r="IT15" i="4"/>
  <c r="IT20" i="4" s="1"/>
  <c r="BN99" i="1" s="1"/>
  <c r="BN128" i="1" s="1"/>
  <c r="IY21" i="4"/>
  <c r="BS97" i="1" s="1"/>
  <c r="IU7" i="4"/>
  <c r="D46" i="1"/>
  <c r="HQ8" i="4"/>
  <c r="IW21" i="4"/>
  <c r="BQ97" i="1" s="1"/>
  <c r="IC7" i="4"/>
  <c r="IA14" i="4"/>
  <c r="IA19" i="4" s="1"/>
  <c r="AU98" i="1" s="1"/>
  <c r="AU127" i="1" s="1"/>
  <c r="IE15" i="4"/>
  <c r="IE20" i="4" s="1"/>
  <c r="AY99" i="1" s="1"/>
  <c r="AY128" i="1" s="1"/>
  <c r="IU14" i="4"/>
  <c r="IO7" i="4"/>
  <c r="E46" i="1"/>
  <c r="IG8" i="4"/>
  <c r="O272" i="1"/>
  <c r="IO15" i="4"/>
  <c r="IO20" i="4" s="1"/>
  <c r="BI99" i="1" s="1"/>
  <c r="BI128" i="1" s="1"/>
  <c r="JH14" i="4"/>
  <c r="JH19" i="4" s="1"/>
  <c r="CB98" i="1" s="1"/>
  <c r="JA15" i="4"/>
  <c r="JA20" i="4" s="1"/>
  <c r="BU99" i="1" s="1"/>
  <c r="BU128" i="1" s="1"/>
  <c r="BY140" i="1"/>
  <c r="HW7" i="4"/>
  <c r="HW19" i="4" s="1"/>
  <c r="AQ98" i="1" s="1"/>
  <c r="AQ127" i="1" s="1"/>
  <c r="IF14" i="4"/>
  <c r="HU8" i="4"/>
  <c r="IM15" i="4"/>
  <c r="HR8" i="4"/>
  <c r="IC14" i="4"/>
  <c r="HU15" i="4"/>
  <c r="HU20" i="4" s="1"/>
  <c r="AO99" i="1" s="1"/>
  <c r="AO128" i="1" s="1"/>
  <c r="IU15" i="4"/>
  <c r="IU20" i="4" s="1"/>
  <c r="BO99" i="1" s="1"/>
  <c r="BO128" i="1" s="1"/>
  <c r="IS7" i="4"/>
  <c r="IP14" i="4"/>
  <c r="IP19" i="4" s="1"/>
  <c r="BJ98" i="1" s="1"/>
  <c r="BJ127" i="1" s="1"/>
  <c r="C46" i="1"/>
  <c r="F46" i="1"/>
  <c r="HV15" i="4"/>
  <c r="IY7" i="4"/>
  <c r="H46" i="1"/>
  <c r="P272" i="1"/>
  <c r="J46" i="1"/>
  <c r="T30" i="1"/>
  <c r="Q203" i="1"/>
  <c r="IN15" i="4"/>
  <c r="Q46" i="1"/>
  <c r="JA14" i="4"/>
  <c r="BY148" i="1"/>
  <c r="R46" i="1"/>
  <c r="P46" i="1"/>
  <c r="K46" i="1"/>
  <c r="AL200" i="1"/>
  <c r="AM200" i="1" s="1"/>
  <c r="AL199" i="1"/>
  <c r="AM199" i="1" s="1"/>
  <c r="F251" i="1"/>
  <c r="F273" i="1"/>
  <c r="S251" i="1"/>
  <c r="S30" i="1"/>
  <c r="J251" i="1"/>
  <c r="J30" i="1"/>
  <c r="J272" i="1"/>
  <c r="I251" i="1"/>
  <c r="I30" i="1"/>
  <c r="AJ214" i="1"/>
  <c r="AJ53" i="1"/>
  <c r="IB15" i="4"/>
  <c r="IB20" i="4" s="1"/>
  <c r="AV99" i="1" s="1"/>
  <c r="AV128" i="1" s="1"/>
  <c r="IT7" i="4"/>
  <c r="IH15" i="4"/>
  <c r="IM7" i="4"/>
  <c r="ID8" i="4"/>
  <c r="HT8" i="4"/>
  <c r="HV7" i="4"/>
  <c r="IQ8" i="4"/>
  <c r="AM272" i="1"/>
  <c r="Q273" i="1"/>
  <c r="JI7" i="4"/>
  <c r="AK46" i="1"/>
  <c r="M46" i="1"/>
  <c r="IG15" i="4"/>
  <c r="JF15" i="4"/>
  <c r="JF20" i="4" s="1"/>
  <c r="BZ99" i="1" s="1"/>
  <c r="AJ46" i="1"/>
  <c r="O30" i="1"/>
  <c r="I46" i="1"/>
  <c r="T46" i="1"/>
  <c r="G30" i="1"/>
  <c r="G36" i="1" s="1"/>
  <c r="G203" i="1"/>
  <c r="G273" i="1"/>
  <c r="BX46" i="1"/>
  <c r="G46" i="1"/>
  <c r="H272" i="1"/>
  <c r="IM14" i="4"/>
  <c r="IL7" i="4"/>
  <c r="IL19" i="4" s="1"/>
  <c r="BF98" i="1" s="1"/>
  <c r="BF127" i="1" s="1"/>
  <c r="P30" i="1"/>
  <c r="V214" i="1"/>
  <c r="AM46" i="1"/>
  <c r="B46" i="1"/>
  <c r="AL36" i="1"/>
  <c r="AL37" i="1" s="1"/>
  <c r="IZ14" i="4"/>
  <c r="P273" i="1"/>
  <c r="W46" i="1"/>
  <c r="W47" i="1" s="1"/>
  <c r="X208" i="1"/>
  <c r="W31" i="1"/>
  <c r="N46" i="1"/>
  <c r="S46" i="1"/>
  <c r="P203" i="1"/>
  <c r="X31" i="1"/>
  <c r="N272" i="1"/>
  <c r="U118" i="1"/>
  <c r="W208" i="1"/>
  <c r="V208" i="1"/>
  <c r="W36" i="1"/>
  <c r="U36" i="1"/>
  <c r="W118" i="1"/>
  <c r="T273" i="1"/>
  <c r="S273" i="1"/>
  <c r="P251" i="1"/>
  <c r="BX176" i="1"/>
  <c r="BX205" i="1" s="1"/>
  <c r="D251" i="1"/>
  <c r="E30" i="1"/>
  <c r="E36" i="1" s="1"/>
  <c r="L272" i="1"/>
  <c r="L30" i="1"/>
  <c r="BX148" i="1"/>
  <c r="H273" i="1"/>
  <c r="AM118" i="1"/>
  <c r="AM119" i="1" s="1"/>
  <c r="AM273" i="1"/>
  <c r="L273" i="1"/>
  <c r="V118" i="1"/>
  <c r="V11" i="1"/>
  <c r="N273" i="1"/>
  <c r="AM30" i="1"/>
  <c r="BX140" i="1"/>
  <c r="BX112" i="1" s="1"/>
  <c r="G272" i="1"/>
  <c r="H30" i="1"/>
  <c r="BX273" i="1"/>
  <c r="V31" i="1"/>
  <c r="K273" i="1"/>
  <c r="BX168" i="1"/>
  <c r="BX202" i="1" s="1"/>
  <c r="AL181" i="1"/>
  <c r="AM229" i="1" s="1"/>
  <c r="AM163" i="1"/>
  <c r="AL168" i="1"/>
  <c r="IR19" i="4"/>
  <c r="BL98" i="1" s="1"/>
  <c r="N118" i="1"/>
  <c r="N36" i="1"/>
  <c r="CA114" i="1"/>
  <c r="IX20" i="4"/>
  <c r="BR99" i="1" s="1"/>
  <c r="BR128" i="1" s="1"/>
  <c r="IC20" i="4"/>
  <c r="AW99" i="1" s="1"/>
  <c r="AW128" i="1" s="1"/>
  <c r="HP19" i="4"/>
  <c r="AJ98" i="1" s="1"/>
  <c r="CC122" i="1"/>
  <c r="JH20" i="4"/>
  <c r="CB99" i="1" s="1"/>
  <c r="CC114" i="1"/>
  <c r="IY20" i="4"/>
  <c r="BS99" i="1" s="1"/>
  <c r="BS128" i="1" s="1"/>
  <c r="IQ19" i="4"/>
  <c r="BK98" i="1" s="1"/>
  <c r="BK127" i="1" s="1"/>
  <c r="HS20" i="4"/>
  <c r="AM99" i="1" s="1"/>
  <c r="JB19" i="4"/>
  <c r="BV98" i="1" s="1"/>
  <c r="BV127" i="1" s="1"/>
  <c r="HW20" i="4"/>
  <c r="AQ99" i="1" s="1"/>
  <c r="AQ128" i="1" s="1"/>
  <c r="IH19" i="4"/>
  <c r="BB98" i="1" s="1"/>
  <c r="BB127" i="1" s="1"/>
  <c r="IA20" i="4"/>
  <c r="AU99" i="1" s="1"/>
  <c r="AU128" i="1" s="1"/>
  <c r="CM52" i="1"/>
  <c r="AB97" i="1"/>
  <c r="CQ97" i="1"/>
  <c r="AC160" i="1"/>
  <c r="CN85" i="1"/>
  <c r="CO83" i="1"/>
  <c r="D47" i="1" l="1"/>
  <c r="C47" i="1"/>
  <c r="Q36" i="1"/>
  <c r="Q37" i="1" s="1"/>
  <c r="Q118" i="1"/>
  <c r="IW19" i="4"/>
  <c r="BQ98" i="1" s="1"/>
  <c r="BQ127" i="1" s="1"/>
  <c r="C36" i="1"/>
  <c r="D208" i="1"/>
  <c r="D31" i="1"/>
  <c r="D36" i="1"/>
  <c r="IJ19" i="4"/>
  <c r="BD98" i="1" s="1"/>
  <c r="BD127" i="1" s="1"/>
  <c r="IV19" i="4"/>
  <c r="BP98" i="1" s="1"/>
  <c r="BP127" i="1" s="1"/>
  <c r="JG20" i="4"/>
  <c r="CA99" i="1" s="1"/>
  <c r="IV20" i="4"/>
  <c r="BP99" i="1" s="1"/>
  <c r="BP128" i="1" s="1"/>
  <c r="JC20" i="4"/>
  <c r="BW99" i="1" s="1"/>
  <c r="BW128" i="1" s="1"/>
  <c r="JA19" i="4"/>
  <c r="BU98" i="1" s="1"/>
  <c r="BU127" i="1" s="1"/>
  <c r="BX114" i="1"/>
  <c r="CB114" i="1"/>
  <c r="CB122" i="1"/>
  <c r="CB105" i="1"/>
  <c r="HP20" i="4"/>
  <c r="AJ99" i="1" s="1"/>
  <c r="IX19" i="4"/>
  <c r="BR98" i="1" s="1"/>
  <c r="BR127" i="1" s="1"/>
  <c r="HX19" i="4"/>
  <c r="AR98" i="1" s="1"/>
  <c r="AR127" i="1" s="1"/>
  <c r="JE20" i="4"/>
  <c r="BY99" i="1" s="1"/>
  <c r="BY128" i="1" s="1"/>
  <c r="IW20" i="4"/>
  <c r="BQ99" i="1" s="1"/>
  <c r="BQ128" i="1" s="1"/>
  <c r="II20" i="4"/>
  <c r="BC99" i="1" s="1"/>
  <c r="BC128" i="1" s="1"/>
  <c r="IS20" i="4"/>
  <c r="BM99" i="1" s="1"/>
  <c r="BM128" i="1" s="1"/>
  <c r="JC21" i="4"/>
  <c r="BW97" i="1" s="1"/>
  <c r="IP15" i="4"/>
  <c r="HZ16" i="4" s="1"/>
  <c r="HZ21" i="4" s="1"/>
  <c r="AT97" i="1" s="1"/>
  <c r="HQ16" i="4" s="1"/>
  <c r="AJ203" i="1"/>
  <c r="AL203" i="1"/>
  <c r="AM203" i="1" s="1"/>
  <c r="AJ199" i="1"/>
  <c r="AK47" i="1"/>
  <c r="AJ47" i="1"/>
  <c r="AM148" i="1"/>
  <c r="AL154" i="1"/>
  <c r="AM154" i="1" s="1"/>
  <c r="AM158" i="1" s="1"/>
  <c r="AL176" i="1"/>
  <c r="AL205" i="1" s="1"/>
  <c r="AL140" i="1"/>
  <c r="AL148" i="1"/>
  <c r="IJ21" i="4"/>
  <c r="BD97" i="1" s="1"/>
  <c r="IN14" i="4" s="1"/>
  <c r="HT16" i="4"/>
  <c r="HT21" i="4" s="1"/>
  <c r="AN97" i="1" s="1"/>
  <c r="IT19" i="4"/>
  <c r="BN98" i="1" s="1"/>
  <c r="BN127" i="1" s="1"/>
  <c r="HV19" i="4"/>
  <c r="AP98" i="1" s="1"/>
  <c r="AP127" i="1" s="1"/>
  <c r="ID20" i="4"/>
  <c r="AX99" i="1" s="1"/>
  <c r="AX128" i="1" s="1"/>
  <c r="IQ20" i="4"/>
  <c r="BK99" i="1" s="1"/>
  <c r="BK128" i="1" s="1"/>
  <c r="IU19" i="4"/>
  <c r="BO98" i="1" s="1"/>
  <c r="BO127" i="1" s="1"/>
  <c r="IF19" i="4"/>
  <c r="AZ98" i="1" s="1"/>
  <c r="AZ127" i="1" s="1"/>
  <c r="IM20" i="4"/>
  <c r="BG99" i="1" s="1"/>
  <c r="BG128" i="1" s="1"/>
  <c r="BX47" i="1"/>
  <c r="IM19" i="4"/>
  <c r="BG98" i="1" s="1"/>
  <c r="BG127" i="1" s="1"/>
  <c r="BJ199" i="1"/>
  <c r="BK199" i="1" s="1"/>
  <c r="R118" i="1"/>
  <c r="R11" i="1"/>
  <c r="B36" i="1"/>
  <c r="B37" i="1" s="1"/>
  <c r="BX204" i="1"/>
  <c r="JF19" i="4"/>
  <c r="BZ98" i="1" s="1"/>
  <c r="IL20" i="4"/>
  <c r="BF99" i="1" s="1"/>
  <c r="BF128" i="1" s="1"/>
  <c r="JD19" i="4"/>
  <c r="BX98" i="1" s="1"/>
  <c r="JC19" i="4"/>
  <c r="BW98" i="1" s="1"/>
  <c r="BW127" i="1" s="1"/>
  <c r="HQ20" i="4"/>
  <c r="AK99" i="1" s="1"/>
  <c r="HT20" i="4"/>
  <c r="AN99" i="1" s="1"/>
  <c r="AN128" i="1" s="1"/>
  <c r="HY20" i="4"/>
  <c r="AS99" i="1" s="1"/>
  <c r="AS128" i="1" s="1"/>
  <c r="JB20" i="4"/>
  <c r="BV99" i="1" s="1"/>
  <c r="BV128" i="1" s="1"/>
  <c r="HT19" i="4"/>
  <c r="AN98" i="1" s="1"/>
  <c r="AN127" i="1" s="1"/>
  <c r="HZ19" i="4"/>
  <c r="AT98" i="1" s="1"/>
  <c r="AT127" i="1" s="1"/>
  <c r="R208" i="1"/>
  <c r="IE19" i="4"/>
  <c r="AY98" i="1" s="1"/>
  <c r="AY127" i="1" s="1"/>
  <c r="IG19" i="4"/>
  <c r="BA98" i="1" s="1"/>
  <c r="BA127" i="1" s="1"/>
  <c r="JG19" i="4"/>
  <c r="CA98" i="1" s="1"/>
  <c r="IF20" i="4"/>
  <c r="AZ99" i="1" s="1"/>
  <c r="AZ128" i="1" s="1"/>
  <c r="HZ20" i="4"/>
  <c r="AT99" i="1" s="1"/>
  <c r="AT128" i="1" s="1"/>
  <c r="HY19" i="4"/>
  <c r="AS98" i="1" s="1"/>
  <c r="AS127" i="1" s="1"/>
  <c r="R36" i="1"/>
  <c r="HU19" i="4"/>
  <c r="AO98" i="1" s="1"/>
  <c r="AO127" i="1" s="1"/>
  <c r="HQ19" i="4"/>
  <c r="AK98" i="1" s="1"/>
  <c r="F118" i="1"/>
  <c r="F36" i="1"/>
  <c r="F37" i="1" s="1"/>
  <c r="IR20" i="4"/>
  <c r="BL99" i="1" s="1"/>
  <c r="BL116" i="1" s="1"/>
  <c r="N208" i="1"/>
  <c r="IK19" i="4"/>
  <c r="BE98" i="1" s="1"/>
  <c r="BE127" i="1" s="1"/>
  <c r="AK32" i="1"/>
  <c r="BY32" i="1"/>
  <c r="CB31" i="1"/>
  <c r="CC208" i="1"/>
  <c r="BX36" i="1"/>
  <c r="AL222" i="1"/>
  <c r="AK222" i="1"/>
  <c r="C208" i="1"/>
  <c r="C31" i="1"/>
  <c r="AL32" i="1"/>
  <c r="AK36" i="1"/>
  <c r="K118" i="1"/>
  <c r="K36" i="1"/>
  <c r="BY222" i="1"/>
  <c r="AJ36" i="1"/>
  <c r="BJ200" i="1"/>
  <c r="BK200" i="1" s="1"/>
  <c r="BJ203" i="1"/>
  <c r="BK203" i="1" s="1"/>
  <c r="BX201" i="1"/>
  <c r="BJ181" i="1"/>
  <c r="BK229" i="1" s="1"/>
  <c r="BJ154" i="1"/>
  <c r="BK148" i="1"/>
  <c r="BK137" i="1"/>
  <c r="BJ140" i="1"/>
  <c r="AJ181" i="1"/>
  <c r="AK229" i="1" s="1"/>
  <c r="BJ176" i="1"/>
  <c r="BJ205" i="1" s="1"/>
  <c r="BK169" i="1"/>
  <c r="BJ148" i="1"/>
  <c r="AJ148" i="1"/>
  <c r="AJ222" i="1"/>
  <c r="AI216" i="1"/>
  <c r="AI218" i="1" s="1"/>
  <c r="AJ154" i="1"/>
  <c r="AK53" i="1" s="1"/>
  <c r="AJ168" i="1"/>
  <c r="AJ200" i="1"/>
  <c r="AK200" i="1" s="1"/>
  <c r="AK148" i="1"/>
  <c r="AJ140" i="1"/>
  <c r="AJ176" i="1"/>
  <c r="BK163" i="1"/>
  <c r="BJ168" i="1"/>
  <c r="HX20" i="4"/>
  <c r="AR99" i="1" s="1"/>
  <c r="AR128" i="1" s="1"/>
  <c r="HS19" i="4"/>
  <c r="AM98" i="1" s="1"/>
  <c r="R31" i="1"/>
  <c r="M208" i="1"/>
  <c r="M36" i="1"/>
  <c r="M37" i="1" s="1"/>
  <c r="N31" i="1"/>
  <c r="IB19" i="4"/>
  <c r="AV98" i="1" s="1"/>
  <c r="AV127" i="1" s="1"/>
  <c r="II19" i="4"/>
  <c r="BC98" i="1" s="1"/>
  <c r="BC127" i="1" s="1"/>
  <c r="CA122" i="1"/>
  <c r="BY53" i="1"/>
  <c r="M118" i="1"/>
  <c r="JI20" i="4"/>
  <c r="CC99" i="1" s="1"/>
  <c r="ID19" i="4"/>
  <c r="AX98" i="1" s="1"/>
  <c r="AX127" i="1" s="1"/>
  <c r="BX158" i="1"/>
  <c r="IK20" i="4"/>
  <c r="BE99" i="1" s="1"/>
  <c r="BE128" i="1" s="1"/>
  <c r="BY158" i="1"/>
  <c r="BZ223" i="1" s="1"/>
  <c r="BZ221" i="1" s="1"/>
  <c r="BZ53" i="1"/>
  <c r="IZ20" i="4"/>
  <c r="BT99" i="1" s="1"/>
  <c r="BT128" i="1" s="1"/>
  <c r="JD20" i="4"/>
  <c r="BX99" i="1" s="1"/>
  <c r="BX128" i="1" s="1"/>
  <c r="BK222" i="1"/>
  <c r="JE19" i="4"/>
  <c r="BY98" i="1" s="1"/>
  <c r="IO19" i="4"/>
  <c r="BI98" i="1" s="1"/>
  <c r="BI127" i="1" s="1"/>
  <c r="IN20" i="4"/>
  <c r="BH99" i="1" s="1"/>
  <c r="BH128" i="1" s="1"/>
  <c r="IH20" i="4"/>
  <c r="BB99" i="1" s="1"/>
  <c r="BB128" i="1" s="1"/>
  <c r="JI19" i="4"/>
  <c r="CC98" i="1" s="1"/>
  <c r="IG20" i="4"/>
  <c r="BA99" i="1" s="1"/>
  <c r="BA128" i="1" s="1"/>
  <c r="IZ19" i="4"/>
  <c r="BT98" i="1" s="1"/>
  <c r="BT127" i="1" s="1"/>
  <c r="IC19" i="4"/>
  <c r="AW98" i="1" s="1"/>
  <c r="AW127" i="1" s="1"/>
  <c r="HV20" i="4"/>
  <c r="AP99" i="1" s="1"/>
  <c r="AP128" i="1" s="1"/>
  <c r="HR20" i="4"/>
  <c r="AL99" i="1" s="1"/>
  <c r="IS19" i="4"/>
  <c r="BM98" i="1" s="1"/>
  <c r="BM127" i="1" s="1"/>
  <c r="IY19" i="4"/>
  <c r="BS98" i="1" s="1"/>
  <c r="BS127" i="1" s="1"/>
  <c r="V47" i="1"/>
  <c r="V48" i="1"/>
  <c r="T11" i="1"/>
  <c r="T31" i="1"/>
  <c r="T118" i="1"/>
  <c r="U31" i="1"/>
  <c r="T208" i="1"/>
  <c r="T36" i="1"/>
  <c r="U208" i="1"/>
  <c r="S118" i="1"/>
  <c r="S36" i="1"/>
  <c r="I31" i="1"/>
  <c r="I208" i="1"/>
  <c r="I118" i="1"/>
  <c r="I36" i="1"/>
  <c r="O36" i="1"/>
  <c r="O37" i="1" s="1"/>
  <c r="O208" i="1"/>
  <c r="O118" i="1"/>
  <c r="O31" i="1"/>
  <c r="AM122" i="1"/>
  <c r="BY149" i="1"/>
  <c r="BZ269" i="1"/>
  <c r="BZ271" i="1" s="1"/>
  <c r="BZ226" i="1"/>
  <c r="K31" i="1"/>
  <c r="K208" i="1"/>
  <c r="J36" i="1"/>
  <c r="J118" i="1"/>
  <c r="J31" i="1"/>
  <c r="J208" i="1"/>
  <c r="BX188" i="1"/>
  <c r="BX149" i="1"/>
  <c r="AM47" i="1"/>
  <c r="BZ227" i="1"/>
  <c r="BY112" i="1"/>
  <c r="BY226" i="1"/>
  <c r="BY269" i="1"/>
  <c r="S11" i="1"/>
  <c r="S31" i="1"/>
  <c r="S208" i="1"/>
  <c r="P118" i="1"/>
  <c r="P36" i="1"/>
  <c r="W48" i="1"/>
  <c r="X38" i="1"/>
  <c r="W37" i="1"/>
  <c r="W38" i="1"/>
  <c r="U37" i="1"/>
  <c r="V38" i="1"/>
  <c r="M31" i="1"/>
  <c r="L208" i="1"/>
  <c r="AM36" i="1"/>
  <c r="AM32" i="1"/>
  <c r="AM245" i="1"/>
  <c r="H36" i="1"/>
  <c r="H118" i="1"/>
  <c r="Q31" i="1"/>
  <c r="Q208" i="1"/>
  <c r="P31" i="1"/>
  <c r="P208" i="1"/>
  <c r="G118" i="1"/>
  <c r="H208" i="1"/>
  <c r="H31" i="1"/>
  <c r="G31" i="1"/>
  <c r="G208" i="1"/>
  <c r="B47" i="1"/>
  <c r="F31" i="1"/>
  <c r="E31" i="1"/>
  <c r="F208" i="1"/>
  <c r="E118" i="1"/>
  <c r="AL48" i="1"/>
  <c r="AL54" i="1" s="1"/>
  <c r="AL58" i="1" s="1"/>
  <c r="E208" i="1"/>
  <c r="L118" i="1"/>
  <c r="L36" i="1"/>
  <c r="BX206" i="1"/>
  <c r="CB209" i="1" s="1"/>
  <c r="BX177" i="1"/>
  <c r="E47" i="1"/>
  <c r="L31" i="1"/>
  <c r="BY227" i="1"/>
  <c r="BX268" i="1"/>
  <c r="CM124" i="1"/>
  <c r="CN124" i="1" s="1"/>
  <c r="CO124" i="1" s="1"/>
  <c r="CP124" i="1" s="1"/>
  <c r="CQ124" i="1" s="1"/>
  <c r="CR124" i="1" s="1"/>
  <c r="CS124" i="1" s="1"/>
  <c r="CT124" i="1" s="1"/>
  <c r="CU124" i="1" s="1"/>
  <c r="CV124" i="1" s="1"/>
  <c r="CW124" i="1" s="1"/>
  <c r="CX124" i="1" s="1"/>
  <c r="CY124" i="1" s="1"/>
  <c r="CZ124" i="1" s="1"/>
  <c r="DA124" i="1" s="1"/>
  <c r="DB124" i="1" s="1"/>
  <c r="CM123" i="1"/>
  <c r="CN123" i="1" s="1"/>
  <c r="CO123" i="1" s="1"/>
  <c r="CP123" i="1" s="1"/>
  <c r="CQ123" i="1" s="1"/>
  <c r="CR123" i="1" s="1"/>
  <c r="CS123" i="1" s="1"/>
  <c r="CT123" i="1" s="1"/>
  <c r="CU123" i="1" s="1"/>
  <c r="CV123" i="1" s="1"/>
  <c r="CW123" i="1" s="1"/>
  <c r="CX123" i="1" s="1"/>
  <c r="CY123" i="1" s="1"/>
  <c r="CZ123" i="1" s="1"/>
  <c r="DA123" i="1" s="1"/>
  <c r="DB123" i="1" s="1"/>
  <c r="AL202" i="1"/>
  <c r="AM128" i="1"/>
  <c r="AM124" i="1"/>
  <c r="BL127" i="1"/>
  <c r="BL130" i="1" s="1"/>
  <c r="BL115" i="1"/>
  <c r="CB106" i="1"/>
  <c r="CB123" i="1"/>
  <c r="CB115" i="1"/>
  <c r="CB127" i="1"/>
  <c r="CB130" i="1" s="1"/>
  <c r="CB133" i="1" s="1"/>
  <c r="N37" i="1"/>
  <c r="AL127" i="1"/>
  <c r="BZ128" i="1"/>
  <c r="BZ131" i="1" s="1"/>
  <c r="BZ116" i="1"/>
  <c r="CB116" i="1"/>
  <c r="CB128" i="1"/>
  <c r="CB131" i="1" s="1"/>
  <c r="CB134" i="1" s="1"/>
  <c r="CB124" i="1"/>
  <c r="CB107" i="1"/>
  <c r="G37" i="1"/>
  <c r="E48" i="1"/>
  <c r="E49" i="1" s="1"/>
  <c r="E37" i="1"/>
  <c r="CM214" i="1"/>
  <c r="CM152" i="1"/>
  <c r="CM154" i="1" s="1"/>
  <c r="CM158" i="1" s="1"/>
  <c r="CM223" i="1" s="1"/>
  <c r="CM221" i="1" s="1"/>
  <c r="CR97" i="1"/>
  <c r="AC222" i="1"/>
  <c r="AB169" i="1"/>
  <c r="AB137" i="1"/>
  <c r="CO85" i="1"/>
  <c r="CP83" i="1"/>
  <c r="CA245" i="1"/>
  <c r="CA116" i="1" l="1"/>
  <c r="CA124" i="1"/>
  <c r="D37" i="1"/>
  <c r="E38" i="1"/>
  <c r="D38" i="1"/>
  <c r="CA128" i="1"/>
  <c r="D48" i="1"/>
  <c r="C37" i="1"/>
  <c r="C48" i="1"/>
  <c r="HQ21" i="4"/>
  <c r="AK97" i="1" s="1"/>
  <c r="IF16" i="4"/>
  <c r="IF21" i="4" s="1"/>
  <c r="AZ97" i="1" s="1"/>
  <c r="IP20" i="4"/>
  <c r="BJ99" i="1" s="1"/>
  <c r="BJ128" i="1" s="1"/>
  <c r="AM53" i="1"/>
  <c r="AM226" i="1"/>
  <c r="AL149" i="1"/>
  <c r="AL204" i="1"/>
  <c r="AM269" i="1"/>
  <c r="AL268" i="1"/>
  <c r="AL188" i="1"/>
  <c r="AL158" i="1"/>
  <c r="AL177" i="1"/>
  <c r="AL112" i="1"/>
  <c r="IN19" i="4"/>
  <c r="BH98" i="1" s="1"/>
  <c r="BH127" i="1" s="1"/>
  <c r="HU9" i="4"/>
  <c r="AJ37" i="1"/>
  <c r="AJ48" i="1"/>
  <c r="B48" i="1"/>
  <c r="BJ204" i="1"/>
  <c r="AM39" i="1"/>
  <c r="BX115" i="1"/>
  <c r="BK269" i="1"/>
  <c r="AK226" i="1"/>
  <c r="BK154" i="1"/>
  <c r="BJ158" i="1"/>
  <c r="BJ266" i="1" s="1"/>
  <c r="BL226" i="1"/>
  <c r="BL269" i="1"/>
  <c r="BJ112" i="1"/>
  <c r="BJ268" i="1"/>
  <c r="AJ188" i="1"/>
  <c r="AK57" i="1" s="1"/>
  <c r="AJ226" i="1"/>
  <c r="BZ115" i="1"/>
  <c r="BZ109" i="1"/>
  <c r="BZ127" i="1"/>
  <c r="BZ130" i="1" s="1"/>
  <c r="BX109" i="1"/>
  <c r="BX127" i="1"/>
  <c r="R37" i="1"/>
  <c r="BL128" i="1"/>
  <c r="BL131" i="1" s="1"/>
  <c r="CA123" i="1"/>
  <c r="CA127" i="1"/>
  <c r="CA115" i="1"/>
  <c r="BX37" i="1"/>
  <c r="CB38" i="1"/>
  <c r="BY39" i="1"/>
  <c r="BX48" i="1"/>
  <c r="R38" i="1"/>
  <c r="C38" i="1"/>
  <c r="AL39" i="1"/>
  <c r="AK48" i="1"/>
  <c r="AK37" i="1"/>
  <c r="K37" i="1"/>
  <c r="G38" i="1"/>
  <c r="F38" i="1"/>
  <c r="AJ149" i="1"/>
  <c r="BX185" i="1"/>
  <c r="AL226" i="1"/>
  <c r="AJ217" i="1"/>
  <c r="AJ205" i="1"/>
  <c r="AK154" i="1"/>
  <c r="AJ177" i="1"/>
  <c r="BJ149" i="1"/>
  <c r="BJ188" i="1"/>
  <c r="BJ129" i="1" s="1"/>
  <c r="AJ158" i="1"/>
  <c r="BK226" i="1"/>
  <c r="AL269" i="1"/>
  <c r="AJ216" i="1"/>
  <c r="AJ202" i="1"/>
  <c r="BJ202" i="1"/>
  <c r="BJ177" i="1"/>
  <c r="AL128" i="1"/>
  <c r="AM123" i="1"/>
  <c r="AM127" i="1"/>
  <c r="BX266" i="1"/>
  <c r="BY223" i="1"/>
  <c r="BY221" i="1" s="1"/>
  <c r="N38" i="1"/>
  <c r="CC115" i="1"/>
  <c r="CC127" i="1"/>
  <c r="CC123" i="1"/>
  <c r="CC106" i="1"/>
  <c r="CF110" i="1" s="1"/>
  <c r="CC116" i="1"/>
  <c r="CC124" i="1"/>
  <c r="CC128" i="1"/>
  <c r="V54" i="1"/>
  <c r="V58" i="1" s="1"/>
  <c r="V132" i="1"/>
  <c r="V252" i="1"/>
  <c r="V253" i="1" s="1"/>
  <c r="O38" i="1"/>
  <c r="CC107" i="1"/>
  <c r="V49" i="1"/>
  <c r="BX116" i="1"/>
  <c r="AK39" i="1"/>
  <c r="L37" i="1"/>
  <c r="M38" i="1"/>
  <c r="BY127" i="1"/>
  <c r="BY109" i="1"/>
  <c r="L38" i="1"/>
  <c r="BZ225" i="1"/>
  <c r="BY225" i="1"/>
  <c r="U38" i="1"/>
  <c r="T37" i="1"/>
  <c r="S37" i="1"/>
  <c r="S38" i="1"/>
  <c r="T38" i="1"/>
  <c r="I37" i="1"/>
  <c r="I38" i="1"/>
  <c r="J38" i="1"/>
  <c r="J37" i="1"/>
  <c r="K38" i="1"/>
  <c r="BX129" i="1"/>
  <c r="BY57" i="1"/>
  <c r="BY114" i="1"/>
  <c r="BY115" i="1"/>
  <c r="BY116" i="1"/>
  <c r="P38" i="1"/>
  <c r="Q38" i="1"/>
  <c r="P37" i="1"/>
  <c r="W252" i="1"/>
  <c r="W253" i="1" s="1"/>
  <c r="X50" i="1"/>
  <c r="X270" i="1"/>
  <c r="W54" i="1"/>
  <c r="W58" i="1" s="1"/>
  <c r="W50" i="1"/>
  <c r="W49" i="1"/>
  <c r="W132" i="1"/>
  <c r="W270" i="1"/>
  <c r="H37" i="1"/>
  <c r="H38" i="1"/>
  <c r="B49" i="1"/>
  <c r="B132" i="1"/>
  <c r="AM48" i="1"/>
  <c r="AM37" i="1"/>
  <c r="AL49" i="1"/>
  <c r="AL252" i="1"/>
  <c r="AL253" i="1" s="1"/>
  <c r="AL201" i="1"/>
  <c r="AL206" i="1"/>
  <c r="AL61" i="1"/>
  <c r="AL60" i="1"/>
  <c r="CN52" i="1"/>
  <c r="CS97" i="1"/>
  <c r="AB183" i="1"/>
  <c r="CP85" i="1"/>
  <c r="CQ83" i="1"/>
  <c r="AC137" i="1"/>
  <c r="AC169" i="1"/>
  <c r="CB245" i="1"/>
  <c r="BQ1" i="1"/>
  <c r="BR1" i="1" s="1"/>
  <c r="BS1" i="1" s="1"/>
  <c r="BT1" i="1" s="1"/>
  <c r="D49" i="1" l="1"/>
  <c r="D54" i="1"/>
  <c r="D58" i="1" s="1"/>
  <c r="D252" i="1"/>
  <c r="D253" i="1" s="1"/>
  <c r="D270" i="1"/>
  <c r="E50" i="1"/>
  <c r="D132" i="1"/>
  <c r="C49" i="1"/>
  <c r="D50" i="1"/>
  <c r="AM51" i="1"/>
  <c r="AL266" i="1"/>
  <c r="AK158" i="1"/>
  <c r="AM57" i="1"/>
  <c r="AL270" i="1"/>
  <c r="AL116" i="1"/>
  <c r="AL185" i="1"/>
  <c r="AL186" i="1" s="1"/>
  <c r="BL53" i="1"/>
  <c r="BK158" i="1"/>
  <c r="BL223" i="1" s="1"/>
  <c r="BL221" i="1" s="1"/>
  <c r="BJ114" i="1"/>
  <c r="BJ115" i="1"/>
  <c r="BJ116" i="1"/>
  <c r="AM223" i="1"/>
  <c r="AM221" i="1" s="1"/>
  <c r="AL53" i="1"/>
  <c r="BJ130" i="1"/>
  <c r="BJ131" i="1"/>
  <c r="AL114" i="1"/>
  <c r="AL115" i="1"/>
  <c r="AL129" i="1"/>
  <c r="CE110" i="1"/>
  <c r="V61" i="1"/>
  <c r="V60" i="1"/>
  <c r="HU21" i="4"/>
  <c r="AO97" i="1" s="1"/>
  <c r="JB16" i="4"/>
  <c r="AJ49" i="1"/>
  <c r="AJ54" i="1"/>
  <c r="AJ58" i="1" s="1"/>
  <c r="AJ252" i="1"/>
  <c r="AJ253" i="1" s="1"/>
  <c r="C270" i="1"/>
  <c r="C50" i="1"/>
  <c r="AK252" i="1"/>
  <c r="AK253" i="1" s="1"/>
  <c r="AL51" i="1"/>
  <c r="AK49" i="1"/>
  <c r="AK54" i="1"/>
  <c r="AK58" i="1" s="1"/>
  <c r="AK51" i="1"/>
  <c r="BX49" i="1"/>
  <c r="BX54" i="1"/>
  <c r="CB50" i="1"/>
  <c r="CA132" i="1"/>
  <c r="BX252" i="1"/>
  <c r="BX253" i="1" s="1"/>
  <c r="BY51" i="1"/>
  <c r="BY270" i="1"/>
  <c r="BY271" i="1" s="1"/>
  <c r="BX186" i="1"/>
  <c r="AJ185" i="1"/>
  <c r="AJ186" i="1" s="1"/>
  <c r="AJ218" i="1"/>
  <c r="AJ223" i="1"/>
  <c r="AJ221" i="1" s="1"/>
  <c r="BJ206" i="1"/>
  <c r="BJ201" i="1"/>
  <c r="AM246" i="1"/>
  <c r="BX130" i="1"/>
  <c r="BX131" i="1"/>
  <c r="W61" i="1"/>
  <c r="W60" i="1"/>
  <c r="AM132" i="1"/>
  <c r="AM270" i="1"/>
  <c r="AM271" i="1" s="1"/>
  <c r="AM49" i="1"/>
  <c r="AM252" i="1"/>
  <c r="AM253" i="1" s="1"/>
  <c r="AM54" i="1"/>
  <c r="AM58" i="1" s="1"/>
  <c r="AL254" i="1"/>
  <c r="AL68" i="1"/>
  <c r="AL62" i="1"/>
  <c r="AL265" i="1" s="1"/>
  <c r="CN152" i="1"/>
  <c r="CN154" i="1" s="1"/>
  <c r="CO52" i="1" s="1"/>
  <c r="CT97" i="1"/>
  <c r="AB157" i="1"/>
  <c r="AD169" i="1"/>
  <c r="AE169" i="1"/>
  <c r="AD137" i="1"/>
  <c r="AE137" i="1"/>
  <c r="CQ85" i="1"/>
  <c r="CR83" i="1"/>
  <c r="AC183" i="1"/>
  <c r="BU1" i="1"/>
  <c r="Q47" i="1"/>
  <c r="P47" i="1"/>
  <c r="O47" i="1"/>
  <c r="I47" i="1"/>
  <c r="H47" i="1"/>
  <c r="G47" i="1"/>
  <c r="U47" i="1"/>
  <c r="T47" i="1"/>
  <c r="S47" i="1"/>
  <c r="R47" i="1"/>
  <c r="N47" i="1"/>
  <c r="M47" i="1"/>
  <c r="L47" i="1"/>
  <c r="K47" i="1"/>
  <c r="J47" i="1"/>
  <c r="F47" i="1"/>
  <c r="AL131" i="1" l="1"/>
  <c r="D61" i="1"/>
  <c r="AK223" i="1"/>
  <c r="AK221" i="1" s="1"/>
  <c r="AL223" i="1"/>
  <c r="AL221" i="1" s="1"/>
  <c r="D60" i="1"/>
  <c r="AL271" i="1"/>
  <c r="AL130" i="1"/>
  <c r="V62" i="1"/>
  <c r="V265" i="1" s="1"/>
  <c r="V68" i="1"/>
  <c r="AJ61" i="1"/>
  <c r="AJ254" i="1" s="1"/>
  <c r="AJ60" i="1"/>
  <c r="BX58" i="1"/>
  <c r="JB21" i="4"/>
  <c r="BV97" i="1" s="1"/>
  <c r="IL9" i="4"/>
  <c r="CA75" i="1"/>
  <c r="AK61" i="1"/>
  <c r="AK60" i="1"/>
  <c r="W68" i="1"/>
  <c r="W72" i="1" s="1"/>
  <c r="W254" i="1"/>
  <c r="W62" i="1"/>
  <c r="W265" i="1" s="1"/>
  <c r="W63" i="1"/>
  <c r="X63" i="1"/>
  <c r="AM60" i="1"/>
  <c r="AM61" i="1"/>
  <c r="AL213" i="1"/>
  <c r="AL215" i="1" s="1"/>
  <c r="AL86" i="1"/>
  <c r="AL72" i="1"/>
  <c r="D254" i="1"/>
  <c r="D62" i="1"/>
  <c r="CO214" i="1"/>
  <c r="CO152" i="1"/>
  <c r="CN158" i="1"/>
  <c r="CN214" i="1"/>
  <c r="AC97" i="1"/>
  <c r="CU97" i="1"/>
  <c r="AD183" i="1"/>
  <c r="AE183" i="1"/>
  <c r="AD160" i="1"/>
  <c r="CR85" i="1"/>
  <c r="CS83" i="1"/>
  <c r="AC157" i="1"/>
  <c r="BV1" i="1"/>
  <c r="BW1" i="1" s="1"/>
  <c r="BX1" i="1" s="1"/>
  <c r="B252" i="1"/>
  <c r="B253" i="1" s="1"/>
  <c r="BL252" i="1"/>
  <c r="BL253" i="1" s="1"/>
  <c r="G48" i="1"/>
  <c r="O48" i="1"/>
  <c r="H48" i="1"/>
  <c r="P48" i="1"/>
  <c r="I48" i="1"/>
  <c r="Q48" i="1"/>
  <c r="J48" i="1"/>
  <c r="R48" i="1"/>
  <c r="K48" i="1"/>
  <c r="S48" i="1"/>
  <c r="L48" i="1"/>
  <c r="T48" i="1"/>
  <c r="M48" i="1"/>
  <c r="U48" i="1"/>
  <c r="F48" i="1"/>
  <c r="F270" i="1" s="1"/>
  <c r="N48" i="1"/>
  <c r="D68" i="1" l="1"/>
  <c r="AJ62" i="1"/>
  <c r="AJ68" i="1"/>
  <c r="AJ213" i="1"/>
  <c r="AJ215" i="1" s="1"/>
  <c r="AJ219" i="1" s="1"/>
  <c r="AJ233" i="1" s="1"/>
  <c r="AJ227" i="1"/>
  <c r="AJ225" i="1" s="1"/>
  <c r="AJ72" i="1"/>
  <c r="AJ86" i="1"/>
  <c r="AK254" i="1"/>
  <c r="AK68" i="1"/>
  <c r="AK139" i="1" s="1"/>
  <c r="AK140" i="1" s="1"/>
  <c r="AK149" i="1" s="1"/>
  <c r="AK62" i="1"/>
  <c r="AK64" i="1"/>
  <c r="AL64" i="1"/>
  <c r="BX60" i="1"/>
  <c r="BX61" i="1"/>
  <c r="IL21" i="4"/>
  <c r="BF97" i="1" s="1"/>
  <c r="IS9" i="4"/>
  <c r="IS21" i="4" s="1"/>
  <c r="BM97" i="1" s="1"/>
  <c r="AM64" i="1"/>
  <c r="AM62" i="1"/>
  <c r="AM265" i="1" s="1"/>
  <c r="AM247" i="1"/>
  <c r="AM254" i="1"/>
  <c r="T270" i="1"/>
  <c r="P270" i="1"/>
  <c r="D213" i="1"/>
  <c r="D215" i="1" s="1"/>
  <c r="D72" i="1"/>
  <c r="M270" i="1"/>
  <c r="R270" i="1"/>
  <c r="I270" i="1"/>
  <c r="K270" i="1"/>
  <c r="G270" i="1"/>
  <c r="H270" i="1"/>
  <c r="L270" i="1"/>
  <c r="S270" i="1"/>
  <c r="O270" i="1"/>
  <c r="J270" i="1"/>
  <c r="N270" i="1"/>
  <c r="U270" i="1"/>
  <c r="V270" i="1"/>
  <c r="Q270" i="1"/>
  <c r="R132" i="1"/>
  <c r="S50" i="1"/>
  <c r="T132" i="1"/>
  <c r="U50" i="1"/>
  <c r="U132" i="1"/>
  <c r="V50" i="1"/>
  <c r="P132" i="1"/>
  <c r="Q50" i="1"/>
  <c r="Q132" i="1"/>
  <c r="R50" i="1"/>
  <c r="I132" i="1"/>
  <c r="J50" i="1"/>
  <c r="S132" i="1"/>
  <c r="T50" i="1"/>
  <c r="H132" i="1"/>
  <c r="I50" i="1"/>
  <c r="E132" i="1"/>
  <c r="F50" i="1"/>
  <c r="L132" i="1"/>
  <c r="M50" i="1"/>
  <c r="O132" i="1"/>
  <c r="P50" i="1"/>
  <c r="N132" i="1"/>
  <c r="O50" i="1"/>
  <c r="K132" i="1"/>
  <c r="L50" i="1"/>
  <c r="F132" i="1"/>
  <c r="G50" i="1"/>
  <c r="G132" i="1"/>
  <c r="H50" i="1"/>
  <c r="M132" i="1"/>
  <c r="N50" i="1"/>
  <c r="J132" i="1"/>
  <c r="K50" i="1"/>
  <c r="CN223" i="1"/>
  <c r="CN221" i="1" s="1"/>
  <c r="CO154" i="1"/>
  <c r="CV97" i="1"/>
  <c r="AD222" i="1"/>
  <c r="AB162" i="1"/>
  <c r="AE157" i="1"/>
  <c r="AD157" i="1"/>
  <c r="CT83" i="1"/>
  <c r="CS85" i="1"/>
  <c r="C132" i="1"/>
  <c r="BY1" i="1"/>
  <c r="L49" i="1"/>
  <c r="N49" i="1"/>
  <c r="F49" i="1"/>
  <c r="O49" i="1"/>
  <c r="U54" i="1"/>
  <c r="U58" i="1" s="1"/>
  <c r="U49" i="1"/>
  <c r="G49" i="1"/>
  <c r="S49" i="1"/>
  <c r="M49" i="1"/>
  <c r="R49" i="1"/>
  <c r="J49" i="1"/>
  <c r="I49" i="1"/>
  <c r="P49" i="1"/>
  <c r="H49" i="1"/>
  <c r="K49" i="1"/>
  <c r="T49" i="1"/>
  <c r="Q49" i="1"/>
  <c r="T252" i="1"/>
  <c r="T253" i="1" s="1"/>
  <c r="Q252" i="1"/>
  <c r="Q253" i="1" s="1"/>
  <c r="K252" i="1"/>
  <c r="K253" i="1" s="1"/>
  <c r="O252" i="1"/>
  <c r="O253" i="1" s="1"/>
  <c r="U252" i="1"/>
  <c r="U253" i="1" s="1"/>
  <c r="L252" i="1"/>
  <c r="L253" i="1" s="1"/>
  <c r="C252" i="1"/>
  <c r="C253" i="1" s="1"/>
  <c r="I252" i="1"/>
  <c r="I253" i="1" s="1"/>
  <c r="G252" i="1"/>
  <c r="G253" i="1" s="1"/>
  <c r="R252" i="1"/>
  <c r="R253" i="1" s="1"/>
  <c r="P252" i="1"/>
  <c r="P253" i="1" s="1"/>
  <c r="F252" i="1"/>
  <c r="F253" i="1" s="1"/>
  <c r="M252" i="1"/>
  <c r="M253" i="1" s="1"/>
  <c r="N252" i="1"/>
  <c r="N253" i="1" s="1"/>
  <c r="E252" i="1"/>
  <c r="E253" i="1" s="1"/>
  <c r="S252" i="1"/>
  <c r="S253" i="1" s="1"/>
  <c r="J252" i="1"/>
  <c r="J253" i="1" s="1"/>
  <c r="H252" i="1"/>
  <c r="H253" i="1" s="1"/>
  <c r="B54" i="1"/>
  <c r="L54" i="1"/>
  <c r="Q54" i="1"/>
  <c r="T54" i="1"/>
  <c r="N54" i="1"/>
  <c r="S54" i="1"/>
  <c r="F54" i="1"/>
  <c r="K54" i="1"/>
  <c r="H54" i="1"/>
  <c r="I54" i="1"/>
  <c r="P54" i="1"/>
  <c r="C54" i="1"/>
  <c r="O54" i="1"/>
  <c r="R54" i="1"/>
  <c r="M54" i="1"/>
  <c r="G54" i="1"/>
  <c r="E54" i="1"/>
  <c r="J54" i="1"/>
  <c r="AJ230" i="1" l="1"/>
  <c r="AJ231" i="1" s="1"/>
  <c r="CB63" i="1"/>
  <c r="BX254" i="1"/>
  <c r="BX62" i="1"/>
  <c r="BX265" i="1" s="1"/>
  <c r="BX68" i="1"/>
  <c r="BY64" i="1"/>
  <c r="AK213" i="1"/>
  <c r="AK215" i="1" s="1"/>
  <c r="AK86" i="1"/>
  <c r="AK72" i="1"/>
  <c r="AK227" i="1"/>
  <c r="AK225" i="1" s="1"/>
  <c r="AL227" i="1"/>
  <c r="AL225" i="1" s="1"/>
  <c r="BK184" i="1"/>
  <c r="BM184" i="1"/>
  <c r="CO158" i="1"/>
  <c r="CP52" i="1"/>
  <c r="CW97" i="1"/>
  <c r="AE160" i="1"/>
  <c r="AE222" i="1" s="1"/>
  <c r="CT85" i="1"/>
  <c r="CU83" i="1"/>
  <c r="BZ1" i="1"/>
  <c r="U61" i="1"/>
  <c r="V63" i="1" s="1"/>
  <c r="U60" i="1"/>
  <c r="P58" i="1"/>
  <c r="P61" i="1" s="1"/>
  <c r="R58" i="1"/>
  <c r="R61" i="1" s="1"/>
  <c r="E58" i="1"/>
  <c r="S58" i="1"/>
  <c r="S60" i="1" s="1"/>
  <c r="G58" i="1"/>
  <c r="G61" i="1" s="1"/>
  <c r="K58" i="1"/>
  <c r="K61" i="1" s="1"/>
  <c r="B58" i="1"/>
  <c r="O58" i="1"/>
  <c r="O61" i="1" s="1"/>
  <c r="H58" i="1"/>
  <c r="H61" i="1" s="1"/>
  <c r="N58" i="1"/>
  <c r="N61" i="1" s="1"/>
  <c r="L58" i="1"/>
  <c r="L60" i="1" s="1"/>
  <c r="C58" i="1"/>
  <c r="M58" i="1"/>
  <c r="M60" i="1" s="1"/>
  <c r="T58" i="1"/>
  <c r="T61" i="1" s="1"/>
  <c r="F58" i="1"/>
  <c r="F60" i="1" s="1"/>
  <c r="J58" i="1"/>
  <c r="J60" i="1" s="1"/>
  <c r="I58" i="1"/>
  <c r="I60" i="1" s="1"/>
  <c r="Q58" i="1"/>
  <c r="Q61" i="1" s="1"/>
  <c r="V254" i="1"/>
  <c r="CA74" i="1" l="1"/>
  <c r="BX86" i="1"/>
  <c r="CA89" i="1" s="1"/>
  <c r="BX213" i="1"/>
  <c r="BX215" i="1" s="1"/>
  <c r="BX72" i="1"/>
  <c r="R63" i="1"/>
  <c r="U63" i="1"/>
  <c r="O63" i="1"/>
  <c r="AB52" i="1"/>
  <c r="B61" i="1"/>
  <c r="B60" i="1"/>
  <c r="C61" i="1"/>
  <c r="C60" i="1"/>
  <c r="E61" i="1"/>
  <c r="E68" i="1" s="1"/>
  <c r="E60" i="1"/>
  <c r="P63" i="1"/>
  <c r="H63" i="1"/>
  <c r="Q63" i="1"/>
  <c r="BJ185" i="1"/>
  <c r="BJ186" i="1" s="1"/>
  <c r="BL185" i="1"/>
  <c r="BL186" i="1" s="1"/>
  <c r="CP214" i="1"/>
  <c r="CP152" i="1"/>
  <c r="CO223" i="1"/>
  <c r="CO221" i="1" s="1"/>
  <c r="CX97" i="1"/>
  <c r="CV83" i="1"/>
  <c r="CU85" i="1"/>
  <c r="CA1" i="1"/>
  <c r="CB1" i="1" s="1"/>
  <c r="O60" i="1"/>
  <c r="BL254" i="1"/>
  <c r="S61" i="1"/>
  <c r="U62" i="1"/>
  <c r="U265" i="1" s="1"/>
  <c r="P62" i="1"/>
  <c r="P265" i="1" s="1"/>
  <c r="Q68" i="1"/>
  <c r="Q62" i="1"/>
  <c r="Q265" i="1" s="1"/>
  <c r="L61" i="1"/>
  <c r="P60" i="1"/>
  <c r="H62" i="1"/>
  <c r="H265" i="1" s="1"/>
  <c r="G62" i="1"/>
  <c r="G265" i="1" s="1"/>
  <c r="U68" i="1"/>
  <c r="N62" i="1"/>
  <c r="N265" i="1" s="1"/>
  <c r="R62" i="1"/>
  <c r="R265" i="1" s="1"/>
  <c r="K62" i="1"/>
  <c r="K265" i="1" s="1"/>
  <c r="O68" i="1"/>
  <c r="O62" i="1"/>
  <c r="O265" i="1" s="1"/>
  <c r="T68" i="1"/>
  <c r="T62" i="1"/>
  <c r="T265" i="1" s="1"/>
  <c r="R60" i="1"/>
  <c r="K60" i="1"/>
  <c r="N60" i="1"/>
  <c r="G60" i="1"/>
  <c r="H60" i="1"/>
  <c r="J61" i="1"/>
  <c r="K63" i="1" s="1"/>
  <c r="M61" i="1"/>
  <c r="N63" i="1" s="1"/>
  <c r="T60" i="1"/>
  <c r="F61" i="1"/>
  <c r="G63" i="1" s="1"/>
  <c r="I61" i="1"/>
  <c r="I63" i="1" s="1"/>
  <c r="O254" i="1"/>
  <c r="Q60" i="1"/>
  <c r="P254" i="1"/>
  <c r="P68" i="1"/>
  <c r="K254" i="1"/>
  <c r="K68" i="1"/>
  <c r="H254" i="1"/>
  <c r="H68" i="1"/>
  <c r="R68" i="1"/>
  <c r="N68" i="1"/>
  <c r="G68" i="1"/>
  <c r="G254" i="1"/>
  <c r="R254" i="1"/>
  <c r="N254" i="1"/>
  <c r="Q254" i="1"/>
  <c r="U254" i="1"/>
  <c r="T254" i="1"/>
  <c r="V72" i="1"/>
  <c r="V213" i="1"/>
  <c r="V215" i="1" s="1"/>
  <c r="CA107" i="1" l="1"/>
  <c r="CA105" i="1"/>
  <c r="BW109" i="1"/>
  <c r="CA106" i="1"/>
  <c r="CD110" i="1" s="1"/>
  <c r="CE90" i="1"/>
  <c r="E254" i="1"/>
  <c r="AB214" i="1"/>
  <c r="E62" i="1"/>
  <c r="E265" i="1" s="1"/>
  <c r="E63" i="1"/>
  <c r="D63" i="1"/>
  <c r="C62" i="1"/>
  <c r="B62" i="1"/>
  <c r="C63" i="1"/>
  <c r="F63" i="1"/>
  <c r="M63" i="1"/>
  <c r="S62" i="1"/>
  <c r="S265" i="1" s="1"/>
  <c r="T63" i="1"/>
  <c r="L63" i="1"/>
  <c r="J63" i="1"/>
  <c r="S63" i="1"/>
  <c r="AB152" i="1"/>
  <c r="AB154" i="1" s="1"/>
  <c r="AB53" i="1" s="1"/>
  <c r="CP154" i="1"/>
  <c r="AD97" i="1"/>
  <c r="CY97" i="1"/>
  <c r="CV85" i="1"/>
  <c r="CW83" i="1"/>
  <c r="CC1" i="1"/>
  <c r="K72" i="1"/>
  <c r="G72" i="1"/>
  <c r="E72" i="1"/>
  <c r="S68" i="1"/>
  <c r="S254" i="1"/>
  <c r="L254" i="1"/>
  <c r="L68" i="1"/>
  <c r="O213" i="1"/>
  <c r="O215" i="1" s="1"/>
  <c r="O72" i="1"/>
  <c r="B254" i="1"/>
  <c r="B68" i="1"/>
  <c r="M68" i="1"/>
  <c r="M62" i="1"/>
  <c r="M265" i="1" s="1"/>
  <c r="C254" i="1"/>
  <c r="I68" i="1"/>
  <c r="I62" i="1"/>
  <c r="I265" i="1" s="1"/>
  <c r="J68" i="1"/>
  <c r="J62" i="1"/>
  <c r="J265" i="1" s="1"/>
  <c r="F68" i="1"/>
  <c r="F62" i="1"/>
  <c r="F265" i="1" s="1"/>
  <c r="L62" i="1"/>
  <c r="L265" i="1" s="1"/>
  <c r="J254" i="1"/>
  <c r="E213" i="1"/>
  <c r="E215" i="1" s="1"/>
  <c r="R213" i="1"/>
  <c r="R215" i="1" s="1"/>
  <c r="M254" i="1"/>
  <c r="R72" i="1"/>
  <c r="I254" i="1"/>
  <c r="H72" i="1"/>
  <c r="H213" i="1"/>
  <c r="H215" i="1" s="1"/>
  <c r="F254" i="1"/>
  <c r="C68" i="1"/>
  <c r="N213" i="1"/>
  <c r="N215" i="1" s="1"/>
  <c r="N72" i="1"/>
  <c r="G213" i="1"/>
  <c r="G215" i="1" s="1"/>
  <c r="P72" i="1"/>
  <c r="K213" i="1"/>
  <c r="K215" i="1" s="1"/>
  <c r="P213" i="1"/>
  <c r="P215" i="1" s="1"/>
  <c r="U72" i="1"/>
  <c r="U213" i="1"/>
  <c r="U215" i="1" s="1"/>
  <c r="Q72" i="1"/>
  <c r="Q213" i="1"/>
  <c r="Q215" i="1" s="1"/>
  <c r="T72" i="1"/>
  <c r="T213" i="1"/>
  <c r="T215" i="1" s="1"/>
  <c r="CP158" i="1" l="1"/>
  <c r="CP223" i="1" s="1"/>
  <c r="CP221" i="1" s="1"/>
  <c r="CQ52" i="1"/>
  <c r="CZ97" i="1"/>
  <c r="AC162" i="1"/>
  <c r="CX83" i="1"/>
  <c r="CW85" i="1"/>
  <c r="CD1" i="1"/>
  <c r="CE1" i="1" s="1"/>
  <c r="CF1" i="1" s="1"/>
  <c r="CG1" i="1" s="1"/>
  <c r="CH1" i="1" s="1"/>
  <c r="CI1" i="1" s="1"/>
  <c r="CJ1" i="1" s="1"/>
  <c r="CK1" i="1" s="1"/>
  <c r="L213" i="1"/>
  <c r="L215" i="1" s="1"/>
  <c r="J213" i="1"/>
  <c r="J215" i="1" s="1"/>
  <c r="M213" i="1"/>
  <c r="M215" i="1" s="1"/>
  <c r="B72" i="1"/>
  <c r="F72" i="1"/>
  <c r="I72" i="1"/>
  <c r="C72" i="1"/>
  <c r="L72" i="1"/>
  <c r="S72" i="1"/>
  <c r="J72" i="1"/>
  <c r="S213" i="1"/>
  <c r="S215" i="1" s="1"/>
  <c r="M72" i="1"/>
  <c r="I213" i="1"/>
  <c r="I215" i="1" s="1"/>
  <c r="F213" i="1"/>
  <c r="F215" i="1" s="1"/>
  <c r="C213" i="1"/>
  <c r="C215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E84" i="2"/>
  <c r="K76" i="2"/>
  <c r="S86" i="2"/>
  <c r="Q74" i="2"/>
  <c r="H95" i="2"/>
  <c r="C42" i="2"/>
  <c r="M78" i="2"/>
  <c r="P47" i="2"/>
  <c r="R51" i="2"/>
  <c r="L45" i="2"/>
  <c r="I47" i="2"/>
  <c r="U63" i="2"/>
  <c r="R89" i="2"/>
  <c r="G93" i="2"/>
  <c r="V50" i="2"/>
  <c r="Q79" i="2"/>
  <c r="C62" i="2"/>
  <c r="E98" i="2"/>
  <c r="C105" i="2"/>
  <c r="F61" i="2"/>
  <c r="X76" i="2"/>
  <c r="K96" i="2"/>
  <c r="X56" i="2"/>
  <c r="V93" i="2"/>
  <c r="N113" i="2"/>
  <c r="W82" i="2"/>
  <c r="G56" i="2"/>
  <c r="P93" i="2"/>
  <c r="S110" i="2"/>
  <c r="X53" i="2"/>
  <c r="Q60" i="2"/>
  <c r="T109" i="2"/>
  <c r="E97" i="2"/>
  <c r="S90" i="2"/>
  <c r="H90" i="2"/>
  <c r="R65" i="2"/>
  <c r="T105" i="2"/>
  <c r="K77" i="2"/>
  <c r="D113" i="2"/>
  <c r="G62" i="2"/>
  <c r="S54" i="2"/>
  <c r="E78" i="2"/>
  <c r="C108" i="2"/>
  <c r="V83" i="2"/>
  <c r="M42" i="2"/>
  <c r="L78" i="2"/>
  <c r="AB65" i="3"/>
  <c r="AB73" i="3"/>
  <c r="AB48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W48" i="2"/>
  <c r="U74" i="2"/>
  <c r="J50" i="2"/>
  <c r="Q66" i="2"/>
  <c r="J57" i="2"/>
  <c r="P72" i="2"/>
  <c r="W59" i="2"/>
  <c r="S92" i="2"/>
  <c r="L69" i="2"/>
  <c r="P99" i="2"/>
  <c r="T68" i="2"/>
  <c r="T79" i="2"/>
  <c r="U87" i="2"/>
  <c r="V94" i="2"/>
  <c r="C60" i="2"/>
  <c r="P108" i="2"/>
  <c r="R93" i="2"/>
  <c r="L56" i="2"/>
  <c r="J40" i="2"/>
  <c r="U60" i="2"/>
  <c r="F43" i="2"/>
  <c r="O53" i="2"/>
  <c r="J44" i="2"/>
  <c r="N86" i="2"/>
  <c r="E88" i="2"/>
  <c r="D60" i="2"/>
  <c r="X61" i="2"/>
  <c r="C90" i="2"/>
  <c r="S47" i="2"/>
  <c r="H68" i="2"/>
  <c r="C40" i="2"/>
  <c r="T86" i="2"/>
  <c r="H63" i="2"/>
  <c r="H57" i="2"/>
  <c r="G67" i="2"/>
  <c r="I75" i="2"/>
  <c r="J60" i="2"/>
  <c r="D41" i="2"/>
  <c r="G70" i="2"/>
  <c r="Q73" i="2"/>
  <c r="H97" i="2"/>
  <c r="X109" i="2"/>
  <c r="R50" i="2"/>
  <c r="N57" i="2"/>
  <c r="F82" i="2"/>
  <c r="X84" i="2"/>
  <c r="X45" i="2"/>
  <c r="AB83" i="3"/>
  <c r="AP96" i="3"/>
  <c r="AB77" i="3"/>
  <c r="AP59" i="3"/>
  <c r="AB96" i="3"/>
  <c r="AP87" i="3"/>
  <c r="AB49" i="3"/>
  <c r="AP67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U57" i="2"/>
  <c r="L95" i="2"/>
  <c r="V74" i="2"/>
  <c r="I76" i="2"/>
  <c r="W75" i="2"/>
  <c r="M86" i="2"/>
  <c r="S108" i="2"/>
  <c r="E67" i="2"/>
  <c r="X113" i="2"/>
  <c r="E99" i="2"/>
  <c r="F68" i="2"/>
  <c r="Q88" i="2"/>
  <c r="K72" i="2"/>
  <c r="U73" i="2"/>
  <c r="K51" i="2"/>
  <c r="W80" i="2"/>
  <c r="S45" i="2"/>
  <c r="K84" i="2"/>
  <c r="P43" i="2"/>
  <c r="D112" i="2"/>
  <c r="D55" i="2"/>
  <c r="M81" i="2"/>
  <c r="R72" i="2"/>
  <c r="S41" i="2"/>
  <c r="J69" i="2"/>
  <c r="K89" i="2"/>
  <c r="X48" i="2"/>
  <c r="D58" i="2"/>
  <c r="O79" i="2"/>
  <c r="K112" i="2"/>
  <c r="H80" i="2"/>
  <c r="E113" i="2"/>
  <c r="R45" i="2"/>
  <c r="D56" i="2"/>
  <c r="V97" i="2"/>
  <c r="X80" i="2"/>
  <c r="T49" i="2"/>
  <c r="C66" i="2"/>
  <c r="R99" i="2"/>
  <c r="I58" i="2"/>
  <c r="V45" i="2"/>
  <c r="P92" i="2"/>
  <c r="C95" i="2"/>
  <c r="W112" i="2"/>
  <c r="X85" i="2"/>
  <c r="L40" i="2"/>
  <c r="F93" i="2"/>
  <c r="AP68" i="3"/>
  <c r="AP75" i="3"/>
  <c r="AP97" i="3"/>
  <c r="AP71" i="3"/>
  <c r="AB71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T45" i="2"/>
  <c r="T88" i="2"/>
  <c r="R95" i="2"/>
  <c r="J80" i="2"/>
  <c r="P87" i="2"/>
  <c r="M99" i="2"/>
  <c r="V92" i="2"/>
  <c r="D97" i="2"/>
  <c r="U45" i="2"/>
  <c r="T46" i="2"/>
  <c r="C43" i="2"/>
  <c r="Q93" i="2"/>
  <c r="M94" i="2"/>
  <c r="W61" i="2"/>
  <c r="N52" i="2"/>
  <c r="H89" i="2"/>
  <c r="S71" i="2"/>
  <c r="N111" i="2"/>
  <c r="N43" i="2"/>
  <c r="L98" i="2"/>
  <c r="F54" i="2"/>
  <c r="L96" i="2"/>
  <c r="H62" i="2"/>
  <c r="N106" i="2"/>
  <c r="D95" i="2"/>
  <c r="C93" i="2"/>
  <c r="U106" i="2"/>
  <c r="H47" i="2"/>
  <c r="S83" i="2"/>
  <c r="S59" i="2"/>
  <c r="K78" i="2"/>
  <c r="H58" i="2"/>
  <c r="V68" i="2"/>
  <c r="O88" i="2"/>
  <c r="D75" i="2"/>
  <c r="I93" i="2"/>
  <c r="E112" i="2"/>
  <c r="T57" i="2"/>
  <c r="N44" i="2"/>
  <c r="O66" i="2"/>
  <c r="W52" i="2"/>
  <c r="H76" i="2"/>
  <c r="S95" i="2"/>
  <c r="M108" i="2"/>
  <c r="T63" i="2"/>
  <c r="M59" i="2"/>
  <c r="V79" i="2"/>
  <c r="AB61" i="3"/>
  <c r="AB57" i="3"/>
  <c r="AB72" i="3"/>
  <c r="AP78" i="3"/>
  <c r="AP91" i="3"/>
  <c r="AB87" i="3"/>
  <c r="C49" i="3"/>
  <c r="AB66" i="3"/>
  <c r="T23" i="3"/>
  <c r="AI6" i="3"/>
  <c r="M35" i="3"/>
  <c r="C23" i="3"/>
  <c r="M17" i="3"/>
  <c r="X30" i="3"/>
  <c r="AD50" i="3"/>
  <c r="X31" i="3"/>
  <c r="W22" i="3"/>
  <c r="AD24" i="3"/>
  <c r="AI24" i="3"/>
  <c r="G41" i="3"/>
  <c r="X27" i="3"/>
  <c r="G42" i="3"/>
  <c r="R35" i="3"/>
  <c r="AH17" i="3"/>
  <c r="V31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S69" i="2"/>
  <c r="X73" i="2"/>
  <c r="X50" i="2"/>
  <c r="F71" i="2"/>
  <c r="Q99" i="2"/>
  <c r="D81" i="2"/>
  <c r="K88" i="2"/>
  <c r="I61" i="2"/>
  <c r="N40" i="2"/>
  <c r="R105" i="2"/>
  <c r="J63" i="2"/>
  <c r="N66" i="2"/>
  <c r="F60" i="2"/>
  <c r="E51" i="2"/>
  <c r="X51" i="2"/>
  <c r="U109" i="2"/>
  <c r="R83" i="2"/>
  <c r="O59" i="2"/>
  <c r="T41" i="2"/>
  <c r="G50" i="2"/>
  <c r="T83" i="2"/>
  <c r="G59" i="2"/>
  <c r="J97" i="2"/>
  <c r="O55" i="2"/>
  <c r="W78" i="2"/>
  <c r="Q61" i="2"/>
  <c r="N91" i="2"/>
  <c r="F56" i="2"/>
  <c r="G54" i="2"/>
  <c r="G49" i="2"/>
  <c r="W45" i="2"/>
  <c r="V108" i="2"/>
  <c r="R107" i="2"/>
  <c r="S65" i="2"/>
  <c r="F45" i="2"/>
  <c r="F59" i="2"/>
  <c r="X78" i="2"/>
  <c r="E87" i="2"/>
  <c r="P56" i="2"/>
  <c r="I40" i="2"/>
  <c r="N55" i="2"/>
  <c r="X54" i="2"/>
  <c r="W96" i="2"/>
  <c r="I73" i="2"/>
  <c r="K111" i="2"/>
  <c r="G83" i="2"/>
  <c r="N77" i="2"/>
  <c r="AB81" i="3"/>
  <c r="AB59" i="3"/>
  <c r="AB47" i="3"/>
  <c r="C47" i="3"/>
  <c r="AP58" i="3"/>
  <c r="AB54" i="3"/>
  <c r="AB86" i="3"/>
  <c r="AP49" i="3"/>
  <c r="C28" i="3"/>
  <c r="AG39" i="3"/>
  <c r="AJ38" i="3"/>
  <c r="AQ13" i="3"/>
  <c r="T17" i="3"/>
  <c r="M1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I108" i="2"/>
  <c r="V107" i="2"/>
  <c r="H112" i="2"/>
  <c r="K82" i="2"/>
  <c r="H86" i="2"/>
  <c r="S46" i="2"/>
  <c r="N82" i="2"/>
  <c r="M44" i="2"/>
  <c r="G57" i="2"/>
  <c r="W49" i="2"/>
  <c r="E89" i="2"/>
  <c r="J79" i="2"/>
  <c r="G110" i="2"/>
  <c r="S48" i="2"/>
  <c r="R111" i="2"/>
  <c r="E108" i="2"/>
  <c r="W67" i="2"/>
  <c r="E54" i="2"/>
  <c r="T82" i="2"/>
  <c r="R70" i="2"/>
  <c r="J87" i="2"/>
  <c r="U89" i="2"/>
  <c r="U112" i="2"/>
  <c r="X107" i="2"/>
  <c r="Q107" i="2"/>
  <c r="I45" i="2"/>
  <c r="I111" i="2"/>
  <c r="H42" i="2"/>
  <c r="C104" i="2"/>
  <c r="V53" i="2"/>
  <c r="M68" i="2"/>
  <c r="D40" i="2"/>
  <c r="G74" i="2"/>
  <c r="M56" i="2"/>
  <c r="G42" i="2"/>
  <c r="T74" i="2"/>
  <c r="P48" i="2"/>
  <c r="R59" i="2"/>
  <c r="G55" i="2"/>
  <c r="N70" i="2"/>
  <c r="G69" i="2"/>
  <c r="G51" i="2"/>
  <c r="E77" i="2"/>
  <c r="N92" i="2"/>
  <c r="F97" i="2"/>
  <c r="L97" i="2"/>
  <c r="L83" i="2"/>
  <c r="AB89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L84" i="2"/>
  <c r="F105" i="2"/>
  <c r="G96" i="2"/>
  <c r="C49" i="2"/>
  <c r="D72" i="2"/>
  <c r="E79" i="2"/>
  <c r="W44" i="2"/>
  <c r="C74" i="2"/>
  <c r="W92" i="2"/>
  <c r="H85" i="2"/>
  <c r="M60" i="2"/>
  <c r="V62" i="2"/>
  <c r="U83" i="2"/>
  <c r="O86" i="2"/>
  <c r="G52" i="2"/>
  <c r="D87" i="2"/>
  <c r="N74" i="2"/>
  <c r="L60" i="2"/>
  <c r="H71" i="2"/>
  <c r="N95" i="2"/>
  <c r="I43" i="2"/>
  <c r="J58" i="2"/>
  <c r="E91" i="2"/>
  <c r="P53" i="2"/>
  <c r="W53" i="2"/>
  <c r="L64" i="2"/>
  <c r="K69" i="2"/>
  <c r="N79" i="2"/>
  <c r="R43" i="2"/>
  <c r="M51" i="2"/>
  <c r="O52" i="2"/>
  <c r="I51" i="2"/>
  <c r="J51" i="2"/>
  <c r="X97" i="2"/>
  <c r="K41" i="2"/>
  <c r="S111" i="2"/>
  <c r="X74" i="2"/>
  <c r="G78" i="2"/>
  <c r="J95" i="2"/>
  <c r="C79" i="2"/>
  <c r="H109" i="2"/>
  <c r="J67" i="2"/>
  <c r="C56" i="2"/>
  <c r="T110" i="2"/>
  <c r="U40" i="2"/>
  <c r="H55" i="2"/>
  <c r="E42" i="2"/>
  <c r="AP84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E46" i="2"/>
  <c r="M110" i="2"/>
  <c r="J65" i="2"/>
  <c r="R55" i="2"/>
  <c r="Q68" i="2"/>
  <c r="W40" i="2"/>
  <c r="K95" i="2"/>
  <c r="O87" i="2"/>
  <c r="D79" i="2"/>
  <c r="T48" i="2"/>
  <c r="U111" i="2"/>
  <c r="X69" i="2"/>
  <c r="C57" i="2"/>
  <c r="L108" i="2"/>
  <c r="R84" i="2"/>
  <c r="R113" i="2"/>
  <c r="J74" i="2"/>
  <c r="U90" i="2"/>
  <c r="U61" i="2"/>
  <c r="J105" i="2"/>
  <c r="J113" i="2"/>
  <c r="V47" i="2"/>
  <c r="H69" i="2"/>
  <c r="T89" i="2"/>
  <c r="E56" i="2"/>
  <c r="K71" i="2"/>
  <c r="R71" i="2"/>
  <c r="V70" i="2"/>
  <c r="R73" i="2"/>
  <c r="I81" i="2"/>
  <c r="T93" i="2"/>
  <c r="S56" i="2"/>
  <c r="U43" i="2"/>
  <c r="V44" i="2"/>
  <c r="D68" i="2"/>
  <c r="I88" i="2"/>
  <c r="S58" i="2"/>
  <c r="M67" i="2"/>
  <c r="U85" i="2"/>
  <c r="K58" i="2"/>
  <c r="N98" i="2"/>
  <c r="K63" i="2"/>
  <c r="O61" i="2"/>
  <c r="U64" i="2"/>
  <c r="F67" i="2"/>
  <c r="C91" i="2"/>
  <c r="V95" i="2"/>
  <c r="AP70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M93" i="2"/>
  <c r="N84" i="2"/>
  <c r="I83" i="2"/>
  <c r="R81" i="2"/>
  <c r="R57" i="2"/>
  <c r="I107" i="2"/>
  <c r="F72" i="2"/>
  <c r="U78" i="2"/>
  <c r="U55" i="2"/>
  <c r="L62" i="2"/>
  <c r="R64" i="2"/>
  <c r="K67" i="2"/>
  <c r="F51" i="2"/>
  <c r="W89" i="2"/>
  <c r="J89" i="2"/>
  <c r="W106" i="2"/>
  <c r="V99" i="2"/>
  <c r="T47" i="2"/>
  <c r="D71" i="2"/>
  <c r="G88" i="2"/>
  <c r="E105" i="2"/>
  <c r="G105" i="2"/>
  <c r="K40" i="2"/>
  <c r="N69" i="2"/>
  <c r="F64" i="2"/>
  <c r="V81" i="2"/>
  <c r="Q42" i="2"/>
  <c r="H61" i="2"/>
  <c r="X87" i="2"/>
  <c r="T96" i="2"/>
  <c r="Q98" i="2"/>
  <c r="W86" i="2"/>
  <c r="T52" i="2"/>
  <c r="P57" i="2"/>
  <c r="H88" i="2"/>
  <c r="K73" i="2"/>
  <c r="C61" i="2"/>
  <c r="N67" i="2"/>
  <c r="N63" i="2"/>
  <c r="Q51" i="2"/>
  <c r="O50" i="2"/>
  <c r="G60" i="2"/>
  <c r="J81" i="2"/>
  <c r="O62" i="2"/>
  <c r="D42" i="2"/>
  <c r="U51" i="2"/>
  <c r="C87" i="2"/>
  <c r="AP56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T84" i="2"/>
  <c r="O105" i="2"/>
  <c r="S84" i="2"/>
  <c r="H79" i="2"/>
  <c r="S72" i="2"/>
  <c r="R76" i="2"/>
  <c r="O64" i="2"/>
  <c r="W110" i="2"/>
  <c r="N110" i="2"/>
  <c r="N46" i="2"/>
  <c r="F81" i="2"/>
  <c r="M47" i="2"/>
  <c r="AP88" i="3"/>
  <c r="AB67" i="3"/>
  <c r="Z19" i="3"/>
  <c r="S16" i="3"/>
  <c r="AE24" i="3"/>
  <c r="AI11" i="3"/>
  <c r="K36" i="3"/>
  <c r="U24" i="3"/>
  <c r="AM40" i="3"/>
  <c r="S34" i="3"/>
  <c r="C25" i="3"/>
  <c r="K23" i="3"/>
  <c r="AN23" i="3"/>
  <c r="J27" i="3"/>
  <c r="P6" i="3"/>
  <c r="Z24" i="3"/>
  <c r="C30" i="3"/>
  <c r="AI31" i="3"/>
  <c r="AH40" i="3"/>
  <c r="X5" i="3"/>
  <c r="AG30" i="3"/>
  <c r="AQ21" i="3"/>
  <c r="AL15" i="3"/>
  <c r="Y24" i="3"/>
  <c r="D50" i="3"/>
  <c r="W10" i="3"/>
  <c r="S24" i="3"/>
  <c r="AG36" i="3"/>
  <c r="Z26" i="3"/>
  <c r="AO38" i="3"/>
  <c r="AL38" i="3"/>
  <c r="U36" i="3"/>
  <c r="Q41" i="3"/>
  <c r="AD40" i="3"/>
  <c r="AA11" i="3"/>
  <c r="Z7" i="3"/>
  <c r="O10" i="3"/>
  <c r="S39" i="3"/>
  <c r="AD47" i="3"/>
  <c r="AL29" i="3"/>
  <c r="L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AG16" i="3"/>
  <c r="AC38" i="3"/>
  <c r="T38" i="3"/>
  <c r="Z16" i="3"/>
  <c r="AM38" i="3"/>
  <c r="AB16" i="3"/>
  <c r="R12" i="3"/>
  <c r="AK18" i="3"/>
  <c r="AD29" i="3"/>
  <c r="U20" i="3"/>
  <c r="AE15" i="3"/>
  <c r="X42" i="3"/>
  <c r="AN30" i="3"/>
  <c r="AI20" i="3"/>
  <c r="AD25" i="3"/>
  <c r="AL17" i="3"/>
  <c r="AD26" i="3"/>
  <c r="AL6" i="3"/>
  <c r="AK14" i="3"/>
  <c r="AK33" i="3"/>
  <c r="AH19" i="3"/>
  <c r="W38" i="3"/>
  <c r="U10" i="3"/>
  <c r="G33" i="3"/>
  <c r="AG5" i="3"/>
  <c r="K30" i="3"/>
  <c r="K14" i="3"/>
  <c r="L10" i="3"/>
  <c r="J31" i="3"/>
  <c r="U40" i="3"/>
  <c r="V39" i="3"/>
  <c r="Q7" i="3"/>
  <c r="T42" i="3"/>
  <c r="AP35" i="3"/>
  <c r="H12" i="3"/>
  <c r="AA26" i="3"/>
  <c r="AE40" i="3"/>
  <c r="R7" i="3"/>
  <c r="J26" i="3"/>
  <c r="Y21" i="3"/>
  <c r="O41" i="2"/>
  <c r="R66" i="2"/>
  <c r="D84" i="2"/>
  <c r="Q94" i="2"/>
  <c r="T106" i="2"/>
  <c r="V66" i="2"/>
  <c r="U59" i="2"/>
  <c r="J49" i="2"/>
  <c r="X86" i="2"/>
  <c r="C51" i="2"/>
  <c r="Q47" i="2"/>
  <c r="S98" i="2"/>
  <c r="AB92" i="3"/>
  <c r="AB69" i="3"/>
  <c r="AN33" i="3"/>
  <c r="Z10" i="3"/>
  <c r="AB20" i="3"/>
  <c r="S33" i="3"/>
  <c r="Q31" i="3"/>
  <c r="S42" i="3"/>
  <c r="Y25" i="3"/>
  <c r="C12" i="3"/>
  <c r="AQ36" i="3"/>
  <c r="T30" i="3"/>
  <c r="Y28" i="3"/>
  <c r="AP14" i="3"/>
  <c r="Q38" i="3"/>
  <c r="X38" i="3"/>
  <c r="M7" i="3"/>
  <c r="U28" i="3"/>
  <c r="AQ12" i="3"/>
  <c r="L22" i="3"/>
  <c r="P16" i="3"/>
  <c r="AJ34" i="3"/>
  <c r="L18" i="3"/>
  <c r="AQ14" i="3"/>
  <c r="X13" i="3"/>
  <c r="AP17" i="3"/>
  <c r="L39" i="3"/>
  <c r="AI42" i="3"/>
  <c r="AJ32" i="3"/>
  <c r="AQ42" i="3"/>
  <c r="P29" i="3"/>
  <c r="V13" i="3"/>
  <c r="AD21" i="3"/>
  <c r="AQ30" i="3"/>
  <c r="M12" i="3"/>
  <c r="AA14" i="3"/>
  <c r="M27" i="3"/>
  <c r="I24" i="3"/>
  <c r="AN3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N37" i="3"/>
  <c r="I31" i="3"/>
  <c r="AQ34" i="3"/>
  <c r="AL35" i="3"/>
  <c r="M16" i="3"/>
  <c r="Q32" i="3"/>
  <c r="AG25" i="3"/>
  <c r="AA24" i="3"/>
  <c r="AB15" i="3"/>
  <c r="W8" i="3"/>
  <c r="H33" i="3"/>
  <c r="U13" i="3"/>
  <c r="AB25" i="3"/>
  <c r="J20" i="3"/>
  <c r="L9" i="3"/>
  <c r="S6" i="3"/>
  <c r="Q21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M18" i="3"/>
  <c r="AM35" i="3"/>
  <c r="J39" i="3"/>
  <c r="J24" i="3"/>
  <c r="N11" i="3"/>
  <c r="AB40" i="3"/>
  <c r="K28" i="3"/>
  <c r="O54" i="2"/>
  <c r="C89" i="2"/>
  <c r="V71" i="2"/>
  <c r="L53" i="2"/>
  <c r="O51" i="2"/>
  <c r="O65" i="2"/>
  <c r="M109" i="2"/>
  <c r="H106" i="2"/>
  <c r="J88" i="2"/>
  <c r="W79" i="2"/>
  <c r="N61" i="2"/>
  <c r="U113" i="2"/>
  <c r="AB79" i="3"/>
  <c r="AP64" i="3"/>
  <c r="U21" i="3"/>
  <c r="AL27" i="3"/>
  <c r="H28" i="3"/>
  <c r="Z25" i="3"/>
  <c r="X14" i="3"/>
  <c r="U41" i="3"/>
  <c r="Z12" i="3"/>
  <c r="C22" i="3"/>
  <c r="AN27" i="3"/>
  <c r="Q29" i="3"/>
  <c r="AO24" i="3"/>
  <c r="AK11" i="3"/>
  <c r="M26" i="3"/>
  <c r="O9" i="3"/>
  <c r="AJ20" i="3"/>
  <c r="W16" i="3"/>
  <c r="AJ36" i="3"/>
  <c r="AB24" i="3"/>
  <c r="AC17" i="3"/>
  <c r="K15" i="3"/>
  <c r="I40" i="3"/>
  <c r="AB13" i="3"/>
  <c r="AA41" i="3"/>
  <c r="X26" i="3"/>
  <c r="AC14" i="3"/>
  <c r="N8" i="3"/>
  <c r="W41" i="3"/>
  <c r="AA10" i="3"/>
  <c r="AE29" i="3"/>
  <c r="AG34" i="3"/>
  <c r="AE30" i="3"/>
  <c r="AO16" i="3"/>
  <c r="V32" i="3"/>
  <c r="AD33" i="3"/>
  <c r="AI18" i="3"/>
  <c r="H23" i="3"/>
  <c r="AO28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AG41" i="3"/>
  <c r="AQ35" i="3"/>
  <c r="S22" i="3"/>
  <c r="V35" i="3"/>
  <c r="V28" i="3"/>
  <c r="O31" i="3"/>
  <c r="O12" i="3"/>
  <c r="AE26" i="3"/>
  <c r="H8" i="3"/>
  <c r="AM6" i="3"/>
  <c r="T15" i="3"/>
  <c r="W30" i="3"/>
  <c r="AH18" i="3"/>
  <c r="AE27" i="3"/>
  <c r="AD23" i="3"/>
  <c r="O33" i="3"/>
  <c r="AE22" i="3"/>
  <c r="W14" i="3"/>
  <c r="Q17" i="3"/>
  <c r="AH20" i="3"/>
  <c r="T5" i="3"/>
  <c r="AO22" i="3"/>
  <c r="AP32" i="3"/>
  <c r="AI33" i="3"/>
  <c r="AH8" i="3"/>
  <c r="V15" i="3"/>
  <c r="K20" i="3"/>
  <c r="AP61" i="3"/>
  <c r="AB76" i="3"/>
  <c r="P39" i="3"/>
  <c r="AG42" i="3"/>
  <c r="K38" i="3"/>
  <c r="AA12" i="3"/>
  <c r="X28" i="3"/>
  <c r="Y34" i="3"/>
  <c r="AA17" i="3"/>
  <c r="AC37" i="3"/>
  <c r="O8" i="3"/>
  <c r="V29" i="3"/>
  <c r="N21" i="3"/>
  <c r="J8" i="3"/>
  <c r="Z9" i="3"/>
  <c r="AI34" i="3"/>
  <c r="AC25" i="3"/>
  <c r="AQ19" i="3"/>
  <c r="L26" i="3"/>
  <c r="K21" i="3"/>
  <c r="AB6" i="3"/>
  <c r="Z31" i="3"/>
  <c r="I35" i="3"/>
  <c r="O30" i="3"/>
  <c r="T11" i="3"/>
  <c r="W35" i="3"/>
  <c r="H7" i="3"/>
  <c r="Z36" i="3"/>
  <c r="V11" i="3"/>
  <c r="AK10" i="3"/>
  <c r="AL7" i="3"/>
  <c r="Y32" i="3"/>
  <c r="I6" i="3"/>
  <c r="Q28" i="3"/>
  <c r="S20" i="3"/>
  <c r="O13" i="3"/>
  <c r="D50" i="2"/>
  <c r="H41" i="2"/>
  <c r="G53" i="2"/>
  <c r="L57" i="2"/>
  <c r="T87" i="2"/>
  <c r="K68" i="2"/>
  <c r="D104" i="2"/>
  <c r="Q72" i="2"/>
  <c r="M64" i="2"/>
  <c r="G76" i="2"/>
  <c r="U65" i="2"/>
  <c r="N47" i="2"/>
  <c r="AM18" i="3"/>
  <c r="AK23" i="3"/>
  <c r="AM27" i="3"/>
  <c r="K9" i="3"/>
  <c r="AP38" i="3"/>
  <c r="AQ28" i="3"/>
  <c r="T13" i="3"/>
  <c r="L34" i="3"/>
  <c r="AI17" i="3"/>
  <c r="P12" i="3"/>
  <c r="H39" i="3"/>
  <c r="Q39" i="3"/>
  <c r="N22" i="3"/>
  <c r="AH6" i="3"/>
  <c r="W73" i="2"/>
  <c r="P81" i="2"/>
  <c r="M89" i="2"/>
  <c r="Q90" i="2"/>
  <c r="U77" i="2"/>
  <c r="I42" i="2"/>
  <c r="I55" i="2"/>
  <c r="D67" i="2"/>
  <c r="J90" i="2"/>
  <c r="L46" i="2"/>
  <c r="M111" i="2"/>
  <c r="C63" i="2"/>
  <c r="AP79" i="3"/>
  <c r="AB84" i="3"/>
  <c r="AM16" i="3"/>
  <c r="V8" i="3"/>
  <c r="AE9" i="3"/>
  <c r="K29" i="3"/>
  <c r="AH42" i="3"/>
  <c r="H24" i="3"/>
  <c r="M39" i="3"/>
  <c r="M20" i="3"/>
  <c r="AA40" i="3"/>
  <c r="O18" i="3"/>
  <c r="Y38" i="3"/>
  <c r="L30" i="3"/>
  <c r="O20" i="3"/>
  <c r="V25" i="3"/>
  <c r="L23" i="3"/>
  <c r="AP15" i="3"/>
  <c r="R14" i="3"/>
  <c r="V27" i="3"/>
  <c r="AC9" i="3"/>
  <c r="AK36" i="3"/>
  <c r="H18" i="3"/>
  <c r="V7" i="3"/>
  <c r="L36" i="3"/>
  <c r="AO29" i="3"/>
  <c r="AO41" i="3"/>
  <c r="Y7" i="3"/>
  <c r="AD19" i="3"/>
  <c r="X22" i="3"/>
  <c r="W13" i="3"/>
  <c r="R33" i="3"/>
  <c r="S19" i="3"/>
  <c r="AA33" i="3"/>
  <c r="AJ28" i="3"/>
  <c r="AD30" i="3"/>
  <c r="AM23" i="3"/>
  <c r="X32" i="3"/>
  <c r="H16" i="3"/>
  <c r="AL40" i="3"/>
  <c r="AN28" i="3"/>
  <c r="AO18" i="3"/>
  <c r="AI35" i="3"/>
  <c r="AA16" i="3"/>
  <c r="AE37" i="3"/>
  <c r="T20" i="3"/>
  <c r="N13" i="3"/>
  <c r="AC21" i="3"/>
  <c r="AN16" i="3"/>
  <c r="AH27" i="3"/>
  <c r="AG33" i="3"/>
  <c r="P7" i="3"/>
  <c r="H30" i="3"/>
  <c r="I11" i="3"/>
  <c r="Z39" i="3"/>
  <c r="AC10" i="3"/>
  <c r="K41" i="3"/>
  <c r="AQ11" i="3"/>
  <c r="AA37" i="3"/>
  <c r="Q10" i="3"/>
  <c r="K5" i="3"/>
  <c r="AJ29" i="3"/>
  <c r="J11" i="3"/>
  <c r="H26" i="3"/>
  <c r="W25" i="3"/>
  <c r="D48" i="3"/>
  <c r="AA15" i="3"/>
  <c r="G34" i="3"/>
  <c r="AG13" i="3"/>
  <c r="P36" i="3"/>
  <c r="T6" i="3"/>
  <c r="AK28" i="3"/>
  <c r="AD41" i="3"/>
  <c r="C72" i="2"/>
  <c r="L44" i="2"/>
  <c r="W66" i="2"/>
  <c r="X89" i="2"/>
  <c r="F112" i="2"/>
  <c r="N99" i="2"/>
  <c r="J48" i="2"/>
  <c r="V77" i="2"/>
  <c r="R68" i="2"/>
  <c r="H77" i="2"/>
  <c r="S64" i="2"/>
  <c r="AB68" i="3"/>
  <c r="AB75" i="3"/>
  <c r="H34" i="3"/>
  <c r="O23" i="3"/>
  <c r="AB19" i="3"/>
  <c r="AA34" i="3"/>
  <c r="G37" i="3"/>
  <c r="AP37" i="3"/>
  <c r="R15" i="3"/>
  <c r="AN20" i="3"/>
  <c r="P22" i="3"/>
  <c r="M9" i="3"/>
  <c r="AH11" i="3"/>
  <c r="AE19" i="3"/>
  <c r="T28" i="3"/>
  <c r="AC19" i="3"/>
  <c r="AC6" i="3"/>
  <c r="C33" i="3"/>
  <c r="R28" i="3"/>
  <c r="AG38" i="3"/>
  <c r="AK41" i="3"/>
  <c r="C9" i="3"/>
  <c r="AJ11" i="3"/>
  <c r="H37" i="3"/>
  <c r="W9" i="3"/>
  <c r="AE5" i="3"/>
  <c r="Y37" i="3"/>
  <c r="AD48" i="3"/>
  <c r="R38" i="3"/>
  <c r="K6" i="3"/>
  <c r="AQ40" i="3"/>
  <c r="H10" i="3"/>
  <c r="AH34" i="3"/>
  <c r="AC31" i="3"/>
  <c r="U26" i="3"/>
  <c r="Y33" i="3"/>
  <c r="G49" i="3"/>
  <c r="J23" i="3"/>
  <c r="AE23" i="3"/>
  <c r="V30" i="3"/>
  <c r="P15" i="3"/>
  <c r="AO12" i="3"/>
  <c r="Q30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Y42" i="3"/>
  <c r="AJ42" i="3"/>
  <c r="N17" i="3"/>
  <c r="U32" i="3"/>
  <c r="T40" i="3"/>
  <c r="C71" i="2"/>
  <c r="F109" i="2"/>
  <c r="C99" i="2"/>
  <c r="J84" i="2"/>
  <c r="J70" i="2"/>
  <c r="L80" i="2"/>
  <c r="S113" i="2"/>
  <c r="C78" i="2"/>
  <c r="R104" i="2"/>
  <c r="R40" i="2"/>
  <c r="O109" i="2"/>
  <c r="AB60" i="3"/>
  <c r="AB63" i="3"/>
  <c r="AM33" i="3"/>
  <c r="AO33" i="3"/>
  <c r="P10" i="3"/>
  <c r="AB41" i="3"/>
  <c r="N39" i="3"/>
  <c r="W19" i="3"/>
  <c r="Y39" i="3"/>
  <c r="AA36" i="3"/>
  <c r="C32" i="3"/>
  <c r="R30" i="3"/>
  <c r="V34" i="3"/>
  <c r="S17" i="3"/>
  <c r="AM9" i="3"/>
  <c r="AP28" i="3"/>
  <c r="AO34" i="3"/>
  <c r="AG21" i="3"/>
  <c r="P35" i="3"/>
  <c r="AG23" i="3"/>
  <c r="C24" i="3"/>
  <c r="T10" i="3"/>
  <c r="AA32" i="3"/>
  <c r="AN24" i="3"/>
  <c r="AQ22" i="3"/>
  <c r="W31" i="3"/>
  <c r="AE6" i="3"/>
  <c r="N29" i="3"/>
  <c r="AK13" i="3"/>
  <c r="AL21" i="3"/>
  <c r="Z29" i="3"/>
  <c r="J29" i="3"/>
  <c r="P23" i="3"/>
  <c r="AA13" i="3"/>
  <c r="AB27" i="3"/>
  <c r="H15" i="3"/>
  <c r="AQ24" i="3"/>
  <c r="J13" i="3"/>
  <c r="S26" i="3"/>
  <c r="U14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T18" i="3"/>
  <c r="AC11" i="3"/>
  <c r="N23" i="3"/>
  <c r="S15" i="3"/>
  <c r="AO19" i="3"/>
  <c r="AJ27" i="3"/>
  <c r="AG40" i="3"/>
  <c r="AN15" i="3"/>
  <c r="L21" i="3"/>
  <c r="Y41" i="3"/>
  <c r="M40" i="3"/>
  <c r="V20" i="3"/>
  <c r="J19" i="3"/>
  <c r="T31" i="3"/>
  <c r="L35" i="3"/>
  <c r="U42" i="3"/>
  <c r="AN41" i="3"/>
  <c r="X18" i="3"/>
  <c r="X20" i="3"/>
  <c r="AD49" i="3"/>
  <c r="AL11" i="3"/>
  <c r="AK15" i="3"/>
  <c r="AO13" i="3"/>
  <c r="Q13" i="3"/>
  <c r="K31" i="3"/>
  <c r="AD42" i="3"/>
  <c r="P26" i="3"/>
  <c r="AQ10" i="3"/>
  <c r="M19" i="3"/>
  <c r="Y27" i="3"/>
  <c r="AD22" i="3"/>
  <c r="AH30" i="3"/>
  <c r="AE13" i="3"/>
  <c r="AQ16" i="3"/>
  <c r="K33" i="3"/>
  <c r="T36" i="3"/>
  <c r="U8" i="3"/>
  <c r="AN13" i="3"/>
  <c r="AA38" i="3"/>
  <c r="AE12" i="3"/>
  <c r="AI14" i="3"/>
  <c r="K26" i="3"/>
  <c r="U16" i="3"/>
  <c r="C26" i="3"/>
  <c r="AP21" i="3"/>
  <c r="AA27" i="3"/>
  <c r="AA35" i="3"/>
  <c r="P17" i="3"/>
  <c r="X40" i="3"/>
  <c r="AJ26" i="3"/>
  <c r="Y26" i="3"/>
  <c r="C31" i="3"/>
  <c r="S29" i="3"/>
  <c r="AA20" i="3"/>
  <c r="U5" i="3"/>
  <c r="K17" i="3"/>
  <c r="W20" i="3"/>
  <c r="K32" i="3"/>
  <c r="J35" i="3"/>
  <c r="AO37" i="3"/>
  <c r="Z33" i="3"/>
  <c r="I56" i="2"/>
  <c r="C106" i="2"/>
  <c r="L66" i="2"/>
  <c r="AP50" i="3"/>
  <c r="AI12" i="3"/>
  <c r="O29" i="3"/>
  <c r="AP19" i="3"/>
  <c r="AP36" i="3"/>
  <c r="AO32" i="3"/>
  <c r="AH35" i="3"/>
  <c r="H35" i="3"/>
  <c r="AQ33" i="3"/>
  <c r="AE20" i="3"/>
  <c r="P40" i="3"/>
  <c r="K10" i="3"/>
  <c r="N9" i="3"/>
  <c r="P42" i="3"/>
  <c r="Z22" i="3"/>
  <c r="AB28" i="3"/>
  <c r="AG19" i="3"/>
  <c r="AJ39" i="3"/>
  <c r="AI39" i="3"/>
  <c r="S5" i="3"/>
  <c r="K11" i="3"/>
  <c r="S8" i="3"/>
  <c r="D49" i="3"/>
  <c r="I32" i="3"/>
  <c r="P9" i="3"/>
  <c r="AH12" i="3"/>
  <c r="Q11" i="3"/>
  <c r="J47" i="2"/>
  <c r="X47" i="2"/>
  <c r="F86" i="2"/>
  <c r="O63" i="2"/>
  <c r="O44" i="2"/>
  <c r="M72" i="2"/>
  <c r="H67" i="2"/>
  <c r="R94" i="2"/>
  <c r="S42" i="2"/>
  <c r="U108" i="2"/>
  <c r="X68" i="2"/>
  <c r="AB58" i="3"/>
  <c r="AB62" i="3"/>
  <c r="W5" i="3"/>
  <c r="AQ39" i="3"/>
  <c r="L25" i="3"/>
  <c r="M29" i="3"/>
  <c r="N34" i="3"/>
  <c r="AH15" i="3"/>
  <c r="AK17" i="3"/>
  <c r="L5" i="3"/>
  <c r="AL9" i="3"/>
  <c r="S11" i="3"/>
  <c r="AJ23" i="3"/>
  <c r="I15" i="3"/>
  <c r="AM13" i="3"/>
  <c r="L14" i="3"/>
  <c r="L16" i="3"/>
  <c r="Q5" i="3"/>
  <c r="N32" i="3"/>
  <c r="AI23" i="3"/>
  <c r="AI19" i="3"/>
  <c r="R42" i="3"/>
  <c r="AM20" i="3"/>
  <c r="AA5" i="3"/>
  <c r="AQ41" i="3"/>
  <c r="AM30" i="3"/>
  <c r="M30" i="3"/>
  <c r="X29" i="3"/>
  <c r="AN29" i="3"/>
  <c r="AJ13" i="3"/>
  <c r="M5" i="3"/>
  <c r="R10" i="3"/>
  <c r="AM29" i="3"/>
  <c r="Z23" i="3"/>
  <c r="C6" i="3"/>
  <c r="J32" i="3"/>
  <c r="AM37" i="3"/>
  <c r="AL13" i="3"/>
  <c r="U9" i="3"/>
  <c r="R21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AI40" i="3"/>
  <c r="O40" i="3"/>
  <c r="AJ40" i="3"/>
  <c r="G47" i="3"/>
  <c r="I17" i="3"/>
  <c r="N27" i="3"/>
  <c r="K8" i="3"/>
  <c r="AQ7" i="3"/>
  <c r="AO5" i="3"/>
  <c r="S37" i="3"/>
  <c r="M24" i="3"/>
  <c r="S25" i="3"/>
  <c r="AB17" i="3"/>
  <c r="AB31" i="3"/>
  <c r="S28" i="3"/>
  <c r="AO8" i="3"/>
  <c r="L41" i="3"/>
  <c r="AC24" i="3"/>
  <c r="AO26" i="3"/>
  <c r="K16" i="3"/>
  <c r="V23" i="3"/>
  <c r="O14" i="3"/>
  <c r="U7" i="3"/>
  <c r="AC35" i="3"/>
  <c r="N12" i="3"/>
  <c r="R6" i="3"/>
  <c r="W36" i="3"/>
  <c r="AO23" i="3"/>
  <c r="I18" i="3"/>
  <c r="T12" i="3"/>
  <c r="N28" i="3"/>
  <c r="AO30" i="3"/>
  <c r="P88" i="2"/>
  <c r="E104" i="2"/>
  <c r="T75" i="2"/>
  <c r="E71" i="2"/>
  <c r="P82" i="2"/>
  <c r="O60" i="2"/>
  <c r="M79" i="2"/>
  <c r="K57" i="2"/>
  <c r="V91" i="2"/>
  <c r="K83" i="2"/>
  <c r="R97" i="2"/>
  <c r="O47" i="2"/>
  <c r="AP93" i="3"/>
  <c r="AB82" i="3"/>
  <c r="AN8" i="3"/>
  <c r="W28" i="3"/>
  <c r="AC39" i="3"/>
  <c r="J12" i="3"/>
  <c r="T33" i="3"/>
  <c r="AP30" i="3"/>
  <c r="AL31" i="3"/>
  <c r="AD38" i="3"/>
  <c r="AP8" i="3"/>
  <c r="AI10" i="3"/>
  <c r="V33" i="3"/>
  <c r="AP26" i="3"/>
  <c r="Q19" i="3"/>
  <c r="AL16" i="3"/>
  <c r="C34" i="3"/>
  <c r="R26" i="3"/>
  <c r="AE8" i="3"/>
  <c r="AG32" i="3"/>
  <c r="AK34" i="3"/>
  <c r="AP31" i="3"/>
  <c r="AB26" i="3"/>
  <c r="T14" i="3"/>
  <c r="J21" i="3"/>
  <c r="AB33" i="3"/>
  <c r="W27" i="3"/>
  <c r="AL8" i="3"/>
  <c r="Q40" i="3"/>
  <c r="P19" i="3"/>
  <c r="N42" i="3"/>
  <c r="AH32" i="3"/>
  <c r="O26" i="3"/>
  <c r="AJ12" i="3"/>
  <c r="M37" i="3"/>
  <c r="AO17" i="3"/>
  <c r="Z40" i="3"/>
  <c r="U25" i="3"/>
  <c r="R23" i="3"/>
  <c r="AQ15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N33" i="3"/>
  <c r="H29" i="3"/>
  <c r="M21" i="3"/>
  <c r="I5" i="3"/>
  <c r="AJ7" i="3"/>
  <c r="P24" i="3"/>
  <c r="AH28" i="3"/>
  <c r="G38" i="3"/>
  <c r="AI22" i="3"/>
  <c r="C14" i="3"/>
  <c r="AA7" i="3"/>
  <c r="W17" i="3"/>
  <c r="Y5" i="3"/>
  <c r="Z5" i="3"/>
  <c r="T29" i="3"/>
  <c r="AB8" i="3"/>
  <c r="AL5" i="3"/>
  <c r="K34" i="3"/>
  <c r="R11" i="3"/>
  <c r="Q8" i="3"/>
  <c r="X11" i="3"/>
  <c r="C16" i="3"/>
  <c r="AB9" i="3"/>
  <c r="AQ17" i="3"/>
  <c r="S93" i="2"/>
  <c r="L104" i="2"/>
  <c r="F77" i="2"/>
  <c r="S12" i="3"/>
  <c r="AE11" i="3"/>
  <c r="AA6" i="3"/>
  <c r="K42" i="3"/>
  <c r="AC16" i="3"/>
  <c r="Y36" i="3"/>
  <c r="I27" i="3"/>
  <c r="AG12" i="3"/>
  <c r="AL23" i="3"/>
  <c r="D47" i="3"/>
  <c r="M48" i="2"/>
  <c r="H70" i="2"/>
  <c r="D76" i="2"/>
  <c r="D91" i="2"/>
  <c r="R80" i="2"/>
  <c r="E107" i="2"/>
  <c r="C52" i="2"/>
  <c r="F58" i="2"/>
  <c r="Q50" i="2"/>
  <c r="T62" i="2"/>
  <c r="K106" i="2"/>
  <c r="O108" i="2"/>
  <c r="C48" i="3"/>
  <c r="AP95" i="3"/>
  <c r="H17" i="3"/>
  <c r="I38" i="3"/>
  <c r="I23" i="3"/>
  <c r="H14" i="3"/>
  <c r="S35" i="3"/>
  <c r="W34" i="3"/>
  <c r="H27" i="3"/>
  <c r="M32" i="3"/>
  <c r="O42" i="3"/>
  <c r="P20" i="3"/>
  <c r="N35" i="3"/>
  <c r="AQ32" i="3"/>
  <c r="AN6" i="3"/>
  <c r="AK9" i="3"/>
  <c r="AO11" i="3"/>
  <c r="AC33" i="3"/>
  <c r="K19" i="3"/>
  <c r="T26" i="3"/>
  <c r="AE33" i="3"/>
  <c r="AL42" i="3"/>
  <c r="AI32" i="3"/>
  <c r="AP33" i="3"/>
  <c r="AQ37" i="3"/>
  <c r="AP22" i="3"/>
  <c r="K24" i="3"/>
  <c r="N30" i="3"/>
  <c r="AC5" i="3"/>
  <c r="AE41" i="3"/>
  <c r="X21" i="3"/>
  <c r="L27" i="3"/>
  <c r="AE28" i="3"/>
  <c r="T21" i="3"/>
  <c r="I30" i="3"/>
  <c r="AL12" i="3"/>
  <c r="M8" i="3"/>
  <c r="AE17" i="3"/>
  <c r="AH25" i="3"/>
  <c r="U39" i="3"/>
  <c r="AB36" i="3"/>
  <c r="Z13" i="3"/>
  <c r="V6" i="3"/>
  <c r="Q6" i="3"/>
  <c r="L13" i="3"/>
  <c r="T7" i="3"/>
  <c r="AK42" i="3"/>
  <c r="N6" i="3"/>
  <c r="U18" i="3"/>
  <c r="AD27" i="3"/>
  <c r="C29" i="3"/>
  <c r="AQ25" i="3"/>
  <c r="R16" i="3"/>
  <c r="X19" i="3"/>
  <c r="AA39" i="3"/>
  <c r="AG11" i="3"/>
  <c r="C11" i="3"/>
  <c r="W83" i="2"/>
  <c r="X111" i="2"/>
  <c r="I79" i="2"/>
  <c r="AP48" i="3"/>
  <c r="T34" i="3"/>
  <c r="R17" i="3"/>
  <c r="R9" i="3"/>
  <c r="AN40" i="3"/>
  <c r="AL36" i="3"/>
  <c r="AC28" i="3"/>
  <c r="AI25" i="3"/>
  <c r="AI8" i="3"/>
  <c r="L7" i="3"/>
  <c r="AL24" i="3"/>
  <c r="K7" i="3"/>
  <c r="AO42" i="3"/>
  <c r="V14" i="3"/>
  <c r="V36" i="3"/>
  <c r="AK25" i="3"/>
  <c r="P14" i="3"/>
  <c r="K22" i="3"/>
  <c r="P38" i="3"/>
  <c r="S18" i="3"/>
  <c r="AG35" i="3"/>
  <c r="AH39" i="3"/>
  <c r="R109" i="2"/>
  <c r="T40" i="2"/>
  <c r="S105" i="2"/>
  <c r="D54" i="2"/>
  <c r="J73" i="2"/>
  <c r="E50" i="2"/>
  <c r="D82" i="2"/>
  <c r="X43" i="2"/>
  <c r="O91" i="2"/>
  <c r="D94" i="2"/>
  <c r="S66" i="2"/>
  <c r="L109" i="2"/>
  <c r="AB55" i="3"/>
  <c r="AB56" i="3"/>
  <c r="J36" i="3"/>
  <c r="AO39" i="3"/>
  <c r="AK21" i="3"/>
  <c r="AD28" i="3"/>
  <c r="AQ18" i="3"/>
  <c r="N5" i="3"/>
  <c r="AB22" i="3"/>
  <c r="V9" i="3"/>
  <c r="M22" i="3"/>
  <c r="C19" i="3"/>
  <c r="AH7" i="3"/>
  <c r="AJ15" i="3"/>
  <c r="AL10" i="3"/>
  <c r="J17" i="3"/>
  <c r="H42" i="3"/>
  <c r="O6" i="3"/>
  <c r="G50" i="3"/>
  <c r="C8" i="3"/>
  <c r="H25" i="3"/>
  <c r="AM24" i="3"/>
  <c r="AB29" i="3"/>
  <c r="AN19" i="3"/>
  <c r="I42" i="3"/>
  <c r="U6" i="3"/>
  <c r="AH41" i="3"/>
  <c r="AK20" i="3"/>
  <c r="S23" i="3"/>
  <c r="S21" i="3"/>
  <c r="R37" i="3"/>
  <c r="C39" i="3"/>
  <c r="Y23" i="3"/>
  <c r="AO9" i="3"/>
  <c r="Y20" i="3"/>
  <c r="T19" i="3"/>
  <c r="AM17" i="3"/>
  <c r="AN39" i="3"/>
  <c r="AG14" i="3"/>
  <c r="AC40" i="3"/>
  <c r="L24" i="3"/>
  <c r="AG29" i="3"/>
  <c r="C35" i="3"/>
  <c r="AQ20" i="3"/>
  <c r="S13" i="3"/>
  <c r="N88" i="2"/>
  <c r="L61" i="2"/>
  <c r="F69" i="2"/>
  <c r="M36" i="3"/>
  <c r="J25" i="3"/>
  <c r="AK24" i="3"/>
  <c r="N36" i="3"/>
  <c r="AO31" i="3"/>
  <c r="U33" i="3"/>
  <c r="I10" i="3"/>
  <c r="O25" i="3"/>
  <c r="U34" i="3"/>
  <c r="AN18" i="3"/>
  <c r="AH5" i="3"/>
  <c r="AB32" i="3"/>
  <c r="AN26" i="3"/>
  <c r="AK19" i="3"/>
  <c r="M41" i="3"/>
  <c r="AD39" i="3"/>
  <c r="N25" i="3"/>
  <c r="X6" i="3"/>
  <c r="BH165" i="1" l="1"/>
  <c r="B152" i="1"/>
  <c r="B146" i="1"/>
  <c r="B174" i="1" s="1"/>
  <c r="U191" i="1"/>
  <c r="D138" i="1"/>
  <c r="K184" i="1"/>
  <c r="M144" i="1"/>
  <c r="T94" i="1"/>
  <c r="M165" i="1"/>
  <c r="M200" i="1" s="1"/>
  <c r="U166" i="1"/>
  <c r="E192" i="1"/>
  <c r="W142" i="1"/>
  <c r="K180" i="1"/>
  <c r="T170" i="1"/>
  <c r="L144" i="1"/>
  <c r="F184" i="1"/>
  <c r="L138" i="1"/>
  <c r="C138" i="1"/>
  <c r="E157" i="1"/>
  <c r="N99" i="1"/>
  <c r="N144" i="1"/>
  <c r="S152" i="1"/>
  <c r="W190" i="1"/>
  <c r="U184" i="1"/>
  <c r="W156" i="1"/>
  <c r="T153" i="1"/>
  <c r="S87" i="1"/>
  <c r="R153" i="1"/>
  <c r="H163" i="1"/>
  <c r="L99" i="1"/>
  <c r="C98" i="1"/>
  <c r="V93" i="1"/>
  <c r="M175" i="1"/>
  <c r="B99" i="1"/>
  <c r="B147" i="1"/>
  <c r="D165" i="1"/>
  <c r="D200" i="1" s="1"/>
  <c r="O142" i="1"/>
  <c r="R191" i="1"/>
  <c r="B191" i="1"/>
  <c r="Q169" i="1"/>
  <c r="D180" i="1"/>
  <c r="P144" i="1"/>
  <c r="J152" i="1"/>
  <c r="I157" i="1"/>
  <c r="F170" i="1"/>
  <c r="J153" i="1"/>
  <c r="H166" i="1"/>
  <c r="W173" i="1"/>
  <c r="G164" i="1"/>
  <c r="G199" i="1" s="1"/>
  <c r="R173" i="1"/>
  <c r="R203" i="1" s="1"/>
  <c r="K157" i="1"/>
  <c r="N169" i="1"/>
  <c r="G192" i="1"/>
  <c r="J97" i="1"/>
  <c r="V171" i="1"/>
  <c r="U142" i="1"/>
  <c r="W93" i="1"/>
  <c r="T99" i="1"/>
  <c r="P170" i="1"/>
  <c r="B166" i="1"/>
  <c r="G165" i="1"/>
  <c r="G200" i="1" s="1"/>
  <c r="O165" i="1"/>
  <c r="O200" i="1" s="1"/>
  <c r="P163" i="1"/>
  <c r="C94" i="1"/>
  <c r="T98" i="1"/>
  <c r="M152" i="1"/>
  <c r="T190" i="1"/>
  <c r="I191" i="1"/>
  <c r="D145" i="1"/>
  <c r="F164" i="1"/>
  <c r="F199" i="1" s="1"/>
  <c r="V166" i="1"/>
  <c r="O147" i="1"/>
  <c r="F166" i="1"/>
  <c r="J165" i="1"/>
  <c r="J200" i="1" s="1"/>
  <c r="B170" i="1"/>
  <c r="M157" i="1"/>
  <c r="F153" i="1"/>
  <c r="L157" i="1"/>
  <c r="F180" i="1"/>
  <c r="G142" i="1"/>
  <c r="D146" i="1"/>
  <c r="D174" i="1" s="1"/>
  <c r="S175" i="1"/>
  <c r="C137" i="1"/>
  <c r="I142" i="1"/>
  <c r="O145" i="1"/>
  <c r="J184" i="1"/>
  <c r="W180" i="1"/>
  <c r="F155" i="1"/>
  <c r="F151" i="1" s="1"/>
  <c r="D93" i="1"/>
  <c r="S183" i="1"/>
  <c r="R138" i="1"/>
  <c r="K138" i="1"/>
  <c r="J163" i="1"/>
  <c r="Q156" i="1"/>
  <c r="H192" i="1"/>
  <c r="W167" i="1"/>
  <c r="H179" i="1"/>
  <c r="C156" i="1"/>
  <c r="J137" i="1"/>
  <c r="M173" i="1"/>
  <c r="M203" i="1" s="1"/>
  <c r="F138" i="1"/>
  <c r="L153" i="1"/>
  <c r="O87" i="1"/>
  <c r="E142" i="1"/>
  <c r="C179" i="1"/>
  <c r="F157" i="1"/>
  <c r="W155" i="1"/>
  <c r="W151" i="1" s="1"/>
  <c r="O171" i="1"/>
  <c r="O175" i="1"/>
  <c r="C97" i="1"/>
  <c r="M160" i="1"/>
  <c r="L147" i="1"/>
  <c r="M87" i="1"/>
  <c r="E165" i="1"/>
  <c r="E200" i="1" s="1"/>
  <c r="T87" i="1"/>
  <c r="C147" i="1"/>
  <c r="G175" i="1"/>
  <c r="D163" i="1"/>
  <c r="K97" i="1"/>
  <c r="S171" i="1"/>
  <c r="T139" i="1"/>
  <c r="N157" i="1"/>
  <c r="I170" i="1"/>
  <c r="P169" i="1"/>
  <c r="F190" i="1"/>
  <c r="T155" i="1"/>
  <c r="T151" i="1" s="1"/>
  <c r="Q98" i="1"/>
  <c r="U156" i="1"/>
  <c r="Q142" i="1"/>
  <c r="G152" i="1"/>
  <c r="H87" i="1"/>
  <c r="V155" i="1"/>
  <c r="V151" i="1" s="1"/>
  <c r="V153" i="1"/>
  <c r="B167" i="1"/>
  <c r="E190" i="1"/>
  <c r="R147" i="1"/>
  <c r="H170" i="1"/>
  <c r="B180" i="1"/>
  <c r="U165" i="1"/>
  <c r="U200" i="1" s="1"/>
  <c r="U99" i="1"/>
  <c r="S93" i="1"/>
  <c r="B87" i="1"/>
  <c r="J190" i="1"/>
  <c r="D94" i="1"/>
  <c r="S155" i="1"/>
  <c r="S151" i="1" s="1"/>
  <c r="C157" i="1"/>
  <c r="P155" i="1"/>
  <c r="P151" i="1" s="1"/>
  <c r="S192" i="1"/>
  <c r="L152" i="1"/>
  <c r="N171" i="1"/>
  <c r="O183" i="1"/>
  <c r="L156" i="1"/>
  <c r="P162" i="1"/>
  <c r="G97" i="1"/>
  <c r="V142" i="1"/>
  <c r="J180" i="1"/>
  <c r="G167" i="1"/>
  <c r="F167" i="1"/>
  <c r="C139" i="1"/>
  <c r="V164" i="1"/>
  <c r="V199" i="1" s="1"/>
  <c r="I183" i="1"/>
  <c r="L170" i="1"/>
  <c r="V87" i="1"/>
  <c r="C163" i="1"/>
  <c r="G99" i="1"/>
  <c r="F183" i="1"/>
  <c r="J93" i="1"/>
  <c r="I165" i="1"/>
  <c r="I200" i="1" s="1"/>
  <c r="G156" i="1"/>
  <c r="R87" i="1"/>
  <c r="W139" i="1"/>
  <c r="W146" i="1"/>
  <c r="W174" i="1" s="1"/>
  <c r="Q163" i="1"/>
  <c r="Q139" i="1"/>
  <c r="B83" i="1"/>
  <c r="D167" i="1"/>
  <c r="J175" i="1"/>
  <c r="B184" i="1"/>
  <c r="F173" i="1"/>
  <c r="F203" i="1" s="1"/>
  <c r="R171" i="1"/>
  <c r="R184" i="1"/>
  <c r="N166" i="1"/>
  <c r="R144" i="1"/>
  <c r="O192" i="1"/>
  <c r="F146" i="1"/>
  <c r="F174" i="1" s="1"/>
  <c r="G157" i="1"/>
  <c r="M183" i="1"/>
  <c r="M166" i="1"/>
  <c r="G138" i="1"/>
  <c r="R94" i="1"/>
  <c r="I145" i="1"/>
  <c r="E147" i="1"/>
  <c r="G144" i="1"/>
  <c r="O155" i="1"/>
  <c r="O151" i="1" s="1"/>
  <c r="P167" i="1"/>
  <c r="T192" i="1"/>
  <c r="F147" i="1"/>
  <c r="P138" i="1"/>
  <c r="S160" i="1"/>
  <c r="Q160" i="1"/>
  <c r="B179" i="1"/>
  <c r="C83" i="1"/>
  <c r="T97" i="1"/>
  <c r="S147" i="1"/>
  <c r="W145" i="1"/>
  <c r="L179" i="1"/>
  <c r="I155" i="1"/>
  <c r="I151" i="1" s="1"/>
  <c r="J160" i="1"/>
  <c r="K153" i="1"/>
  <c r="H142" i="1"/>
  <c r="N153" i="1"/>
  <c r="B165" i="1"/>
  <c r="B200" i="1" s="1"/>
  <c r="R179" i="1"/>
  <c r="B192" i="1"/>
  <c r="H146" i="1"/>
  <c r="H174" i="1" s="1"/>
  <c r="M94" i="1"/>
  <c r="E153" i="1"/>
  <c r="M179" i="1"/>
  <c r="D147" i="1"/>
  <c r="P98" i="1"/>
  <c r="B171" i="1"/>
  <c r="E166" i="1"/>
  <c r="L166" i="1"/>
  <c r="V180" i="1"/>
  <c r="W171" i="1"/>
  <c r="C191" i="1"/>
  <c r="M138" i="1"/>
  <c r="U192" i="1"/>
  <c r="L162" i="1"/>
  <c r="I190" i="1"/>
  <c r="C165" i="1"/>
  <c r="C200" i="1" s="1"/>
  <c r="N93" i="1"/>
  <c r="W98" i="1"/>
  <c r="K167" i="1"/>
  <c r="L191" i="1"/>
  <c r="M97" i="1"/>
  <c r="R137" i="1"/>
  <c r="F152" i="1"/>
  <c r="M155" i="1"/>
  <c r="M151" i="1" s="1"/>
  <c r="C153" i="1"/>
  <c r="N192" i="1"/>
  <c r="W147" i="1"/>
  <c r="H138" i="1"/>
  <c r="T93" i="1"/>
  <c r="J156" i="1"/>
  <c r="B156" i="1"/>
  <c r="L98" i="1"/>
  <c r="D162" i="1"/>
  <c r="Q162" i="1"/>
  <c r="L139" i="1"/>
  <c r="L184" i="1"/>
  <c r="G171" i="1"/>
  <c r="B173" i="1"/>
  <c r="B203" i="1" s="1"/>
  <c r="U144" i="1"/>
  <c r="D192" i="1"/>
  <c r="Q164" i="1"/>
  <c r="Q199" i="1" s="1"/>
  <c r="E98" i="1"/>
  <c r="I153" i="1"/>
  <c r="U93" i="1"/>
  <c r="W164" i="1"/>
  <c r="D169" i="1"/>
  <c r="D84" i="1"/>
  <c r="I94" i="1"/>
  <c r="N167" i="1"/>
  <c r="M184" i="1"/>
  <c r="U137" i="1"/>
  <c r="H139" i="1"/>
  <c r="I146" i="1"/>
  <c r="I174" i="1" s="1"/>
  <c r="D98" i="1"/>
  <c r="U147" i="1"/>
  <c r="S184" i="1"/>
  <c r="E173" i="1"/>
  <c r="E203" i="1" s="1"/>
  <c r="E139" i="1"/>
  <c r="V137" i="1"/>
  <c r="M191" i="1"/>
  <c r="P179" i="1"/>
  <c r="P181" i="1" s="1"/>
  <c r="Q229" i="1" s="1"/>
  <c r="E93" i="1"/>
  <c r="F169" i="1"/>
  <c r="I138" i="1"/>
  <c r="C93" i="1"/>
  <c r="U152" i="1"/>
  <c r="B84" i="1"/>
  <c r="T165" i="1"/>
  <c r="T200" i="1" s="1"/>
  <c r="C160" i="1"/>
  <c r="G160" i="1"/>
  <c r="D184" i="1"/>
  <c r="S146" i="1"/>
  <c r="S174" i="1" s="1"/>
  <c r="D156" i="1"/>
  <c r="N170" i="1"/>
  <c r="P93" i="1"/>
  <c r="T191" i="1"/>
  <c r="S137" i="1"/>
  <c r="M139" i="1"/>
  <c r="O139" i="1"/>
  <c r="J145" i="1"/>
  <c r="S97" i="1"/>
  <c r="S144" i="1"/>
  <c r="K163" i="1"/>
  <c r="L163" i="1"/>
  <c r="B155" i="1"/>
  <c r="D173" i="1"/>
  <c r="D203" i="1" s="1"/>
  <c r="R162" i="1"/>
  <c r="N87" i="1"/>
  <c r="B97" i="1"/>
  <c r="K183" i="1"/>
  <c r="H93" i="1"/>
  <c r="K147" i="1"/>
  <c r="B151" i="1"/>
  <c r="I163" i="1"/>
  <c r="K166" i="1"/>
  <c r="L93" i="1"/>
  <c r="P153" i="1"/>
  <c r="V170" i="1"/>
  <c r="V157" i="1"/>
  <c r="Q167" i="1"/>
  <c r="Q184" i="1"/>
  <c r="M99" i="1"/>
  <c r="R160" i="1"/>
  <c r="R142" i="1"/>
  <c r="Q192" i="1"/>
  <c r="Q144" i="1"/>
  <c r="P137" i="1"/>
  <c r="W157" i="1"/>
  <c r="P166" i="1"/>
  <c r="N152" i="1"/>
  <c r="V97" i="1"/>
  <c r="Q94" i="1"/>
  <c r="I156" i="1"/>
  <c r="C146" i="1"/>
  <c r="C174" i="1" s="1"/>
  <c r="D99" i="1"/>
  <c r="R164" i="1"/>
  <c r="R199" i="1" s="1"/>
  <c r="B98" i="1"/>
  <c r="V167" i="1"/>
  <c r="W138" i="1"/>
  <c r="O99" i="1"/>
  <c r="U169" i="1"/>
  <c r="F156" i="1"/>
  <c r="R169" i="1"/>
  <c r="F171" i="1"/>
  <c r="G147" i="1"/>
  <c r="K175" i="1"/>
  <c r="L137" i="1"/>
  <c r="W170" i="1"/>
  <c r="M171" i="1"/>
  <c r="J170" i="1"/>
  <c r="I164" i="1"/>
  <c r="I199" i="1" s="1"/>
  <c r="F192" i="1"/>
  <c r="D175" i="1"/>
  <c r="M163" i="1"/>
  <c r="K99" i="1"/>
  <c r="N155" i="1"/>
  <c r="N151" i="1" s="1"/>
  <c r="R98" i="1"/>
  <c r="R145" i="1"/>
  <c r="N142" i="1"/>
  <c r="G166" i="1"/>
  <c r="R192" i="1"/>
  <c r="D170" i="1"/>
  <c r="W191" i="1"/>
  <c r="U164" i="1"/>
  <c r="T163" i="1"/>
  <c r="K164" i="1"/>
  <c r="K199" i="1" s="1"/>
  <c r="C173" i="1"/>
  <c r="C203" i="1" s="1"/>
  <c r="E170" i="1"/>
  <c r="H155" i="1"/>
  <c r="H151" i="1" s="1"/>
  <c r="G162" i="1"/>
  <c r="B175" i="1"/>
  <c r="J87" i="1"/>
  <c r="T184" i="1"/>
  <c r="F87" i="1"/>
  <c r="D160" i="1"/>
  <c r="Q93" i="1"/>
  <c r="T169" i="1"/>
  <c r="Q183" i="1"/>
  <c r="J162" i="1"/>
  <c r="T146" i="1"/>
  <c r="T174" i="1" s="1"/>
  <c r="T152" i="1"/>
  <c r="R183" i="1"/>
  <c r="B142" i="1"/>
  <c r="E145" i="1"/>
  <c r="E155" i="1"/>
  <c r="E151" i="1" s="1"/>
  <c r="G163" i="1"/>
  <c r="L171" i="1"/>
  <c r="J157" i="1"/>
  <c r="I166" i="1"/>
  <c r="C155" i="1"/>
  <c r="U173" i="1"/>
  <c r="U203" i="1" s="1"/>
  <c r="H169" i="1"/>
  <c r="F191" i="1"/>
  <c r="P192" i="1"/>
  <c r="V173" i="1"/>
  <c r="V203" i="1" s="1"/>
  <c r="T157" i="1"/>
  <c r="S166" i="1"/>
  <c r="H152" i="1"/>
  <c r="H144" i="1"/>
  <c r="Q153" i="1"/>
  <c r="L183" i="1"/>
  <c r="N162" i="1"/>
  <c r="U160" i="1"/>
  <c r="I152" i="1"/>
  <c r="W87" i="1"/>
  <c r="R156" i="1"/>
  <c r="B139" i="1"/>
  <c r="V190" i="1"/>
  <c r="I97" i="1"/>
  <c r="M167" i="1"/>
  <c r="E156" i="1"/>
  <c r="S156" i="1"/>
  <c r="K142" i="1"/>
  <c r="V98" i="1"/>
  <c r="P145" i="1"/>
  <c r="G169" i="1"/>
  <c r="S145" i="1"/>
  <c r="G190" i="1"/>
  <c r="V138" i="1"/>
  <c r="J138" i="1"/>
  <c r="V183" i="1"/>
  <c r="Q179" i="1"/>
  <c r="U145" i="1"/>
  <c r="H147" i="1"/>
  <c r="D190" i="1"/>
  <c r="F93" i="1"/>
  <c r="S98" i="1"/>
  <c r="Q170" i="1"/>
  <c r="T144" i="1"/>
  <c r="L165" i="1"/>
  <c r="L200" i="1" s="1"/>
  <c r="I99" i="1"/>
  <c r="C166" i="1"/>
  <c r="W162" i="1"/>
  <c r="G146" i="1"/>
  <c r="G174" i="1" s="1"/>
  <c r="P97" i="1"/>
  <c r="F175" i="1"/>
  <c r="H162" i="1"/>
  <c r="C164" i="1"/>
  <c r="C199" i="1" s="1"/>
  <c r="S179" i="1"/>
  <c r="K87" i="1"/>
  <c r="Q165" i="1"/>
  <c r="Q200" i="1" s="1"/>
  <c r="T142" i="1"/>
  <c r="I87" i="1"/>
  <c r="O167" i="1"/>
  <c r="B153" i="1"/>
  <c r="W94" i="1"/>
  <c r="O144" i="1"/>
  <c r="K165" i="1"/>
  <c r="K200" i="1" s="1"/>
  <c r="Q152" i="1"/>
  <c r="U87" i="1"/>
  <c r="W144" i="1"/>
  <c r="C183" i="1"/>
  <c r="K160" i="1"/>
  <c r="T180" i="1"/>
  <c r="N146" i="1"/>
  <c r="N174" i="1" s="1"/>
  <c r="B144" i="1"/>
  <c r="V147" i="1"/>
  <c r="C171" i="1"/>
  <c r="K144" i="1"/>
  <c r="U155" i="1"/>
  <c r="U151" i="1" s="1"/>
  <c r="E183" i="1"/>
  <c r="V191" i="1"/>
  <c r="Q190" i="1"/>
  <c r="M164" i="1"/>
  <c r="M199" i="1" s="1"/>
  <c r="E164" i="1"/>
  <c r="E199" i="1" s="1"/>
  <c r="D157" i="1"/>
  <c r="L180" i="1"/>
  <c r="S167" i="1"/>
  <c r="D137" i="1"/>
  <c r="U94" i="1"/>
  <c r="E162" i="1"/>
  <c r="J191" i="1"/>
  <c r="Q146" i="1"/>
  <c r="Q174" i="1" s="1"/>
  <c r="C84" i="1"/>
  <c r="Q99" i="1"/>
  <c r="N190" i="1"/>
  <c r="G137" i="1"/>
  <c r="J146" i="1"/>
  <c r="J174" i="1" s="1"/>
  <c r="M162" i="1"/>
  <c r="O137" i="1"/>
  <c r="P191" i="1"/>
  <c r="V162" i="1"/>
  <c r="M137" i="1"/>
  <c r="O180" i="1"/>
  <c r="R99" i="1"/>
  <c r="B138" i="1"/>
  <c r="V156" i="1"/>
  <c r="W166" i="1"/>
  <c r="S190" i="1"/>
  <c r="O179" i="1"/>
  <c r="H98" i="1"/>
  <c r="D166" i="1"/>
  <c r="R152" i="1"/>
  <c r="K137" i="1"/>
  <c r="L94" i="1"/>
  <c r="J144" i="1"/>
  <c r="S173" i="1"/>
  <c r="S203" i="1" s="1"/>
  <c r="V184" i="1"/>
  <c r="E97" i="1"/>
  <c r="T147" i="1"/>
  <c r="O97" i="1"/>
  <c r="B164" i="1"/>
  <c r="B199" i="1" s="1"/>
  <c r="L155" i="1"/>
  <c r="L151" i="1" s="1"/>
  <c r="L142" i="1"/>
  <c r="V146" i="1"/>
  <c r="V174" i="1" s="1"/>
  <c r="N97" i="1"/>
  <c r="R93" i="1"/>
  <c r="O162" i="1"/>
  <c r="U170" i="1"/>
  <c r="O173" i="1"/>
  <c r="O203" i="1" s="1"/>
  <c r="N138" i="1"/>
  <c r="G191" i="1"/>
  <c r="U167" i="1"/>
  <c r="R166" i="1"/>
  <c r="Q175" i="1"/>
  <c r="K139" i="1"/>
  <c r="P156" i="1"/>
  <c r="C162" i="1"/>
  <c r="U163" i="1"/>
  <c r="N184" i="1"/>
  <c r="P165" i="1"/>
  <c r="P200" i="1" s="1"/>
  <c r="G155" i="1"/>
  <c r="G151" i="1" s="1"/>
  <c r="M145" i="1"/>
  <c r="D83" i="1"/>
  <c r="C87" i="1"/>
  <c r="P164" i="1"/>
  <c r="P199" i="1" s="1"/>
  <c r="F145" i="1"/>
  <c r="E171" i="1"/>
  <c r="V144" i="1"/>
  <c r="U171" i="1"/>
  <c r="O146" i="1"/>
  <c r="O174" i="1" s="1"/>
  <c r="V179" i="1"/>
  <c r="K169" i="1"/>
  <c r="E138" i="1"/>
  <c r="E146" i="1"/>
  <c r="E174" i="1" s="1"/>
  <c r="V165" i="1"/>
  <c r="V200" i="1" s="1"/>
  <c r="R180" i="1"/>
  <c r="T160" i="1"/>
  <c r="U180" i="1"/>
  <c r="P171" i="1"/>
  <c r="I175" i="1"/>
  <c r="I179" i="1"/>
  <c r="K94" i="1"/>
  <c r="R163" i="1"/>
  <c r="O93" i="1"/>
  <c r="I144" i="1"/>
  <c r="K170" i="1"/>
  <c r="D139" i="1"/>
  <c r="N139" i="1"/>
  <c r="B183" i="1"/>
  <c r="H165" i="1"/>
  <c r="H200" i="1" s="1"/>
  <c r="K162" i="1"/>
  <c r="N175" i="1"/>
  <c r="D144" i="1"/>
  <c r="N160" i="1"/>
  <c r="J142" i="1"/>
  <c r="S162" i="1"/>
  <c r="T145" i="1"/>
  <c r="B160" i="1"/>
  <c r="Q147" i="1"/>
  <c r="Q87" i="1"/>
  <c r="P183" i="1"/>
  <c r="J167" i="1"/>
  <c r="I171" i="1"/>
  <c r="Q138" i="1"/>
  <c r="B162" i="1"/>
  <c r="W192" i="1"/>
  <c r="H94" i="1"/>
  <c r="R139" i="1"/>
  <c r="C175" i="1"/>
  <c r="L173" i="1"/>
  <c r="L203" i="1" s="1"/>
  <c r="P160" i="1"/>
  <c r="E160" i="1"/>
  <c r="T156" i="1"/>
  <c r="K145" i="1"/>
  <c r="P157" i="1"/>
  <c r="V160" i="1"/>
  <c r="E184" i="1"/>
  <c r="I167" i="1"/>
  <c r="W99" i="1"/>
  <c r="O98" i="1"/>
  <c r="N180" i="1"/>
  <c r="Q166" i="1"/>
  <c r="U139" i="1"/>
  <c r="D183" i="1"/>
  <c r="T137" i="1"/>
  <c r="H164" i="1"/>
  <c r="E191" i="1"/>
  <c r="O138" i="1"/>
  <c r="P146" i="1"/>
  <c r="P174" i="1" s="1"/>
  <c r="V94" i="1"/>
  <c r="E175" i="1"/>
  <c r="S169" i="1"/>
  <c r="Q145" i="1"/>
  <c r="M98" i="1"/>
  <c r="K156" i="1"/>
  <c r="R155" i="1"/>
  <c r="R151" i="1" s="1"/>
  <c r="E137" i="1"/>
  <c r="C152" i="1"/>
  <c r="Q97" i="1"/>
  <c r="O160" i="1"/>
  <c r="B163" i="1"/>
  <c r="H171" i="1"/>
  <c r="V163" i="1"/>
  <c r="C142" i="1"/>
  <c r="K93" i="1"/>
  <c r="M93" i="1"/>
  <c r="L164" i="1"/>
  <c r="L199" i="1" s="1"/>
  <c r="M180" i="1"/>
  <c r="W153" i="1"/>
  <c r="H184" i="1"/>
  <c r="S138" i="1"/>
  <c r="S191" i="1"/>
  <c r="J99" i="1"/>
  <c r="K171" i="1"/>
  <c r="O157" i="1"/>
  <c r="O166" i="1"/>
  <c r="W175" i="1"/>
  <c r="I184" i="1"/>
  <c r="D153" i="1"/>
  <c r="S139" i="1"/>
  <c r="U162" i="1"/>
  <c r="S157" i="1"/>
  <c r="C184" i="1"/>
  <c r="F94" i="1"/>
  <c r="V139" i="1"/>
  <c r="G180" i="1"/>
  <c r="G93" i="1"/>
  <c r="T179" i="1"/>
  <c r="B190" i="1"/>
  <c r="C145" i="1"/>
  <c r="C169" i="1"/>
  <c r="C99" i="1"/>
  <c r="B157" i="1"/>
  <c r="V175" i="1"/>
  <c r="F142" i="1"/>
  <c r="S170" i="1"/>
  <c r="N173" i="1"/>
  <c r="N203" i="1" s="1"/>
  <c r="F144" i="1"/>
  <c r="H167" i="1"/>
  <c r="L175" i="1"/>
  <c r="R190" i="1"/>
  <c r="H173" i="1"/>
  <c r="H203" i="1" s="1"/>
  <c r="E152" i="1"/>
  <c r="L169" i="1"/>
  <c r="W169" i="1"/>
  <c r="C151" i="1"/>
  <c r="I192" i="1"/>
  <c r="I180" i="1"/>
  <c r="J166" i="1"/>
  <c r="N183" i="1"/>
  <c r="M192" i="1"/>
  <c r="Q191" i="1"/>
  <c r="J171" i="1"/>
  <c r="U179" i="1"/>
  <c r="P152" i="1"/>
  <c r="F163" i="1"/>
  <c r="H160" i="1"/>
  <c r="B145" i="1"/>
  <c r="H190" i="1"/>
  <c r="R165" i="1"/>
  <c r="R200" i="1" s="1"/>
  <c r="E167" i="1"/>
  <c r="W183" i="1"/>
  <c r="H137" i="1"/>
  <c r="U146" i="1"/>
  <c r="U174" i="1" s="1"/>
  <c r="T164" i="1"/>
  <c r="T199" i="1" s="1"/>
  <c r="G145" i="1"/>
  <c r="I169" i="1"/>
  <c r="C190" i="1"/>
  <c r="M169" i="1"/>
  <c r="O152" i="1"/>
  <c r="Q180" i="1"/>
  <c r="N164" i="1"/>
  <c r="L167" i="1"/>
  <c r="J164" i="1"/>
  <c r="J199" i="1" s="1"/>
  <c r="J183" i="1"/>
  <c r="R170" i="1"/>
  <c r="I137" i="1"/>
  <c r="N179" i="1"/>
  <c r="N181" i="1" s="1"/>
  <c r="O229" i="1" s="1"/>
  <c r="I162" i="1"/>
  <c r="N137" i="1"/>
  <c r="K192" i="1"/>
  <c r="H97" i="1"/>
  <c r="D155" i="1"/>
  <c r="I160" i="1"/>
  <c r="V152" i="1"/>
  <c r="J192" i="1"/>
  <c r="N98" i="1"/>
  <c r="H145" i="1"/>
  <c r="E180" i="1"/>
  <c r="E181" i="1" s="1"/>
  <c r="F229" i="1" s="1"/>
  <c r="E94" i="1"/>
  <c r="O156" i="1"/>
  <c r="S180" i="1"/>
  <c r="G87" i="1"/>
  <c r="I147" i="1"/>
  <c r="F165" i="1"/>
  <c r="F200" i="1" s="1"/>
  <c r="H157" i="1"/>
  <c r="G94" i="1"/>
  <c r="L146" i="1"/>
  <c r="L174" i="1" s="1"/>
  <c r="U153" i="1"/>
  <c r="L87" i="1"/>
  <c r="N156" i="1"/>
  <c r="U183" i="1"/>
  <c r="F98" i="1"/>
  <c r="J155" i="1"/>
  <c r="J151" i="1" s="1"/>
  <c r="F97" i="1"/>
  <c r="B169" i="1"/>
  <c r="E87" i="1"/>
  <c r="D164" i="1"/>
  <c r="D199" i="1" s="1"/>
  <c r="D171" i="1"/>
  <c r="E99" i="1"/>
  <c r="I93" i="1"/>
  <c r="P99" i="1"/>
  <c r="H156" i="1"/>
  <c r="K146" i="1"/>
  <c r="K174" i="1" s="1"/>
  <c r="U98" i="1"/>
  <c r="O153" i="1"/>
  <c r="D151" i="1"/>
  <c r="W179" i="1"/>
  <c r="D152" i="1"/>
  <c r="R175" i="1"/>
  <c r="G179" i="1"/>
  <c r="M147" i="1"/>
  <c r="Q155" i="1"/>
  <c r="Q151" i="1" s="1"/>
  <c r="B137" i="1"/>
  <c r="G153" i="1"/>
  <c r="K98" i="1"/>
  <c r="P87" i="1"/>
  <c r="S94" i="1"/>
  <c r="V192" i="1"/>
  <c r="M142" i="1"/>
  <c r="S165" i="1"/>
  <c r="S200" i="1" s="1"/>
  <c r="Q171" i="1"/>
  <c r="W163" i="1"/>
  <c r="J169" i="1"/>
  <c r="V99" i="1"/>
  <c r="S153" i="1"/>
  <c r="M156" i="1"/>
  <c r="H180" i="1"/>
  <c r="T162" i="1"/>
  <c r="N163" i="1"/>
  <c r="M190" i="1"/>
  <c r="E144" i="1"/>
  <c r="K191" i="1"/>
  <c r="M153" i="1"/>
  <c r="D87" i="1"/>
  <c r="K179" i="1"/>
  <c r="W97" i="1"/>
  <c r="Q137" i="1"/>
  <c r="W184" i="1"/>
  <c r="P190" i="1"/>
  <c r="R157" i="1"/>
  <c r="I98" i="1"/>
  <c r="U190" i="1"/>
  <c r="E169" i="1"/>
  <c r="I139" i="1"/>
  <c r="F160" i="1"/>
  <c r="O163" i="1"/>
  <c r="T138" i="1"/>
  <c r="C192" i="1"/>
  <c r="S163" i="1"/>
  <c r="E163" i="1"/>
  <c r="K152" i="1"/>
  <c r="L190" i="1"/>
  <c r="C180" i="1"/>
  <c r="J173" i="1"/>
  <c r="J203" i="1" s="1"/>
  <c r="T167" i="1"/>
  <c r="H153" i="1"/>
  <c r="L192" i="1"/>
  <c r="H183" i="1"/>
  <c r="R97" i="1"/>
  <c r="K190" i="1"/>
  <c r="T166" i="1"/>
  <c r="W160" i="1"/>
  <c r="F99" i="1"/>
  <c r="N191" i="1"/>
  <c r="C167" i="1"/>
  <c r="O164" i="1"/>
  <c r="O199" i="1" s="1"/>
  <c r="F162" i="1"/>
  <c r="T173" i="1"/>
  <c r="T203" i="1" s="1"/>
  <c r="R146" i="1"/>
  <c r="R174" i="1" s="1"/>
  <c r="M170" i="1"/>
  <c r="D179" i="1"/>
  <c r="J98" i="1"/>
  <c r="C170" i="1"/>
  <c r="H99" i="1"/>
  <c r="H191" i="1"/>
  <c r="K155" i="1"/>
  <c r="K151" i="1" s="1"/>
  <c r="S164" i="1"/>
  <c r="S199" i="1" s="1"/>
  <c r="N145" i="1"/>
  <c r="O190" i="1"/>
  <c r="H175" i="1"/>
  <c r="F179" i="1"/>
  <c r="W165" i="1"/>
  <c r="L145" i="1"/>
  <c r="O184" i="1"/>
  <c r="O170" i="1"/>
  <c r="F139" i="1"/>
  <c r="O191" i="1"/>
  <c r="R167" i="1"/>
  <c r="Q157" i="1"/>
  <c r="G170" i="1"/>
  <c r="P184" i="1"/>
  <c r="K173" i="1"/>
  <c r="K203" i="1" s="1"/>
  <c r="O94" i="1"/>
  <c r="D97" i="1"/>
  <c r="N165" i="1"/>
  <c r="N200" i="1" s="1"/>
  <c r="S99" i="1"/>
  <c r="U97" i="1"/>
  <c r="J179" i="1"/>
  <c r="G139" i="1"/>
  <c r="V169" i="1"/>
  <c r="S142" i="1"/>
  <c r="L160" i="1"/>
  <c r="T183" i="1"/>
  <c r="N147" i="1"/>
  <c r="U138" i="1"/>
  <c r="P94" i="1"/>
  <c r="P142" i="1"/>
  <c r="F137" i="1"/>
  <c r="T175" i="1"/>
  <c r="D191" i="1"/>
  <c r="U157" i="1"/>
  <c r="N94" i="1"/>
  <c r="P139" i="1"/>
  <c r="I173" i="1"/>
  <c r="I203" i="1" s="1"/>
  <c r="T171" i="1"/>
  <c r="M146" i="1"/>
  <c r="J147" i="1"/>
  <c r="V145" i="1"/>
  <c r="O169" i="1"/>
  <c r="G98" i="1"/>
  <c r="J94" i="1"/>
  <c r="L97" i="1"/>
  <c r="G184" i="1"/>
  <c r="U175" i="1"/>
  <c r="AQ29" i="1"/>
  <c r="BV42" i="1"/>
  <c r="BW29" i="1"/>
  <c r="BE42" i="1"/>
  <c r="BA29" i="1"/>
  <c r="BN29" i="1"/>
  <c r="BD29" i="1"/>
  <c r="AS42" i="1"/>
  <c r="AR42" i="1"/>
  <c r="BP42" i="1"/>
  <c r="AW29" i="1"/>
  <c r="BC29" i="1"/>
  <c r="BB42" i="1"/>
  <c r="AW42" i="1"/>
  <c r="BG29" i="1"/>
  <c r="BM29" i="1"/>
  <c r="BI42" i="1"/>
  <c r="BT42" i="1"/>
  <c r="AZ29" i="1"/>
  <c r="AI29" i="1"/>
  <c r="BF42" i="1"/>
  <c r="AO29" i="1"/>
  <c r="BV29" i="1"/>
  <c r="BF29" i="1"/>
  <c r="AX42" i="1"/>
  <c r="BH66" i="1"/>
  <c r="AP29" i="1"/>
  <c r="BE29" i="1"/>
  <c r="BO29" i="1"/>
  <c r="AZ42" i="1"/>
  <c r="BJ42" i="1"/>
  <c r="BJ46" i="1" s="1"/>
  <c r="AU67" i="1"/>
  <c r="BD42" i="1"/>
  <c r="AY42" i="1"/>
  <c r="BR42" i="1"/>
  <c r="BK29" i="1"/>
  <c r="BQ29" i="1"/>
  <c r="AP42" i="1"/>
  <c r="BS29" i="1"/>
  <c r="AO42" i="1"/>
  <c r="BW42" i="1"/>
  <c r="AQ42" i="1"/>
  <c r="AV42" i="1"/>
  <c r="BM42" i="1"/>
  <c r="BP29" i="1"/>
  <c r="BG42" i="1"/>
  <c r="BH42" i="1"/>
  <c r="AT42" i="1"/>
  <c r="AN42" i="1"/>
  <c r="BS42" i="1"/>
  <c r="BU42" i="1"/>
  <c r="BO42" i="1"/>
  <c r="BJ29" i="1"/>
  <c r="BJ30" i="1" s="1"/>
  <c r="BC42" i="1"/>
  <c r="BK42" i="1"/>
  <c r="BQ42" i="1"/>
  <c r="AU42" i="1"/>
  <c r="BN42" i="1"/>
  <c r="BA42" i="1"/>
  <c r="AI42" i="1"/>
  <c r="AN29" i="1"/>
  <c r="BH29" i="1"/>
  <c r="AW67" i="1"/>
  <c r="AV29" i="1"/>
  <c r="AR29" i="1"/>
  <c r="BR29" i="1"/>
  <c r="AT29" i="1"/>
  <c r="BT29" i="1"/>
  <c r="BI29" i="1"/>
  <c r="BU29" i="1"/>
  <c r="AX29" i="1"/>
  <c r="AS29" i="1"/>
  <c r="AU29" i="1"/>
  <c r="BB29" i="1"/>
  <c r="AV67" i="1"/>
  <c r="AY29" i="1"/>
  <c r="BH163" i="1"/>
  <c r="BI163" i="1" s="1"/>
  <c r="BV157" i="1"/>
  <c r="BW157" i="1" s="1"/>
  <c r="BV163" i="1"/>
  <c r="BW163" i="1" s="1"/>
  <c r="BH157" i="1"/>
  <c r="BI157" i="1" s="1"/>
  <c r="AV52" i="1"/>
  <c r="AV214" i="1" s="1"/>
  <c r="BA41" i="1"/>
  <c r="BF43" i="1"/>
  <c r="AY56" i="1"/>
  <c r="BU71" i="1"/>
  <c r="AQ41" i="1"/>
  <c r="BE33" i="1"/>
  <c r="AP67" i="1"/>
  <c r="AQ56" i="1"/>
  <c r="AU43" i="1"/>
  <c r="BG67" i="1"/>
  <c r="AW45" i="1"/>
  <c r="AY44" i="1"/>
  <c r="AW41" i="1"/>
  <c r="BJ59" i="1"/>
  <c r="AR65" i="1"/>
  <c r="BV66" i="1"/>
  <c r="AQ43" i="1"/>
  <c r="BM59" i="1"/>
  <c r="BK67" i="1"/>
  <c r="BK34" i="1"/>
  <c r="BF40" i="1"/>
  <c r="AW71" i="1"/>
  <c r="BJ93" i="1"/>
  <c r="BG59" i="1"/>
  <c r="BH183" i="1"/>
  <c r="BI183" i="1" s="1"/>
  <c r="BU28" i="1"/>
  <c r="BU251" i="1" s="1"/>
  <c r="BQ40" i="1"/>
  <c r="AQ35" i="1"/>
  <c r="BS45" i="1"/>
  <c r="AX35" i="1"/>
  <c r="BS52" i="1"/>
  <c r="BS214" i="1" s="1"/>
  <c r="BH160" i="1"/>
  <c r="BI160" i="1" s="1"/>
  <c r="BJ222" i="1" s="1"/>
  <c r="BC43" i="1"/>
  <c r="BB41" i="1"/>
  <c r="AI35" i="1"/>
  <c r="BM56" i="1"/>
  <c r="BG66" i="1"/>
  <c r="AS71" i="1"/>
  <c r="BB55" i="1"/>
  <c r="BB71" i="1"/>
  <c r="AR66" i="1"/>
  <c r="AU34" i="1"/>
  <c r="BD28" i="1"/>
  <c r="AP35" i="1"/>
  <c r="BB67" i="1"/>
  <c r="BV145" i="1"/>
  <c r="BW145" i="1" s="1"/>
  <c r="BM43" i="1"/>
  <c r="BK66" i="1"/>
  <c r="BK40" i="1"/>
  <c r="AT55" i="1"/>
  <c r="BW56" i="1"/>
  <c r="BI44" i="1"/>
  <c r="BJ65" i="1"/>
  <c r="AS52" i="1"/>
  <c r="AT56" i="1"/>
  <c r="BQ45" i="1"/>
  <c r="AT41" i="1"/>
  <c r="BT35" i="1"/>
  <c r="BH179" i="1"/>
  <c r="BI33" i="1"/>
  <c r="BE34" i="1"/>
  <c r="AY43" i="1"/>
  <c r="BH184" i="1"/>
  <c r="BI184" i="1" s="1"/>
  <c r="BH93" i="1"/>
  <c r="AP66" i="1"/>
  <c r="BH162" i="1"/>
  <c r="AY52" i="1"/>
  <c r="AY214" i="1" s="1"/>
  <c r="AR34" i="1"/>
  <c r="BP59" i="1"/>
  <c r="BE66" i="1"/>
  <c r="AQ65" i="1"/>
  <c r="BB44" i="1"/>
  <c r="BW33" i="1"/>
  <c r="BC41" i="1"/>
  <c r="BD71" i="1"/>
  <c r="BO59" i="1"/>
  <c r="AI59" i="1"/>
  <c r="BI35" i="1"/>
  <c r="BQ28" i="1"/>
  <c r="BF71" i="1"/>
  <c r="AV43" i="1"/>
  <c r="AT35" i="1"/>
  <c r="BT71" i="1"/>
  <c r="AQ40" i="1"/>
  <c r="BS66" i="1"/>
  <c r="BB52" i="1"/>
  <c r="BH166" i="1"/>
  <c r="BI166" i="1" s="1"/>
  <c r="BV139" i="1"/>
  <c r="BT44" i="1"/>
  <c r="BQ67" i="1"/>
  <c r="BV138" i="1"/>
  <c r="BW138" i="1" s="1"/>
  <c r="BN28" i="1"/>
  <c r="BR55" i="1"/>
  <c r="BU66" i="1"/>
  <c r="AX65" i="1"/>
  <c r="AN34" i="1"/>
  <c r="AT34" i="1"/>
  <c r="BK44" i="1"/>
  <c r="BJ55" i="1"/>
  <c r="AP43" i="1"/>
  <c r="AX34" i="1"/>
  <c r="BR43" i="1"/>
  <c r="BM66" i="1"/>
  <c r="BP71" i="1"/>
  <c r="BA59" i="1"/>
  <c r="BM35" i="1"/>
  <c r="BQ56" i="1"/>
  <c r="AZ71" i="1"/>
  <c r="BE59" i="1"/>
  <c r="AI67" i="1"/>
  <c r="BU67" i="1"/>
  <c r="BB66" i="1"/>
  <c r="BF45" i="1"/>
  <c r="BD45" i="1"/>
  <c r="BM40" i="1"/>
  <c r="BT40" i="1"/>
  <c r="BQ52" i="1"/>
  <c r="BQ214" i="1" s="1"/>
  <c r="AS43" i="1"/>
  <c r="AJ93" i="1"/>
  <c r="BP66" i="1"/>
  <c r="AW33" i="1"/>
  <c r="AV34" i="1"/>
  <c r="BI34" i="1"/>
  <c r="AS45" i="1"/>
  <c r="BI65" i="1"/>
  <c r="BP33" i="1"/>
  <c r="AZ45" i="1"/>
  <c r="AY59" i="1"/>
  <c r="BH40" i="1"/>
  <c r="BA45" i="1"/>
  <c r="BF41" i="1"/>
  <c r="BC56" i="1"/>
  <c r="BW41" i="1"/>
  <c r="BR52" i="1"/>
  <c r="AX40" i="1"/>
  <c r="BS33" i="1"/>
  <c r="BQ44" i="1"/>
  <c r="BE44" i="1"/>
  <c r="BP28" i="1"/>
  <c r="BP251" i="1" s="1"/>
  <c r="AO41" i="1"/>
  <c r="BV171" i="1"/>
  <c r="BW171" i="1" s="1"/>
  <c r="BA33" i="1"/>
  <c r="BV71" i="1"/>
  <c r="AY33" i="1"/>
  <c r="BI66" i="1"/>
  <c r="BH167" i="1"/>
  <c r="BI167" i="1" s="1"/>
  <c r="BN45" i="1"/>
  <c r="AS40" i="1"/>
  <c r="AW35" i="1"/>
  <c r="AU65" i="1"/>
  <c r="AI33" i="1"/>
  <c r="AT28" i="1"/>
  <c r="BT67" i="1"/>
  <c r="BE71" i="1"/>
  <c r="BR45" i="1"/>
  <c r="BA40" i="1"/>
  <c r="AI40" i="1"/>
  <c r="BD41" i="1"/>
  <c r="AN59" i="1"/>
  <c r="BW66" i="1"/>
  <c r="AY28" i="1"/>
  <c r="BW35" i="1"/>
  <c r="AM65" i="1"/>
  <c r="AT40" i="1"/>
  <c r="BE43" i="1"/>
  <c r="AR33" i="1"/>
  <c r="BM34" i="1"/>
  <c r="BC55" i="1"/>
  <c r="BG52" i="1"/>
  <c r="BG214" i="1" s="1"/>
  <c r="AZ59" i="1"/>
  <c r="BH44" i="1"/>
  <c r="BJ71" i="1"/>
  <c r="BS71" i="1"/>
  <c r="BR66" i="1"/>
  <c r="BE67" i="1"/>
  <c r="AY45" i="1"/>
  <c r="BV170" i="1"/>
  <c r="BW170" i="1" s="1"/>
  <c r="BV59" i="1"/>
  <c r="BQ71" i="1"/>
  <c r="AI66" i="1"/>
  <c r="AN67" i="1"/>
  <c r="AQ67" i="1"/>
  <c r="BW40" i="1"/>
  <c r="AO35" i="1"/>
  <c r="AW34" i="1"/>
  <c r="BR35" i="1"/>
  <c r="BH41" i="1"/>
  <c r="BH43" i="1"/>
  <c r="AI45" i="1"/>
  <c r="BO67" i="1"/>
  <c r="BO41" i="1"/>
  <c r="AP52" i="1"/>
  <c r="AQ52" i="1"/>
  <c r="BT45" i="1"/>
  <c r="AY67" i="1"/>
  <c r="BV174" i="1"/>
  <c r="BW174" i="1" s="1"/>
  <c r="AZ44" i="1"/>
  <c r="BK55" i="1"/>
  <c r="BH94" i="1"/>
  <c r="BH52" i="1"/>
  <c r="BH214" i="1" s="1"/>
  <c r="AT45" i="1"/>
  <c r="BV152" i="1"/>
  <c r="BR71" i="1"/>
  <c r="BP67" i="1"/>
  <c r="AN55" i="1"/>
  <c r="BS44" i="1"/>
  <c r="AX71" i="1"/>
  <c r="AZ33" i="1"/>
  <c r="BB43" i="1"/>
  <c r="AW56" i="1"/>
  <c r="BD35" i="1"/>
  <c r="BN52" i="1"/>
  <c r="BM28" i="1"/>
  <c r="AO34" i="1"/>
  <c r="BK41" i="1"/>
  <c r="BN34" i="1"/>
  <c r="BH28" i="1"/>
  <c r="BH251" i="1" s="1"/>
  <c r="BA56" i="1"/>
  <c r="BH137" i="1"/>
  <c r="BA71" i="1"/>
  <c r="BH71" i="1"/>
  <c r="AP55" i="1"/>
  <c r="BI41" i="1"/>
  <c r="BS55" i="1"/>
  <c r="BN33" i="1"/>
  <c r="AY55" i="1"/>
  <c r="AV40" i="1"/>
  <c r="BW67" i="1"/>
  <c r="BO45" i="1"/>
  <c r="BO43" i="1"/>
  <c r="BB33" i="1"/>
  <c r="BI67" i="1"/>
  <c r="AN56" i="1"/>
  <c r="AU33" i="1"/>
  <c r="BT59" i="1"/>
  <c r="BQ65" i="1"/>
  <c r="BG44" i="1"/>
  <c r="BU56" i="1"/>
  <c r="BV142" i="1"/>
  <c r="BW142" i="1" s="1"/>
  <c r="BQ55" i="1"/>
  <c r="BO52" i="1"/>
  <c r="BO214" i="1" s="1"/>
  <c r="BG45" i="1"/>
  <c r="BV179" i="1"/>
  <c r="AM93" i="1"/>
  <c r="BO71" i="1"/>
  <c r="AO59" i="1"/>
  <c r="BV45" i="1"/>
  <c r="BH138" i="1"/>
  <c r="BI138" i="1" s="1"/>
  <c r="BS28" i="1"/>
  <c r="BS251" i="1" s="1"/>
  <c r="BH56" i="1"/>
  <c r="AZ34" i="1"/>
  <c r="BV167" i="1"/>
  <c r="BW167" i="1" s="1"/>
  <c r="BG43" i="1"/>
  <c r="AQ45" i="1"/>
  <c r="AP28" i="1"/>
  <c r="AP251" i="1" s="1"/>
  <c r="AO33" i="1"/>
  <c r="BD55" i="1"/>
  <c r="BD59" i="1"/>
  <c r="BW65" i="1"/>
  <c r="BR34" i="1"/>
  <c r="AT59" i="1"/>
  <c r="BT43" i="1"/>
  <c r="BU41" i="1"/>
  <c r="AN66" i="1"/>
  <c r="AZ28" i="1"/>
  <c r="AN44" i="1"/>
  <c r="BV35" i="1"/>
  <c r="AQ34" i="1"/>
  <c r="BP52" i="1"/>
  <c r="BI43" i="1"/>
  <c r="BA65" i="1"/>
  <c r="AZ67" i="1"/>
  <c r="BV169" i="1"/>
  <c r="BW169" i="1" s="1"/>
  <c r="BW52" i="1"/>
  <c r="BW214" i="1" s="1"/>
  <c r="AV35" i="1"/>
  <c r="AO45" i="1"/>
  <c r="BO55" i="1"/>
  <c r="BM55" i="1"/>
  <c r="AP33" i="1"/>
  <c r="AS34" i="1"/>
  <c r="BG35" i="1"/>
  <c r="BV183" i="1"/>
  <c r="BW183" i="1" s="1"/>
  <c r="BV93" i="1"/>
  <c r="AQ33" i="1"/>
  <c r="AX43" i="1"/>
  <c r="BV162" i="1"/>
  <c r="BW162" i="1" s="1"/>
  <c r="BK28" i="1"/>
  <c r="AR67" i="1"/>
  <c r="AU35" i="1"/>
  <c r="BT33" i="1"/>
  <c r="AI28" i="1"/>
  <c r="BU59" i="1"/>
  <c r="BC66" i="1"/>
  <c r="BA67" i="1"/>
  <c r="BD67" i="1"/>
  <c r="BW34" i="1"/>
  <c r="BV41" i="1"/>
  <c r="BG40" i="1"/>
  <c r="AO65" i="1"/>
  <c r="BN66" i="1"/>
  <c r="AW52" i="1"/>
  <c r="AW214" i="1" s="1"/>
  <c r="BC33" i="1"/>
  <c r="AM94" i="1"/>
  <c r="BS65" i="1"/>
  <c r="BU40" i="1"/>
  <c r="BU55" i="1"/>
  <c r="BN67" i="1"/>
  <c r="BH171" i="1"/>
  <c r="BI171" i="1" s="1"/>
  <c r="BR67" i="1"/>
  <c r="BA28" i="1"/>
  <c r="BA251" i="1" s="1"/>
  <c r="AZ40" i="1"/>
  <c r="BO56" i="1"/>
  <c r="AI43" i="1"/>
  <c r="BE55" i="1"/>
  <c r="AW28" i="1"/>
  <c r="BP34" i="1"/>
  <c r="BR65" i="1"/>
  <c r="AR44" i="1"/>
  <c r="BF55" i="1"/>
  <c r="BV184" i="1"/>
  <c r="BW184" i="1" s="1"/>
  <c r="BT41" i="1"/>
  <c r="AR41" i="1"/>
  <c r="BO66" i="1"/>
  <c r="BA55" i="1"/>
  <c r="AZ35" i="1"/>
  <c r="AV66" i="1"/>
  <c r="BQ43" i="1"/>
  <c r="AX52" i="1"/>
  <c r="AX214" i="1" s="1"/>
  <c r="AO28" i="1"/>
  <c r="BV44" i="1"/>
  <c r="AJ94" i="1"/>
  <c r="BC40" i="1"/>
  <c r="BI40" i="1"/>
  <c r="BA52" i="1"/>
  <c r="BS41" i="1"/>
  <c r="AO71" i="1"/>
  <c r="BB28" i="1"/>
  <c r="AV41" i="1"/>
  <c r="BW55" i="1"/>
  <c r="BK52" i="1"/>
  <c r="AO43" i="1"/>
  <c r="AW44" i="1"/>
  <c r="BE40" i="1"/>
  <c r="BR56" i="1"/>
  <c r="BS59" i="1"/>
  <c r="AV55" i="1"/>
  <c r="BU45" i="1"/>
  <c r="BH139" i="1"/>
  <c r="BR28" i="1"/>
  <c r="BR251" i="1" s="1"/>
  <c r="BH174" i="1"/>
  <c r="BI174" i="1" s="1"/>
  <c r="BM45" i="1"/>
  <c r="BN65" i="1"/>
  <c r="AU28" i="1"/>
  <c r="BC71" i="1"/>
  <c r="AX67" i="1"/>
  <c r="BI52" i="1"/>
  <c r="BM65" i="1"/>
  <c r="BW43" i="1"/>
  <c r="AP44" i="1"/>
  <c r="BA66" i="1"/>
  <c r="BN59" i="1"/>
  <c r="AR52" i="1"/>
  <c r="AR214" i="1" s="1"/>
  <c r="BI55" i="1"/>
  <c r="BU34" i="1"/>
  <c r="AK94" i="1"/>
  <c r="BT52" i="1"/>
  <c r="AI71" i="1"/>
  <c r="BJ67" i="1"/>
  <c r="AX33" i="1"/>
  <c r="AR55" i="1"/>
  <c r="BI56" i="1"/>
  <c r="AP59" i="1"/>
  <c r="AZ43" i="1"/>
  <c r="BQ66" i="1"/>
  <c r="AN33" i="1"/>
  <c r="AR71" i="1"/>
  <c r="BV137" i="1"/>
  <c r="AV71" i="1"/>
  <c r="AN45" i="1"/>
  <c r="AQ71" i="1"/>
  <c r="BK59" i="1"/>
  <c r="BH34" i="1"/>
  <c r="AV59" i="1"/>
  <c r="BC35" i="1"/>
  <c r="AO66" i="1"/>
  <c r="AT52" i="1"/>
  <c r="AT214" i="1" s="1"/>
  <c r="BH147" i="1"/>
  <c r="BI147" i="1" s="1"/>
  <c r="AW43" i="1"/>
  <c r="BD56" i="1"/>
  <c r="BH169" i="1"/>
  <c r="AV44" i="1"/>
  <c r="AI44" i="1"/>
  <c r="AT71" i="1"/>
  <c r="AN71" i="1"/>
  <c r="BR41" i="1"/>
  <c r="AR45" i="1"/>
  <c r="BR44" i="1"/>
  <c r="BH172" i="1"/>
  <c r="BI172" i="1" s="1"/>
  <c r="BP45" i="1"/>
  <c r="BF59" i="1"/>
  <c r="BU35" i="1"/>
  <c r="BR59" i="1"/>
  <c r="BH59" i="1"/>
  <c r="AI65" i="1"/>
  <c r="AU56" i="1"/>
  <c r="BH175" i="1"/>
  <c r="BI175" i="1" s="1"/>
  <c r="AR40" i="1"/>
  <c r="BV153" i="1"/>
  <c r="BQ33" i="1"/>
  <c r="BU65" i="1"/>
  <c r="BG33" i="1"/>
  <c r="BH67" i="1"/>
  <c r="BI28" i="1"/>
  <c r="BI251" i="1" s="1"/>
  <c r="BW71" i="1"/>
  <c r="AS28" i="1"/>
  <c r="AS251" i="1" s="1"/>
  <c r="BH152" i="1"/>
  <c r="BB56" i="1"/>
  <c r="BW44" i="1"/>
  <c r="BK45" i="1"/>
  <c r="BA43" i="1"/>
  <c r="BG55" i="1"/>
  <c r="BU33" i="1"/>
  <c r="AN40" i="1"/>
  <c r="BP35" i="1"/>
  <c r="BJ56" i="1"/>
  <c r="BJ272" i="1" s="1"/>
  <c r="BO65" i="1"/>
  <c r="BU52" i="1"/>
  <c r="BH146" i="1"/>
  <c r="BI146" i="1" s="1"/>
  <c r="AO56" i="1"/>
  <c r="AQ28" i="1"/>
  <c r="AQ251" i="1" s="1"/>
  <c r="AQ44" i="1"/>
  <c r="BV166" i="1"/>
  <c r="BW166" i="1" s="1"/>
  <c r="BP65" i="1"/>
  <c r="BV173" i="1"/>
  <c r="BC28" i="1"/>
  <c r="BC251" i="1" s="1"/>
  <c r="BB35" i="1"/>
  <c r="BV172" i="1"/>
  <c r="BW172" i="1" s="1"/>
  <c r="BH173" i="1"/>
  <c r="BR40" i="1"/>
  <c r="BN56" i="1"/>
  <c r="BA34" i="1"/>
  <c r="AP41" i="1"/>
  <c r="AR43" i="1"/>
  <c r="BS35" i="1"/>
  <c r="AX55" i="1"/>
  <c r="BV52" i="1"/>
  <c r="BV214" i="1" s="1"/>
  <c r="BD52" i="1"/>
  <c r="BD214" i="1" s="1"/>
  <c r="BF67" i="1"/>
  <c r="BD43" i="1"/>
  <c r="BD40" i="1"/>
  <c r="BD34" i="1"/>
  <c r="AS67" i="1"/>
  <c r="BV160" i="1"/>
  <c r="BW160" i="1" s="1"/>
  <c r="BX222" i="1" s="1"/>
  <c r="BS67" i="1"/>
  <c r="AO55" i="1"/>
  <c r="AV45" i="1"/>
  <c r="BF52" i="1"/>
  <c r="BF214" i="1" s="1"/>
  <c r="BA35" i="1"/>
  <c r="BK71" i="1"/>
  <c r="BV165" i="1"/>
  <c r="BK43" i="1"/>
  <c r="BS34" i="1"/>
  <c r="AW66" i="1"/>
  <c r="AV28" i="1"/>
  <c r="AV251" i="1" s="1"/>
  <c r="AO52" i="1"/>
  <c r="AO214" i="1" s="1"/>
  <c r="AX41" i="1"/>
  <c r="AR56" i="1"/>
  <c r="BR33" i="1"/>
  <c r="AI34" i="1"/>
  <c r="BU44" i="1"/>
  <c r="BV180" i="1"/>
  <c r="BT66" i="1"/>
  <c r="BT28" i="1"/>
  <c r="AM66" i="1"/>
  <c r="AV56" i="1"/>
  <c r="BN43" i="1"/>
  <c r="AP71" i="1"/>
  <c r="AV33" i="1"/>
  <c r="BH33" i="1"/>
  <c r="BQ59" i="1"/>
  <c r="AY65" i="1"/>
  <c r="AR59" i="1"/>
  <c r="BM33" i="1"/>
  <c r="BW45" i="1"/>
  <c r="AV65" i="1"/>
  <c r="BT65" i="1"/>
  <c r="AP56" i="1"/>
  <c r="AZ52" i="1"/>
  <c r="BH142" i="1"/>
  <c r="BI142" i="1" s="1"/>
  <c r="BK56" i="1"/>
  <c r="BH153" i="1"/>
  <c r="AY66" i="1"/>
  <c r="BQ35" i="1"/>
  <c r="BE41" i="1"/>
  <c r="BV43" i="1"/>
  <c r="BD65" i="1"/>
  <c r="BM71" i="1"/>
  <c r="BM67" i="1"/>
  <c r="BV65" i="1"/>
  <c r="BH144" i="1"/>
  <c r="BV146" i="1"/>
  <c r="BW146" i="1" s="1"/>
  <c r="BH151" i="1"/>
  <c r="BI71" i="1"/>
  <c r="AT44" i="1"/>
  <c r="BD44" i="1"/>
  <c r="BF28" i="1"/>
  <c r="AX28" i="1"/>
  <c r="AT65" i="1"/>
  <c r="BV155" i="1"/>
  <c r="BW155" i="1" s="1"/>
  <c r="BP43" i="1"/>
  <c r="BC45" i="1"/>
  <c r="AK93" i="1"/>
  <c r="BP44" i="1"/>
  <c r="BF33" i="1"/>
  <c r="BM41" i="1"/>
  <c r="AO40" i="1"/>
  <c r="BV67" i="1"/>
  <c r="BK33" i="1"/>
  <c r="AO44" i="1"/>
  <c r="AZ66" i="1"/>
  <c r="BW59" i="1"/>
  <c r="AY41" i="1"/>
  <c r="AS35" i="1"/>
  <c r="AY40" i="1"/>
  <c r="AU59" i="1"/>
  <c r="AQ66" i="1"/>
  <c r="BJ94" i="1"/>
  <c r="BV144" i="1"/>
  <c r="BW144" i="1" s="1"/>
  <c r="BM44" i="1"/>
  <c r="AQ59" i="1"/>
  <c r="AX56" i="1"/>
  <c r="BG41" i="1"/>
  <c r="BF34" i="1"/>
  <c r="AU41" i="1"/>
  <c r="BE56" i="1"/>
  <c r="AZ56" i="1"/>
  <c r="BF66" i="1"/>
  <c r="BS56" i="1"/>
  <c r="BV147" i="1"/>
  <c r="BW147" i="1" s="1"/>
  <c r="BG34" i="1"/>
  <c r="BF56" i="1"/>
  <c r="BC67" i="1"/>
  <c r="BE52" i="1"/>
  <c r="BE214" i="1" s="1"/>
  <c r="BE45" i="1"/>
  <c r="BE28" i="1"/>
  <c r="BE251" i="1" s="1"/>
  <c r="BT55" i="1"/>
  <c r="BN41" i="1"/>
  <c r="BC52" i="1"/>
  <c r="BC214" i="1" s="1"/>
  <c r="BI59" i="1"/>
  <c r="AW40" i="1"/>
  <c r="BH164" i="1"/>
  <c r="AP65" i="1"/>
  <c r="AS33" i="1"/>
  <c r="BS43" i="1"/>
  <c r="AT43" i="1"/>
  <c r="AW55" i="1"/>
  <c r="BG28" i="1"/>
  <c r="BP40" i="1"/>
  <c r="AR35" i="1"/>
  <c r="AW65" i="1"/>
  <c r="BF65" i="1"/>
  <c r="BV33" i="1"/>
  <c r="AI41" i="1"/>
  <c r="AT66" i="1"/>
  <c r="BH55" i="1"/>
  <c r="BV164" i="1"/>
  <c r="AP40" i="1"/>
  <c r="AS55" i="1"/>
  <c r="BO35" i="1"/>
  <c r="BP55" i="1"/>
  <c r="BC34" i="1"/>
  <c r="BB65" i="1"/>
  <c r="BE35" i="1"/>
  <c r="BV56" i="1"/>
  <c r="AP45" i="1"/>
  <c r="AX66" i="1"/>
  <c r="AU55" i="1"/>
  <c r="AZ41" i="1"/>
  <c r="BD33" i="1"/>
  <c r="AS41" i="1"/>
  <c r="BN35" i="1"/>
  <c r="BM52" i="1"/>
  <c r="BJ52" i="1"/>
  <c r="AM67" i="1"/>
  <c r="BQ41" i="1"/>
  <c r="AU45" i="1"/>
  <c r="AX44" i="1"/>
  <c r="BS40" i="1"/>
  <c r="BB59" i="1"/>
  <c r="BC44" i="1"/>
  <c r="AT67" i="1"/>
  <c r="AW59" i="1"/>
  <c r="BV55" i="1"/>
  <c r="BH65" i="1"/>
  <c r="AN43" i="1"/>
  <c r="AX45" i="1"/>
  <c r="AP34" i="1"/>
  <c r="BP41" i="1"/>
  <c r="AQ55" i="1"/>
  <c r="BV94" i="1"/>
  <c r="AM71" i="1"/>
  <c r="BH35" i="1"/>
  <c r="AU40" i="1"/>
  <c r="BA44" i="1"/>
  <c r="BV175" i="1"/>
  <c r="BW175" i="1" s="1"/>
  <c r="BE65" i="1"/>
  <c r="AS59" i="1"/>
  <c r="AI55" i="1"/>
  <c r="BV151" i="1"/>
  <c r="AY71" i="1"/>
  <c r="BN55" i="1"/>
  <c r="BO33" i="1"/>
  <c r="BG65" i="1"/>
  <c r="BI45" i="1"/>
  <c r="AY35" i="1"/>
  <c r="BU43" i="1"/>
  <c r="BF44" i="1"/>
  <c r="BB40" i="1"/>
  <c r="BV40" i="1"/>
  <c r="BG56" i="1"/>
  <c r="BT56" i="1"/>
  <c r="AN35" i="1"/>
  <c r="BO34" i="1"/>
  <c r="BT34" i="1"/>
  <c r="AZ65" i="1"/>
  <c r="AS66" i="1"/>
  <c r="BH45" i="1"/>
  <c r="BO40" i="1"/>
  <c r="BH155" i="1"/>
  <c r="BI155" i="1" s="1"/>
  <c r="BC65" i="1"/>
  <c r="BH180" i="1"/>
  <c r="BO44" i="1"/>
  <c r="AN52" i="1"/>
  <c r="AN28" i="1"/>
  <c r="BK65" i="1"/>
  <c r="BV34" i="1"/>
  <c r="AS56" i="1"/>
  <c r="AO67" i="1"/>
  <c r="AI93" i="1"/>
  <c r="BB45" i="1"/>
  <c r="BN40" i="1"/>
  <c r="AN41" i="1"/>
  <c r="AU44" i="1"/>
  <c r="BH145" i="1"/>
  <c r="BI145" i="1" s="1"/>
  <c r="AU52" i="1"/>
  <c r="AU214" i="1" s="1"/>
  <c r="AI56" i="1"/>
  <c r="BW28" i="1"/>
  <c r="BO28" i="1"/>
  <c r="BG71" i="1"/>
  <c r="BC59" i="1"/>
  <c r="AR28" i="1"/>
  <c r="AR251" i="1" s="1"/>
  <c r="BN44" i="1"/>
  <c r="BP56" i="1"/>
  <c r="BK35" i="1"/>
  <c r="AS44" i="1"/>
  <c r="AY34" i="1"/>
  <c r="AU71" i="1"/>
  <c r="BB34" i="1"/>
  <c r="AX59" i="1"/>
  <c r="BD66" i="1"/>
  <c r="BQ34" i="1"/>
  <c r="BH170" i="1"/>
  <c r="BI170" i="1" s="1"/>
  <c r="BF35" i="1"/>
  <c r="BJ66" i="1"/>
  <c r="AN65" i="1"/>
  <c r="BN71" i="1"/>
  <c r="AI52" i="1"/>
  <c r="AI214" i="1" s="1"/>
  <c r="BV28" i="1"/>
  <c r="BV251" i="1" s="1"/>
  <c r="AZ55" i="1"/>
  <c r="AT33" i="1"/>
  <c r="AS65" i="1"/>
  <c r="AU66" i="1"/>
  <c r="CQ214" i="1"/>
  <c r="CQ152" i="1"/>
  <c r="DA97" i="1"/>
  <c r="CX85" i="1"/>
  <c r="CY83" i="1"/>
  <c r="AB14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Z66" i="3"/>
  <c r="AO56" i="3"/>
  <c r="Q92" i="3"/>
  <c r="AL88" i="3"/>
  <c r="AM73" i="3"/>
  <c r="AJ71" i="3"/>
  <c r="Y66" i="3"/>
  <c r="AH95" i="3"/>
  <c r="T87" i="3"/>
  <c r="Z50" i="3"/>
  <c r="AJ49" i="3"/>
  <c r="AL75" i="3"/>
  <c r="AM54" i="3"/>
  <c r="U50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P81" i="3"/>
  <c r="I91" i="3"/>
  <c r="AJ78" i="3"/>
  <c r="Z95" i="3"/>
  <c r="AN87" i="3"/>
  <c r="J67" i="3"/>
  <c r="X87" i="3"/>
  <c r="W72" i="3"/>
  <c r="V59" i="3"/>
  <c r="S64" i="3"/>
  <c r="AE77" i="3"/>
  <c r="AA68" i="3"/>
  <c r="AM70" i="3"/>
  <c r="X74" i="3"/>
  <c r="AQ50" i="3"/>
  <c r="T56" i="3"/>
  <c r="AG89" i="3"/>
  <c r="AL80" i="3"/>
  <c r="AO87" i="3"/>
  <c r="S62" i="3"/>
  <c r="AJ90" i="3"/>
  <c r="N55" i="3"/>
  <c r="K95" i="3"/>
  <c r="Z71" i="3"/>
  <c r="H56" i="3"/>
  <c r="AC62" i="3"/>
  <c r="AJ92" i="3"/>
  <c r="AM65" i="3"/>
  <c r="AK92" i="3"/>
  <c r="V68" i="3"/>
  <c r="P63" i="3"/>
  <c r="T77" i="3"/>
  <c r="J65" i="3"/>
  <c r="AH78" i="3"/>
  <c r="X66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A67" i="3"/>
  <c r="J63" i="3"/>
  <c r="R57" i="3"/>
  <c r="AQ68" i="3"/>
  <c r="U70" i="3"/>
  <c r="R81" i="3"/>
  <c r="AH93" i="3"/>
  <c r="AJ73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L55" i="3"/>
  <c r="AI48" i="3"/>
  <c r="AA78" i="3"/>
  <c r="P74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X76" i="3"/>
  <c r="AQ66" i="3"/>
  <c r="AL79" i="3"/>
  <c r="R49" i="3"/>
  <c r="AG94" i="3"/>
  <c r="U93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P73" i="3"/>
  <c r="J76" i="3"/>
  <c r="N68" i="3"/>
  <c r="R66" i="3"/>
  <c r="AH59" i="3"/>
  <c r="Z85" i="3"/>
  <c r="N61" i="3"/>
  <c r="I65" i="3"/>
  <c r="Q80" i="3"/>
  <c r="U78" i="3"/>
  <c r="AM80" i="3"/>
  <c r="J85" i="3"/>
  <c r="AN60" i="3"/>
  <c r="V79" i="3"/>
  <c r="Y96" i="3"/>
  <c r="AO71" i="3"/>
  <c r="W64" i="3"/>
  <c r="AE50" i="3"/>
  <c r="AM69" i="3"/>
  <c r="AI80" i="3"/>
  <c r="AE66" i="3"/>
  <c r="AN54" i="3"/>
  <c r="N82" i="3"/>
  <c r="T57" i="3"/>
  <c r="U76" i="3"/>
  <c r="X84" i="3"/>
  <c r="AA64" i="3"/>
  <c r="AG54" i="3"/>
  <c r="AN73" i="3"/>
  <c r="P97" i="3"/>
  <c r="AM62" i="3"/>
  <c r="AJ80" i="3"/>
  <c r="P56" i="3"/>
  <c r="AN80" i="3"/>
  <c r="Q94" i="3"/>
  <c r="I58" i="3"/>
  <c r="O58" i="3"/>
  <c r="O76" i="3"/>
  <c r="AO88" i="3"/>
  <c r="AJ58" i="3"/>
  <c r="V47" i="3"/>
  <c r="AN59" i="3"/>
  <c r="S63" i="3"/>
  <c r="AA49" i="3"/>
  <c r="AO80" i="3"/>
  <c r="X71" i="3"/>
  <c r="P72" i="3"/>
  <c r="AK76" i="3"/>
  <c r="S60" i="3"/>
  <c r="V73" i="3"/>
  <c r="S83" i="3"/>
  <c r="AO91" i="3"/>
  <c r="Y48" i="3"/>
  <c r="W58" i="3"/>
  <c r="P65" i="3"/>
  <c r="M64" i="3"/>
  <c r="I86" i="3"/>
  <c r="U57" i="3"/>
  <c r="S70" i="3"/>
  <c r="W47" i="3"/>
  <c r="H67" i="3"/>
  <c r="V69" i="3"/>
  <c r="R79" i="3"/>
  <c r="X83" i="3"/>
  <c r="K92" i="3"/>
  <c r="AG82" i="3"/>
  <c r="AL69" i="3"/>
  <c r="J84" i="3"/>
  <c r="J47" i="3"/>
  <c r="S49" i="3"/>
  <c r="AK72" i="3"/>
  <c r="M57" i="3"/>
  <c r="P48" i="3"/>
  <c r="M84" i="3"/>
  <c r="R50" i="3"/>
  <c r="Z63" i="3"/>
  <c r="M95" i="3"/>
  <c r="AC57" i="3"/>
  <c r="AO76" i="3"/>
  <c r="N66" i="3"/>
  <c r="AH57" i="3"/>
  <c r="H49" i="3"/>
  <c r="AI70" i="3"/>
  <c r="AC56" i="3"/>
  <c r="AG67" i="3"/>
  <c r="Y70" i="3"/>
  <c r="AQ80" i="3"/>
  <c r="AA88" i="3"/>
  <c r="S69" i="3"/>
  <c r="AI97" i="3"/>
  <c r="AE68" i="3"/>
  <c r="X89" i="3"/>
  <c r="AO82" i="3"/>
  <c r="AM88" i="3"/>
  <c r="AJ59" i="3"/>
  <c r="Y87" i="3"/>
  <c r="AO84" i="3"/>
  <c r="Q78" i="3"/>
  <c r="AG97" i="3"/>
  <c r="Z83" i="3"/>
  <c r="L81" i="3"/>
  <c r="P89" i="3"/>
  <c r="Q73" i="3"/>
  <c r="P80" i="3"/>
  <c r="AC60" i="3"/>
  <c r="AN89" i="3"/>
  <c r="AL66" i="3"/>
  <c r="AI68" i="3"/>
  <c r="H55" i="3"/>
  <c r="X97" i="3"/>
  <c r="AC79" i="3"/>
  <c r="AH79" i="3"/>
  <c r="O92" i="3"/>
  <c r="AH87" i="3"/>
  <c r="Q49" i="3"/>
  <c r="AG71" i="3"/>
  <c r="V94" i="3"/>
  <c r="Q66" i="3"/>
  <c r="AC64" i="3"/>
  <c r="S84" i="3"/>
  <c r="AE76" i="3"/>
  <c r="Y90" i="3"/>
  <c r="K65" i="3"/>
  <c r="AE58" i="3"/>
  <c r="S50" i="3"/>
  <c r="U89" i="3"/>
  <c r="K57" i="3"/>
  <c r="W73" i="3"/>
  <c r="AH97" i="3"/>
  <c r="AG83" i="3"/>
  <c r="Y83" i="3"/>
  <c r="AO57" i="3"/>
  <c r="U49" i="3"/>
  <c r="AA81" i="3"/>
  <c r="Z57" i="3"/>
  <c r="Z62" i="3"/>
  <c r="AM77" i="3"/>
  <c r="AO92" i="3"/>
  <c r="AN47" i="3"/>
  <c r="M79" i="3"/>
  <c r="N72" i="3"/>
  <c r="AO61" i="3"/>
  <c r="AH88" i="3"/>
  <c r="AO85" i="3"/>
  <c r="O66" i="3"/>
  <c r="U58" i="3"/>
  <c r="AA85" i="3"/>
  <c r="AK54" i="3"/>
  <c r="AL84" i="3"/>
  <c r="AI91" i="3"/>
  <c r="I74" i="3"/>
  <c r="AL48" i="3"/>
  <c r="T75" i="3"/>
  <c r="V75" i="3"/>
  <c r="K58" i="3"/>
  <c r="AK69" i="3"/>
  <c r="H58" i="3"/>
  <c r="M59" i="3"/>
  <c r="S87" i="3"/>
  <c r="AQ72" i="3"/>
  <c r="I48" i="3"/>
  <c r="AN62" i="3"/>
  <c r="AC69" i="3"/>
  <c r="AI57" i="3"/>
  <c r="P62" i="3"/>
  <c r="AA91" i="3"/>
  <c r="S95" i="3"/>
  <c r="AM96" i="3"/>
  <c r="AJ76" i="3"/>
  <c r="Y61" i="3"/>
  <c r="AL94" i="3"/>
  <c r="N48" i="3"/>
  <c r="S76" i="3"/>
  <c r="AH55" i="3"/>
  <c r="AH49" i="3"/>
  <c r="L83" i="3"/>
  <c r="AN67" i="3"/>
  <c r="O56" i="3"/>
  <c r="AO78" i="3"/>
  <c r="X68" i="3"/>
  <c r="AH61" i="3"/>
  <c r="H50" i="3"/>
  <c r="J77" i="3"/>
  <c r="AC67" i="3"/>
  <c r="AO95" i="3"/>
  <c r="Z56" i="3"/>
  <c r="AN84" i="3"/>
  <c r="U95" i="3"/>
  <c r="T83" i="3"/>
  <c r="AG55" i="3"/>
  <c r="AQ71" i="3"/>
  <c r="M66" i="3"/>
  <c r="V76" i="3"/>
  <c r="AH90" i="3"/>
  <c r="X72" i="3"/>
  <c r="Y92" i="3"/>
  <c r="W63" i="3"/>
  <c r="AC85" i="3"/>
  <c r="AH63" i="3"/>
  <c r="V62" i="3"/>
  <c r="O64" i="3"/>
  <c r="I55" i="3"/>
  <c r="K93" i="3"/>
  <c r="U90" i="3"/>
  <c r="J74" i="3"/>
  <c r="AL74" i="3"/>
  <c r="W62" i="3"/>
  <c r="AG91" i="3"/>
  <c r="AM63" i="3"/>
  <c r="AC71" i="3"/>
  <c r="AO47" i="3"/>
  <c r="L60" i="3"/>
  <c r="L64" i="3"/>
  <c r="Z82" i="3"/>
  <c r="N49" i="3"/>
  <c r="Q57" i="3"/>
  <c r="X47" i="3"/>
  <c r="U65" i="3"/>
  <c r="R70" i="3"/>
  <c r="X88" i="3"/>
  <c r="K59" i="3"/>
  <c r="AQ84" i="3"/>
  <c r="AK81" i="3"/>
  <c r="O59" i="3"/>
  <c r="P93" i="3"/>
  <c r="Z60" i="3"/>
  <c r="U77" i="3"/>
  <c r="X82" i="3"/>
  <c r="AQ61" i="3"/>
  <c r="K82" i="3"/>
  <c r="J73" i="3"/>
  <c r="X86" i="3"/>
  <c r="T47" i="3"/>
  <c r="J70" i="3"/>
  <c r="AI94" i="3"/>
  <c r="AJ55" i="3"/>
  <c r="J93" i="3"/>
  <c r="Y74" i="3"/>
  <c r="AO90" i="3"/>
  <c r="I89" i="3"/>
  <c r="AK79" i="3"/>
  <c r="AI86" i="3"/>
  <c r="K69" i="3"/>
  <c r="AE86" i="3"/>
  <c r="Y93" i="3"/>
  <c r="AG79" i="3"/>
  <c r="X85" i="3"/>
  <c r="N86" i="3"/>
  <c r="AL90" i="3"/>
  <c r="AJ69" i="3"/>
  <c r="V83" i="3"/>
  <c r="J58" i="3"/>
  <c r="AK63" i="3"/>
  <c r="S77" i="3"/>
  <c r="T72" i="3"/>
  <c r="Q90" i="3"/>
  <c r="AC92" i="3"/>
  <c r="T73" i="3"/>
  <c r="T89" i="3"/>
  <c r="V66" i="3"/>
  <c r="AL59" i="3"/>
  <c r="R96" i="3"/>
  <c r="L91" i="3"/>
  <c r="V58" i="3"/>
  <c r="Z96" i="3"/>
  <c r="Z91" i="3"/>
  <c r="AA92" i="3"/>
  <c r="I69" i="3"/>
  <c r="AI71" i="3"/>
  <c r="O79" i="3"/>
  <c r="W49" i="3"/>
  <c r="AM58" i="3"/>
  <c r="AQ48" i="3"/>
  <c r="U92" i="3"/>
  <c r="AA66" i="3"/>
  <c r="AH84" i="3"/>
  <c r="R74" i="3"/>
  <c r="R67" i="3"/>
  <c r="X70" i="3"/>
  <c r="N75" i="3"/>
  <c r="L66" i="3"/>
  <c r="AE84" i="3"/>
  <c r="AO50" i="3"/>
  <c r="AG73" i="3"/>
  <c r="W75" i="3"/>
  <c r="Q86" i="3"/>
  <c r="AG56" i="3"/>
  <c r="AK93" i="3"/>
  <c r="AM81" i="3"/>
  <c r="P50" i="3"/>
  <c r="H84" i="3"/>
  <c r="Z58" i="3"/>
  <c r="AJ47" i="3"/>
  <c r="AO62" i="3"/>
  <c r="I49" i="3"/>
  <c r="X94" i="3"/>
  <c r="AC70" i="3"/>
  <c r="V48" i="3"/>
  <c r="AQ55" i="3"/>
  <c r="L49" i="3"/>
  <c r="L84" i="3"/>
  <c r="P70" i="3"/>
  <c r="O72" i="3"/>
  <c r="W88" i="3"/>
  <c r="AQ63" i="3"/>
  <c r="R94" i="3"/>
  <c r="AE63" i="3"/>
  <c r="L95" i="3"/>
  <c r="Y71" i="3"/>
  <c r="I73" i="3"/>
  <c r="Z97" i="3"/>
  <c r="Z72" i="3"/>
  <c r="AK73" i="3"/>
  <c r="W95" i="3"/>
  <c r="AC49" i="3"/>
  <c r="R77" i="3"/>
  <c r="T92" i="3"/>
  <c r="Q88" i="3"/>
  <c r="AH69" i="3"/>
  <c r="H60" i="3"/>
  <c r="T68" i="3"/>
  <c r="W79" i="3"/>
  <c r="AL47" i="3"/>
  <c r="AJ56" i="3"/>
  <c r="AJ81" i="3"/>
  <c r="Y67" i="3"/>
  <c r="V93" i="3"/>
  <c r="M92" i="3"/>
  <c r="L93" i="3"/>
  <c r="J96" i="3"/>
  <c r="AQ93" i="3"/>
  <c r="AJ97" i="3"/>
  <c r="P77" i="3"/>
  <c r="AJ88" i="3"/>
  <c r="AM47" i="3"/>
  <c r="AC97" i="3"/>
  <c r="AH72" i="3"/>
  <c r="AE70" i="3"/>
  <c r="K61" i="3"/>
  <c r="AJ65" i="3"/>
  <c r="AJ74" i="3"/>
  <c r="AI56" i="3"/>
  <c r="P87" i="3"/>
  <c r="O57" i="3"/>
  <c r="M76" i="3"/>
  <c r="I93" i="3"/>
  <c r="AM82" i="3"/>
  <c r="X90" i="3"/>
  <c r="AE60" i="3"/>
  <c r="I83" i="3"/>
  <c r="AK97" i="3"/>
  <c r="AK65" i="3"/>
  <c r="R97" i="3"/>
  <c r="J78" i="3"/>
  <c r="M81" i="3"/>
  <c r="Q95" i="3"/>
  <c r="K89" i="3"/>
  <c r="N56" i="3"/>
  <c r="AJ75" i="3"/>
  <c r="Y57" i="3"/>
  <c r="S68" i="3"/>
  <c r="Q85" i="3"/>
  <c r="R78" i="3"/>
  <c r="AN48" i="3"/>
  <c r="AA94" i="3"/>
  <c r="Y50" i="3"/>
  <c r="I78" i="3"/>
  <c r="L59" i="3"/>
  <c r="AN71" i="3"/>
  <c r="W59" i="3"/>
  <c r="Z70" i="3"/>
  <c r="I80" i="3"/>
  <c r="H86" i="3"/>
  <c r="Z81" i="3"/>
  <c r="H71" i="3"/>
  <c r="L97" i="3"/>
  <c r="AE81" i="3"/>
  <c r="AE95" i="3"/>
  <c r="AO72" i="3"/>
  <c r="AO93" i="3"/>
  <c r="AL78" i="3"/>
  <c r="K91" i="3"/>
  <c r="AA56" i="3"/>
  <c r="AM89" i="3"/>
  <c r="AQ91" i="3"/>
  <c r="X61" i="3"/>
  <c r="M72" i="3"/>
  <c r="Z54" i="3"/>
  <c r="AQ60" i="3"/>
  <c r="Y60" i="3"/>
  <c r="T91" i="3"/>
  <c r="AG60" i="3"/>
  <c r="M85" i="3"/>
  <c r="Y97" i="3"/>
  <c r="AL49" i="3"/>
  <c r="AK88" i="3"/>
  <c r="Q64" i="3"/>
  <c r="K62" i="3"/>
  <c r="J81" i="3"/>
  <c r="AH96" i="3"/>
  <c r="AA73" i="3"/>
  <c r="AE87" i="3"/>
  <c r="W65" i="3"/>
  <c r="L92" i="3"/>
  <c r="AC78" i="3"/>
  <c r="W57" i="3"/>
  <c r="AO83" i="3"/>
  <c r="AE92" i="3"/>
  <c r="N50" i="3"/>
  <c r="S47" i="3"/>
  <c r="H69" i="3"/>
  <c r="L94" i="3"/>
  <c r="L63" i="3"/>
  <c r="Y47" i="3"/>
  <c r="AQ94" i="3"/>
  <c r="AG85" i="3"/>
  <c r="K55" i="3"/>
  <c r="K64" i="3"/>
  <c r="AQ78" i="3"/>
  <c r="W76" i="3"/>
  <c r="Y69" i="3"/>
  <c r="AI54" i="3"/>
  <c r="AI96" i="3"/>
  <c r="Q93" i="3"/>
  <c r="H94" i="3"/>
  <c r="P55" i="3"/>
  <c r="AN68" i="3"/>
  <c r="L76" i="3"/>
  <c r="AH58" i="3"/>
  <c r="W69" i="3"/>
  <c r="R71" i="3"/>
  <c r="AC87" i="3"/>
  <c r="Y77" i="3"/>
  <c r="S73" i="3"/>
  <c r="Q68" i="3"/>
  <c r="S48" i="3"/>
  <c r="H65" i="3"/>
  <c r="AQ74" i="3"/>
  <c r="AG77" i="3"/>
  <c r="O80" i="3"/>
  <c r="AA75" i="3"/>
  <c r="W61" i="3"/>
  <c r="K78" i="3"/>
  <c r="Y63" i="3"/>
  <c r="U84" i="3"/>
  <c r="I87" i="3"/>
  <c r="L78" i="3"/>
  <c r="AA48" i="3"/>
  <c r="R65" i="3"/>
  <c r="AN97" i="3"/>
  <c r="U82" i="3"/>
  <c r="AI84" i="3"/>
  <c r="AE79" i="3"/>
  <c r="N71" i="3"/>
  <c r="AL93" i="3"/>
  <c r="Z64" i="3"/>
  <c r="AJ54" i="3"/>
  <c r="AH73" i="3"/>
  <c r="AI95" i="3"/>
  <c r="H91" i="3"/>
  <c r="O48" i="3"/>
  <c r="O62" i="3"/>
  <c r="W81" i="3"/>
  <c r="AG90" i="3"/>
  <c r="S75" i="3"/>
  <c r="AH50" i="3"/>
  <c r="AQ92" i="3"/>
  <c r="N90" i="3"/>
  <c r="AQ77" i="3"/>
  <c r="N57" i="3"/>
  <c r="AI79" i="3"/>
  <c r="L62" i="3"/>
  <c r="H74" i="3"/>
  <c r="AQ83" i="3"/>
  <c r="AJ82" i="3"/>
  <c r="U83" i="3"/>
  <c r="AC48" i="3"/>
  <c r="P67" i="3"/>
  <c r="O55" i="3"/>
  <c r="X50" i="3"/>
  <c r="I84" i="3"/>
  <c r="AO94" i="3"/>
  <c r="Q77" i="3"/>
  <c r="AA79" i="3"/>
  <c r="AQ64" i="3"/>
  <c r="AQ65" i="3"/>
  <c r="P47" i="3"/>
  <c r="S86" i="3"/>
  <c r="M73" i="3"/>
  <c r="AQ95" i="3"/>
  <c r="W94" i="3"/>
  <c r="M48" i="3"/>
  <c r="AC66" i="3"/>
  <c r="AA83" i="3"/>
  <c r="P66" i="3"/>
  <c r="AC89" i="3"/>
  <c r="J86" i="3"/>
  <c r="V57" i="3"/>
  <c r="AM76" i="3"/>
  <c r="K77" i="3"/>
  <c r="AO79" i="3"/>
  <c r="AO67" i="3"/>
  <c r="Y58" i="3"/>
  <c r="L47" i="3"/>
  <c r="L65" i="3"/>
  <c r="H85" i="3"/>
  <c r="AN66" i="3"/>
  <c r="M47" i="3"/>
  <c r="N97" i="3"/>
  <c r="AG69" i="3"/>
  <c r="X75" i="3"/>
  <c r="V72" i="3"/>
  <c r="T71" i="3"/>
  <c r="AE69" i="3"/>
  <c r="Z68" i="3"/>
  <c r="N64" i="3"/>
  <c r="AA84" i="3"/>
  <c r="O93" i="3"/>
  <c r="I72" i="3"/>
  <c r="K85" i="3"/>
  <c r="Q222" i="1" l="1"/>
  <c r="L140" i="1"/>
  <c r="H140" i="1"/>
  <c r="BJ36" i="1"/>
  <c r="BJ11" i="1"/>
  <c r="I181" i="1"/>
  <c r="J229" i="1" s="1"/>
  <c r="E140" i="1"/>
  <c r="R154" i="1"/>
  <c r="C140" i="1"/>
  <c r="B85" i="1"/>
  <c r="B86" i="1" s="1"/>
  <c r="U181" i="1"/>
  <c r="V229" i="1" s="1"/>
  <c r="T222" i="1"/>
  <c r="B181" i="1"/>
  <c r="C229" i="1" s="1"/>
  <c r="O181" i="1"/>
  <c r="P229" i="1" s="1"/>
  <c r="N140" i="1"/>
  <c r="N74" i="1" s="1"/>
  <c r="P222" i="1"/>
  <c r="D148" i="1"/>
  <c r="D57" i="1" s="1"/>
  <c r="F154" i="1"/>
  <c r="F158" i="1" s="1"/>
  <c r="D140" i="1"/>
  <c r="O140" i="1"/>
  <c r="O195" i="1" s="1"/>
  <c r="M140" i="1"/>
  <c r="M195" i="1" s="1"/>
  <c r="C222" i="1"/>
  <c r="C148" i="1"/>
  <c r="I168" i="1"/>
  <c r="I202" i="1" s="1"/>
  <c r="I201" i="1" s="1"/>
  <c r="S181" i="1"/>
  <c r="T229" i="1" s="1"/>
  <c r="U199" i="1"/>
  <c r="U168" i="1"/>
  <c r="U202" i="1" s="1"/>
  <c r="B193" i="1"/>
  <c r="F148" i="1"/>
  <c r="F57" i="1" s="1"/>
  <c r="C154" i="1"/>
  <c r="C158" i="1" s="1"/>
  <c r="S222" i="1"/>
  <c r="N154" i="1"/>
  <c r="L154" i="1"/>
  <c r="V181" i="1"/>
  <c r="W229" i="1" s="1"/>
  <c r="V222" i="1"/>
  <c r="M181" i="1"/>
  <c r="S193" i="1"/>
  <c r="T181" i="1"/>
  <c r="Q193" i="1"/>
  <c r="R148" i="1"/>
  <c r="R57" i="1" s="1"/>
  <c r="V148" i="1"/>
  <c r="S168" i="1"/>
  <c r="T140" i="1"/>
  <c r="H193" i="1"/>
  <c r="C193" i="1"/>
  <c r="I140" i="1"/>
  <c r="J154" i="1"/>
  <c r="M168" i="1"/>
  <c r="M202" i="1" s="1"/>
  <c r="M201" i="1" s="1"/>
  <c r="U154" i="1"/>
  <c r="B176" i="1"/>
  <c r="B205" i="1" s="1"/>
  <c r="B204" i="1" s="1"/>
  <c r="S154" i="1"/>
  <c r="B154" i="1"/>
  <c r="K222" i="1"/>
  <c r="H181" i="1"/>
  <c r="C85" i="1"/>
  <c r="S148" i="1"/>
  <c r="S176" i="1"/>
  <c r="C168" i="1"/>
  <c r="K181" i="1"/>
  <c r="D181" i="1"/>
  <c r="F181" i="1"/>
  <c r="M222" i="1"/>
  <c r="F140" i="1"/>
  <c r="T154" i="1"/>
  <c r="T53" i="1" s="1"/>
  <c r="B140" i="1"/>
  <c r="G154" i="1"/>
  <c r="T148" i="1"/>
  <c r="M193" i="1"/>
  <c r="O148" i="1"/>
  <c r="L222" i="1"/>
  <c r="B148" i="1"/>
  <c r="C269" i="1" s="1"/>
  <c r="C271" i="1" s="1"/>
  <c r="N193" i="1"/>
  <c r="D85" i="1"/>
  <c r="D127" i="1" s="1"/>
  <c r="K168" i="1"/>
  <c r="K148" i="1"/>
  <c r="F168" i="1"/>
  <c r="J181" i="1"/>
  <c r="G140" i="1"/>
  <c r="D193" i="1"/>
  <c r="J148" i="1"/>
  <c r="N222" i="1"/>
  <c r="E193" i="1"/>
  <c r="R222" i="1"/>
  <c r="L168" i="1"/>
  <c r="D222" i="1"/>
  <c r="G168" i="1"/>
  <c r="G202" i="1" s="1"/>
  <c r="G201" i="1" s="1"/>
  <c r="K140" i="1"/>
  <c r="C181" i="1"/>
  <c r="P168" i="1"/>
  <c r="W148" i="1"/>
  <c r="D168" i="1"/>
  <c r="U140" i="1"/>
  <c r="F176" i="1"/>
  <c r="F205" i="1" s="1"/>
  <c r="R168" i="1"/>
  <c r="C176" i="1"/>
  <c r="W193" i="1"/>
  <c r="E222" i="1"/>
  <c r="J168" i="1"/>
  <c r="E154" i="1"/>
  <c r="H176" i="1"/>
  <c r="H205" i="1" s="1"/>
  <c r="H204" i="1" s="1"/>
  <c r="H148" i="1"/>
  <c r="U222" i="1"/>
  <c r="I154" i="1"/>
  <c r="V193" i="1"/>
  <c r="P148" i="1"/>
  <c r="G193" i="1"/>
  <c r="J140" i="1"/>
  <c r="Q181" i="1"/>
  <c r="N176" i="1"/>
  <c r="N205" i="1" s="1"/>
  <c r="N204" i="1" s="1"/>
  <c r="V168" i="1"/>
  <c r="O168" i="1"/>
  <c r="I148" i="1"/>
  <c r="I188" i="1" s="1"/>
  <c r="I129" i="1" s="1"/>
  <c r="O222" i="1"/>
  <c r="D154" i="1"/>
  <c r="G181" i="1"/>
  <c r="Q154" i="1"/>
  <c r="T168" i="1"/>
  <c r="E148" i="1"/>
  <c r="M154" i="1"/>
  <c r="Q140" i="1"/>
  <c r="P193" i="1"/>
  <c r="E168" i="1"/>
  <c r="L193" i="1"/>
  <c r="K193" i="1"/>
  <c r="K154" i="1"/>
  <c r="N148" i="1"/>
  <c r="O193" i="1"/>
  <c r="L148" i="1"/>
  <c r="P140" i="1"/>
  <c r="B168" i="1"/>
  <c r="T193" i="1"/>
  <c r="J193" i="1"/>
  <c r="P154" i="1"/>
  <c r="G148" i="1"/>
  <c r="U148" i="1"/>
  <c r="D176" i="1"/>
  <c r="H222" i="1"/>
  <c r="S140" i="1"/>
  <c r="W154" i="1"/>
  <c r="F193" i="1"/>
  <c r="O154" i="1"/>
  <c r="L181" i="1"/>
  <c r="R181" i="1"/>
  <c r="I193" i="1"/>
  <c r="R140" i="1"/>
  <c r="R74" i="1" s="1"/>
  <c r="Q168" i="1"/>
  <c r="V140" i="1"/>
  <c r="Q148" i="1"/>
  <c r="K176" i="1"/>
  <c r="N199" i="1"/>
  <c r="N168" i="1"/>
  <c r="P176" i="1"/>
  <c r="P205" i="1" s="1"/>
  <c r="P204" i="1" s="1"/>
  <c r="T176" i="1"/>
  <c r="T205" i="1" s="1"/>
  <c r="T204" i="1" s="1"/>
  <c r="J176" i="1"/>
  <c r="E176" i="1"/>
  <c r="G176" i="1"/>
  <c r="O176" i="1"/>
  <c r="P217" i="1" s="1"/>
  <c r="U176" i="1"/>
  <c r="L176" i="1"/>
  <c r="L195" i="1"/>
  <c r="H199" i="1"/>
  <c r="H168" i="1"/>
  <c r="R193" i="1"/>
  <c r="J222" i="1"/>
  <c r="I222" i="1"/>
  <c r="U193" i="1"/>
  <c r="G222" i="1"/>
  <c r="F222" i="1"/>
  <c r="X222" i="1"/>
  <c r="W222" i="1"/>
  <c r="M174" i="1"/>
  <c r="M176" i="1" s="1"/>
  <c r="M148" i="1"/>
  <c r="V154" i="1"/>
  <c r="I176" i="1"/>
  <c r="H154" i="1"/>
  <c r="H158" i="1" s="1"/>
  <c r="Q176" i="1"/>
  <c r="V176" i="1"/>
  <c r="R176" i="1"/>
  <c r="BH154" i="1"/>
  <c r="BH158" i="1" s="1"/>
  <c r="L74" i="1"/>
  <c r="AX160" i="1"/>
  <c r="AY160" i="1" s="1"/>
  <c r="AZ173" i="1"/>
  <c r="AZ203" i="1" s="1"/>
  <c r="BA203" i="1" s="1"/>
  <c r="BR146" i="1"/>
  <c r="BS146" i="1" s="1"/>
  <c r="AZ174" i="1"/>
  <c r="BA174" i="1" s="1"/>
  <c r="BT151" i="1"/>
  <c r="BP175" i="1"/>
  <c r="BQ175" i="1" s="1"/>
  <c r="BP93" i="1"/>
  <c r="BF145" i="1"/>
  <c r="BG145" i="1" s="1"/>
  <c r="AP166" i="1"/>
  <c r="AQ166" i="1" s="1"/>
  <c r="BI93" i="1"/>
  <c r="AX164" i="1"/>
  <c r="AX199" i="1" s="1"/>
  <c r="BR179" i="1"/>
  <c r="BF94" i="1"/>
  <c r="AZ172" i="1"/>
  <c r="BA172" i="1" s="1"/>
  <c r="BD155" i="1"/>
  <c r="BE155" i="1" s="1"/>
  <c r="AZ137" i="1"/>
  <c r="BA137" i="1" s="1"/>
  <c r="BN184" i="1"/>
  <c r="BO184" i="1" s="1"/>
  <c r="BF167" i="1"/>
  <c r="BG167" i="1" s="1"/>
  <c r="BT171" i="1"/>
  <c r="BU171" i="1" s="1"/>
  <c r="BN139" i="1"/>
  <c r="AX138" i="1"/>
  <c r="AY138" i="1" s="1"/>
  <c r="BW94" i="1"/>
  <c r="BN146" i="1"/>
  <c r="BO146" i="1" s="1"/>
  <c r="AX171" i="1"/>
  <c r="AY171" i="1" s="1"/>
  <c r="AP145" i="1"/>
  <c r="AQ145" i="1" s="1"/>
  <c r="AT151" i="1"/>
  <c r="AZ151" i="1"/>
  <c r="BF174" i="1"/>
  <c r="BG174" i="1" s="1"/>
  <c r="BR147" i="1"/>
  <c r="BS147" i="1" s="1"/>
  <c r="BD167" i="1"/>
  <c r="BE167" i="1" s="1"/>
  <c r="AP163" i="1"/>
  <c r="AQ163" i="1" s="1"/>
  <c r="AV155" i="1"/>
  <c r="AW155" i="1" s="1"/>
  <c r="BB155" i="1"/>
  <c r="BC155" i="1" s="1"/>
  <c r="AN137" i="1"/>
  <c r="AR184" i="1"/>
  <c r="AS184" i="1" s="1"/>
  <c r="AQ93" i="1"/>
  <c r="AT171" i="1"/>
  <c r="AU171" i="1" s="1"/>
  <c r="AX94" i="1"/>
  <c r="BA93" i="1"/>
  <c r="BF171" i="1"/>
  <c r="BG171" i="1" s="1"/>
  <c r="BN142" i="1"/>
  <c r="BO142" i="1" s="1"/>
  <c r="BP147" i="1"/>
  <c r="BQ147" i="1" s="1"/>
  <c r="BF144" i="1"/>
  <c r="BG144" i="1" s="1"/>
  <c r="BF183" i="1"/>
  <c r="BG183" i="1" s="1"/>
  <c r="AZ180" i="1"/>
  <c r="AW93" i="1"/>
  <c r="BP146" i="1"/>
  <c r="BQ146" i="1" s="1"/>
  <c r="BD172" i="1"/>
  <c r="BE172" i="1" s="1"/>
  <c r="BG93" i="1"/>
  <c r="AZ162" i="1"/>
  <c r="BA162" i="1" s="1"/>
  <c r="BD180" i="1"/>
  <c r="BT137" i="1"/>
  <c r="BU137" i="1" s="1"/>
  <c r="BN172" i="1"/>
  <c r="BO172" i="1" s="1"/>
  <c r="BD169" i="1"/>
  <c r="BE169" i="1" s="1"/>
  <c r="BT172" i="1"/>
  <c r="BU172" i="1" s="1"/>
  <c r="BM94" i="1"/>
  <c r="BN147" i="1"/>
  <c r="BO147" i="1" s="1"/>
  <c r="BR152" i="1"/>
  <c r="BP164" i="1"/>
  <c r="BP199" i="1" s="1"/>
  <c r="BQ199" i="1" s="1"/>
  <c r="AT179" i="1"/>
  <c r="BF184" i="1"/>
  <c r="BG184" i="1" s="1"/>
  <c r="AZ155" i="1"/>
  <c r="BA155" i="1" s="1"/>
  <c r="BT166" i="1"/>
  <c r="BU166" i="1" s="1"/>
  <c r="BP144" i="1"/>
  <c r="BQ144" i="1" s="1"/>
  <c r="BP162" i="1"/>
  <c r="BQ162" i="1" s="1"/>
  <c r="BT94" i="1"/>
  <c r="AR163" i="1"/>
  <c r="AS163" i="1" s="1"/>
  <c r="BF138" i="1"/>
  <c r="BG138" i="1" s="1"/>
  <c r="AX93" i="1"/>
  <c r="AX167" i="1"/>
  <c r="AY167" i="1" s="1"/>
  <c r="AX172" i="1"/>
  <c r="AY172" i="1" s="1"/>
  <c r="BB144" i="1"/>
  <c r="BF137" i="1"/>
  <c r="BG137" i="1" s="1"/>
  <c r="AZ167" i="1"/>
  <c r="BA167" i="1" s="1"/>
  <c r="BP151" i="1"/>
  <c r="AV164" i="1"/>
  <c r="AV199" i="1" s="1"/>
  <c r="AW199" i="1" s="1"/>
  <c r="BW93" i="1"/>
  <c r="BN175" i="1"/>
  <c r="BO175" i="1" s="1"/>
  <c r="BR169" i="1"/>
  <c r="BS169" i="1" s="1"/>
  <c r="BP139" i="1"/>
  <c r="BR93" i="1"/>
  <c r="BB94" i="1"/>
  <c r="BD94" i="1"/>
  <c r="AT145" i="1"/>
  <c r="AU145" i="1" s="1"/>
  <c r="BN145" i="1"/>
  <c r="BO145" i="1" s="1"/>
  <c r="BB166" i="1"/>
  <c r="BC166" i="1" s="1"/>
  <c r="BF152" i="1"/>
  <c r="AT142" i="1"/>
  <c r="AU142" i="1" s="1"/>
  <c r="BB152" i="1"/>
  <c r="AN142" i="1"/>
  <c r="AO142" i="1" s="1"/>
  <c r="BB146" i="1"/>
  <c r="BC146" i="1" s="1"/>
  <c r="BP160" i="1"/>
  <c r="BQ160" i="1" s="1"/>
  <c r="AP160" i="1"/>
  <c r="AV160" i="1"/>
  <c r="AV170" i="1"/>
  <c r="AW170" i="1" s="1"/>
  <c r="AN138" i="1"/>
  <c r="AO138" i="1" s="1"/>
  <c r="AN94" i="1"/>
  <c r="BE94" i="1"/>
  <c r="AX142" i="1"/>
  <c r="AY142" i="1" s="1"/>
  <c r="AX180" i="1"/>
  <c r="BB139" i="1"/>
  <c r="AZ165" i="1"/>
  <c r="AZ200" i="1" s="1"/>
  <c r="BA200" i="1" s="1"/>
  <c r="BT164" i="1"/>
  <c r="BT199" i="1" s="1"/>
  <c r="BU199" i="1" s="1"/>
  <c r="AP139" i="1"/>
  <c r="BR171" i="1"/>
  <c r="BS171" i="1" s="1"/>
  <c r="AT153" i="1"/>
  <c r="AX170" i="1"/>
  <c r="AY170" i="1" s="1"/>
  <c r="BN166" i="1"/>
  <c r="BO166" i="1" s="1"/>
  <c r="BN152" i="1"/>
  <c r="AY94" i="1"/>
  <c r="BR164" i="1"/>
  <c r="BR199" i="1" s="1"/>
  <c r="BS199" i="1" s="1"/>
  <c r="BB180" i="1"/>
  <c r="BD151" i="1"/>
  <c r="BT173" i="1"/>
  <c r="BT203" i="1" s="1"/>
  <c r="BU203" i="1" s="1"/>
  <c r="BA94" i="1"/>
  <c r="BR166" i="1"/>
  <c r="BS166" i="1" s="1"/>
  <c r="BB147" i="1"/>
  <c r="BC147" i="1" s="1"/>
  <c r="BP165" i="1"/>
  <c r="BP200" i="1" s="1"/>
  <c r="BQ200" i="1" s="1"/>
  <c r="AT164" i="1"/>
  <c r="AT199" i="1" s="1"/>
  <c r="AU199" i="1" s="1"/>
  <c r="BC93" i="1"/>
  <c r="BD171" i="1"/>
  <c r="BE171" i="1" s="1"/>
  <c r="BR165" i="1"/>
  <c r="BR200" i="1" s="1"/>
  <c r="BS200" i="1" s="1"/>
  <c r="BT179" i="1"/>
  <c r="AV169" i="1"/>
  <c r="AW169" i="1" s="1"/>
  <c r="BN162" i="1"/>
  <c r="BO162" i="1" s="1"/>
  <c r="AZ164" i="1"/>
  <c r="AZ199" i="1" s="1"/>
  <c r="BA199" i="1" s="1"/>
  <c r="AP144" i="1"/>
  <c r="AQ144" i="1" s="1"/>
  <c r="BP137" i="1"/>
  <c r="BQ137" i="1" s="1"/>
  <c r="BD146" i="1"/>
  <c r="BE146" i="1" s="1"/>
  <c r="BP152" i="1"/>
  <c r="AP170" i="1"/>
  <c r="AQ170" i="1" s="1"/>
  <c r="BD184" i="1"/>
  <c r="BE184" i="1" s="1"/>
  <c r="AV179" i="1"/>
  <c r="AV137" i="1"/>
  <c r="AW137" i="1" s="1"/>
  <c r="AR139" i="1"/>
  <c r="AR162" i="1"/>
  <c r="AS162" i="1" s="1"/>
  <c r="AZ160" i="1"/>
  <c r="BA160" i="1" s="1"/>
  <c r="AP183" i="1"/>
  <c r="AQ183" i="1" s="1"/>
  <c r="AP162" i="1"/>
  <c r="AN157" i="1"/>
  <c r="AO157" i="1" s="1"/>
  <c r="AV145" i="1"/>
  <c r="AW145" i="1" s="1"/>
  <c r="AV146" i="1"/>
  <c r="AW146" i="1" s="1"/>
  <c r="AR174" i="1"/>
  <c r="AS174" i="1" s="1"/>
  <c r="AV153" i="1"/>
  <c r="AR138" i="1"/>
  <c r="AS138" i="1" s="1"/>
  <c r="AR172" i="1"/>
  <c r="AS172" i="1" s="1"/>
  <c r="BP179" i="1"/>
  <c r="AN170" i="1"/>
  <c r="AO170" i="1" s="1"/>
  <c r="AR144" i="1"/>
  <c r="AN180" i="1"/>
  <c r="AV184" i="1"/>
  <c r="AW184" i="1" s="1"/>
  <c r="AR173" i="1"/>
  <c r="AR203" i="1" s="1"/>
  <c r="AN146" i="1"/>
  <c r="AO146" i="1" s="1"/>
  <c r="AR142" i="1"/>
  <c r="AS142" i="1" s="1"/>
  <c r="AR166" i="1"/>
  <c r="AS166" i="1" s="1"/>
  <c r="BB151" i="1"/>
  <c r="AV93" i="1"/>
  <c r="AU93" i="1"/>
  <c r="AR180" i="1"/>
  <c r="AV173" i="1"/>
  <c r="AV203" i="1" s="1"/>
  <c r="AT169" i="1"/>
  <c r="AU169" i="1" s="1"/>
  <c r="AT173" i="1"/>
  <c r="AT203" i="1" s="1"/>
  <c r="AU203" i="1" s="1"/>
  <c r="AR93" i="1"/>
  <c r="BO94" i="1"/>
  <c r="BT160" i="1"/>
  <c r="AP153" i="1"/>
  <c r="BF170" i="1"/>
  <c r="BG170" i="1" s="1"/>
  <c r="BN93" i="1"/>
  <c r="AV180" i="1"/>
  <c r="AR164" i="1"/>
  <c r="AR199" i="1" s="1"/>
  <c r="AS199" i="1" s="1"/>
  <c r="BP169" i="1"/>
  <c r="BQ169" i="1" s="1"/>
  <c r="AV171" i="1"/>
  <c r="AW171" i="1" s="1"/>
  <c r="BT147" i="1"/>
  <c r="BU147" i="1" s="1"/>
  <c r="AR167" i="1"/>
  <c r="AS167" i="1" s="1"/>
  <c r="BB165" i="1"/>
  <c r="BB200" i="1" s="1"/>
  <c r="BC200" i="1" s="1"/>
  <c r="AT138" i="1"/>
  <c r="AU138" i="1" s="1"/>
  <c r="BO93" i="1"/>
  <c r="AX183" i="1"/>
  <c r="AY183" i="1" s="1"/>
  <c r="BB160" i="1"/>
  <c r="BC160" i="1" s="1"/>
  <c r="BD137" i="1"/>
  <c r="BR155" i="1"/>
  <c r="BS155" i="1" s="1"/>
  <c r="BB173" i="1"/>
  <c r="BB203" i="1" s="1"/>
  <c r="BF180" i="1"/>
  <c r="BP173" i="1"/>
  <c r="BP203" i="1" s="1"/>
  <c r="BQ203" i="1" s="1"/>
  <c r="AX175" i="1"/>
  <c r="AY175" i="1" s="1"/>
  <c r="BN179" i="1"/>
  <c r="AZ146" i="1"/>
  <c r="BA146" i="1" s="1"/>
  <c r="AX151" i="1"/>
  <c r="BN164" i="1"/>
  <c r="BN199" i="1" s="1"/>
  <c r="BO199" i="1" s="1"/>
  <c r="BR138" i="1"/>
  <c r="BS138" i="1" s="1"/>
  <c r="BF165" i="1"/>
  <c r="BF200" i="1" s="1"/>
  <c r="BG200" i="1" s="1"/>
  <c r="BS93" i="1"/>
  <c r="BQ94" i="1"/>
  <c r="AT155" i="1"/>
  <c r="AU155" i="1" s="1"/>
  <c r="AT146" i="1"/>
  <c r="AU146" i="1" s="1"/>
  <c r="AZ142" i="1"/>
  <c r="BA142" i="1" s="1"/>
  <c r="BD183" i="1"/>
  <c r="BE183" i="1" s="1"/>
  <c r="BD142" i="1"/>
  <c r="BE142" i="1" s="1"/>
  <c r="BT139" i="1"/>
  <c r="BB174" i="1"/>
  <c r="BC174" i="1" s="1"/>
  <c r="BF151" i="1"/>
  <c r="AX139" i="1"/>
  <c r="AX155" i="1"/>
  <c r="AY155" i="1" s="1"/>
  <c r="AX165" i="1"/>
  <c r="AX200" i="1" s="1"/>
  <c r="AY200" i="1" s="1"/>
  <c r="AZ153" i="1"/>
  <c r="AZ175" i="1"/>
  <c r="BA175" i="1" s="1"/>
  <c r="BF173" i="1"/>
  <c r="BF203" i="1" s="1"/>
  <c r="BG203" i="1" s="1"/>
  <c r="BF155" i="1"/>
  <c r="BG155" i="1" s="1"/>
  <c r="BD170" i="1"/>
  <c r="BE170" i="1" s="1"/>
  <c r="BN170" i="1"/>
  <c r="BO170" i="1" s="1"/>
  <c r="AQ94" i="1"/>
  <c r="BR94" i="1"/>
  <c r="AZ147" i="1"/>
  <c r="BA147" i="1" s="1"/>
  <c r="BD166" i="1"/>
  <c r="BE166" i="1" s="1"/>
  <c r="BD144" i="1"/>
  <c r="BE144" i="1" s="1"/>
  <c r="BT155" i="1"/>
  <c r="BU155" i="1" s="1"/>
  <c r="BP94" i="1"/>
  <c r="AV174" i="1"/>
  <c r="AW174" i="1" s="1"/>
  <c r="BN94" i="1"/>
  <c r="BR184" i="1"/>
  <c r="BS184" i="1" s="1"/>
  <c r="AN184" i="1"/>
  <c r="AO184" i="1" s="1"/>
  <c r="AT170" i="1"/>
  <c r="AO93" i="1"/>
  <c r="AX169" i="1"/>
  <c r="AX152" i="1"/>
  <c r="AX157" i="1"/>
  <c r="AY157" i="1" s="1"/>
  <c r="BE93" i="1"/>
  <c r="BN153" i="1"/>
  <c r="BN183" i="1"/>
  <c r="BO183" i="1" s="1"/>
  <c r="BN144" i="1"/>
  <c r="BN165" i="1"/>
  <c r="BN200" i="1" s="1"/>
  <c r="BO200" i="1" s="1"/>
  <c r="BN174" i="1"/>
  <c r="BO174" i="1" s="1"/>
  <c r="AY93" i="1"/>
  <c r="BR162" i="1"/>
  <c r="BS162" i="1" s="1"/>
  <c r="BB169" i="1"/>
  <c r="BC169" i="1" s="1"/>
  <c r="BB171" i="1"/>
  <c r="BC171" i="1" s="1"/>
  <c r="AZ171" i="1"/>
  <c r="BA171" i="1" s="1"/>
  <c r="BF162" i="1"/>
  <c r="BG162" i="1" s="1"/>
  <c r="BD165" i="1"/>
  <c r="BD200" i="1" s="1"/>
  <c r="BE200" i="1" s="1"/>
  <c r="BT174" i="1"/>
  <c r="BU174" i="1" s="1"/>
  <c r="BT180" i="1"/>
  <c r="BP163" i="1"/>
  <c r="BQ163" i="1" s="1"/>
  <c r="BP171" i="1"/>
  <c r="BQ171" i="1" s="1"/>
  <c r="AP138" i="1"/>
  <c r="AQ138" i="1" s="1"/>
  <c r="AZ138" i="1"/>
  <c r="BA138" i="1" s="1"/>
  <c r="AX146" i="1"/>
  <c r="AY146" i="1" s="1"/>
  <c r="AX162" i="1"/>
  <c r="AY162" i="1" s="1"/>
  <c r="BN167" i="1"/>
  <c r="BO167" i="1" s="1"/>
  <c r="BR153" i="1"/>
  <c r="BR175" i="1"/>
  <c r="BS175" i="1" s="1"/>
  <c r="BR170" i="1"/>
  <c r="BS170" i="1" s="1"/>
  <c r="BB142" i="1"/>
  <c r="BC142" i="1" s="1"/>
  <c r="AZ152" i="1"/>
  <c r="AP169" i="1"/>
  <c r="AQ169" i="1" s="1"/>
  <c r="AW94" i="1"/>
  <c r="AS93" i="1"/>
  <c r="AT147" i="1"/>
  <c r="AU147" i="1" s="1"/>
  <c r="AT165" i="1"/>
  <c r="AT200" i="1" s="1"/>
  <c r="AU200" i="1" s="1"/>
  <c r="AT175" i="1"/>
  <c r="AU175" i="1" s="1"/>
  <c r="AT166" i="1"/>
  <c r="AU166" i="1" s="1"/>
  <c r="AT174" i="1"/>
  <c r="AU174" i="1" s="1"/>
  <c r="AT137" i="1"/>
  <c r="BB170" i="1"/>
  <c r="BC170" i="1" s="1"/>
  <c r="AZ183" i="1"/>
  <c r="BA183" i="1" s="1"/>
  <c r="AZ170" i="1"/>
  <c r="BA170" i="1" s="1"/>
  <c r="BF139" i="1"/>
  <c r="BD139" i="1"/>
  <c r="BD160" i="1"/>
  <c r="BE160" i="1" s="1"/>
  <c r="AP94" i="1"/>
  <c r="BG94" i="1"/>
  <c r="BF142" i="1"/>
  <c r="BG142" i="1" s="1"/>
  <c r="AZ184" i="1"/>
  <c r="BA184" i="1" s="1"/>
  <c r="BF160" i="1"/>
  <c r="BG160" i="1" s="1"/>
  <c r="BH222" i="1" s="1"/>
  <c r="BD162" i="1"/>
  <c r="BE162" i="1" s="1"/>
  <c r="BP142" i="1"/>
  <c r="BQ142" i="1" s="1"/>
  <c r="BK93" i="1"/>
  <c r="AP142" i="1"/>
  <c r="AQ142" i="1" s="1"/>
  <c r="AT163" i="1"/>
  <c r="AU163" i="1" s="1"/>
  <c r="AT139" i="1"/>
  <c r="BN173" i="1"/>
  <c r="BN203" i="1" s="1"/>
  <c r="BO203" i="1" s="1"/>
  <c r="BB153" i="1"/>
  <c r="BB162" i="1"/>
  <c r="BC162" i="1" s="1"/>
  <c r="AZ169" i="1"/>
  <c r="BA169" i="1" s="1"/>
  <c r="BP166" i="1"/>
  <c r="BQ166" i="1" s="1"/>
  <c r="AN166" i="1"/>
  <c r="AO166" i="1" s="1"/>
  <c r="BT165" i="1"/>
  <c r="BT200" i="1" s="1"/>
  <c r="BU200" i="1" s="1"/>
  <c r="BD173" i="1"/>
  <c r="BD203" i="1" s="1"/>
  <c r="BE203" i="1" s="1"/>
  <c r="BF146" i="1"/>
  <c r="BG146" i="1" s="1"/>
  <c r="BT170" i="1"/>
  <c r="BU170" i="1" s="1"/>
  <c r="AN179" i="1"/>
  <c r="AZ157" i="1"/>
  <c r="BA157" i="1" s="1"/>
  <c r="AP146" i="1"/>
  <c r="AQ146" i="1" s="1"/>
  <c r="AP164" i="1"/>
  <c r="AP199" i="1" s="1"/>
  <c r="AQ199" i="1" s="1"/>
  <c r="AN172" i="1"/>
  <c r="AO172" i="1" s="1"/>
  <c r="BP145" i="1"/>
  <c r="BQ145" i="1" s="1"/>
  <c r="AV166" i="1"/>
  <c r="AW166" i="1" s="1"/>
  <c r="AR145" i="1"/>
  <c r="AS145" i="1" s="1"/>
  <c r="AR94" i="1"/>
  <c r="BT167" i="1"/>
  <c r="BU167" i="1" s="1"/>
  <c r="BP172" i="1"/>
  <c r="BQ172" i="1" s="1"/>
  <c r="AN183" i="1"/>
  <c r="AO183" i="1" s="1"/>
  <c r="AV94" i="1"/>
  <c r="AP147" i="1"/>
  <c r="AQ147" i="1" s="1"/>
  <c r="AV138" i="1"/>
  <c r="AW138" i="1" s="1"/>
  <c r="AV183" i="1"/>
  <c r="AW183" i="1" s="1"/>
  <c r="AR137" i="1"/>
  <c r="AV144" i="1"/>
  <c r="BD93" i="1"/>
  <c r="AP173" i="1"/>
  <c r="AP203" i="1" s="1"/>
  <c r="AQ203" i="1" s="1"/>
  <c r="BP153" i="1"/>
  <c r="AN167" i="1"/>
  <c r="AO167" i="1" s="1"/>
  <c r="AR157" i="1"/>
  <c r="AS157" i="1" s="1"/>
  <c r="BI94" i="1"/>
  <c r="AS94" i="1"/>
  <c r="AR170" i="1"/>
  <c r="AS170" i="1" s="1"/>
  <c r="AP180" i="1"/>
  <c r="AN174" i="1"/>
  <c r="AO174" i="1" s="1"/>
  <c r="AV147" i="1"/>
  <c r="AW147" i="1" s="1"/>
  <c r="BP174" i="1"/>
  <c r="BQ174" i="1" s="1"/>
  <c r="AN171" i="1"/>
  <c r="AO171" i="1" s="1"/>
  <c r="AN155" i="1"/>
  <c r="AO155" i="1" s="1"/>
  <c r="AR147" i="1"/>
  <c r="AS147" i="1" s="1"/>
  <c r="AV172" i="1"/>
  <c r="AW172" i="1" s="1"/>
  <c r="BQ93" i="1"/>
  <c r="BS94" i="1"/>
  <c r="AR169" i="1"/>
  <c r="AS169" i="1" s="1"/>
  <c r="AP93" i="1"/>
  <c r="BR144" i="1"/>
  <c r="BS144" i="1" s="1"/>
  <c r="AV162" i="1"/>
  <c r="AW162" i="1" s="1"/>
  <c r="AN163" i="1"/>
  <c r="AO163" i="1" s="1"/>
  <c r="AN152" i="1"/>
  <c r="AR183" i="1"/>
  <c r="AS183" i="1" s="1"/>
  <c r="AV165" i="1"/>
  <c r="AV200" i="1" s="1"/>
  <c r="AW200" i="1" s="1"/>
  <c r="AN162" i="1"/>
  <c r="AR146" i="1"/>
  <c r="AS146" i="1" s="1"/>
  <c r="AX173" i="1"/>
  <c r="AX203" i="1" s="1"/>
  <c r="AY203" i="1" s="1"/>
  <c r="BB93" i="1"/>
  <c r="AZ166" i="1"/>
  <c r="BA166" i="1" s="1"/>
  <c r="BD179" i="1"/>
  <c r="BR174" i="1"/>
  <c r="BS174" i="1" s="1"/>
  <c r="BT152" i="1"/>
  <c r="BK94" i="1"/>
  <c r="AX137" i="1"/>
  <c r="AX174" i="1"/>
  <c r="AY174" i="1" s="1"/>
  <c r="BB145" i="1"/>
  <c r="BC145" i="1" s="1"/>
  <c r="BF164" i="1"/>
  <c r="BF199" i="1" s="1"/>
  <c r="BG199" i="1" s="1"/>
  <c r="BT145" i="1"/>
  <c r="BU145" i="1" s="1"/>
  <c r="AX144" i="1"/>
  <c r="BR160" i="1"/>
  <c r="BT144" i="1"/>
  <c r="AP175" i="1"/>
  <c r="AQ175" i="1" s="1"/>
  <c r="AT184" i="1"/>
  <c r="AU184" i="1" s="1"/>
  <c r="AT172" i="1"/>
  <c r="AU172" i="1" s="1"/>
  <c r="BC94" i="1"/>
  <c r="AZ144" i="1"/>
  <c r="BA144" i="1" s="1"/>
  <c r="BF172" i="1"/>
  <c r="BG172" i="1" s="1"/>
  <c r="BD164" i="1"/>
  <c r="BD199" i="1" s="1"/>
  <c r="BE199" i="1" s="1"/>
  <c r="AT94" i="1"/>
  <c r="BB164" i="1"/>
  <c r="BB199" i="1" s="1"/>
  <c r="BC199" i="1" s="1"/>
  <c r="BT175" i="1"/>
  <c r="BU175" i="1" s="1"/>
  <c r="BB167" i="1"/>
  <c r="BC167" i="1" s="1"/>
  <c r="AN160" i="1"/>
  <c r="BP170" i="1"/>
  <c r="BQ170" i="1" s="1"/>
  <c r="AN153" i="1"/>
  <c r="BT93" i="1"/>
  <c r="AP165" i="1"/>
  <c r="AP200" i="1" s="1"/>
  <c r="AQ200" i="1" s="1"/>
  <c r="AV151" i="1"/>
  <c r="BD147" i="1"/>
  <c r="BE147" i="1" s="1"/>
  <c r="AX179" i="1"/>
  <c r="AX184" i="1"/>
  <c r="AY184" i="1" s="1"/>
  <c r="AX145" i="1"/>
  <c r="AY145" i="1" s="1"/>
  <c r="BB183" i="1"/>
  <c r="BC183" i="1" s="1"/>
  <c r="BU93" i="1"/>
  <c r="AZ94" i="1"/>
  <c r="BF166" i="1"/>
  <c r="BG166" i="1" s="1"/>
  <c r="BF147" i="1"/>
  <c r="BG147" i="1" s="1"/>
  <c r="BD153" i="1"/>
  <c r="BN160" i="1"/>
  <c r="BR172" i="1"/>
  <c r="BS172" i="1" s="1"/>
  <c r="BR139" i="1"/>
  <c r="BR145" i="1"/>
  <c r="BS145" i="1" s="1"/>
  <c r="BR137" i="1"/>
  <c r="BB184" i="1"/>
  <c r="BC184" i="1" s="1"/>
  <c r="AZ139" i="1"/>
  <c r="BF169" i="1"/>
  <c r="BG169" i="1" s="1"/>
  <c r="BD138" i="1"/>
  <c r="BE138" i="1" s="1"/>
  <c r="BT184" i="1"/>
  <c r="BU184" i="1" s="1"/>
  <c r="BP180" i="1"/>
  <c r="AP152" i="1"/>
  <c r="AV152" i="1"/>
  <c r="BN151" i="1"/>
  <c r="BR167" i="1"/>
  <c r="BS167" i="1" s="1"/>
  <c r="AX153" i="1"/>
  <c r="AX166" i="1"/>
  <c r="AY166" i="1" s="1"/>
  <c r="BN180" i="1"/>
  <c r="BN138" i="1"/>
  <c r="BO138" i="1" s="1"/>
  <c r="BN169" i="1"/>
  <c r="BO169" i="1" s="1"/>
  <c r="BR180" i="1"/>
  <c r="BR142" i="1"/>
  <c r="BS142" i="1" s="1"/>
  <c r="BB179" i="1"/>
  <c r="BF153" i="1"/>
  <c r="BT138" i="1"/>
  <c r="BU138" i="1" s="1"/>
  <c r="BP183" i="1"/>
  <c r="BQ183" i="1" s="1"/>
  <c r="BP167" i="1"/>
  <c r="BQ167" i="1" s="1"/>
  <c r="BM93" i="1"/>
  <c r="AX147" i="1"/>
  <c r="AY147" i="1" s="1"/>
  <c r="BN171" i="1"/>
  <c r="BO171" i="1" s="1"/>
  <c r="BN137" i="1"/>
  <c r="BO137" i="1" s="1"/>
  <c r="BR151" i="1"/>
  <c r="BR183" i="1"/>
  <c r="BS183" i="1" s="1"/>
  <c r="BR173" i="1"/>
  <c r="BR203" i="1" s="1"/>
  <c r="BS203" i="1" s="1"/>
  <c r="BB175" i="1"/>
  <c r="BC175" i="1" s="1"/>
  <c r="AZ179" i="1"/>
  <c r="BD175" i="1"/>
  <c r="BE175" i="1" s="1"/>
  <c r="BT153" i="1"/>
  <c r="AP171" i="1"/>
  <c r="AQ171" i="1" s="1"/>
  <c r="AT160" i="1"/>
  <c r="AU160" i="1" s="1"/>
  <c r="AT180" i="1"/>
  <c r="AT144" i="1"/>
  <c r="AU144" i="1" s="1"/>
  <c r="AT162" i="1"/>
  <c r="BN155" i="1"/>
  <c r="BO155" i="1" s="1"/>
  <c r="BB172" i="1"/>
  <c r="BC172" i="1" s="1"/>
  <c r="BU94" i="1"/>
  <c r="AZ145" i="1"/>
  <c r="BA145" i="1" s="1"/>
  <c r="BF175" i="1"/>
  <c r="BG175" i="1" s="1"/>
  <c r="BP138" i="1"/>
  <c r="BQ138" i="1" s="1"/>
  <c r="BF179" i="1"/>
  <c r="BF93" i="1"/>
  <c r="BD145" i="1"/>
  <c r="BE145" i="1" s="1"/>
  <c r="BT142" i="1"/>
  <c r="BU142" i="1" s="1"/>
  <c r="AP172" i="1"/>
  <c r="AQ172" i="1" s="1"/>
  <c r="AT183" i="1"/>
  <c r="AU183" i="1" s="1"/>
  <c r="AT167" i="1"/>
  <c r="AU167" i="1" s="1"/>
  <c r="BT146" i="1"/>
  <c r="BU146" i="1" s="1"/>
  <c r="AU94" i="1"/>
  <c r="BB138" i="1"/>
  <c r="BC138" i="1" s="1"/>
  <c r="AZ93" i="1"/>
  <c r="BT162" i="1"/>
  <c r="BU162" i="1" s="1"/>
  <c r="AP184" i="1"/>
  <c r="AQ184" i="1" s="1"/>
  <c r="BB137" i="1"/>
  <c r="AN165" i="1"/>
  <c r="AN200" i="1" s="1"/>
  <c r="AO200" i="1" s="1"/>
  <c r="BD174" i="1"/>
  <c r="BE174" i="1" s="1"/>
  <c r="BT183" i="1"/>
  <c r="BU183" i="1" s="1"/>
  <c r="BP155" i="1"/>
  <c r="BQ155" i="1" s="1"/>
  <c r="AP155" i="1"/>
  <c r="AQ155" i="1" s="1"/>
  <c r="AN144" i="1"/>
  <c r="BP184" i="1"/>
  <c r="BQ184" i="1" s="1"/>
  <c r="AP137" i="1"/>
  <c r="AQ137" i="1" s="1"/>
  <c r="AN139" i="1"/>
  <c r="AV142" i="1"/>
  <c r="AW142" i="1" s="1"/>
  <c r="AR155" i="1"/>
  <c r="AS155" i="1" s="1"/>
  <c r="AR160" i="1"/>
  <c r="AS160" i="1" s="1"/>
  <c r="AR153" i="1"/>
  <c r="AP179" i="1"/>
  <c r="AP167" i="1"/>
  <c r="AQ167" i="1" s="1"/>
  <c r="AN173" i="1"/>
  <c r="AN203" i="1" s="1"/>
  <c r="AO203" i="1" s="1"/>
  <c r="AV175" i="1"/>
  <c r="AW175" i="1" s="1"/>
  <c r="AP151" i="1"/>
  <c r="AR152" i="1"/>
  <c r="AR151" i="1"/>
  <c r="AR179" i="1"/>
  <c r="BD152" i="1"/>
  <c r="AN164" i="1"/>
  <c r="AN199" i="1" s="1"/>
  <c r="AO199" i="1" s="1"/>
  <c r="AV139" i="1"/>
  <c r="AR165" i="1"/>
  <c r="BT169" i="1"/>
  <c r="BU169" i="1" s="1"/>
  <c r="AN169" i="1"/>
  <c r="AO169" i="1" s="1"/>
  <c r="AR175" i="1"/>
  <c r="AS175" i="1" s="1"/>
  <c r="AP174" i="1"/>
  <c r="AQ174" i="1" s="1"/>
  <c r="AN147" i="1"/>
  <c r="AO147" i="1" s="1"/>
  <c r="AN175" i="1"/>
  <c r="AO175" i="1" s="1"/>
  <c r="AR171" i="1"/>
  <c r="AS171" i="1" s="1"/>
  <c r="AN151" i="1"/>
  <c r="AT152" i="1"/>
  <c r="AT93" i="1"/>
  <c r="AN93" i="1"/>
  <c r="AN145" i="1"/>
  <c r="AO145" i="1" s="1"/>
  <c r="AO94" i="1"/>
  <c r="AV167" i="1"/>
  <c r="AW167" i="1" s="1"/>
  <c r="BH181" i="1"/>
  <c r="BI162" i="1"/>
  <c r="BH168" i="1"/>
  <c r="BH202" i="1" s="1"/>
  <c r="BI169" i="1"/>
  <c r="BH176" i="1"/>
  <c r="BH205" i="1" s="1"/>
  <c r="BI144" i="1"/>
  <c r="BI148" i="1" s="1"/>
  <c r="BH148" i="1"/>
  <c r="AV157" i="1"/>
  <c r="AW157" i="1" s="1"/>
  <c r="AV163" i="1"/>
  <c r="AZ30" i="1"/>
  <c r="AP157" i="1"/>
  <c r="AQ157" i="1" s="1"/>
  <c r="BF157" i="1"/>
  <c r="BG157" i="1" s="1"/>
  <c r="AT157" i="1"/>
  <c r="AU157" i="1" s="1"/>
  <c r="BP157" i="1"/>
  <c r="BQ157" i="1" s="1"/>
  <c r="BD157" i="1"/>
  <c r="BE157" i="1" s="1"/>
  <c r="BN157" i="1"/>
  <c r="BO157" i="1" s="1"/>
  <c r="BR157" i="1"/>
  <c r="BS157" i="1" s="1"/>
  <c r="BT157" i="1"/>
  <c r="BU157" i="1" s="1"/>
  <c r="BB157" i="1"/>
  <c r="BC157" i="1" s="1"/>
  <c r="BT163" i="1"/>
  <c r="BB163" i="1"/>
  <c r="BF163" i="1"/>
  <c r="AX163" i="1"/>
  <c r="BD163" i="1"/>
  <c r="AZ163" i="1"/>
  <c r="BR163" i="1"/>
  <c r="BN163" i="1"/>
  <c r="AN272" i="1"/>
  <c r="AI57" i="1"/>
  <c r="B127" i="1"/>
  <c r="B128" i="1"/>
  <c r="BV181" i="1"/>
  <c r="BW229" i="1" s="1"/>
  <c r="AP272" i="1"/>
  <c r="BK272" i="1"/>
  <c r="BO46" i="1"/>
  <c r="AU118" i="1"/>
  <c r="AU119" i="1" s="1"/>
  <c r="BH272" i="1"/>
  <c r="BI272" i="1"/>
  <c r="BU46" i="1"/>
  <c r="BD46" i="1"/>
  <c r="BK30" i="1"/>
  <c r="BK11" i="1" s="1"/>
  <c r="AT251" i="1"/>
  <c r="AP214" i="1"/>
  <c r="AP273" i="1"/>
  <c r="AY30" i="1"/>
  <c r="AY11" i="1" s="1"/>
  <c r="AM68" i="1"/>
  <c r="BO272" i="1"/>
  <c r="BR46" i="1"/>
  <c r="BW46" i="1"/>
  <c r="BF272" i="1"/>
  <c r="AX46" i="1"/>
  <c r="BI137" i="1"/>
  <c r="BH140" i="1"/>
  <c r="BH112" i="1" s="1"/>
  <c r="BH116" i="1" s="1"/>
  <c r="AZ251" i="1"/>
  <c r="BC118" i="1"/>
  <c r="BC119" i="1" s="1"/>
  <c r="AY272" i="1"/>
  <c r="AW30" i="1"/>
  <c r="AW36" i="1" s="1"/>
  <c r="BN273" i="1"/>
  <c r="AP30" i="1"/>
  <c r="BJ118" i="1"/>
  <c r="BJ119" i="1" s="1"/>
  <c r="BJ122" i="1" s="1"/>
  <c r="AI203" i="1"/>
  <c r="AI205" i="1"/>
  <c r="AI202" i="1"/>
  <c r="AN214" i="1"/>
  <c r="AN53" i="1"/>
  <c r="C195" i="1"/>
  <c r="C74" i="1"/>
  <c r="AW46" i="1"/>
  <c r="AU46" i="1"/>
  <c r="BQ272" i="1"/>
  <c r="BN118" i="1"/>
  <c r="BN119" i="1" s="1"/>
  <c r="BM30" i="1"/>
  <c r="BM11" i="1" s="1"/>
  <c r="AO273" i="1"/>
  <c r="BA30" i="1"/>
  <c r="BW273" i="1"/>
  <c r="BR118" i="1"/>
  <c r="BR119" i="1" s="1"/>
  <c r="BP272" i="1"/>
  <c r="BQ30" i="1"/>
  <c r="BQ11" i="1" s="1"/>
  <c r="BQ251" i="1"/>
  <c r="BS118" i="1"/>
  <c r="BS119" i="1" s="1"/>
  <c r="BB214" i="1"/>
  <c r="BB273" i="1"/>
  <c r="BN272" i="1"/>
  <c r="BO118" i="1"/>
  <c r="BO119" i="1" s="1"/>
  <c r="BO122" i="1" s="1"/>
  <c r="BN251" i="1"/>
  <c r="BM251" i="1"/>
  <c r="BP118" i="1"/>
  <c r="BP119" i="1" s="1"/>
  <c r="BK46" i="1"/>
  <c r="BU272" i="1"/>
  <c r="BU30" i="1"/>
  <c r="BU11" i="1" s="1"/>
  <c r="E195" i="1"/>
  <c r="R158" i="1"/>
  <c r="R53" i="1"/>
  <c r="BD30" i="1"/>
  <c r="BD11" i="1" s="1"/>
  <c r="BD273" i="1"/>
  <c r="BD251" i="1"/>
  <c r="BG118" i="1"/>
  <c r="BG119" i="1" s="1"/>
  <c r="AI223" i="1"/>
  <c r="AI221" i="1" s="1"/>
  <c r="AI46" i="1"/>
  <c r="E74" i="1"/>
  <c r="BV273" i="1"/>
  <c r="H74" i="1"/>
  <c r="BJ47" i="1"/>
  <c r="BV30" i="1"/>
  <c r="BO30" i="1"/>
  <c r="BO11" i="1" s="1"/>
  <c r="BK57" i="1"/>
  <c r="AR273" i="1"/>
  <c r="BU118" i="1"/>
  <c r="BU119" i="1" s="1"/>
  <c r="BW148" i="1"/>
  <c r="BW118" i="1"/>
  <c r="BW119" i="1" s="1"/>
  <c r="AZ118" i="1"/>
  <c r="AZ119" i="1" s="1"/>
  <c r="AZ122" i="1" s="1"/>
  <c r="BG46" i="1"/>
  <c r="BA272" i="1"/>
  <c r="AY273" i="1"/>
  <c r="AT30" i="1"/>
  <c r="AT36" i="1" s="1"/>
  <c r="AZ46" i="1"/>
  <c r="AS46" i="1"/>
  <c r="BO251" i="1"/>
  <c r="AS272" i="1"/>
  <c r="BA46" i="1"/>
  <c r="AZ272" i="1"/>
  <c r="BE46" i="1"/>
  <c r="BV168" i="1"/>
  <c r="BV202" i="1" s="1"/>
  <c r="BR30" i="1"/>
  <c r="BR11" i="1" s="1"/>
  <c r="AR46" i="1"/>
  <c r="BD272" i="1"/>
  <c r="BI46" i="1"/>
  <c r="BM57" i="1"/>
  <c r="BQ46" i="1"/>
  <c r="AR30" i="1"/>
  <c r="AS30" i="1"/>
  <c r="AT46" i="1"/>
  <c r="BP46" i="1"/>
  <c r="BT273" i="1"/>
  <c r="AP46" i="1"/>
  <c r="AI30" i="1"/>
  <c r="BV199" i="1"/>
  <c r="BW199" i="1" s="1"/>
  <c r="BX118" i="1"/>
  <c r="BX119" i="1" s="1"/>
  <c r="BG273" i="1"/>
  <c r="BV118" i="1"/>
  <c r="BV119" i="1" s="1"/>
  <c r="AL118" i="1"/>
  <c r="AL119" i="1" s="1"/>
  <c r="AL124" i="1" s="1"/>
  <c r="AT272" i="1"/>
  <c r="AT118" i="1"/>
  <c r="AT119" i="1" s="1"/>
  <c r="BT118" i="1"/>
  <c r="BT119" i="1" s="1"/>
  <c r="AW273" i="1"/>
  <c r="BS272" i="1"/>
  <c r="AX272" i="1"/>
  <c r="AO272" i="1"/>
  <c r="AN46" i="1"/>
  <c r="BT46" i="1"/>
  <c r="AQ46" i="1"/>
  <c r="AV46" i="1"/>
  <c r="BH46" i="1"/>
  <c r="BI30" i="1"/>
  <c r="BI11" i="1" s="1"/>
  <c r="BP30" i="1"/>
  <c r="BP11" i="1" s="1"/>
  <c r="AY46" i="1"/>
  <c r="BF46" i="1"/>
  <c r="BN46" i="1"/>
  <c r="AU30" i="1"/>
  <c r="AY251" i="1"/>
  <c r="BV272" i="1"/>
  <c r="AI200" i="1"/>
  <c r="BV148" i="1"/>
  <c r="BS30" i="1"/>
  <c r="BS11" i="1" s="1"/>
  <c r="BQ118" i="1"/>
  <c r="BQ119" i="1" s="1"/>
  <c r="BQ122" i="1" s="1"/>
  <c r="BV203" i="1"/>
  <c r="BE30" i="1"/>
  <c r="BE11" i="1" s="1"/>
  <c r="BY118" i="1"/>
  <c r="BY119" i="1" s="1"/>
  <c r="BE272" i="1"/>
  <c r="BL118" i="1"/>
  <c r="BL119" i="1" s="1"/>
  <c r="AT273" i="1"/>
  <c r="BT272" i="1"/>
  <c r="BM273" i="1"/>
  <c r="BM223" i="1"/>
  <c r="BM221" i="1" s="1"/>
  <c r="BM53" i="1"/>
  <c r="BM214" i="1"/>
  <c r="BP273" i="1"/>
  <c r="BP214" i="1"/>
  <c r="BR273" i="1"/>
  <c r="BR214" i="1"/>
  <c r="BC30" i="1"/>
  <c r="BC11" i="1" s="1"/>
  <c r="AU273" i="1"/>
  <c r="BV200" i="1"/>
  <c r="BW200" i="1" s="1"/>
  <c r="BH118" i="1"/>
  <c r="BH119" i="1" s="1"/>
  <c r="BH123" i="1" s="1"/>
  <c r="BF273" i="1"/>
  <c r="BD118" i="1"/>
  <c r="BD119" i="1" s="1"/>
  <c r="AI53" i="1"/>
  <c r="BH30" i="1"/>
  <c r="BH11" i="1" s="1"/>
  <c r="BH200" i="1"/>
  <c r="BI200" i="1" s="1"/>
  <c r="AX118" i="1"/>
  <c r="AX119" i="1" s="1"/>
  <c r="BQ273" i="1"/>
  <c r="BK118" i="1"/>
  <c r="BK119" i="1" s="1"/>
  <c r="BK124" i="1" s="1"/>
  <c r="AX273" i="1"/>
  <c r="AR118" i="1"/>
  <c r="AR119" i="1" s="1"/>
  <c r="AQ272" i="1"/>
  <c r="AS118" i="1"/>
  <c r="AS119" i="1" s="1"/>
  <c r="AQ30" i="1"/>
  <c r="BT214" i="1"/>
  <c r="BH199" i="1"/>
  <c r="BI199" i="1" s="1"/>
  <c r="AR272" i="1"/>
  <c r="BU214" i="1"/>
  <c r="BU273" i="1"/>
  <c r="BW137" i="1"/>
  <c r="BV140" i="1"/>
  <c r="BK273" i="1"/>
  <c r="BK214" i="1"/>
  <c r="BK53" i="1"/>
  <c r="BK223" i="1"/>
  <c r="BK221" i="1" s="1"/>
  <c r="BK251" i="1"/>
  <c r="BM118" i="1"/>
  <c r="BM119" i="1" s="1"/>
  <c r="BM272" i="1"/>
  <c r="BS46" i="1"/>
  <c r="AN30" i="1"/>
  <c r="AN251" i="1"/>
  <c r="AN118" i="1"/>
  <c r="AN119" i="1" s="1"/>
  <c r="AO118" i="1"/>
  <c r="AO119" i="1" s="1"/>
  <c r="AU251" i="1"/>
  <c r="BO273" i="1"/>
  <c r="BF118" i="1"/>
  <c r="BF119" i="1" s="1"/>
  <c r="BF30" i="1"/>
  <c r="BF11" i="1" s="1"/>
  <c r="AV30" i="1"/>
  <c r="AY118" i="1"/>
  <c r="AY119" i="1" s="1"/>
  <c r="AW118" i="1"/>
  <c r="AW119" i="1" s="1"/>
  <c r="AV272" i="1"/>
  <c r="AP118" i="1"/>
  <c r="AP119" i="1" s="1"/>
  <c r="AV118" i="1"/>
  <c r="AV119" i="1" s="1"/>
  <c r="BW30" i="1"/>
  <c r="BW11" i="1" s="1"/>
  <c r="BW251" i="1"/>
  <c r="BZ118" i="1"/>
  <c r="BZ119" i="1" s="1"/>
  <c r="BV154" i="1"/>
  <c r="AO46" i="1"/>
  <c r="BR272" i="1"/>
  <c r="BN53" i="1"/>
  <c r="BN214" i="1"/>
  <c r="AQ273" i="1"/>
  <c r="AQ214" i="1"/>
  <c r="BN30" i="1"/>
  <c r="BN11" i="1" s="1"/>
  <c r="BW272" i="1"/>
  <c r="BI273" i="1"/>
  <c r="BI214" i="1"/>
  <c r="BB251" i="1"/>
  <c r="BB30" i="1"/>
  <c r="BB11" i="1" s="1"/>
  <c r="BM46" i="1"/>
  <c r="BI118" i="1"/>
  <c r="BI119" i="1" s="1"/>
  <c r="BI123" i="1" s="1"/>
  <c r="BF251" i="1"/>
  <c r="BE118" i="1"/>
  <c r="BE119" i="1" s="1"/>
  <c r="BE124" i="1" s="1"/>
  <c r="AN273" i="1"/>
  <c r="BC272" i="1"/>
  <c r="AV273" i="1"/>
  <c r="BC273" i="1"/>
  <c r="BE273" i="1"/>
  <c r="AQ118" i="1"/>
  <c r="AQ119" i="1" s="1"/>
  <c r="AQ124" i="1" s="1"/>
  <c r="BH273" i="1"/>
  <c r="BV176" i="1"/>
  <c r="BV205" i="1" s="1"/>
  <c r="BB272" i="1"/>
  <c r="BV46" i="1"/>
  <c r="BJ273" i="1"/>
  <c r="BJ214" i="1"/>
  <c r="BG272" i="1"/>
  <c r="BG251" i="1"/>
  <c r="BC46" i="1"/>
  <c r="AX251" i="1"/>
  <c r="AX30" i="1"/>
  <c r="AZ273" i="1"/>
  <c r="AZ214" i="1"/>
  <c r="BT251" i="1"/>
  <c r="BT30" i="1"/>
  <c r="BT11" i="1" s="1"/>
  <c r="BH203" i="1"/>
  <c r="BI203" i="1" s="1"/>
  <c r="BG30" i="1"/>
  <c r="BG11" i="1" s="1"/>
  <c r="AU272" i="1"/>
  <c r="BA273" i="1"/>
  <c r="BA214" i="1"/>
  <c r="AO251" i="1"/>
  <c r="AO30" i="1"/>
  <c r="AW272" i="1"/>
  <c r="AW251" i="1"/>
  <c r="AI199" i="1"/>
  <c r="AI251" i="1"/>
  <c r="BB46" i="1"/>
  <c r="BA118" i="1"/>
  <c r="BA119" i="1" s="1"/>
  <c r="BB118" i="1"/>
  <c r="BB119" i="1" s="1"/>
  <c r="AS273" i="1"/>
  <c r="AS214" i="1"/>
  <c r="BS273" i="1"/>
  <c r="BI222" i="1"/>
  <c r="BW222" i="1"/>
  <c r="BJ48" i="1"/>
  <c r="BJ37" i="1"/>
  <c r="CQ154" i="1"/>
  <c r="DB97" i="1"/>
  <c r="CY85" i="1"/>
  <c r="CZ83" i="1"/>
  <c r="H195" i="1" l="1"/>
  <c r="BV36" i="1"/>
  <c r="BV11" i="1"/>
  <c r="BA36" i="1"/>
  <c r="BA11" i="1"/>
  <c r="AZ36" i="1"/>
  <c r="AZ11" i="1"/>
  <c r="M227" i="1"/>
  <c r="C227" i="1"/>
  <c r="N195" i="1"/>
  <c r="M74" i="1"/>
  <c r="N227" i="1"/>
  <c r="N268" i="1"/>
  <c r="H53" i="1"/>
  <c r="R195" i="1"/>
  <c r="U201" i="1"/>
  <c r="D226" i="1"/>
  <c r="C53" i="1"/>
  <c r="O268" i="1"/>
  <c r="U217" i="1"/>
  <c r="E226" i="1"/>
  <c r="F53" i="1"/>
  <c r="D269" i="1"/>
  <c r="D271" i="1" s="1"/>
  <c r="D149" i="1"/>
  <c r="D75" i="1" s="1"/>
  <c r="O227" i="1"/>
  <c r="C149" i="1"/>
  <c r="C75" i="1" s="1"/>
  <c r="O74" i="1"/>
  <c r="C57" i="1"/>
  <c r="D227" i="1"/>
  <c r="D195" i="1"/>
  <c r="AR154" i="1"/>
  <c r="AS154" i="1" s="1"/>
  <c r="T158" i="1"/>
  <c r="D74" i="1"/>
  <c r="E227" i="1"/>
  <c r="P216" i="1"/>
  <c r="P218" i="1" s="1"/>
  <c r="P219" i="1" s="1"/>
  <c r="U216" i="1"/>
  <c r="E216" i="1"/>
  <c r="P158" i="1"/>
  <c r="P264" i="1" s="1"/>
  <c r="P53" i="1"/>
  <c r="D217" i="1"/>
  <c r="R227" i="1"/>
  <c r="C177" i="1"/>
  <c r="C185" i="1" s="1"/>
  <c r="V269" i="1"/>
  <c r="V271" i="1" s="1"/>
  <c r="R188" i="1"/>
  <c r="R129" i="1" s="1"/>
  <c r="R149" i="1"/>
  <c r="R75" i="1" s="1"/>
  <c r="S217" i="1"/>
  <c r="N158" i="1"/>
  <c r="N53" i="1"/>
  <c r="L53" i="1"/>
  <c r="L158" i="1"/>
  <c r="N229" i="1"/>
  <c r="M268" i="1"/>
  <c r="U229" i="1"/>
  <c r="T268" i="1"/>
  <c r="V188" i="1"/>
  <c r="V129" i="1" s="1"/>
  <c r="V57" i="1"/>
  <c r="S202" i="1"/>
  <c r="S177" i="1"/>
  <c r="T74" i="1"/>
  <c r="T227" i="1"/>
  <c r="T195" i="1"/>
  <c r="I268" i="1"/>
  <c r="I74" i="1"/>
  <c r="I195" i="1"/>
  <c r="I227" i="1"/>
  <c r="J53" i="1"/>
  <c r="J158" i="1"/>
  <c r="U158" i="1"/>
  <c r="U53" i="1"/>
  <c r="S53" i="1"/>
  <c r="S158" i="1"/>
  <c r="B158" i="1"/>
  <c r="C223" i="1" s="1"/>
  <c r="C221" i="1" s="1"/>
  <c r="B53" i="1"/>
  <c r="I229" i="1"/>
  <c r="H268" i="1"/>
  <c r="C128" i="1"/>
  <c r="C86" i="1"/>
  <c r="C127" i="1"/>
  <c r="S226" i="1"/>
  <c r="S269" i="1"/>
  <c r="S271" i="1" s="1"/>
  <c r="S188" i="1"/>
  <c r="S129" i="1" s="1"/>
  <c r="S57" i="1"/>
  <c r="S205" i="1"/>
  <c r="S204" i="1" s="1"/>
  <c r="T217" i="1"/>
  <c r="E229" i="1"/>
  <c r="D268" i="1"/>
  <c r="D188" i="1"/>
  <c r="D129" i="1" s="1"/>
  <c r="D130" i="1" s="1"/>
  <c r="D133" i="1" s="1"/>
  <c r="G229" i="1"/>
  <c r="F188" i="1"/>
  <c r="F129" i="1" s="1"/>
  <c r="F268" i="1"/>
  <c r="F195" i="1"/>
  <c r="F74" i="1"/>
  <c r="F227" i="1"/>
  <c r="F149" i="1"/>
  <c r="F75" i="1" s="1"/>
  <c r="U269" i="1"/>
  <c r="U271" i="1" s="1"/>
  <c r="T226" i="1"/>
  <c r="T188" i="1"/>
  <c r="T129" i="1" s="1"/>
  <c r="O149" i="1"/>
  <c r="O75" i="1" s="1"/>
  <c r="O226" i="1"/>
  <c r="F202" i="1"/>
  <c r="G216" i="1"/>
  <c r="F177" i="1"/>
  <c r="F185" i="1" s="1"/>
  <c r="F186" i="1" s="1"/>
  <c r="J268" i="1"/>
  <c r="K229" i="1"/>
  <c r="H227" i="1"/>
  <c r="G227" i="1"/>
  <c r="G195" i="1"/>
  <c r="G74" i="1"/>
  <c r="J57" i="1"/>
  <c r="J149" i="1"/>
  <c r="J75" i="1" s="1"/>
  <c r="J269" i="1"/>
  <c r="J271" i="1" s="1"/>
  <c r="J188" i="1"/>
  <c r="J129" i="1" s="1"/>
  <c r="U227" i="1"/>
  <c r="U74" i="1"/>
  <c r="J216" i="1"/>
  <c r="K216" i="1"/>
  <c r="J202" i="1"/>
  <c r="J201" i="1" s="1"/>
  <c r="H188" i="1"/>
  <c r="H129" i="1" s="1"/>
  <c r="H57" i="1"/>
  <c r="H226" i="1"/>
  <c r="H149" i="1"/>
  <c r="H75" i="1" s="1"/>
  <c r="R229" i="1"/>
  <c r="Q268" i="1"/>
  <c r="E202" i="1"/>
  <c r="E201" i="1" s="1"/>
  <c r="F216" i="1"/>
  <c r="Q188" i="1"/>
  <c r="Q129" i="1" s="1"/>
  <c r="H217" i="1"/>
  <c r="K227" i="1"/>
  <c r="G158" i="1"/>
  <c r="G53" i="1"/>
  <c r="I53" i="1"/>
  <c r="I158" i="1"/>
  <c r="V216" i="1"/>
  <c r="V202" i="1"/>
  <c r="V201" i="1" s="1"/>
  <c r="T216" i="1"/>
  <c r="E149" i="1"/>
  <c r="E75" i="1" s="1"/>
  <c r="F269" i="1"/>
  <c r="F271" i="1" s="1"/>
  <c r="H269" i="1"/>
  <c r="H271" i="1" s="1"/>
  <c r="G226" i="1"/>
  <c r="G269" i="1"/>
  <c r="G271" i="1" s="1"/>
  <c r="BD181" i="1"/>
  <c r="BE229" i="1" s="1"/>
  <c r="Q216" i="1"/>
  <c r="E53" i="1"/>
  <c r="E158" i="1"/>
  <c r="J195" i="1"/>
  <c r="J74" i="1"/>
  <c r="J227" i="1"/>
  <c r="D53" i="1"/>
  <c r="D158" i="1"/>
  <c r="D223" i="1" s="1"/>
  <c r="D221" i="1" s="1"/>
  <c r="L205" i="1"/>
  <c r="L204" i="1" s="1"/>
  <c r="L177" i="1"/>
  <c r="C202" i="1"/>
  <c r="C201" i="1" s="1"/>
  <c r="D216" i="1"/>
  <c r="L229" i="1"/>
  <c r="K268" i="1"/>
  <c r="B195" i="1"/>
  <c r="B74" i="1"/>
  <c r="B268" i="1"/>
  <c r="T57" i="1"/>
  <c r="T149" i="1"/>
  <c r="T75" i="1" s="1"/>
  <c r="T269" i="1"/>
  <c r="T271" i="1" s="1"/>
  <c r="O57" i="1"/>
  <c r="O188" i="1"/>
  <c r="O129" i="1" s="1"/>
  <c r="B57" i="1"/>
  <c r="C226" i="1"/>
  <c r="B188" i="1"/>
  <c r="B129" i="1" s="1"/>
  <c r="B149" i="1"/>
  <c r="B75" i="1" s="1"/>
  <c r="K269" i="1"/>
  <c r="K271" i="1" s="1"/>
  <c r="K226" i="1"/>
  <c r="K149" i="1"/>
  <c r="K75" i="1" s="1"/>
  <c r="K57" i="1"/>
  <c r="K188" i="1"/>
  <c r="K129" i="1" s="1"/>
  <c r="K74" i="1"/>
  <c r="L227" i="1"/>
  <c r="K195" i="1"/>
  <c r="C188" i="1"/>
  <c r="C129" i="1" s="1"/>
  <c r="D229" i="1"/>
  <c r="C268" i="1"/>
  <c r="W269" i="1"/>
  <c r="W271" i="1" s="1"/>
  <c r="W226" i="1"/>
  <c r="W57" i="1"/>
  <c r="X269" i="1"/>
  <c r="X271" i="1" s="1"/>
  <c r="X226" i="1"/>
  <c r="U268" i="1"/>
  <c r="U195" i="1"/>
  <c r="M158" i="1"/>
  <c r="M53" i="1"/>
  <c r="S149" i="1"/>
  <c r="S75" i="1" s="1"/>
  <c r="S227" i="1"/>
  <c r="S74" i="1"/>
  <c r="Q202" i="1"/>
  <c r="Q201" i="1" s="1"/>
  <c r="R216" i="1"/>
  <c r="H202" i="1"/>
  <c r="I216" i="1"/>
  <c r="J177" i="1"/>
  <c r="D86" i="1"/>
  <c r="D128" i="1"/>
  <c r="K202" i="1"/>
  <c r="K201" i="1" s="1"/>
  <c r="K177" i="1"/>
  <c r="D202" i="1"/>
  <c r="D201" i="1" s="1"/>
  <c r="D177" i="1"/>
  <c r="I57" i="1"/>
  <c r="I226" i="1"/>
  <c r="J226" i="1"/>
  <c r="Q74" i="1"/>
  <c r="Q195" i="1"/>
  <c r="K53" i="1"/>
  <c r="K158" i="1"/>
  <c r="M226" i="1"/>
  <c r="L149" i="1"/>
  <c r="L75" i="1" s="1"/>
  <c r="D205" i="1"/>
  <c r="E217" i="1"/>
  <c r="W158" i="1"/>
  <c r="X223" i="1" s="1"/>
  <c r="X221" i="1" s="1"/>
  <c r="W53" i="1"/>
  <c r="S229" i="1"/>
  <c r="R268" i="1"/>
  <c r="V227" i="1"/>
  <c r="V268" i="1"/>
  <c r="N216" i="1"/>
  <c r="O216" i="1"/>
  <c r="K217" i="1"/>
  <c r="J205" i="1"/>
  <c r="AN181" i="1"/>
  <c r="AO229" i="1" s="1"/>
  <c r="Q227" i="1"/>
  <c r="L202" i="1"/>
  <c r="L216" i="1"/>
  <c r="M216" i="1"/>
  <c r="P202" i="1"/>
  <c r="P177" i="1"/>
  <c r="R202" i="1"/>
  <c r="R201" i="1" s="1"/>
  <c r="S216" i="1"/>
  <c r="C205" i="1"/>
  <c r="C217" i="1"/>
  <c r="O202" i="1"/>
  <c r="O201" i="1" s="1"/>
  <c r="O177" i="1"/>
  <c r="I269" i="1"/>
  <c r="I271" i="1" s="1"/>
  <c r="I149" i="1"/>
  <c r="I75" i="1" s="1"/>
  <c r="Q53" i="1"/>
  <c r="Q158" i="1"/>
  <c r="R223" i="1" s="1"/>
  <c r="R221" i="1" s="1"/>
  <c r="P195" i="1"/>
  <c r="G149" i="1"/>
  <c r="G75" i="1" s="1"/>
  <c r="G57" i="1"/>
  <c r="G188" i="1"/>
  <c r="G129" i="1" s="1"/>
  <c r="U226" i="1"/>
  <c r="U188" i="1"/>
  <c r="U129" i="1" s="1"/>
  <c r="U57" i="1"/>
  <c r="U149" i="1"/>
  <c r="U75" i="1" s="1"/>
  <c r="V226" i="1"/>
  <c r="S268" i="1"/>
  <c r="S195" i="1"/>
  <c r="Q269" i="1"/>
  <c r="Q271" i="1" s="1"/>
  <c r="R269" i="1"/>
  <c r="R271" i="1" s="1"/>
  <c r="Q226" i="1"/>
  <c r="H216" i="1"/>
  <c r="H177" i="1"/>
  <c r="H185" i="1" s="1"/>
  <c r="AV181" i="1"/>
  <c r="AW229" i="1" s="1"/>
  <c r="BN181" i="1"/>
  <c r="BO229" i="1" s="1"/>
  <c r="I177" i="1"/>
  <c r="I217" i="1"/>
  <c r="I205" i="1"/>
  <c r="J217" i="1"/>
  <c r="Q205" i="1"/>
  <c r="Q177" i="1"/>
  <c r="Q217" i="1"/>
  <c r="R217" i="1"/>
  <c r="BR154" i="1"/>
  <c r="AX181" i="1"/>
  <c r="AY229" i="1" s="1"/>
  <c r="BS148" i="1"/>
  <c r="P149" i="1"/>
  <c r="P75" i="1" s="1"/>
  <c r="P226" i="1"/>
  <c r="P188" i="1"/>
  <c r="P129" i="1" s="1"/>
  <c r="P269" i="1"/>
  <c r="P271" i="1" s="1"/>
  <c r="P57" i="1"/>
  <c r="H229" i="1"/>
  <c r="G268" i="1"/>
  <c r="T202" i="1"/>
  <c r="T177" i="1"/>
  <c r="F226" i="1"/>
  <c r="E188" i="1"/>
  <c r="E129" i="1" s="1"/>
  <c r="E57" i="1"/>
  <c r="O269" i="1"/>
  <c r="O271" i="1" s="1"/>
  <c r="N149" i="1"/>
  <c r="N75" i="1" s="1"/>
  <c r="N269" i="1"/>
  <c r="N271" i="1" s="1"/>
  <c r="N57" i="1"/>
  <c r="N226" i="1"/>
  <c r="N188" i="1"/>
  <c r="N129" i="1" s="1"/>
  <c r="L188" i="1"/>
  <c r="L129" i="1" s="1"/>
  <c r="L57" i="1"/>
  <c r="L269" i="1"/>
  <c r="L271" i="1" s="1"/>
  <c r="L226" i="1"/>
  <c r="P227" i="1"/>
  <c r="P74" i="1"/>
  <c r="P268" i="1"/>
  <c r="B177" i="1"/>
  <c r="B202" i="1"/>
  <c r="C216" i="1"/>
  <c r="O158" i="1"/>
  <c r="O53" i="1"/>
  <c r="M229" i="1"/>
  <c r="L268" i="1"/>
  <c r="V74" i="1"/>
  <c r="V149" i="1"/>
  <c r="V75" i="1" s="1"/>
  <c r="V195" i="1"/>
  <c r="Q149" i="1"/>
  <c r="Q75" i="1" s="1"/>
  <c r="R226" i="1"/>
  <c r="Q57" i="1"/>
  <c r="K205" i="1"/>
  <c r="L217" i="1"/>
  <c r="N202" i="1"/>
  <c r="N177" i="1"/>
  <c r="E205" i="1"/>
  <c r="F217" i="1"/>
  <c r="E177" i="1"/>
  <c r="G205" i="1"/>
  <c r="G177" i="1"/>
  <c r="G217" i="1"/>
  <c r="O205" i="1"/>
  <c r="O217" i="1"/>
  <c r="U205" i="1"/>
  <c r="U177" i="1"/>
  <c r="M269" i="1"/>
  <c r="M271" i="1" s="1"/>
  <c r="M57" i="1"/>
  <c r="M149" i="1"/>
  <c r="M75" i="1" s="1"/>
  <c r="M188" i="1"/>
  <c r="M129" i="1" s="1"/>
  <c r="V158" i="1"/>
  <c r="V53" i="1"/>
  <c r="V205" i="1"/>
  <c r="V177" i="1"/>
  <c r="V217" i="1"/>
  <c r="AZ154" i="1"/>
  <c r="BP154" i="1"/>
  <c r="BT181" i="1"/>
  <c r="BU229" i="1" s="1"/>
  <c r="BP181" i="1"/>
  <c r="BQ229" i="1" s="1"/>
  <c r="BB181" i="1"/>
  <c r="AZ181" i="1"/>
  <c r="BA229" i="1" s="1"/>
  <c r="BE148" i="1"/>
  <c r="AR181" i="1"/>
  <c r="AS229" i="1" s="1"/>
  <c r="AQ160" i="1"/>
  <c r="AW160" i="1"/>
  <c r="AX222" i="1" s="1"/>
  <c r="AQ162" i="1"/>
  <c r="AP168" i="1"/>
  <c r="AP202" i="1" s="1"/>
  <c r="AP201" i="1" s="1"/>
  <c r="AS144" i="1"/>
  <c r="AS148" i="1" s="1"/>
  <c r="AR148" i="1"/>
  <c r="AU137" i="1"/>
  <c r="AT140" i="1"/>
  <c r="AT112" i="1" s="1"/>
  <c r="AS137" i="1"/>
  <c r="AR140" i="1"/>
  <c r="AX140" i="1"/>
  <c r="AY137" i="1"/>
  <c r="AY144" i="1"/>
  <c r="AY148" i="1" s="1"/>
  <c r="AX148" i="1"/>
  <c r="BO160" i="1"/>
  <c r="BN222" i="1"/>
  <c r="BT154" i="1"/>
  <c r="AT154" i="1"/>
  <c r="BF181" i="1"/>
  <c r="BG229" i="1" s="1"/>
  <c r="BF154" i="1"/>
  <c r="AV154" i="1"/>
  <c r="BD154" i="1"/>
  <c r="AP154" i="1"/>
  <c r="M217" i="1"/>
  <c r="N217" i="1"/>
  <c r="M177" i="1"/>
  <c r="M205" i="1"/>
  <c r="R205" i="1"/>
  <c r="R177" i="1"/>
  <c r="R185" i="1" s="1"/>
  <c r="AU162" i="1"/>
  <c r="AT168" i="1"/>
  <c r="BC137" i="1"/>
  <c r="BB140" i="1"/>
  <c r="BB112" i="1" s="1"/>
  <c r="AO144" i="1"/>
  <c r="AO148" i="1" s="1"/>
  <c r="AN148" i="1"/>
  <c r="AR200" i="1"/>
  <c r="AS200" i="1" s="1"/>
  <c r="AR168" i="1"/>
  <c r="AR202" i="1" s="1"/>
  <c r="AO137" i="1"/>
  <c r="AN140" i="1"/>
  <c r="BC144" i="1"/>
  <c r="BC148" i="1" s="1"/>
  <c r="BB148" i="1"/>
  <c r="BU160" i="1"/>
  <c r="BV222" i="1" s="1"/>
  <c r="BE137" i="1"/>
  <c r="BD140" i="1"/>
  <c r="AU170" i="1"/>
  <c r="AT176" i="1"/>
  <c r="AT205" i="1" s="1"/>
  <c r="AT204" i="1" s="1"/>
  <c r="AY169" i="1"/>
  <c r="AX176" i="1"/>
  <c r="AX205" i="1" s="1"/>
  <c r="AX204" i="1" s="1"/>
  <c r="BO144" i="1"/>
  <c r="BO148" i="1" s="1"/>
  <c r="BN148" i="1"/>
  <c r="AW144" i="1"/>
  <c r="AW148" i="1" s="1"/>
  <c r="AV148" i="1"/>
  <c r="AO162" i="1"/>
  <c r="AN168" i="1"/>
  <c r="BS160" i="1"/>
  <c r="BR222" i="1"/>
  <c r="BU144" i="1"/>
  <c r="BU148" i="1" s="1"/>
  <c r="BT148" i="1"/>
  <c r="AO160" i="1"/>
  <c r="AN222" i="1"/>
  <c r="BS137" i="1"/>
  <c r="BR140" i="1"/>
  <c r="BR112" i="1" s="1"/>
  <c r="BF222" i="1"/>
  <c r="AQ148" i="1"/>
  <c r="AT222" i="1"/>
  <c r="AI206" i="1"/>
  <c r="AN154" i="1"/>
  <c r="AP181" i="1"/>
  <c r="BT176" i="1"/>
  <c r="BT205" i="1" s="1"/>
  <c r="BT204" i="1" s="1"/>
  <c r="BN154" i="1"/>
  <c r="AX154" i="1"/>
  <c r="BB154" i="1"/>
  <c r="AT181" i="1"/>
  <c r="AU229" i="1" s="1"/>
  <c r="AZ140" i="1"/>
  <c r="BR181" i="1"/>
  <c r="AR176" i="1"/>
  <c r="BN140" i="1"/>
  <c r="AS222" i="1"/>
  <c r="BP176" i="1"/>
  <c r="BP205" i="1" s="1"/>
  <c r="BP204" i="1" s="1"/>
  <c r="BT140" i="1"/>
  <c r="BF148" i="1"/>
  <c r="BE222" i="1"/>
  <c r="BR176" i="1"/>
  <c r="BR205" i="1" s="1"/>
  <c r="BR204" i="1" s="1"/>
  <c r="BP168" i="1"/>
  <c r="BP202" i="1" s="1"/>
  <c r="BP201" i="1" s="1"/>
  <c r="AZ148" i="1"/>
  <c r="BQ222" i="1"/>
  <c r="BB176" i="1"/>
  <c r="BB205" i="1" s="1"/>
  <c r="BB204" i="1" s="1"/>
  <c r="AP148" i="1"/>
  <c r="AP140" i="1"/>
  <c r="AP112" i="1" s="1"/>
  <c r="BD176" i="1"/>
  <c r="BD205" i="1" s="1"/>
  <c r="BD204" i="1" s="1"/>
  <c r="BP140" i="1"/>
  <c r="BP112" i="1" s="1"/>
  <c r="BP114" i="1" s="1"/>
  <c r="BN176" i="1"/>
  <c r="BN205" i="1" s="1"/>
  <c r="AN176" i="1"/>
  <c r="AN205" i="1" s="1"/>
  <c r="BP148" i="1"/>
  <c r="BG148" i="1"/>
  <c r="BH226" i="1" s="1"/>
  <c r="BA148" i="1"/>
  <c r="AT148" i="1"/>
  <c r="AP176" i="1"/>
  <c r="BF176" i="1"/>
  <c r="BF205" i="1" s="1"/>
  <c r="BF204" i="1" s="1"/>
  <c r="AV176" i="1"/>
  <c r="AV205" i="1" s="1"/>
  <c r="AV204" i="1" s="1"/>
  <c r="BF140" i="1"/>
  <c r="BQ148" i="1"/>
  <c r="BR148" i="1"/>
  <c r="BD148" i="1"/>
  <c r="AZ176" i="1"/>
  <c r="AZ205" i="1" s="1"/>
  <c r="AZ204" i="1" s="1"/>
  <c r="AV140" i="1"/>
  <c r="AU148" i="1"/>
  <c r="AI204" i="1"/>
  <c r="AW163" i="1"/>
  <c r="AV168" i="1"/>
  <c r="BH177" i="1"/>
  <c r="BH185" i="1" s="1"/>
  <c r="BH149" i="1"/>
  <c r="AZ47" i="1"/>
  <c r="BK31" i="1"/>
  <c r="BC163" i="1"/>
  <c r="BB168" i="1"/>
  <c r="BG163" i="1"/>
  <c r="BF168" i="1"/>
  <c r="BE163" i="1"/>
  <c r="BD168" i="1"/>
  <c r="BO163" i="1"/>
  <c r="BN168" i="1"/>
  <c r="BU163" i="1"/>
  <c r="BT168" i="1"/>
  <c r="AY163" i="1"/>
  <c r="AX168" i="1"/>
  <c r="BS163" i="1"/>
  <c r="BR168" i="1"/>
  <c r="BA163" i="1"/>
  <c r="AZ168" i="1"/>
  <c r="AU222" i="1"/>
  <c r="AV222" i="1"/>
  <c r="BC122" i="1"/>
  <c r="BC124" i="1"/>
  <c r="BC123" i="1"/>
  <c r="O78" i="1"/>
  <c r="BF123" i="1"/>
  <c r="BF124" i="1"/>
  <c r="BF122" i="1"/>
  <c r="BB222" i="1"/>
  <c r="BA222" i="1"/>
  <c r="B88" i="1"/>
  <c r="B89" i="1"/>
  <c r="B107" i="1" s="1"/>
  <c r="BH114" i="1"/>
  <c r="BH115" i="1"/>
  <c r="BK47" i="1"/>
  <c r="AW47" i="1"/>
  <c r="AU123" i="1"/>
  <c r="AU124" i="1"/>
  <c r="AU122" i="1"/>
  <c r="AY222" i="1"/>
  <c r="AZ222" i="1"/>
  <c r="BE47" i="1"/>
  <c r="BK32" i="1"/>
  <c r="BL32" i="1"/>
  <c r="BK36" i="1"/>
  <c r="AM72" i="1"/>
  <c r="AM139" i="1"/>
  <c r="AM140" i="1" s="1"/>
  <c r="AM149" i="1" s="1"/>
  <c r="AM213" i="1"/>
  <c r="AM215" i="1" s="1"/>
  <c r="AM86" i="1"/>
  <c r="AM89" i="1" s="1"/>
  <c r="AS32" i="1"/>
  <c r="AT32" i="1"/>
  <c r="AT47" i="1"/>
  <c r="AY47" i="1"/>
  <c r="AP245" i="1"/>
  <c r="AQ32" i="1"/>
  <c r="AZ32" i="1"/>
  <c r="AY36" i="1"/>
  <c r="AP36" i="1"/>
  <c r="AP31" i="1"/>
  <c r="BJ123" i="1"/>
  <c r="BJ124" i="1"/>
  <c r="BA47" i="1"/>
  <c r="BQ47" i="1"/>
  <c r="AP47" i="1"/>
  <c r="AQ208" i="1"/>
  <c r="BM47" i="1"/>
  <c r="BN123" i="1"/>
  <c r="BN124" i="1"/>
  <c r="BN122" i="1"/>
  <c r="BQ31" i="1"/>
  <c r="BM245" i="1"/>
  <c r="BM31" i="1"/>
  <c r="BR122" i="1"/>
  <c r="BR124" i="1"/>
  <c r="BR123" i="1"/>
  <c r="BU31" i="1"/>
  <c r="BQ36" i="1"/>
  <c r="BQ48" i="1" s="1"/>
  <c r="BQ32" i="1"/>
  <c r="BC222" i="1"/>
  <c r="BD222" i="1"/>
  <c r="BS122" i="1"/>
  <c r="BS123" i="1"/>
  <c r="BS124" i="1"/>
  <c r="BO123" i="1"/>
  <c r="BO124" i="1"/>
  <c r="BP123" i="1"/>
  <c r="BP124" i="1"/>
  <c r="BP122" i="1"/>
  <c r="BU47" i="1"/>
  <c r="BU36" i="1"/>
  <c r="BU124" i="1"/>
  <c r="BU123" i="1"/>
  <c r="BV112" i="1"/>
  <c r="BV268" i="1"/>
  <c r="BM36" i="1"/>
  <c r="BM32" i="1"/>
  <c r="BA31" i="1"/>
  <c r="BA32" i="1"/>
  <c r="AI47" i="1"/>
  <c r="BH47" i="1"/>
  <c r="AS36" i="1"/>
  <c r="AW31" i="1"/>
  <c r="BJ31" i="1"/>
  <c r="BF36" i="1"/>
  <c r="BF48" i="1" s="1"/>
  <c r="BJ50" i="1" s="1"/>
  <c r="BV47" i="1"/>
  <c r="BC47" i="1"/>
  <c r="AY208" i="1"/>
  <c r="BT245" i="1"/>
  <c r="AY199" i="1"/>
  <c r="AS203" i="1"/>
  <c r="BY31" i="1"/>
  <c r="BU208" i="1"/>
  <c r="F266" i="1"/>
  <c r="F264" i="1"/>
  <c r="R264" i="1"/>
  <c r="R266" i="1"/>
  <c r="BD31" i="1"/>
  <c r="BE32" i="1"/>
  <c r="BG245" i="1"/>
  <c r="BH31" i="1"/>
  <c r="BD36" i="1"/>
  <c r="BD47" i="1"/>
  <c r="BD208" i="1"/>
  <c r="BG122" i="1"/>
  <c r="BG124" i="1"/>
  <c r="BG123" i="1"/>
  <c r="BV32" i="1"/>
  <c r="BV208" i="1"/>
  <c r="BJ269" i="1"/>
  <c r="BJ226" i="1"/>
  <c r="BI269" i="1"/>
  <c r="BO31" i="1"/>
  <c r="BP32" i="1"/>
  <c r="BO47" i="1"/>
  <c r="BO36" i="1"/>
  <c r="BR245" i="1"/>
  <c r="V78" i="1"/>
  <c r="BX226" i="1"/>
  <c r="BX269" i="1"/>
  <c r="BW226" i="1"/>
  <c r="BW124" i="1"/>
  <c r="BW122" i="1"/>
  <c r="AT31" i="1"/>
  <c r="AW245" i="1"/>
  <c r="AU32" i="1"/>
  <c r="AT208" i="1"/>
  <c r="BR47" i="1"/>
  <c r="BV31" i="1"/>
  <c r="BS32" i="1"/>
  <c r="BU245" i="1"/>
  <c r="AR36" i="1"/>
  <c r="AR48" i="1" s="1"/>
  <c r="AR49" i="1" s="1"/>
  <c r="AU245" i="1"/>
  <c r="AS245" i="1"/>
  <c r="AT37" i="1"/>
  <c r="AT48" i="1"/>
  <c r="N78" i="1"/>
  <c r="AL264" i="1"/>
  <c r="AJ32" i="1"/>
  <c r="AM31" i="1"/>
  <c r="AL245" i="1"/>
  <c r="AI36" i="1"/>
  <c r="BX122" i="1"/>
  <c r="BX123" i="1"/>
  <c r="BX124" i="1"/>
  <c r="BV123" i="1"/>
  <c r="BV122" i="1"/>
  <c r="BV124" i="1"/>
  <c r="AT123" i="1"/>
  <c r="AT124" i="1"/>
  <c r="AT122" i="1"/>
  <c r="BT124" i="1"/>
  <c r="BT123" i="1"/>
  <c r="BT122" i="1"/>
  <c r="BI36" i="1"/>
  <c r="BI208" i="1"/>
  <c r="BJ208" i="1"/>
  <c r="BL264" i="1"/>
  <c r="BL245" i="1"/>
  <c r="AW37" i="1"/>
  <c r="AW48" i="1"/>
  <c r="BP36" i="1"/>
  <c r="BP208" i="1"/>
  <c r="BS245" i="1"/>
  <c r="BQ208" i="1"/>
  <c r="BC203" i="1"/>
  <c r="AY31" i="1"/>
  <c r="AU36" i="1"/>
  <c r="AU47" i="1"/>
  <c r="BV188" i="1"/>
  <c r="BV149" i="1"/>
  <c r="BS47" i="1"/>
  <c r="BW31" i="1"/>
  <c r="BS36" i="1"/>
  <c r="BT32" i="1"/>
  <c r="BS208" i="1"/>
  <c r="BX208" i="1"/>
  <c r="BW203" i="1"/>
  <c r="BV204" i="1"/>
  <c r="BE36" i="1"/>
  <c r="BE208" i="1"/>
  <c r="BI31" i="1"/>
  <c r="BF32" i="1"/>
  <c r="BE31" i="1"/>
  <c r="BY124" i="1"/>
  <c r="BY122" i="1"/>
  <c r="BC36" i="1"/>
  <c r="BC31" i="1"/>
  <c r="AW203" i="1"/>
  <c r="BD122" i="1"/>
  <c r="BD123" i="1"/>
  <c r="BD124" i="1"/>
  <c r="BK245" i="1"/>
  <c r="T78" i="1"/>
  <c r="BL208" i="1"/>
  <c r="BH208" i="1"/>
  <c r="BF47" i="1"/>
  <c r="BR36" i="1"/>
  <c r="BG222" i="1"/>
  <c r="AX245" i="1"/>
  <c r="BF245" i="1"/>
  <c r="AV208" i="1"/>
  <c r="BF208" i="1"/>
  <c r="BK123" i="1"/>
  <c r="BK122" i="1"/>
  <c r="BS31" i="1"/>
  <c r="BR32" i="1"/>
  <c r="BT208" i="1"/>
  <c r="AY32" i="1"/>
  <c r="BI245" i="1"/>
  <c r="BG32" i="1"/>
  <c r="BW269" i="1"/>
  <c r="BH188" i="1"/>
  <c r="BP47" i="1"/>
  <c r="AR47" i="1"/>
  <c r="BW123" i="1"/>
  <c r="BI226" i="1"/>
  <c r="AI201" i="1"/>
  <c r="BZ31" i="1"/>
  <c r="BZ208" i="1"/>
  <c r="BY123" i="1"/>
  <c r="AZ124" i="1"/>
  <c r="BK208" i="1"/>
  <c r="BH245" i="1"/>
  <c r="AR245" i="1"/>
  <c r="S78" i="1"/>
  <c r="W78" i="1"/>
  <c r="AV245" i="1"/>
  <c r="AS47" i="1"/>
  <c r="AZ123" i="1"/>
  <c r="AS208" i="1"/>
  <c r="AN47" i="1"/>
  <c r="BU122" i="1"/>
  <c r="Q78" i="1"/>
  <c r="BE123" i="1"/>
  <c r="BV245" i="1"/>
  <c r="AP32" i="1"/>
  <c r="BV201" i="1"/>
  <c r="BA245" i="1"/>
  <c r="AZ208" i="1"/>
  <c r="AU31" i="1"/>
  <c r="AY245" i="1"/>
  <c r="AU208" i="1"/>
  <c r="BV206" i="1"/>
  <c r="BZ209" i="1" s="1"/>
  <c r="BP31" i="1"/>
  <c r="BJ32" i="1"/>
  <c r="BT47" i="1"/>
  <c r="BQ123" i="1"/>
  <c r="BQ124" i="1"/>
  <c r="BI47" i="1"/>
  <c r="AX47" i="1"/>
  <c r="AL122" i="1"/>
  <c r="AL123" i="1"/>
  <c r="BE122" i="1"/>
  <c r="AQ245" i="1"/>
  <c r="BH201" i="1"/>
  <c r="AQ123" i="1"/>
  <c r="BM208" i="1"/>
  <c r="BL124" i="1"/>
  <c r="BL122" i="1"/>
  <c r="BL123" i="1"/>
  <c r="BB32" i="1"/>
  <c r="BB208" i="1"/>
  <c r="R78" i="1"/>
  <c r="BD245" i="1"/>
  <c r="BB36" i="1"/>
  <c r="BN31" i="1"/>
  <c r="BN208" i="1"/>
  <c r="BN36" i="1"/>
  <c r="BN32" i="1"/>
  <c r="BR31" i="1"/>
  <c r="BR208" i="1"/>
  <c r="BZ123" i="1"/>
  <c r="BZ122" i="1"/>
  <c r="BZ124" i="1"/>
  <c r="AN122" i="1"/>
  <c r="AN123" i="1"/>
  <c r="AN124" i="1"/>
  <c r="BM124" i="1"/>
  <c r="BM122" i="1"/>
  <c r="BM123" i="1"/>
  <c r="AR122" i="1"/>
  <c r="AR123" i="1"/>
  <c r="AR124" i="1"/>
  <c r="U78" i="1"/>
  <c r="BE245" i="1"/>
  <c r="BQ245" i="1"/>
  <c r="BO32" i="1"/>
  <c r="AP208" i="1"/>
  <c r="AQ122" i="1"/>
  <c r="BB47" i="1"/>
  <c r="BX31" i="1"/>
  <c r="BU32" i="1"/>
  <c r="BT36" i="1"/>
  <c r="BY208" i="1"/>
  <c r="BW245" i="1"/>
  <c r="AX208" i="1"/>
  <c r="AX32" i="1"/>
  <c r="AX36" i="1"/>
  <c r="BB31" i="1"/>
  <c r="AZ245" i="1"/>
  <c r="BI154" i="1"/>
  <c r="AV122" i="1"/>
  <c r="AV124" i="1"/>
  <c r="AV123" i="1"/>
  <c r="AY122" i="1"/>
  <c r="AY123" i="1"/>
  <c r="AY124" i="1"/>
  <c r="AT245" i="1"/>
  <c r="P78" i="1"/>
  <c r="AQ36" i="1"/>
  <c r="AQ31" i="1"/>
  <c r="AR32" i="1"/>
  <c r="AX122" i="1"/>
  <c r="AX124" i="1"/>
  <c r="AX123" i="1"/>
  <c r="BH124" i="1"/>
  <c r="BH122" i="1"/>
  <c r="AX31" i="1"/>
  <c r="BV177" i="1"/>
  <c r="AR208" i="1"/>
  <c r="BC32" i="1"/>
  <c r="BP245" i="1"/>
  <c r="BC245" i="1"/>
  <c r="BO245" i="1"/>
  <c r="BB124" i="1"/>
  <c r="BB123" i="1"/>
  <c r="BB122" i="1"/>
  <c r="AO31" i="1"/>
  <c r="AS31" i="1"/>
  <c r="AO208" i="1"/>
  <c r="AO36" i="1"/>
  <c r="BH204" i="1"/>
  <c r="BI229" i="1"/>
  <c r="BH268" i="1"/>
  <c r="AO47" i="1"/>
  <c r="BX264" i="1"/>
  <c r="CA208" i="1"/>
  <c r="CB208" i="1"/>
  <c r="X78" i="1"/>
  <c r="BW36" i="1"/>
  <c r="BZ264" i="1"/>
  <c r="CA31" i="1"/>
  <c r="BW32" i="1"/>
  <c r="BY245" i="1"/>
  <c r="BZ245" i="1"/>
  <c r="BX32" i="1"/>
  <c r="BX245" i="1"/>
  <c r="AV47" i="1"/>
  <c r="AW208" i="1"/>
  <c r="AV36" i="1"/>
  <c r="AW32" i="1"/>
  <c r="BA208" i="1"/>
  <c r="AZ31" i="1"/>
  <c r="AN31" i="1"/>
  <c r="AO245" i="1"/>
  <c r="AN36" i="1"/>
  <c r="AN32" i="1"/>
  <c r="AN245" i="1"/>
  <c r="AO32" i="1"/>
  <c r="AR31" i="1"/>
  <c r="AS122" i="1"/>
  <c r="AS124" i="1"/>
  <c r="AS123" i="1"/>
  <c r="BH36" i="1"/>
  <c r="BL31" i="1"/>
  <c r="BI32" i="1"/>
  <c r="BT31" i="1"/>
  <c r="AV32" i="1"/>
  <c r="BN47" i="1"/>
  <c r="BI53" i="1"/>
  <c r="BC208" i="1"/>
  <c r="BI124" i="1"/>
  <c r="BB245" i="1"/>
  <c r="BO208" i="1"/>
  <c r="BI122" i="1"/>
  <c r="BN245" i="1"/>
  <c r="BA124" i="1"/>
  <c r="BA122" i="1"/>
  <c r="BA123" i="1"/>
  <c r="BG208" i="1"/>
  <c r="BG47" i="1"/>
  <c r="BJ245" i="1"/>
  <c r="BJ264" i="1"/>
  <c r="BH32" i="1"/>
  <c r="BG36" i="1"/>
  <c r="BW208" i="1"/>
  <c r="BV158" i="1"/>
  <c r="BW53" i="1"/>
  <c r="BW154" i="1"/>
  <c r="AP122" i="1"/>
  <c r="AP124" i="1"/>
  <c r="AP123" i="1"/>
  <c r="AW122" i="1"/>
  <c r="AW124" i="1"/>
  <c r="AW123" i="1"/>
  <c r="BF31" i="1"/>
  <c r="AO122" i="1"/>
  <c r="AO124" i="1"/>
  <c r="AO123" i="1"/>
  <c r="BW47" i="1"/>
  <c r="BD32" i="1"/>
  <c r="BG31" i="1"/>
  <c r="AN208" i="1"/>
  <c r="AV31" i="1"/>
  <c r="AQ47" i="1"/>
  <c r="BH206" i="1"/>
  <c r="BL209" i="1" s="1"/>
  <c r="H266" i="1"/>
  <c r="H264" i="1"/>
  <c r="BJ49" i="1"/>
  <c r="BJ54" i="1"/>
  <c r="BJ58" i="1" s="1"/>
  <c r="BJ252" i="1"/>
  <c r="BJ253" i="1" s="1"/>
  <c r="F204" i="1"/>
  <c r="CQ158" i="1"/>
  <c r="CR52" i="1"/>
  <c r="AE97" i="1"/>
  <c r="AB145" i="1"/>
  <c r="AB148" i="1" s="1"/>
  <c r="AB269" i="1" s="1"/>
  <c r="AD162" i="1"/>
  <c r="CZ85" i="1"/>
  <c r="DA83" i="1"/>
  <c r="BA39" i="1" l="1"/>
  <c r="BA48" i="1"/>
  <c r="BA37" i="1"/>
  <c r="BA38" i="1"/>
  <c r="BE38" i="1"/>
  <c r="AZ48" i="1"/>
  <c r="AZ37" i="1"/>
  <c r="BV37" i="1"/>
  <c r="BZ38" i="1"/>
  <c r="BV38" i="1"/>
  <c r="BV48" i="1"/>
  <c r="N225" i="1"/>
  <c r="T266" i="1"/>
  <c r="T264" i="1"/>
  <c r="C225" i="1"/>
  <c r="M225" i="1"/>
  <c r="T185" i="1"/>
  <c r="U218" i="1"/>
  <c r="U219" i="1" s="1"/>
  <c r="E225" i="1"/>
  <c r="D225" i="1"/>
  <c r="J185" i="1"/>
  <c r="J186" i="1" s="1"/>
  <c r="E218" i="1"/>
  <c r="E219" i="1" s="1"/>
  <c r="O225" i="1"/>
  <c r="P185" i="1"/>
  <c r="P186" i="1" s="1"/>
  <c r="V185" i="1"/>
  <c r="V186" i="1" s="1"/>
  <c r="AR201" i="1"/>
  <c r="BU222" i="1"/>
  <c r="AW222" i="1"/>
  <c r="AR158" i="1"/>
  <c r="AR266" i="1" s="1"/>
  <c r="P266" i="1"/>
  <c r="T225" i="1"/>
  <c r="AS53" i="1"/>
  <c r="BR269" i="1"/>
  <c r="D218" i="1"/>
  <c r="D219" i="1" s="1"/>
  <c r="S218" i="1"/>
  <c r="S219" i="1" s="1"/>
  <c r="V225" i="1"/>
  <c r="R225" i="1"/>
  <c r="W223" i="1"/>
  <c r="W221" i="1" s="1"/>
  <c r="H225" i="1"/>
  <c r="K225" i="1"/>
  <c r="F201" i="1"/>
  <c r="F206" i="1"/>
  <c r="S185" i="1"/>
  <c r="S186" i="1" s="1"/>
  <c r="S201" i="1"/>
  <c r="S206" i="1"/>
  <c r="T218" i="1"/>
  <c r="T219" i="1" s="1"/>
  <c r="G225" i="1"/>
  <c r="L185" i="1"/>
  <c r="L186" i="1" s="1"/>
  <c r="S225" i="1"/>
  <c r="D131" i="1"/>
  <c r="D134" i="1" s="1"/>
  <c r="I225" i="1"/>
  <c r="L223" i="1"/>
  <c r="L221" i="1" s="1"/>
  <c r="K218" i="1"/>
  <c r="K219" i="1" s="1"/>
  <c r="U225" i="1"/>
  <c r="H186" i="1"/>
  <c r="J218" i="1"/>
  <c r="J219" i="1" s="1"/>
  <c r="F225" i="1"/>
  <c r="B185" i="1"/>
  <c r="N185" i="1"/>
  <c r="N186" i="1" s="1"/>
  <c r="F218" i="1"/>
  <c r="F219" i="1" s="1"/>
  <c r="G218" i="1"/>
  <c r="G219" i="1" s="1"/>
  <c r="U185" i="1"/>
  <c r="U186" i="1" s="1"/>
  <c r="R186" i="1"/>
  <c r="N264" i="1"/>
  <c r="N266" i="1"/>
  <c r="L264" i="1"/>
  <c r="L266" i="1"/>
  <c r="J264" i="1"/>
  <c r="K223" i="1"/>
  <c r="K221" i="1" s="1"/>
  <c r="J266" i="1"/>
  <c r="U266" i="1"/>
  <c r="U223" i="1"/>
  <c r="U221" i="1" s="1"/>
  <c r="U264" i="1"/>
  <c r="S264" i="1"/>
  <c r="S266" i="1"/>
  <c r="S223" i="1"/>
  <c r="S221" i="1" s="1"/>
  <c r="T223" i="1"/>
  <c r="T221" i="1" s="1"/>
  <c r="C88" i="1"/>
  <c r="C89" i="1"/>
  <c r="D185" i="1"/>
  <c r="J225" i="1"/>
  <c r="H218" i="1"/>
  <c r="H219" i="1" s="1"/>
  <c r="I185" i="1"/>
  <c r="I186" i="1" s="1"/>
  <c r="Q218" i="1"/>
  <c r="Q219" i="1" s="1"/>
  <c r="L225" i="1"/>
  <c r="E185" i="1"/>
  <c r="E186" i="1" s="1"/>
  <c r="G185" i="1"/>
  <c r="G186" i="1" s="1"/>
  <c r="V218" i="1"/>
  <c r="V219" i="1" s="1"/>
  <c r="G223" i="1"/>
  <c r="G221" i="1" s="1"/>
  <c r="G264" i="1"/>
  <c r="G266" i="1"/>
  <c r="H223" i="1"/>
  <c r="H221" i="1" s="1"/>
  <c r="I223" i="1"/>
  <c r="I221" i="1" s="1"/>
  <c r="I264" i="1"/>
  <c r="I266" i="1"/>
  <c r="J223" i="1"/>
  <c r="J221" i="1" s="1"/>
  <c r="E264" i="1"/>
  <c r="E266" i="1"/>
  <c r="F223" i="1"/>
  <c r="F221" i="1" s="1"/>
  <c r="B130" i="1"/>
  <c r="B133" i="1" s="1"/>
  <c r="B131" i="1"/>
  <c r="B134" i="1" s="1"/>
  <c r="C130" i="1"/>
  <c r="C133" i="1" s="1"/>
  <c r="C131" i="1"/>
  <c r="C134" i="1" s="1"/>
  <c r="N223" i="1"/>
  <c r="N221" i="1" s="1"/>
  <c r="M223" i="1"/>
  <c r="M221" i="1" s="1"/>
  <c r="M264" i="1"/>
  <c r="M266" i="1"/>
  <c r="K185" i="1"/>
  <c r="K186" i="1" s="1"/>
  <c r="E223" i="1"/>
  <c r="E221" i="1" s="1"/>
  <c r="L201" i="1"/>
  <c r="L206" i="1"/>
  <c r="C218" i="1"/>
  <c r="C219" i="1" s="1"/>
  <c r="H201" i="1"/>
  <c r="H206" i="1"/>
  <c r="D204" i="1"/>
  <c r="D206" i="1"/>
  <c r="Q225" i="1"/>
  <c r="I218" i="1"/>
  <c r="I219" i="1" s="1"/>
  <c r="Q185" i="1"/>
  <c r="Q186" i="1" s="1"/>
  <c r="R218" i="1"/>
  <c r="R219" i="1" s="1"/>
  <c r="M218" i="1"/>
  <c r="M219" i="1" s="1"/>
  <c r="N218" i="1"/>
  <c r="N219" i="1" s="1"/>
  <c r="M185" i="1"/>
  <c r="M186" i="1" s="1"/>
  <c r="D89" i="1"/>
  <c r="D88" i="1"/>
  <c r="B206" i="1"/>
  <c r="B201" i="1"/>
  <c r="AR222" i="1"/>
  <c r="AQ222" i="1"/>
  <c r="O218" i="1"/>
  <c r="O219" i="1" s="1"/>
  <c r="BB188" i="1"/>
  <c r="J204" i="1"/>
  <c r="J206" i="1"/>
  <c r="L218" i="1"/>
  <c r="L219" i="1" s="1"/>
  <c r="AV188" i="1"/>
  <c r="P225" i="1"/>
  <c r="K264" i="1"/>
  <c r="K266" i="1"/>
  <c r="C204" i="1"/>
  <c r="C206" i="1"/>
  <c r="BS53" i="1"/>
  <c r="BS154" i="1"/>
  <c r="BR158" i="1"/>
  <c r="V223" i="1"/>
  <c r="V221" i="1" s="1"/>
  <c r="V264" i="1"/>
  <c r="V266" i="1"/>
  <c r="AQ269" i="1"/>
  <c r="AN112" i="1"/>
  <c r="AN115" i="1" s="1"/>
  <c r="AN268" i="1"/>
  <c r="P206" i="1"/>
  <c r="P201" i="1"/>
  <c r="O185" i="1"/>
  <c r="O186" i="1" s="1"/>
  <c r="AV269" i="1"/>
  <c r="Q266" i="1"/>
  <c r="Q264" i="1"/>
  <c r="Q223" i="1"/>
  <c r="Q221" i="1" s="1"/>
  <c r="O266" i="1"/>
  <c r="P223" i="1"/>
  <c r="P221" i="1" s="1"/>
  <c r="P233" i="1" s="1"/>
  <c r="AR226" i="1"/>
  <c r="AR269" i="1"/>
  <c r="AO154" i="1"/>
  <c r="AO53" i="1"/>
  <c r="AN158" i="1"/>
  <c r="AN266" i="1" s="1"/>
  <c r="BC53" i="1"/>
  <c r="BB158" i="1"/>
  <c r="BC154" i="1"/>
  <c r="Q206" i="1"/>
  <c r="Q204" i="1"/>
  <c r="AV226" i="1"/>
  <c r="BT149" i="1"/>
  <c r="I204" i="1"/>
  <c r="I206" i="1"/>
  <c r="K204" i="1"/>
  <c r="K206" i="1"/>
  <c r="E204" i="1"/>
  <c r="E206" i="1"/>
  <c r="U204" i="1"/>
  <c r="U206" i="1"/>
  <c r="V204" i="1"/>
  <c r="V206" i="1"/>
  <c r="BN188" i="1"/>
  <c r="BN149" i="1"/>
  <c r="BC226" i="1"/>
  <c r="BC269" i="1"/>
  <c r="T206" i="1"/>
  <c r="T201" i="1"/>
  <c r="O223" i="1"/>
  <c r="O221" i="1" s="1"/>
  <c r="O264" i="1"/>
  <c r="N206" i="1"/>
  <c r="N201" i="1"/>
  <c r="G206" i="1"/>
  <c r="G204" i="1"/>
  <c r="O206" i="1"/>
  <c r="O204" i="1"/>
  <c r="BB149" i="1"/>
  <c r="AT268" i="1"/>
  <c r="AS226" i="1"/>
  <c r="AS269" i="1"/>
  <c r="AR188" i="1"/>
  <c r="AS57" i="1" s="1"/>
  <c r="AR149" i="1"/>
  <c r="AR112" i="1"/>
  <c r="AX112" i="1"/>
  <c r="AX268" i="1"/>
  <c r="BU53" i="1"/>
  <c r="BT158" i="1"/>
  <c r="BU154" i="1"/>
  <c r="BG154" i="1"/>
  <c r="BG53" i="1"/>
  <c r="BF158" i="1"/>
  <c r="AW53" i="1"/>
  <c r="AV158" i="1"/>
  <c r="AW154" i="1"/>
  <c r="BE53" i="1"/>
  <c r="BE154" i="1"/>
  <c r="BD158" i="1"/>
  <c r="AQ154" i="1"/>
  <c r="AP158" i="1"/>
  <c r="AQ53" i="1"/>
  <c r="R206" i="1"/>
  <c r="R204" i="1"/>
  <c r="AT202" i="1"/>
  <c r="AT177" i="1"/>
  <c r="BB115" i="1"/>
  <c r="BB116" i="1"/>
  <c r="BB114" i="1"/>
  <c r="AO269" i="1"/>
  <c r="AO226" i="1"/>
  <c r="AN269" i="1"/>
  <c r="AN226" i="1"/>
  <c r="AN149" i="1"/>
  <c r="AN188" i="1"/>
  <c r="BN158" i="1"/>
  <c r="BO154" i="1"/>
  <c r="BO53" i="1"/>
  <c r="AY154" i="1"/>
  <c r="AX158" i="1"/>
  <c r="AY53" i="1"/>
  <c r="AR205" i="1"/>
  <c r="AR177" i="1"/>
  <c r="BN268" i="1"/>
  <c r="BN112" i="1"/>
  <c r="BF226" i="1"/>
  <c r="BF188" i="1"/>
  <c r="BP269" i="1"/>
  <c r="BP226" i="1"/>
  <c r="BP188" i="1"/>
  <c r="BR149" i="1"/>
  <c r="BS269" i="1"/>
  <c r="BS226" i="1"/>
  <c r="BR188" i="1"/>
  <c r="BA154" i="1"/>
  <c r="BA53" i="1"/>
  <c r="AZ158" i="1"/>
  <c r="BQ53" i="1"/>
  <c r="BP158" i="1"/>
  <c r="BQ154" i="1"/>
  <c r="BC229" i="1"/>
  <c r="BB268" i="1"/>
  <c r="AR268" i="1"/>
  <c r="AX226" i="1"/>
  <c r="AX188" i="1"/>
  <c r="AX149" i="1"/>
  <c r="AX269" i="1"/>
  <c r="BO222" i="1"/>
  <c r="BP222" i="1"/>
  <c r="AT158" i="1"/>
  <c r="AU53" i="1"/>
  <c r="AU154" i="1"/>
  <c r="BD112" i="1"/>
  <c r="BD268" i="1"/>
  <c r="BO226" i="1"/>
  <c r="BO269" i="1"/>
  <c r="BN269" i="1"/>
  <c r="BN226" i="1"/>
  <c r="AW269" i="1"/>
  <c r="AW226" i="1"/>
  <c r="AN202" i="1"/>
  <c r="AN177" i="1"/>
  <c r="BT222" i="1"/>
  <c r="BS222" i="1"/>
  <c r="BV269" i="1"/>
  <c r="BU269" i="1"/>
  <c r="BU226" i="1"/>
  <c r="BV226" i="1"/>
  <c r="BT188" i="1"/>
  <c r="BT269" i="1"/>
  <c r="BT226" i="1"/>
  <c r="AP222" i="1"/>
  <c r="AO222" i="1"/>
  <c r="M206" i="1"/>
  <c r="M204" i="1"/>
  <c r="AZ188" i="1"/>
  <c r="AZ269" i="1"/>
  <c r="AZ149" i="1"/>
  <c r="AZ226" i="1"/>
  <c r="AN204" i="1"/>
  <c r="AT149" i="1"/>
  <c r="AT269" i="1"/>
  <c r="AT226" i="1"/>
  <c r="AT188" i="1"/>
  <c r="BD226" i="1"/>
  <c r="BD149" i="1"/>
  <c r="BE269" i="1"/>
  <c r="BE226" i="1"/>
  <c r="BD188" i="1"/>
  <c r="BD269" i="1"/>
  <c r="AV112" i="1"/>
  <c r="AV268" i="1"/>
  <c r="AQ226" i="1"/>
  <c r="AP226" i="1"/>
  <c r="AP269" i="1"/>
  <c r="BG269" i="1"/>
  <c r="BH269" i="1"/>
  <c r="BB226" i="1"/>
  <c r="BA269" i="1"/>
  <c r="BB269" i="1"/>
  <c r="BA226" i="1"/>
  <c r="AU226" i="1"/>
  <c r="AU269" i="1"/>
  <c r="BP206" i="1"/>
  <c r="BP209" i="1" s="1"/>
  <c r="BR226" i="1"/>
  <c r="AY226" i="1"/>
  <c r="AY269" i="1"/>
  <c r="AQ229" i="1"/>
  <c r="AP268" i="1"/>
  <c r="AZ112" i="1"/>
  <c r="AZ268" i="1"/>
  <c r="BS229" i="1"/>
  <c r="BR268" i="1"/>
  <c r="BT112" i="1"/>
  <c r="BT268" i="1"/>
  <c r="BF269" i="1"/>
  <c r="BF149" i="1"/>
  <c r="AP188" i="1"/>
  <c r="AP149" i="1"/>
  <c r="AP115" i="1"/>
  <c r="AP114" i="1"/>
  <c r="AP116" i="1"/>
  <c r="AP205" i="1"/>
  <c r="AP177" i="1"/>
  <c r="BF112" i="1"/>
  <c r="BF268" i="1"/>
  <c r="BP116" i="1"/>
  <c r="AV149" i="1"/>
  <c r="BQ269" i="1"/>
  <c r="BP268" i="1"/>
  <c r="BP149" i="1"/>
  <c r="BP177" i="1"/>
  <c r="BG226" i="1"/>
  <c r="BQ226" i="1"/>
  <c r="BP115" i="1"/>
  <c r="AV202" i="1"/>
  <c r="AV206" i="1" s="1"/>
  <c r="AV177" i="1"/>
  <c r="BH186" i="1"/>
  <c r="BB202" i="1"/>
  <c r="BB177" i="1"/>
  <c r="BD202" i="1"/>
  <c r="BD177" i="1"/>
  <c r="AX202" i="1"/>
  <c r="AX177" i="1"/>
  <c r="BF202" i="1"/>
  <c r="BF177" i="1"/>
  <c r="BT202" i="1"/>
  <c r="BT177" i="1"/>
  <c r="BR202" i="1"/>
  <c r="BR206" i="1" s="1"/>
  <c r="BV209" i="1" s="1"/>
  <c r="BR177" i="1"/>
  <c r="BN202" i="1"/>
  <c r="BN177" i="1"/>
  <c r="AZ202" i="1"/>
  <c r="AZ177" i="1"/>
  <c r="B105" i="1"/>
  <c r="B106" i="1"/>
  <c r="C264" i="1"/>
  <c r="C186" i="1"/>
  <c r="BV116" i="1"/>
  <c r="BV115" i="1"/>
  <c r="BV114" i="1"/>
  <c r="AP39" i="1"/>
  <c r="BL39" i="1"/>
  <c r="BK37" i="1"/>
  <c r="BK48" i="1"/>
  <c r="BK39" i="1"/>
  <c r="AM74" i="1"/>
  <c r="AM227" i="1"/>
  <c r="AM225" i="1" s="1"/>
  <c r="AM75" i="1"/>
  <c r="AM112" i="1"/>
  <c r="AM106" i="1"/>
  <c r="AM105" i="1"/>
  <c r="AM107" i="1"/>
  <c r="AY48" i="1"/>
  <c r="AY37" i="1"/>
  <c r="AZ39" i="1"/>
  <c r="AT38" i="1"/>
  <c r="AP48" i="1"/>
  <c r="AP38" i="1"/>
  <c r="AP37" i="1"/>
  <c r="BQ37" i="1"/>
  <c r="BU38" i="1"/>
  <c r="BU48" i="1"/>
  <c r="BV39" i="1"/>
  <c r="BY38" i="1"/>
  <c r="BU37" i="1"/>
  <c r="BQ54" i="1"/>
  <c r="BQ58" i="1" s="1"/>
  <c r="BQ49" i="1"/>
  <c r="BQ252" i="1"/>
  <c r="BQ253" i="1" s="1"/>
  <c r="AS158" i="1"/>
  <c r="AT53" i="1"/>
  <c r="AS37" i="1"/>
  <c r="AS48" i="1"/>
  <c r="AS51" i="1" s="1"/>
  <c r="AT39" i="1"/>
  <c r="AW38" i="1"/>
  <c r="AR37" i="1"/>
  <c r="AS39" i="1"/>
  <c r="BI38" i="1"/>
  <c r="BI37" i="1"/>
  <c r="BM38" i="1"/>
  <c r="BI48" i="1"/>
  <c r="BJ39" i="1"/>
  <c r="BP48" i="1"/>
  <c r="BP38" i="1"/>
  <c r="BP37" i="1"/>
  <c r="BQ39" i="1"/>
  <c r="BN204" i="1"/>
  <c r="BM37" i="1"/>
  <c r="BQ38" i="1"/>
  <c r="BM48" i="1"/>
  <c r="BM39" i="1"/>
  <c r="BF37" i="1"/>
  <c r="BJ38" i="1"/>
  <c r="BE39" i="1"/>
  <c r="BS39" i="1"/>
  <c r="BD37" i="1"/>
  <c r="BD48" i="1"/>
  <c r="BD50" i="1" s="1"/>
  <c r="BD38" i="1"/>
  <c r="BE48" i="1"/>
  <c r="BE37" i="1"/>
  <c r="BF39" i="1"/>
  <c r="BC39" i="1"/>
  <c r="BT39" i="1"/>
  <c r="AU38" i="1"/>
  <c r="BW38" i="1"/>
  <c r="Q79" i="1"/>
  <c r="BF49" i="1"/>
  <c r="BF54" i="1"/>
  <c r="BF58" i="1" s="1"/>
  <c r="BF252" i="1"/>
  <c r="BF253" i="1" s="1"/>
  <c r="BO48" i="1"/>
  <c r="V79" i="1"/>
  <c r="BP39" i="1"/>
  <c r="BS38" i="1"/>
  <c r="BO38" i="1"/>
  <c r="BO37" i="1"/>
  <c r="AT54" i="1"/>
  <c r="AT58" i="1" s="1"/>
  <c r="AT49" i="1"/>
  <c r="AT252" i="1"/>
  <c r="AT253" i="1" s="1"/>
  <c r="AJ39" i="1"/>
  <c r="AI37" i="1"/>
  <c r="AM38" i="1"/>
  <c r="AI48" i="1"/>
  <c r="N79" i="1"/>
  <c r="BA49" i="1"/>
  <c r="BA252" i="1"/>
  <c r="BA253" i="1" s="1"/>
  <c r="BA54" i="1"/>
  <c r="BA58" i="1" s="1"/>
  <c r="BA50" i="1"/>
  <c r="AW252" i="1"/>
  <c r="AW253" i="1" s="1"/>
  <c r="AW49" i="1"/>
  <c r="AW54" i="1"/>
  <c r="AW58" i="1" s="1"/>
  <c r="AU39" i="1"/>
  <c r="AV39" i="1"/>
  <c r="AU48" i="1"/>
  <c r="AY38" i="1"/>
  <c r="AU37" i="1"/>
  <c r="BV129" i="1"/>
  <c r="BW57" i="1"/>
  <c r="BS48" i="1"/>
  <c r="BS37" i="1"/>
  <c r="BD39" i="1"/>
  <c r="S79" i="1"/>
  <c r="BC48" i="1"/>
  <c r="BC37" i="1"/>
  <c r="BC38" i="1"/>
  <c r="BH129" i="1"/>
  <c r="BI57" i="1"/>
  <c r="BR48" i="1"/>
  <c r="BR39" i="1"/>
  <c r="BR37" i="1"/>
  <c r="AQ39" i="1"/>
  <c r="BH48" i="1"/>
  <c r="BH37" i="1"/>
  <c r="BL38" i="1"/>
  <c r="BH38" i="1"/>
  <c r="BB38" i="1"/>
  <c r="AX39" i="1"/>
  <c r="AX37" i="1"/>
  <c r="AX38" i="1"/>
  <c r="AX48" i="1"/>
  <c r="AT115" i="1"/>
  <c r="AT116" i="1"/>
  <c r="AT114" i="1"/>
  <c r="BN38" i="1"/>
  <c r="BR38" i="1"/>
  <c r="BN48" i="1"/>
  <c r="U79" i="1"/>
  <c r="BN37" i="1"/>
  <c r="BN39" i="1"/>
  <c r="AR252" i="1"/>
  <c r="AR253" i="1" s="1"/>
  <c r="BO39" i="1"/>
  <c r="BG39" i="1"/>
  <c r="BG38" i="1"/>
  <c r="BG37" i="1"/>
  <c r="BH39" i="1"/>
  <c r="BK38" i="1"/>
  <c r="T79" i="1"/>
  <c r="BG48" i="1"/>
  <c r="AN48" i="1"/>
  <c r="AO39" i="1"/>
  <c r="AN38" i="1"/>
  <c r="AR38" i="1"/>
  <c r="AN39" i="1"/>
  <c r="AN37" i="1"/>
  <c r="AV48" i="1"/>
  <c r="AV37" i="1"/>
  <c r="AW39" i="1"/>
  <c r="AV38" i="1"/>
  <c r="AZ38" i="1"/>
  <c r="BW39" i="1"/>
  <c r="BW37" i="1"/>
  <c r="X79" i="1"/>
  <c r="CA38" i="1"/>
  <c r="BX39" i="1"/>
  <c r="BW48" i="1"/>
  <c r="BU39" i="1"/>
  <c r="BT48" i="1"/>
  <c r="BX38" i="1"/>
  <c r="BT37" i="1"/>
  <c r="BT38" i="1"/>
  <c r="BW158" i="1"/>
  <c r="BX53" i="1"/>
  <c r="AR54" i="1"/>
  <c r="AR58" i="1" s="1"/>
  <c r="AY39" i="1"/>
  <c r="BI39" i="1"/>
  <c r="BV264" i="1"/>
  <c r="BV266" i="1"/>
  <c r="BR116" i="1"/>
  <c r="BR114" i="1"/>
  <c r="BR115" i="1"/>
  <c r="AO38" i="1"/>
  <c r="AO48" i="1"/>
  <c r="AO37" i="1"/>
  <c r="AS38" i="1"/>
  <c r="BH266" i="1"/>
  <c r="BH264" i="1"/>
  <c r="O79" i="1"/>
  <c r="BV185" i="1"/>
  <c r="BV186" i="1" s="1"/>
  <c r="AQ48" i="1"/>
  <c r="P79" i="1"/>
  <c r="AQ38" i="1"/>
  <c r="AQ37" i="1"/>
  <c r="AR39" i="1"/>
  <c r="BJ53" i="1"/>
  <c r="BI158" i="1"/>
  <c r="BJ223" i="1" s="1"/>
  <c r="BJ221" i="1" s="1"/>
  <c r="BB37" i="1"/>
  <c r="R79" i="1"/>
  <c r="BB48" i="1"/>
  <c r="BF38" i="1"/>
  <c r="BB39" i="1"/>
  <c r="BJ61" i="1"/>
  <c r="BJ60" i="1"/>
  <c r="CR214" i="1"/>
  <c r="CR152" i="1"/>
  <c r="CQ223" i="1"/>
  <c r="CQ221" i="1" s="1"/>
  <c r="AB226" i="1"/>
  <c r="DB83" i="1"/>
  <c r="DB85" i="1" s="1"/>
  <c r="DA85" i="1"/>
  <c r="BA270" i="1" l="1"/>
  <c r="T186" i="1"/>
  <c r="BA51" i="1"/>
  <c r="AZ49" i="1"/>
  <c r="AZ252" i="1"/>
  <c r="AZ253" i="1" s="1"/>
  <c r="AZ54" i="1"/>
  <c r="AZ58" i="1" s="1"/>
  <c r="BV54" i="1"/>
  <c r="BV58" i="1" s="1"/>
  <c r="BZ50" i="1"/>
  <c r="BV49" i="1"/>
  <c r="BV252" i="1"/>
  <c r="BV253" i="1" s="1"/>
  <c r="AR185" i="1"/>
  <c r="AR264" i="1"/>
  <c r="U233" i="1"/>
  <c r="D230" i="1"/>
  <c r="D231" i="1" s="1"/>
  <c r="V209" i="1"/>
  <c r="V210" i="1" s="1"/>
  <c r="S233" i="1"/>
  <c r="D233" i="1"/>
  <c r="T233" i="1"/>
  <c r="S230" i="1"/>
  <c r="S231" i="1" s="1"/>
  <c r="U230" i="1"/>
  <c r="U231" i="1" s="1"/>
  <c r="M233" i="1"/>
  <c r="N233" i="1"/>
  <c r="K230" i="1"/>
  <c r="K231" i="1" s="1"/>
  <c r="H230" i="1"/>
  <c r="H231" i="1" s="1"/>
  <c r="T230" i="1"/>
  <c r="T231" i="1" s="1"/>
  <c r="Q233" i="1"/>
  <c r="I233" i="1"/>
  <c r="J233" i="1"/>
  <c r="P230" i="1"/>
  <c r="P231" i="1" s="1"/>
  <c r="K233" i="1"/>
  <c r="Q230" i="1"/>
  <c r="Q231" i="1" s="1"/>
  <c r="I230" i="1"/>
  <c r="I231" i="1" s="1"/>
  <c r="D90" i="1"/>
  <c r="H233" i="1"/>
  <c r="J230" i="1"/>
  <c r="J231" i="1" s="1"/>
  <c r="B264" i="1"/>
  <c r="B186" i="1"/>
  <c r="C107" i="1"/>
  <c r="C105" i="1"/>
  <c r="C90" i="1"/>
  <c r="C106" i="1"/>
  <c r="B109" i="1"/>
  <c r="D264" i="1"/>
  <c r="D186" i="1"/>
  <c r="N230" i="1"/>
  <c r="N231" i="1" s="1"/>
  <c r="M230" i="1"/>
  <c r="M231" i="1" s="1"/>
  <c r="I209" i="1"/>
  <c r="I210" i="1" s="1"/>
  <c r="G230" i="1"/>
  <c r="G231" i="1" s="1"/>
  <c r="G233" i="1"/>
  <c r="F233" i="1"/>
  <c r="F230" i="1"/>
  <c r="F231" i="1" s="1"/>
  <c r="E230" i="1"/>
  <c r="E231" i="1" s="1"/>
  <c r="E233" i="1"/>
  <c r="C230" i="1"/>
  <c r="C231" i="1" s="1"/>
  <c r="C233" i="1"/>
  <c r="AW57" i="1"/>
  <c r="AV129" i="1"/>
  <c r="BS158" i="1"/>
  <c r="BT53" i="1"/>
  <c r="BR266" i="1"/>
  <c r="BR264" i="1"/>
  <c r="V230" i="1"/>
  <c r="V231" i="1" s="1"/>
  <c r="V233" i="1"/>
  <c r="AP53" i="1"/>
  <c r="AO158" i="1"/>
  <c r="AN114" i="1"/>
  <c r="AN116" i="1"/>
  <c r="O233" i="1"/>
  <c r="J209" i="1"/>
  <c r="J210" i="1" s="1"/>
  <c r="Q209" i="1"/>
  <c r="Q210" i="1" s="1"/>
  <c r="O230" i="1"/>
  <c r="O231" i="1" s="1"/>
  <c r="BR185" i="1"/>
  <c r="BR186" i="1" s="1"/>
  <c r="R230" i="1"/>
  <c r="R231" i="1" s="1"/>
  <c r="R233" i="1"/>
  <c r="BB129" i="1"/>
  <c r="BC57" i="1"/>
  <c r="L233" i="1"/>
  <c r="L230" i="1"/>
  <c r="L231" i="1" s="1"/>
  <c r="D105" i="1"/>
  <c r="D106" i="1"/>
  <c r="D107" i="1"/>
  <c r="C109" i="1"/>
  <c r="AR186" i="1"/>
  <c r="AN185" i="1"/>
  <c r="AN186" i="1" s="1"/>
  <c r="BP185" i="1"/>
  <c r="BP186" i="1" s="1"/>
  <c r="BN129" i="1"/>
  <c r="BO57" i="1"/>
  <c r="AZ53" i="1"/>
  <c r="AY158" i="1"/>
  <c r="L209" i="1"/>
  <c r="L210" i="1" s="1"/>
  <c r="K209" i="1"/>
  <c r="K210" i="1" s="1"/>
  <c r="E209" i="1"/>
  <c r="E210" i="1" s="1"/>
  <c r="F209" i="1"/>
  <c r="F210" i="1" s="1"/>
  <c r="H209" i="1"/>
  <c r="H210" i="1" s="1"/>
  <c r="G209" i="1"/>
  <c r="G210" i="1" s="1"/>
  <c r="BN223" i="1"/>
  <c r="BN221" i="1" s="1"/>
  <c r="BN266" i="1"/>
  <c r="BN264" i="1"/>
  <c r="BN116" i="1"/>
  <c r="BN115" i="1"/>
  <c r="BN114" i="1"/>
  <c r="BP129" i="1"/>
  <c r="BQ57" i="1"/>
  <c r="C209" i="1"/>
  <c r="C210" i="1" s="1"/>
  <c r="D209" i="1"/>
  <c r="D210" i="1" s="1"/>
  <c r="BB185" i="1"/>
  <c r="BB186" i="1" s="1"/>
  <c r="BF185" i="1"/>
  <c r="BF186" i="1" s="1"/>
  <c r="BT185" i="1"/>
  <c r="BT186" i="1" s="1"/>
  <c r="BF266" i="1"/>
  <c r="BF264" i="1"/>
  <c r="AP266" i="1"/>
  <c r="AP264" i="1"/>
  <c r="BG57" i="1"/>
  <c r="BF129" i="1"/>
  <c r="BD53" i="1"/>
  <c r="BC158" i="1"/>
  <c r="BN185" i="1"/>
  <c r="BN186" i="1" s="1"/>
  <c r="AZ185" i="1"/>
  <c r="AZ186" i="1" s="1"/>
  <c r="AN264" i="1"/>
  <c r="AN223" i="1"/>
  <c r="AN221" i="1" s="1"/>
  <c r="BT266" i="1"/>
  <c r="BT264" i="1"/>
  <c r="AW158" i="1"/>
  <c r="AX53" i="1"/>
  <c r="BS57" i="1"/>
  <c r="BR129" i="1"/>
  <c r="BA158" i="1"/>
  <c r="BB53" i="1"/>
  <c r="AZ264" i="1"/>
  <c r="AZ266" i="1"/>
  <c r="BR53" i="1"/>
  <c r="BQ158" i="1"/>
  <c r="AN201" i="1"/>
  <c r="AN206" i="1"/>
  <c r="BB266" i="1"/>
  <c r="BB264" i="1"/>
  <c r="BG158" i="1"/>
  <c r="BH53" i="1"/>
  <c r="AV264" i="1"/>
  <c r="AV266" i="1"/>
  <c r="BE158" i="1"/>
  <c r="BF53" i="1"/>
  <c r="BD264" i="1"/>
  <c r="BD266" i="1"/>
  <c r="S209" i="1"/>
  <c r="S210" i="1" s="1"/>
  <c r="R209" i="1"/>
  <c r="R210" i="1" s="1"/>
  <c r="AX266" i="1"/>
  <c r="AX264" i="1"/>
  <c r="AU57" i="1"/>
  <c r="AT129" i="1"/>
  <c r="AP185" i="1"/>
  <c r="AP186" i="1" s="1"/>
  <c r="BD185" i="1"/>
  <c r="BD186" i="1" s="1"/>
  <c r="AR114" i="1"/>
  <c r="AR116" i="1"/>
  <c r="AR115" i="1"/>
  <c r="AX116" i="1"/>
  <c r="AX115" i="1"/>
  <c r="AX114" i="1"/>
  <c r="BV53" i="1"/>
  <c r="BU158" i="1"/>
  <c r="AQ158" i="1"/>
  <c r="AR53" i="1"/>
  <c r="AT206" i="1"/>
  <c r="AT201" i="1"/>
  <c r="AO57" i="1"/>
  <c r="AN129" i="1"/>
  <c r="AR206" i="1"/>
  <c r="AR204" i="1"/>
  <c r="AV53" i="1"/>
  <c r="AU158" i="1"/>
  <c r="BD115" i="1"/>
  <c r="BD114" i="1"/>
  <c r="BD116" i="1"/>
  <c r="BU57" i="1"/>
  <c r="BT129" i="1"/>
  <c r="BE57" i="1"/>
  <c r="BD129" i="1"/>
  <c r="AV116" i="1"/>
  <c r="AV114" i="1"/>
  <c r="AV115" i="1"/>
  <c r="T209" i="1"/>
  <c r="T210" i="1" s="1"/>
  <c r="U209" i="1"/>
  <c r="U210" i="1" s="1"/>
  <c r="P209" i="1"/>
  <c r="P210" i="1" s="1"/>
  <c r="O209" i="1"/>
  <c r="O210" i="1" s="1"/>
  <c r="AV185" i="1"/>
  <c r="AV186" i="1" s="1"/>
  <c r="AX185" i="1"/>
  <c r="AX186" i="1" s="1"/>
  <c r="BP53" i="1"/>
  <c r="BO158" i="1"/>
  <c r="BP266" i="1"/>
  <c r="BP264" i="1"/>
  <c r="AY57" i="1"/>
  <c r="AX129" i="1"/>
  <c r="AT185" i="1"/>
  <c r="AT186" i="1" s="1"/>
  <c r="AT266" i="1"/>
  <c r="AT264" i="1"/>
  <c r="AP129" i="1"/>
  <c r="AQ57" i="1"/>
  <c r="AZ129" i="1"/>
  <c r="BA57" i="1"/>
  <c r="M209" i="1"/>
  <c r="M210" i="1" s="1"/>
  <c r="N209" i="1"/>
  <c r="N210" i="1" s="1"/>
  <c r="AZ115" i="1"/>
  <c r="AZ116" i="1"/>
  <c r="AZ114" i="1"/>
  <c r="AP206" i="1"/>
  <c r="AP209" i="1" s="1"/>
  <c r="AP204" i="1"/>
  <c r="AX201" i="1"/>
  <c r="AX206" i="1"/>
  <c r="BF201" i="1"/>
  <c r="BF206" i="1"/>
  <c r="BJ209" i="1" s="1"/>
  <c r="BT116" i="1"/>
  <c r="BT115" i="1"/>
  <c r="BT114" i="1"/>
  <c r="BF115" i="1"/>
  <c r="BF116" i="1"/>
  <c r="BF114" i="1"/>
  <c r="AV201" i="1"/>
  <c r="BR201" i="1"/>
  <c r="BN201" i="1"/>
  <c r="BN206" i="1"/>
  <c r="BB206" i="1"/>
  <c r="BB201" i="1"/>
  <c r="BD201" i="1"/>
  <c r="BD206" i="1"/>
  <c r="BT206" i="1"/>
  <c r="BT201" i="1"/>
  <c r="BX223" i="1"/>
  <c r="BX221" i="1" s="1"/>
  <c r="BW223" i="1"/>
  <c r="BW221" i="1" s="1"/>
  <c r="AZ206" i="1"/>
  <c r="AZ209" i="1" s="1"/>
  <c r="AZ201" i="1"/>
  <c r="BA246" i="1"/>
  <c r="BL132" i="1"/>
  <c r="AQ270" i="1"/>
  <c r="AQ271" i="1" s="1"/>
  <c r="AT50" i="1"/>
  <c r="AQ51" i="1"/>
  <c r="BS246" i="1"/>
  <c r="BO50" i="1"/>
  <c r="BK50" i="1"/>
  <c r="BX246" i="1"/>
  <c r="BK51" i="1"/>
  <c r="BK49" i="1"/>
  <c r="BL51" i="1"/>
  <c r="BK252" i="1"/>
  <c r="BK253" i="1" s="1"/>
  <c r="BK54" i="1"/>
  <c r="BK58" i="1" s="1"/>
  <c r="BK270" i="1"/>
  <c r="BK271" i="1" s="1"/>
  <c r="BL270" i="1"/>
  <c r="BL271" i="1" s="1"/>
  <c r="AM114" i="1"/>
  <c r="AM115" i="1"/>
  <c r="AM116" i="1"/>
  <c r="AY49" i="1"/>
  <c r="AY252" i="1"/>
  <c r="AY253" i="1" s="1"/>
  <c r="AY54" i="1"/>
  <c r="AY58" i="1" s="1"/>
  <c r="AZ270" i="1"/>
  <c r="AZ271" i="1" s="1"/>
  <c r="AZ51" i="1"/>
  <c r="AP49" i="1"/>
  <c r="AP50" i="1"/>
  <c r="AP252" i="1"/>
  <c r="AP253" i="1" s="1"/>
  <c r="AP54" i="1"/>
  <c r="AP58" i="1" s="1"/>
  <c r="BV270" i="1"/>
  <c r="BV271" i="1" s="1"/>
  <c r="BV51" i="1"/>
  <c r="BM132" i="1"/>
  <c r="BM246" i="1"/>
  <c r="BU50" i="1"/>
  <c r="BU49" i="1"/>
  <c r="BU252" i="1"/>
  <c r="BU253" i="1" s="1"/>
  <c r="BY50" i="1"/>
  <c r="BU54" i="1"/>
  <c r="BU58" i="1" s="1"/>
  <c r="S80" i="1"/>
  <c r="BK132" i="1"/>
  <c r="U80" i="1"/>
  <c r="AS223" i="1"/>
  <c r="AS221" i="1" s="1"/>
  <c r="AT223" i="1"/>
  <c r="AT221" i="1" s="1"/>
  <c r="AS252" i="1"/>
  <c r="AS253" i="1" s="1"/>
  <c r="AS54" i="1"/>
  <c r="AS58" i="1" s="1"/>
  <c r="AW50" i="1"/>
  <c r="AT51" i="1"/>
  <c r="AS270" i="1"/>
  <c r="AS271" i="1" s="1"/>
  <c r="AS49" i="1"/>
  <c r="AT270" i="1"/>
  <c r="AT271" i="1" s="1"/>
  <c r="AS246" i="1"/>
  <c r="AS132" i="1"/>
  <c r="BF270" i="1"/>
  <c r="BF271" i="1" s="1"/>
  <c r="BE50" i="1"/>
  <c r="BI252" i="1"/>
  <c r="BI253" i="1" s="1"/>
  <c r="BI54" i="1"/>
  <c r="BI49" i="1"/>
  <c r="BL246" i="1"/>
  <c r="BJ51" i="1"/>
  <c r="BJ270" i="1"/>
  <c r="BJ271" i="1" s="1"/>
  <c r="BQ51" i="1"/>
  <c r="BP49" i="1"/>
  <c r="BP50" i="1"/>
  <c r="BP252" i="1"/>
  <c r="BP253" i="1" s="1"/>
  <c r="BP54" i="1"/>
  <c r="BP58" i="1" s="1"/>
  <c r="BQ270" i="1"/>
  <c r="BQ271" i="1" s="1"/>
  <c r="BM54" i="1"/>
  <c r="BM58" i="1" s="1"/>
  <c r="BM49" i="1"/>
  <c r="BQ50" i="1"/>
  <c r="BM51" i="1"/>
  <c r="BM50" i="1"/>
  <c r="BM252" i="1"/>
  <c r="BM253" i="1" s="1"/>
  <c r="BM270" i="1"/>
  <c r="BM271" i="1" s="1"/>
  <c r="BD270" i="1"/>
  <c r="BD271" i="1" s="1"/>
  <c r="O80" i="1"/>
  <c r="AP51" i="1"/>
  <c r="BE51" i="1"/>
  <c r="BD54" i="1"/>
  <c r="BD58" i="1" s="1"/>
  <c r="BD49" i="1"/>
  <c r="BD252" i="1"/>
  <c r="BD253" i="1" s="1"/>
  <c r="BE270" i="1"/>
  <c r="BE271" i="1" s="1"/>
  <c r="BI50" i="1"/>
  <c r="BE252" i="1"/>
  <c r="BE253" i="1" s="1"/>
  <c r="BE49" i="1"/>
  <c r="BE54" i="1"/>
  <c r="BE58" i="1" s="1"/>
  <c r="BF51" i="1"/>
  <c r="BF61" i="1"/>
  <c r="BF60" i="1"/>
  <c r="BO49" i="1"/>
  <c r="BO54" i="1"/>
  <c r="BO58" i="1" s="1"/>
  <c r="BO252" i="1"/>
  <c r="BO253" i="1" s="1"/>
  <c r="BP51" i="1"/>
  <c r="BP270" i="1"/>
  <c r="BP271" i="1" s="1"/>
  <c r="BH130" i="1"/>
  <c r="BH131" i="1"/>
  <c r="AX246" i="1"/>
  <c r="BT270" i="1"/>
  <c r="BT271" i="1" s="1"/>
  <c r="BC51" i="1"/>
  <c r="AJ51" i="1"/>
  <c r="AL132" i="1"/>
  <c r="AI49" i="1"/>
  <c r="AM50" i="1"/>
  <c r="AI54" i="1"/>
  <c r="N80" i="1"/>
  <c r="AL246" i="1"/>
  <c r="AI252" i="1"/>
  <c r="AI253" i="1" s="1"/>
  <c r="AW246" i="1"/>
  <c r="AU246" i="1"/>
  <c r="AW132" i="1"/>
  <c r="AU51" i="1"/>
  <c r="AU270" i="1"/>
  <c r="AU271" i="1" s="1"/>
  <c r="AU132" i="1"/>
  <c r="AV246" i="1"/>
  <c r="AU252" i="1"/>
  <c r="AU253" i="1" s="1"/>
  <c r="AU49" i="1"/>
  <c r="AU54" i="1"/>
  <c r="AU58" i="1" s="1"/>
  <c r="AY50" i="1"/>
  <c r="AV51" i="1"/>
  <c r="AV270" i="1"/>
  <c r="AV271" i="1" s="1"/>
  <c r="AU50" i="1"/>
  <c r="BV130" i="1"/>
  <c r="BV131" i="1"/>
  <c r="BS50" i="1"/>
  <c r="BS54" i="1"/>
  <c r="BS58" i="1" s="1"/>
  <c r="BS49" i="1"/>
  <c r="BS252" i="1"/>
  <c r="BS253" i="1" s="1"/>
  <c r="BS270" i="1"/>
  <c r="BS271" i="1" s="1"/>
  <c r="BD51" i="1"/>
  <c r="BG50" i="1"/>
  <c r="BF132" i="1"/>
  <c r="BC54" i="1"/>
  <c r="BC49" i="1"/>
  <c r="BC252" i="1"/>
  <c r="BC253" i="1" s="1"/>
  <c r="BF246" i="1"/>
  <c r="BC50" i="1"/>
  <c r="BV50" i="1"/>
  <c r="BS132" i="1"/>
  <c r="BT246" i="1"/>
  <c r="AQ246" i="1"/>
  <c r="AZ61" i="1"/>
  <c r="AZ60" i="1"/>
  <c r="BV246" i="1"/>
  <c r="BR270" i="1"/>
  <c r="BR271" i="1" s="1"/>
  <c r="BR49" i="1"/>
  <c r="BR51" i="1"/>
  <c r="BS51" i="1"/>
  <c r="V80" i="1"/>
  <c r="BR246" i="1"/>
  <c r="BR252" i="1"/>
  <c r="BR253" i="1" s="1"/>
  <c r="BR132" i="1"/>
  <c r="BR54" i="1"/>
  <c r="BN132" i="1"/>
  <c r="BN246" i="1"/>
  <c r="BA132" i="1"/>
  <c r="AX132" i="1"/>
  <c r="AY132" i="1"/>
  <c r="AY246" i="1"/>
  <c r="AY51" i="1"/>
  <c r="AY270" i="1"/>
  <c r="AY271" i="1" s="1"/>
  <c r="AZ132" i="1"/>
  <c r="BV132" i="1"/>
  <c r="AQ132" i="1"/>
  <c r="BT132" i="1"/>
  <c r="BT51" i="1"/>
  <c r="AR246" i="1"/>
  <c r="AP246" i="1"/>
  <c r="AP270" i="1"/>
  <c r="AP271" i="1" s="1"/>
  <c r="AP132" i="1"/>
  <c r="BK246" i="1"/>
  <c r="BX132" i="1"/>
  <c r="AV132" i="1"/>
  <c r="Q80" i="1"/>
  <c r="BI223" i="1"/>
  <c r="BI221" i="1" s="1"/>
  <c r="BD246" i="1"/>
  <c r="BC132" i="1"/>
  <c r="BC246" i="1"/>
  <c r="BB246" i="1"/>
  <c r="R80" i="1"/>
  <c r="AV54" i="1"/>
  <c r="AZ50" i="1"/>
  <c r="AV49" i="1"/>
  <c r="AV252" i="1"/>
  <c r="AV253" i="1" s="1"/>
  <c r="AW270" i="1"/>
  <c r="AW271" i="1" s="1"/>
  <c r="AW51" i="1"/>
  <c r="BG49" i="1"/>
  <c r="BH246" i="1"/>
  <c r="T80" i="1"/>
  <c r="BG132" i="1"/>
  <c r="BJ132" i="1"/>
  <c r="BG270" i="1"/>
  <c r="BG271" i="1" s="1"/>
  <c r="BI246" i="1"/>
  <c r="BG54" i="1"/>
  <c r="BI132" i="1"/>
  <c r="BG252" i="1"/>
  <c r="BG253" i="1" s="1"/>
  <c r="BH132" i="1"/>
  <c r="BJ246" i="1"/>
  <c r="BH51" i="1"/>
  <c r="BG246" i="1"/>
  <c r="BG51" i="1"/>
  <c r="BL50" i="1"/>
  <c r="BH49" i="1"/>
  <c r="BH54" i="1"/>
  <c r="BH58" i="1" s="1"/>
  <c r="BH252" i="1"/>
  <c r="BH253" i="1" s="1"/>
  <c r="BH270" i="1"/>
  <c r="BH271" i="1" s="1"/>
  <c r="BH50" i="1"/>
  <c r="BI270" i="1"/>
  <c r="BI271" i="1" s="1"/>
  <c r="BI51" i="1"/>
  <c r="BW50" i="1"/>
  <c r="AN270" i="1"/>
  <c r="AN271" i="1" s="1"/>
  <c r="AN54" i="1"/>
  <c r="AO246" i="1"/>
  <c r="AN51" i="1"/>
  <c r="AN49" i="1"/>
  <c r="AN252" i="1"/>
  <c r="AN253" i="1" s="1"/>
  <c r="AN246" i="1"/>
  <c r="AR50" i="1"/>
  <c r="AO132" i="1"/>
  <c r="AN132" i="1"/>
  <c r="AO51" i="1"/>
  <c r="AN50" i="1"/>
  <c r="BW51" i="1"/>
  <c r="BN54" i="1"/>
  <c r="BP246" i="1"/>
  <c r="BO246" i="1"/>
  <c r="BR50" i="1"/>
  <c r="BQ132" i="1"/>
  <c r="BN49" i="1"/>
  <c r="BO51" i="1"/>
  <c r="BN51" i="1"/>
  <c r="BN252" i="1"/>
  <c r="BN253" i="1" s="1"/>
  <c r="BO270" i="1"/>
  <c r="BO271" i="1" s="1"/>
  <c r="BN270" i="1"/>
  <c r="BN271" i="1" s="1"/>
  <c r="BN50" i="1"/>
  <c r="BP132" i="1"/>
  <c r="BQ246" i="1"/>
  <c r="BO132" i="1"/>
  <c r="AX270" i="1"/>
  <c r="AX271" i="1" s="1"/>
  <c r="AX252" i="1"/>
  <c r="AX253" i="1" s="1"/>
  <c r="AX50" i="1"/>
  <c r="BB50" i="1"/>
  <c r="AZ246" i="1"/>
  <c r="AX54" i="1"/>
  <c r="AX51" i="1"/>
  <c r="AX49" i="1"/>
  <c r="BB54" i="1"/>
  <c r="BF50" i="1"/>
  <c r="BB252" i="1"/>
  <c r="BB253" i="1" s="1"/>
  <c r="BB132" i="1"/>
  <c r="BD132" i="1"/>
  <c r="BB49" i="1"/>
  <c r="BB270" i="1"/>
  <c r="BB271" i="1" s="1"/>
  <c r="BB51" i="1"/>
  <c r="BW246" i="1"/>
  <c r="BW252" i="1"/>
  <c r="BW253" i="1" s="1"/>
  <c r="BX51" i="1"/>
  <c r="X80" i="1"/>
  <c r="BW49" i="1"/>
  <c r="BZ132" i="1"/>
  <c r="BZ246" i="1"/>
  <c r="BW270" i="1"/>
  <c r="BW271" i="1" s="1"/>
  <c r="BW54" i="1"/>
  <c r="BY132" i="1"/>
  <c r="CA50" i="1"/>
  <c r="BX270" i="1"/>
  <c r="BX271" i="1" s="1"/>
  <c r="BY246" i="1"/>
  <c r="BC270" i="1"/>
  <c r="BC271" i="1" s="1"/>
  <c r="BE246" i="1"/>
  <c r="BE132" i="1"/>
  <c r="AQ49" i="1"/>
  <c r="AT246" i="1"/>
  <c r="AQ252" i="1"/>
  <c r="AQ253" i="1" s="1"/>
  <c r="P80" i="1"/>
  <c r="AQ54" i="1"/>
  <c r="AQ50" i="1"/>
  <c r="AR51" i="1"/>
  <c r="AR270" i="1"/>
  <c r="AR271" i="1" s="1"/>
  <c r="AT132" i="1"/>
  <c r="AO252" i="1"/>
  <c r="AO253" i="1" s="1"/>
  <c r="AO54" i="1"/>
  <c r="AO58" i="1" s="1"/>
  <c r="AO60" i="1" s="1"/>
  <c r="AR132" i="1"/>
  <c r="AO270" i="1"/>
  <c r="AO271" i="1" s="1"/>
  <c r="AO50" i="1"/>
  <c r="AS50" i="1"/>
  <c r="AO49" i="1"/>
  <c r="AR61" i="1"/>
  <c r="AR60" i="1"/>
  <c r="BT54" i="1"/>
  <c r="BU270" i="1"/>
  <c r="BU271" i="1" s="1"/>
  <c r="BT49" i="1"/>
  <c r="BX50" i="1"/>
  <c r="BU51" i="1"/>
  <c r="BT252" i="1"/>
  <c r="BT253" i="1" s="1"/>
  <c r="BT50" i="1"/>
  <c r="BW132" i="1"/>
  <c r="BU132" i="1"/>
  <c r="AV50" i="1"/>
  <c r="BJ254" i="1"/>
  <c r="BJ62" i="1"/>
  <c r="BJ265" i="1" s="1"/>
  <c r="BJ68" i="1"/>
  <c r="BQ60" i="1"/>
  <c r="BQ61" i="1"/>
  <c r="BA61" i="1"/>
  <c r="BA60" i="1"/>
  <c r="AW60" i="1"/>
  <c r="AW61" i="1"/>
  <c r="AT61" i="1"/>
  <c r="AT60" i="1"/>
  <c r="CR154" i="1"/>
  <c r="AE162" i="1"/>
  <c r="AC144" i="1"/>
  <c r="BA271" i="1" l="1"/>
  <c r="BV60" i="1"/>
  <c r="BV61" i="1"/>
  <c r="AV130" i="1"/>
  <c r="AV133" i="1" s="1"/>
  <c r="AV131" i="1"/>
  <c r="AV134" i="1" s="1"/>
  <c r="BT223" i="1"/>
  <c r="BT221" i="1" s="1"/>
  <c r="BS223" i="1"/>
  <c r="BS221" i="1" s="1"/>
  <c r="AP223" i="1"/>
  <c r="AP221" i="1" s="1"/>
  <c r="AO223" i="1"/>
  <c r="AO221" i="1" s="1"/>
  <c r="BB131" i="1"/>
  <c r="BB134" i="1" s="1"/>
  <c r="BB130" i="1"/>
  <c r="BB133" i="1" s="1"/>
  <c r="BN131" i="1"/>
  <c r="BN134" i="1" s="1"/>
  <c r="BN130" i="1"/>
  <c r="BN133" i="1" s="1"/>
  <c r="BP130" i="1"/>
  <c r="BP133" i="1" s="1"/>
  <c r="BP131" i="1"/>
  <c r="BP134" i="1" s="1"/>
  <c r="AY223" i="1"/>
  <c r="AY221" i="1" s="1"/>
  <c r="AZ223" i="1"/>
  <c r="AZ221" i="1" s="1"/>
  <c r="BF131" i="1"/>
  <c r="BF134" i="1" s="1"/>
  <c r="BF130" i="1"/>
  <c r="BF133" i="1" s="1"/>
  <c r="BC223" i="1"/>
  <c r="BC221" i="1" s="1"/>
  <c r="BD223" i="1"/>
  <c r="BD221" i="1" s="1"/>
  <c r="AX223" i="1"/>
  <c r="AX221" i="1" s="1"/>
  <c r="AW223" i="1"/>
  <c r="AW221" i="1" s="1"/>
  <c r="BB223" i="1"/>
  <c r="BB221" i="1" s="1"/>
  <c r="BA223" i="1"/>
  <c r="BA221" i="1" s="1"/>
  <c r="BR223" i="1"/>
  <c r="BR221" i="1" s="1"/>
  <c r="BQ223" i="1"/>
  <c r="BQ221" i="1" s="1"/>
  <c r="BH223" i="1"/>
  <c r="BH221" i="1" s="1"/>
  <c r="BG223" i="1"/>
  <c r="BG221" i="1" s="1"/>
  <c r="AR223" i="1"/>
  <c r="AR221" i="1" s="1"/>
  <c r="AQ223" i="1"/>
  <c r="AQ221" i="1" s="1"/>
  <c r="AR209" i="1"/>
  <c r="AV209" i="1"/>
  <c r="BR130" i="1"/>
  <c r="BR133" i="1" s="1"/>
  <c r="BR131" i="1"/>
  <c r="BR134" i="1" s="1"/>
  <c r="BE223" i="1"/>
  <c r="BE221" i="1" s="1"/>
  <c r="BF223" i="1"/>
  <c r="BF221" i="1" s="1"/>
  <c r="AT131" i="1"/>
  <c r="AT134" i="1" s="1"/>
  <c r="AT130" i="1"/>
  <c r="AT133" i="1" s="1"/>
  <c r="AN131" i="1"/>
  <c r="AN134" i="1" s="1"/>
  <c r="AN130" i="1"/>
  <c r="AN133" i="1" s="1"/>
  <c r="AT209" i="1"/>
  <c r="AX209" i="1"/>
  <c r="BV223" i="1"/>
  <c r="BV221" i="1" s="1"/>
  <c r="BU223" i="1"/>
  <c r="BU221" i="1" s="1"/>
  <c r="AV223" i="1"/>
  <c r="AV221" i="1" s="1"/>
  <c r="AU223" i="1"/>
  <c r="AU221" i="1" s="1"/>
  <c r="BT131" i="1"/>
  <c r="BT134" i="1" s="1"/>
  <c r="BT130" i="1"/>
  <c r="BT133" i="1" s="1"/>
  <c r="BD131" i="1"/>
  <c r="BD134" i="1" s="1"/>
  <c r="BD130" i="1"/>
  <c r="BD133" i="1" s="1"/>
  <c r="BO223" i="1"/>
  <c r="BO221" i="1" s="1"/>
  <c r="BP223" i="1"/>
  <c r="BP221" i="1" s="1"/>
  <c r="AX130" i="1"/>
  <c r="AX133" i="1" s="1"/>
  <c r="AX131" i="1"/>
  <c r="AX134" i="1" s="1"/>
  <c r="AP130" i="1"/>
  <c r="AP133" i="1" s="1"/>
  <c r="AP131" i="1"/>
  <c r="AP134" i="1" s="1"/>
  <c r="AZ130" i="1"/>
  <c r="AZ133" i="1" s="1"/>
  <c r="AZ131" i="1"/>
  <c r="AZ134" i="1" s="1"/>
  <c r="BH209" i="1"/>
  <c r="BD209" i="1"/>
  <c r="BN209" i="1"/>
  <c r="BR209" i="1"/>
  <c r="BB209" i="1"/>
  <c r="BF209" i="1"/>
  <c r="BT209" i="1"/>
  <c r="BX209" i="1"/>
  <c r="BL133" i="1"/>
  <c r="BL134" i="1"/>
  <c r="BK61" i="1"/>
  <c r="BK60" i="1"/>
  <c r="AY60" i="1"/>
  <c r="AY61" i="1"/>
  <c r="AP60" i="1"/>
  <c r="AP61" i="1"/>
  <c r="AP63" i="1" s="1"/>
  <c r="BU61" i="1"/>
  <c r="BY63" i="1" s="1"/>
  <c r="BU60" i="1"/>
  <c r="AS60" i="1"/>
  <c r="AS61" i="1"/>
  <c r="AS64" i="1" s="1"/>
  <c r="BP60" i="1"/>
  <c r="BP61" i="1"/>
  <c r="BQ64" i="1" s="1"/>
  <c r="BI58" i="1"/>
  <c r="BL75" i="1"/>
  <c r="BM60" i="1"/>
  <c r="BM61" i="1"/>
  <c r="BV133" i="1"/>
  <c r="BE60" i="1"/>
  <c r="BE61" i="1"/>
  <c r="BF254" i="1"/>
  <c r="BF62" i="1"/>
  <c r="BF265" i="1" s="1"/>
  <c r="BF68" i="1"/>
  <c r="BJ63" i="1"/>
  <c r="BD75" i="1"/>
  <c r="BV75" i="1"/>
  <c r="BD60" i="1"/>
  <c r="BD61" i="1"/>
  <c r="BO61" i="1"/>
  <c r="BO60" i="1"/>
  <c r="AL134" i="1"/>
  <c r="AL133" i="1"/>
  <c r="AI58" i="1"/>
  <c r="AL75" i="1"/>
  <c r="AU61" i="1"/>
  <c r="AU60" i="1"/>
  <c r="BC58" i="1"/>
  <c r="BF75" i="1"/>
  <c r="BX133" i="1"/>
  <c r="BX134" i="1"/>
  <c r="AZ254" i="1"/>
  <c r="AZ68" i="1"/>
  <c r="AZ62" i="1"/>
  <c r="AZ265" i="1" s="1"/>
  <c r="BR58" i="1"/>
  <c r="BR75" i="1"/>
  <c r="AR75" i="1"/>
  <c r="AP75" i="1"/>
  <c r="BV134" i="1"/>
  <c r="AO61" i="1"/>
  <c r="AR62" i="1"/>
  <c r="AR265" i="1" s="1"/>
  <c r="AR68" i="1"/>
  <c r="AR254" i="1"/>
  <c r="AX58" i="1"/>
  <c r="AZ75" i="1"/>
  <c r="BN58" i="1"/>
  <c r="BP75" i="1"/>
  <c r="BH61" i="1"/>
  <c r="BH60" i="1"/>
  <c r="AQ58" i="1"/>
  <c r="AT75" i="1"/>
  <c r="BX75" i="1"/>
  <c r="BZ75" i="1"/>
  <c r="BW58" i="1"/>
  <c r="BB58" i="1"/>
  <c r="BB75" i="1"/>
  <c r="AN75" i="1"/>
  <c r="AN58" i="1"/>
  <c r="BH133" i="1"/>
  <c r="BH134" i="1"/>
  <c r="AV58" i="1"/>
  <c r="AV75" i="1"/>
  <c r="AX75" i="1"/>
  <c r="BT58" i="1"/>
  <c r="BT75" i="1"/>
  <c r="BJ133" i="1"/>
  <c r="BJ134" i="1"/>
  <c r="BN75" i="1"/>
  <c r="BY75" i="1"/>
  <c r="BZ133" i="1"/>
  <c r="BZ134" i="1"/>
  <c r="BJ75" i="1"/>
  <c r="BG58" i="1"/>
  <c r="BH75" i="1"/>
  <c r="BS60" i="1"/>
  <c r="BS61" i="1"/>
  <c r="BJ72" i="1"/>
  <c r="BJ213" i="1"/>
  <c r="BJ215" i="1" s="1"/>
  <c r="BJ86" i="1"/>
  <c r="BQ62" i="1"/>
  <c r="BQ265" i="1" s="1"/>
  <c r="BQ68" i="1"/>
  <c r="BQ254" i="1"/>
  <c r="AT68" i="1"/>
  <c r="AT254" i="1"/>
  <c r="AT62" i="1"/>
  <c r="AT265" i="1" s="1"/>
  <c r="BA254" i="1"/>
  <c r="BA62" i="1"/>
  <c r="BA265" i="1" s="1"/>
  <c r="BA64" i="1"/>
  <c r="BA68" i="1"/>
  <c r="AW68" i="1"/>
  <c r="AW254" i="1"/>
  <c r="AW62" i="1"/>
  <c r="AW265" i="1" s="1"/>
  <c r="BA63" i="1"/>
  <c r="CR158" i="1"/>
  <c r="CS52" i="1"/>
  <c r="BV62" i="1" l="1"/>
  <c r="BV265" i="1" s="1"/>
  <c r="BV68" i="1"/>
  <c r="BV254" i="1"/>
  <c r="BZ63" i="1"/>
  <c r="BL64" i="1"/>
  <c r="BK68" i="1"/>
  <c r="BK62" i="1"/>
  <c r="BK265" i="1" s="1"/>
  <c r="AY254" i="1"/>
  <c r="AY62" i="1"/>
  <c r="AY265" i="1" s="1"/>
  <c r="AT63" i="1"/>
  <c r="AP254" i="1"/>
  <c r="AP68" i="1"/>
  <c r="AP62" i="1"/>
  <c r="AP265" i="1" s="1"/>
  <c r="AZ64" i="1"/>
  <c r="AY68" i="1"/>
  <c r="BU62" i="1"/>
  <c r="BU265" i="1" s="1"/>
  <c r="BU254" i="1"/>
  <c r="BU68" i="1"/>
  <c r="BK64" i="1"/>
  <c r="BK254" i="1"/>
  <c r="AS68" i="1"/>
  <c r="AS62" i="1"/>
  <c r="AS265" i="1" s="1"/>
  <c r="BV64" i="1"/>
  <c r="BU63" i="1"/>
  <c r="AS254" i="1"/>
  <c r="AT64" i="1"/>
  <c r="AW63" i="1"/>
  <c r="BP68" i="1"/>
  <c r="BP63" i="1"/>
  <c r="BP254" i="1"/>
  <c r="BP62" i="1"/>
  <c r="BP265" i="1" s="1"/>
  <c r="BI61" i="1"/>
  <c r="BI64" i="1" s="1"/>
  <c r="BI60" i="1"/>
  <c r="BM68" i="1"/>
  <c r="BM64" i="1"/>
  <c r="BM254" i="1"/>
  <c r="BM247" i="1"/>
  <c r="BQ63" i="1"/>
  <c r="BM62" i="1"/>
  <c r="BM265" i="1" s="1"/>
  <c r="BE62" i="1"/>
  <c r="BE265" i="1" s="1"/>
  <c r="BE68" i="1"/>
  <c r="BE254" i="1"/>
  <c r="BF64" i="1"/>
  <c r="BF72" i="1"/>
  <c r="BF213" i="1"/>
  <c r="BF215" i="1" s="1"/>
  <c r="BF86" i="1"/>
  <c r="BC61" i="1"/>
  <c r="BC60" i="1"/>
  <c r="BS63" i="1"/>
  <c r="BE63" i="1"/>
  <c r="BD68" i="1"/>
  <c r="BD254" i="1"/>
  <c r="BD62" i="1"/>
  <c r="BD265" i="1" s="1"/>
  <c r="BD63" i="1"/>
  <c r="BE64" i="1"/>
  <c r="BO254" i="1"/>
  <c r="BO62" i="1"/>
  <c r="BO265" i="1" s="1"/>
  <c r="BO68" i="1"/>
  <c r="BP64" i="1"/>
  <c r="BO63" i="1"/>
  <c r="AI61" i="1"/>
  <c r="AI60" i="1"/>
  <c r="AU62" i="1"/>
  <c r="AU265" i="1" s="1"/>
  <c r="AU254" i="1"/>
  <c r="AY63" i="1"/>
  <c r="AU68" i="1"/>
  <c r="AU247" i="1"/>
  <c r="AU64" i="1"/>
  <c r="AP64" i="1"/>
  <c r="AO68" i="1"/>
  <c r="AZ86" i="1"/>
  <c r="AZ72" i="1"/>
  <c r="AZ213" i="1"/>
  <c r="AZ215" i="1" s="1"/>
  <c r="BR61" i="1"/>
  <c r="BR60" i="1"/>
  <c r="AO63" i="1"/>
  <c r="BH63" i="1"/>
  <c r="AO254" i="1"/>
  <c r="AS63" i="1"/>
  <c r="AO62" i="1"/>
  <c r="AO265" i="1" s="1"/>
  <c r="BW61" i="1"/>
  <c r="BW63" i="1" s="1"/>
  <c r="BW60" i="1"/>
  <c r="BN61" i="1"/>
  <c r="BN60" i="1"/>
  <c r="AQ61" i="1"/>
  <c r="AQ60" i="1"/>
  <c r="AR72" i="1"/>
  <c r="AR213" i="1"/>
  <c r="AR215" i="1" s="1"/>
  <c r="AR86" i="1"/>
  <c r="BT61" i="1"/>
  <c r="BT60" i="1"/>
  <c r="AV60" i="1"/>
  <c r="AV61" i="1"/>
  <c r="AN61" i="1"/>
  <c r="AN60" i="1"/>
  <c r="BH68" i="1"/>
  <c r="BL63" i="1"/>
  <c r="BH254" i="1"/>
  <c r="BH62" i="1"/>
  <c r="BH265" i="1" s="1"/>
  <c r="AX61" i="1"/>
  <c r="AX60" i="1"/>
  <c r="BV72" i="1"/>
  <c r="BG60" i="1"/>
  <c r="BG61" i="1"/>
  <c r="BB61" i="1"/>
  <c r="BB60" i="1"/>
  <c r="BS254" i="1"/>
  <c r="BS62" i="1"/>
  <c r="BS265" i="1" s="1"/>
  <c r="BS68" i="1"/>
  <c r="BQ213" i="1"/>
  <c r="BQ215" i="1" s="1"/>
  <c r="BQ139" i="1"/>
  <c r="BQ140" i="1" s="1"/>
  <c r="BQ86" i="1"/>
  <c r="BQ72" i="1"/>
  <c r="AT86" i="1"/>
  <c r="AT213" i="1"/>
  <c r="AT215" i="1" s="1"/>
  <c r="AT72" i="1"/>
  <c r="AW213" i="1"/>
  <c r="AW215" i="1" s="1"/>
  <c r="AW86" i="1"/>
  <c r="AW139" i="1"/>
  <c r="AW140" i="1" s="1"/>
  <c r="AW72" i="1"/>
  <c r="BA72" i="1"/>
  <c r="BA213" i="1"/>
  <c r="BA215" i="1" s="1"/>
  <c r="BA86" i="1"/>
  <c r="BA139" i="1"/>
  <c r="BA140" i="1" s="1"/>
  <c r="CS214" i="1"/>
  <c r="CS152" i="1"/>
  <c r="CR223" i="1"/>
  <c r="CR221" i="1" s="1"/>
  <c r="AC145" i="1"/>
  <c r="AC148" i="1" s="1"/>
  <c r="AC269" i="1" s="1"/>
  <c r="BV86" i="1" l="1"/>
  <c r="BV213" i="1"/>
  <c r="BV215" i="1" s="1"/>
  <c r="BK72" i="1"/>
  <c r="BK213" i="1"/>
  <c r="BK215" i="1" s="1"/>
  <c r="BK139" i="1"/>
  <c r="BK140" i="1" s="1"/>
  <c r="BK86" i="1"/>
  <c r="AP213" i="1"/>
  <c r="AP215" i="1" s="1"/>
  <c r="AP86" i="1"/>
  <c r="AP72" i="1"/>
  <c r="BU139" i="1"/>
  <c r="BU140" i="1" s="1"/>
  <c r="BU72" i="1"/>
  <c r="BU213" i="1"/>
  <c r="BU215" i="1" s="1"/>
  <c r="BU86" i="1"/>
  <c r="BS64" i="1"/>
  <c r="BS247" i="1"/>
  <c r="AY213" i="1"/>
  <c r="AY215" i="1" s="1"/>
  <c r="AY86" i="1"/>
  <c r="AY139" i="1"/>
  <c r="AY140" i="1" s="1"/>
  <c r="AY72" i="1"/>
  <c r="AS72" i="1"/>
  <c r="AS139" i="1"/>
  <c r="AS140" i="1" s="1"/>
  <c r="AS213" i="1"/>
  <c r="AS215" i="1" s="1"/>
  <c r="AS86" i="1"/>
  <c r="BI63" i="1"/>
  <c r="BK247" i="1"/>
  <c r="BM86" i="1"/>
  <c r="BM72" i="1"/>
  <c r="BP72" i="1"/>
  <c r="BP213" i="1"/>
  <c r="BP215" i="1" s="1"/>
  <c r="BP86" i="1"/>
  <c r="BM63" i="1"/>
  <c r="BL247" i="1"/>
  <c r="BI68" i="1"/>
  <c r="BI254" i="1"/>
  <c r="BJ64" i="1"/>
  <c r="BI62" i="1"/>
  <c r="BI265" i="1" s="1"/>
  <c r="BM139" i="1"/>
  <c r="BM140" i="1" s="1"/>
  <c r="BM213" i="1"/>
  <c r="BM215" i="1" s="1"/>
  <c r="BE86" i="1"/>
  <c r="BE213" i="1"/>
  <c r="BE215" i="1" s="1"/>
  <c r="BE72" i="1"/>
  <c r="BE139" i="1"/>
  <c r="BE140" i="1" s="1"/>
  <c r="BF247" i="1"/>
  <c r="BD64" i="1"/>
  <c r="BC63" i="1"/>
  <c r="BC68" i="1"/>
  <c r="BC254" i="1"/>
  <c r="BC62" i="1"/>
  <c r="BC265" i="1" s="1"/>
  <c r="BD72" i="1"/>
  <c r="BD213" i="1"/>
  <c r="BD215" i="1" s="1"/>
  <c r="BD86" i="1"/>
  <c r="BO72" i="1"/>
  <c r="BO86" i="1"/>
  <c r="BO213" i="1"/>
  <c r="BO215" i="1" s="1"/>
  <c r="BO139" i="1"/>
  <c r="BO140" i="1" s="1"/>
  <c r="AI62" i="1"/>
  <c r="AI254" i="1"/>
  <c r="AJ64" i="1"/>
  <c r="AM63" i="1"/>
  <c r="AI68" i="1"/>
  <c r="AL247" i="1"/>
  <c r="AU72" i="1"/>
  <c r="AU86" i="1"/>
  <c r="AU213" i="1"/>
  <c r="AU215" i="1" s="1"/>
  <c r="AU139" i="1"/>
  <c r="AU140" i="1" s="1"/>
  <c r="AO213" i="1"/>
  <c r="AO215" i="1" s="1"/>
  <c r="AO86" i="1"/>
  <c r="AO139" i="1"/>
  <c r="AO140" i="1" s="1"/>
  <c r="AO72" i="1"/>
  <c r="BR62" i="1"/>
  <c r="BR265" i="1" s="1"/>
  <c r="BR254" i="1"/>
  <c r="BR68" i="1"/>
  <c r="BR227" i="1" s="1"/>
  <c r="BR225" i="1" s="1"/>
  <c r="BV63" i="1"/>
  <c r="BR64" i="1"/>
  <c r="BR247" i="1"/>
  <c r="AN62" i="1"/>
  <c r="AN265" i="1" s="1"/>
  <c r="AQ247" i="1"/>
  <c r="AO64" i="1"/>
  <c r="AN247" i="1"/>
  <c r="AN63" i="1"/>
  <c r="AP247" i="1"/>
  <c r="AR63" i="1"/>
  <c r="AO247" i="1"/>
  <c r="AN68" i="1"/>
  <c r="AN64" i="1"/>
  <c r="AN254" i="1"/>
  <c r="BX63" i="1"/>
  <c r="BT62" i="1"/>
  <c r="BT265" i="1" s="1"/>
  <c r="BT254" i="1"/>
  <c r="BT68" i="1"/>
  <c r="BU64" i="1"/>
  <c r="BT63" i="1"/>
  <c r="BW247" i="1"/>
  <c r="BV247" i="1"/>
  <c r="AZ63" i="1"/>
  <c r="AV62" i="1"/>
  <c r="AV265" i="1" s="1"/>
  <c r="AV254" i="1"/>
  <c r="AV68" i="1"/>
  <c r="AY247" i="1"/>
  <c r="AW247" i="1"/>
  <c r="AW64" i="1"/>
  <c r="AV63" i="1"/>
  <c r="AV64" i="1"/>
  <c r="AX247" i="1"/>
  <c r="AV247" i="1"/>
  <c r="AR64" i="1"/>
  <c r="AQ63" i="1"/>
  <c r="AQ254" i="1"/>
  <c r="AQ68" i="1"/>
  <c r="AQ62" i="1"/>
  <c r="AQ265" i="1" s="1"/>
  <c r="AQ64" i="1"/>
  <c r="AU63" i="1"/>
  <c r="AT247" i="1"/>
  <c r="AS247" i="1"/>
  <c r="AR247" i="1"/>
  <c r="BN254" i="1"/>
  <c r="BR63" i="1"/>
  <c r="BN68" i="1"/>
  <c r="BQ74" i="1" s="1"/>
  <c r="BN63" i="1"/>
  <c r="BN62" i="1"/>
  <c r="BN265" i="1" s="1"/>
  <c r="BO64" i="1"/>
  <c r="BN247" i="1"/>
  <c r="BQ247" i="1"/>
  <c r="BN64" i="1"/>
  <c r="BO247" i="1"/>
  <c r="BP247" i="1"/>
  <c r="BB62" i="1"/>
  <c r="BB265" i="1" s="1"/>
  <c r="BF63" i="1"/>
  <c r="BB254" i="1"/>
  <c r="BB68" i="1"/>
  <c r="BB227" i="1" s="1"/>
  <c r="BB225" i="1" s="1"/>
  <c r="BC64" i="1"/>
  <c r="BD247" i="1"/>
  <c r="BB247" i="1"/>
  <c r="BB64" i="1"/>
  <c r="BC247" i="1"/>
  <c r="BE247" i="1"/>
  <c r="BB63" i="1"/>
  <c r="AX68" i="1"/>
  <c r="AX254" i="1"/>
  <c r="AX62" i="1"/>
  <c r="AX265" i="1" s="1"/>
  <c r="AZ247" i="1"/>
  <c r="AX64" i="1"/>
  <c r="AY64" i="1"/>
  <c r="AX63" i="1"/>
  <c r="BA247" i="1"/>
  <c r="BH72" i="1"/>
  <c r="BH86" i="1"/>
  <c r="BH213" i="1"/>
  <c r="BH215" i="1" s="1"/>
  <c r="BT247" i="1"/>
  <c r="BT64" i="1"/>
  <c r="BK63" i="1"/>
  <c r="BG68" i="1"/>
  <c r="BH247" i="1"/>
  <c r="BG63" i="1"/>
  <c r="BG62" i="1"/>
  <c r="BG265" i="1" s="1"/>
  <c r="BH64" i="1"/>
  <c r="BG247" i="1"/>
  <c r="BG254" i="1"/>
  <c r="BJ247" i="1"/>
  <c r="BG64" i="1"/>
  <c r="BI247" i="1"/>
  <c r="BX247" i="1"/>
  <c r="BW254" i="1"/>
  <c r="BW64" i="1"/>
  <c r="BX64" i="1"/>
  <c r="BW68" i="1"/>
  <c r="X81" i="1"/>
  <c r="BY247" i="1"/>
  <c r="CA63" i="1"/>
  <c r="BW62" i="1"/>
  <c r="BW265" i="1" s="1"/>
  <c r="BZ247" i="1"/>
  <c r="BS213" i="1"/>
  <c r="BS215" i="1" s="1"/>
  <c r="BS72" i="1"/>
  <c r="BS139" i="1"/>
  <c r="BS140" i="1" s="1"/>
  <c r="BS86" i="1"/>
  <c r="BQ227" i="1"/>
  <c r="BQ225" i="1" s="1"/>
  <c r="BQ149" i="1"/>
  <c r="BQ75" i="1" s="1"/>
  <c r="BQ112" i="1"/>
  <c r="AW149" i="1"/>
  <c r="AW75" i="1" s="1"/>
  <c r="AW227" i="1"/>
  <c r="AW225" i="1" s="1"/>
  <c r="AW112" i="1"/>
  <c r="BA227" i="1"/>
  <c r="BA225" i="1" s="1"/>
  <c r="BA112" i="1"/>
  <c r="BA149" i="1"/>
  <c r="BA75" i="1" s="1"/>
  <c r="CS154" i="1"/>
  <c r="AC226" i="1"/>
  <c r="CA246" i="1"/>
  <c r="CB246" i="1"/>
  <c r="BU246" i="1"/>
  <c r="BK74" i="1" l="1"/>
  <c r="BM89" i="1"/>
  <c r="BI109" i="1" s="1"/>
  <c r="BK112" i="1"/>
  <c r="BL227" i="1"/>
  <c r="BL225" i="1" s="1"/>
  <c r="BK227" i="1"/>
  <c r="BK225" i="1" s="1"/>
  <c r="BK149" i="1"/>
  <c r="BK75" i="1" s="1"/>
  <c r="BV227" i="1"/>
  <c r="BV225" i="1" s="1"/>
  <c r="BU227" i="1"/>
  <c r="BU225" i="1" s="1"/>
  <c r="BU112" i="1"/>
  <c r="BU149" i="1"/>
  <c r="BU75" i="1" s="1"/>
  <c r="AU89" i="1"/>
  <c r="AY112" i="1"/>
  <c r="AY227" i="1"/>
  <c r="AY225" i="1" s="1"/>
  <c r="AY149" i="1"/>
  <c r="AY75" i="1" s="1"/>
  <c r="AZ227" i="1"/>
  <c r="AZ225" i="1" s="1"/>
  <c r="AS227" i="1"/>
  <c r="AS225" i="1" s="1"/>
  <c r="AS112" i="1"/>
  <c r="AS149" i="1"/>
  <c r="AS75" i="1" s="1"/>
  <c r="AT227" i="1"/>
  <c r="AT225" i="1" s="1"/>
  <c r="AO74" i="1"/>
  <c r="BL74" i="1"/>
  <c r="BI72" i="1"/>
  <c r="BI213" i="1"/>
  <c r="BI215" i="1" s="1"/>
  <c r="BI86" i="1"/>
  <c r="BI139" i="1"/>
  <c r="BI140" i="1" s="1"/>
  <c r="BM74" i="1"/>
  <c r="BM227" i="1"/>
  <c r="BM225" i="1" s="1"/>
  <c r="BM149" i="1"/>
  <c r="BM75" i="1" s="1"/>
  <c r="BM112" i="1"/>
  <c r="AX227" i="1"/>
  <c r="AX225" i="1" s="1"/>
  <c r="BA74" i="1"/>
  <c r="BF227" i="1"/>
  <c r="BF225" i="1" s="1"/>
  <c r="BE112" i="1"/>
  <c r="BE149" i="1"/>
  <c r="BE75" i="1" s="1"/>
  <c r="BE227" i="1"/>
  <c r="BE225" i="1" s="1"/>
  <c r="S81" i="1"/>
  <c r="BF74" i="1"/>
  <c r="BC86" i="1"/>
  <c r="BF89" i="1" s="1"/>
  <c r="BC139" i="1"/>
  <c r="BC140" i="1" s="1"/>
  <c r="BC213" i="1"/>
  <c r="BC215" i="1" s="1"/>
  <c r="BC72" i="1"/>
  <c r="BO227" i="1"/>
  <c r="BO225" i="1" s="1"/>
  <c r="BO149" i="1"/>
  <c r="BO75" i="1" s="1"/>
  <c r="BP227" i="1"/>
  <c r="BP225" i="1" s="1"/>
  <c r="BO112" i="1"/>
  <c r="AI86" i="1"/>
  <c r="AL89" i="1" s="1"/>
  <c r="AI72" i="1"/>
  <c r="AL74" i="1"/>
  <c r="N81" i="1"/>
  <c r="AI227" i="1"/>
  <c r="AI225" i="1" s="1"/>
  <c r="AI213" i="1"/>
  <c r="AI215" i="1" s="1"/>
  <c r="AI219" i="1" s="1"/>
  <c r="AI233" i="1" s="1"/>
  <c r="AU112" i="1"/>
  <c r="AU227" i="1"/>
  <c r="AU225" i="1" s="1"/>
  <c r="AU149" i="1"/>
  <c r="AU75" i="1" s="1"/>
  <c r="AU74" i="1"/>
  <c r="AP227" i="1"/>
  <c r="AP225" i="1" s="1"/>
  <c r="AO112" i="1"/>
  <c r="AO149" i="1"/>
  <c r="AO75" i="1" s="1"/>
  <c r="AO227" i="1"/>
  <c r="AO225" i="1" s="1"/>
  <c r="AV227" i="1"/>
  <c r="AV225" i="1" s="1"/>
  <c r="AY74" i="1"/>
  <c r="BT74" i="1"/>
  <c r="BR72" i="1"/>
  <c r="BR213" i="1"/>
  <c r="BR215" i="1" s="1"/>
  <c r="BR86" i="1"/>
  <c r="BR74" i="1"/>
  <c r="V81" i="1"/>
  <c r="AW74" i="1"/>
  <c r="BV74" i="1"/>
  <c r="BO74" i="1"/>
  <c r="BN227" i="1"/>
  <c r="BN225" i="1" s="1"/>
  <c r="BU74" i="1"/>
  <c r="BX74" i="1"/>
  <c r="BW139" i="1"/>
  <c r="BW140" i="1" s="1"/>
  <c r="BY74" i="1"/>
  <c r="BW213" i="1"/>
  <c r="BW215" i="1" s="1"/>
  <c r="BW72" i="1"/>
  <c r="BZ74" i="1"/>
  <c r="BW86" i="1"/>
  <c r="BN72" i="1"/>
  <c r="BN86" i="1"/>
  <c r="BN213" i="1"/>
  <c r="BN215" i="1" s="1"/>
  <c r="BN74" i="1"/>
  <c r="U81" i="1"/>
  <c r="BP74" i="1"/>
  <c r="AV213" i="1"/>
  <c r="AV215" i="1" s="1"/>
  <c r="AV72" i="1"/>
  <c r="AV86" i="1"/>
  <c r="AV74" i="1"/>
  <c r="Q81" i="1"/>
  <c r="AX74" i="1"/>
  <c r="BT213" i="1"/>
  <c r="BT215" i="1" s="1"/>
  <c r="BT72" i="1"/>
  <c r="BT86" i="1"/>
  <c r="BV89" i="1" s="1"/>
  <c r="BR109" i="1" s="1"/>
  <c r="AX72" i="1"/>
  <c r="AX86" i="1"/>
  <c r="AX213" i="1"/>
  <c r="AX215" i="1" s="1"/>
  <c r="AZ74" i="1"/>
  <c r="BB86" i="1"/>
  <c r="BB72" i="1"/>
  <c r="BB213" i="1"/>
  <c r="BB215" i="1" s="1"/>
  <c r="BB74" i="1"/>
  <c r="R81" i="1"/>
  <c r="BD74" i="1"/>
  <c r="BE74" i="1"/>
  <c r="AQ139" i="1"/>
  <c r="AQ140" i="1" s="1"/>
  <c r="AQ213" i="1"/>
  <c r="AQ215" i="1" s="1"/>
  <c r="AQ72" i="1"/>
  <c r="AQ86" i="1"/>
  <c r="AS74" i="1"/>
  <c r="AR74" i="1"/>
  <c r="AT74" i="1"/>
  <c r="P81" i="1"/>
  <c r="BG72" i="1"/>
  <c r="BG86" i="1"/>
  <c r="BG139" i="1"/>
  <c r="BG140" i="1" s="1"/>
  <c r="BJ74" i="1"/>
  <c r="BH74" i="1"/>
  <c r="BG213" i="1"/>
  <c r="BG215" i="1" s="1"/>
  <c r="T81" i="1"/>
  <c r="AN72" i="1"/>
  <c r="AP74" i="1"/>
  <c r="AN86" i="1"/>
  <c r="AN213" i="1"/>
  <c r="AN215" i="1" s="1"/>
  <c r="AN74" i="1"/>
  <c r="O81" i="1"/>
  <c r="AN227" i="1"/>
  <c r="AN225" i="1" s="1"/>
  <c r="BT227" i="1"/>
  <c r="BT225" i="1" s="1"/>
  <c r="BS112" i="1"/>
  <c r="BS149" i="1"/>
  <c r="BS75" i="1" s="1"/>
  <c r="BS227" i="1"/>
  <c r="BS225" i="1" s="1"/>
  <c r="BS74" i="1"/>
  <c r="BQ114" i="1"/>
  <c r="BQ115" i="1"/>
  <c r="BQ116" i="1"/>
  <c r="BA115" i="1"/>
  <c r="BA114" i="1"/>
  <c r="BA116" i="1"/>
  <c r="AW115" i="1"/>
  <c r="AW114" i="1"/>
  <c r="AW116" i="1"/>
  <c r="CS158" i="1"/>
  <c r="CT52" i="1"/>
  <c r="AD144" i="1"/>
  <c r="W79" i="1"/>
  <c r="BM105" i="1" l="1"/>
  <c r="BM107" i="1"/>
  <c r="BM106" i="1"/>
  <c r="BK116" i="1"/>
  <c r="BK114" i="1"/>
  <c r="BK115" i="1"/>
  <c r="BU114" i="1"/>
  <c r="BU116" i="1"/>
  <c r="BU115" i="1"/>
  <c r="AU107" i="1"/>
  <c r="AU106" i="1"/>
  <c r="AQ109" i="1"/>
  <c r="AU105" i="1"/>
  <c r="AY114" i="1"/>
  <c r="AY115" i="1"/>
  <c r="AY116" i="1"/>
  <c r="BL89" i="1"/>
  <c r="BK89" i="1"/>
  <c r="BR89" i="1"/>
  <c r="BR106" i="1" s="1"/>
  <c r="BT89" i="1"/>
  <c r="BS89" i="1"/>
  <c r="AS115" i="1"/>
  <c r="AS116" i="1"/>
  <c r="AS114" i="1"/>
  <c r="BI112" i="1"/>
  <c r="BI149" i="1"/>
  <c r="BI75" i="1" s="1"/>
  <c r="BI227" i="1"/>
  <c r="BI225" i="1" s="1"/>
  <c r="BI74" i="1"/>
  <c r="BJ227" i="1"/>
  <c r="BJ225" i="1" s="1"/>
  <c r="AI230" i="1"/>
  <c r="AI231" i="1" s="1"/>
  <c r="BM115" i="1"/>
  <c r="BM116" i="1"/>
  <c r="BM114" i="1"/>
  <c r="BU89" i="1"/>
  <c r="BU105" i="1" s="1"/>
  <c r="BE114" i="1"/>
  <c r="BE116" i="1"/>
  <c r="BE115" i="1"/>
  <c r="BC227" i="1"/>
  <c r="BC225" i="1" s="1"/>
  <c r="BC149" i="1"/>
  <c r="BC75" i="1" s="1"/>
  <c r="BC112" i="1"/>
  <c r="BC74" i="1"/>
  <c r="BD227" i="1"/>
  <c r="BD225" i="1" s="1"/>
  <c r="BB109" i="1"/>
  <c r="BF105" i="1"/>
  <c r="BF107" i="1"/>
  <c r="BF106" i="1"/>
  <c r="BO114" i="1"/>
  <c r="BO115" i="1"/>
  <c r="BO116" i="1"/>
  <c r="AL105" i="1"/>
  <c r="AL106" i="1"/>
  <c r="AL107" i="1"/>
  <c r="AU115" i="1"/>
  <c r="AU116" i="1"/>
  <c r="AU114" i="1"/>
  <c r="AO116" i="1"/>
  <c r="AO114" i="1"/>
  <c r="AO115" i="1"/>
  <c r="BA89" i="1"/>
  <c r="AZ89" i="1"/>
  <c r="AY89" i="1"/>
  <c r="AY106" i="1" s="1"/>
  <c r="AX89" i="1"/>
  <c r="AV89" i="1"/>
  <c r="AW89" i="1"/>
  <c r="AT89" i="1"/>
  <c r="AR89" i="1"/>
  <c r="AS89" i="1"/>
  <c r="BQ89" i="1"/>
  <c r="BO89" i="1"/>
  <c r="BN89" i="1"/>
  <c r="BP89" i="1"/>
  <c r="AQ89" i="1"/>
  <c r="AN89" i="1"/>
  <c r="AP89" i="1"/>
  <c r="AO89" i="1"/>
  <c r="BJ89" i="1"/>
  <c r="BF109" i="1" s="1"/>
  <c r="BG89" i="1"/>
  <c r="BH89" i="1"/>
  <c r="BI89" i="1"/>
  <c r="BE89" i="1"/>
  <c r="BE106" i="1" s="1"/>
  <c r="BD89" i="1"/>
  <c r="BB89" i="1"/>
  <c r="BC89" i="1"/>
  <c r="BZ89" i="1"/>
  <c r="BX89" i="1"/>
  <c r="BY89" i="1"/>
  <c r="BW89" i="1"/>
  <c r="BG227" i="1"/>
  <c r="BG225" i="1" s="1"/>
  <c r="BG149" i="1"/>
  <c r="BG75" i="1" s="1"/>
  <c r="BG112" i="1"/>
  <c r="BG74" i="1"/>
  <c r="BH227" i="1"/>
  <c r="BH225" i="1" s="1"/>
  <c r="AQ149" i="1"/>
  <c r="AQ75" i="1" s="1"/>
  <c r="AQ227" i="1"/>
  <c r="AQ225" i="1" s="1"/>
  <c r="AQ112" i="1"/>
  <c r="AR227" i="1"/>
  <c r="AR225" i="1" s="1"/>
  <c r="AQ74" i="1"/>
  <c r="BW227" i="1"/>
  <c r="BW225" i="1" s="1"/>
  <c r="BX227" i="1"/>
  <c r="BX225" i="1" s="1"/>
  <c r="BW149" i="1"/>
  <c r="BW75" i="1" s="1"/>
  <c r="BW74" i="1"/>
  <c r="BW112" i="1"/>
  <c r="BV107" i="1"/>
  <c r="BV106" i="1"/>
  <c r="BV105" i="1"/>
  <c r="BS114" i="1"/>
  <c r="BS115" i="1"/>
  <c r="BS116" i="1"/>
  <c r="AC52" i="1"/>
  <c r="CT214" i="1"/>
  <c r="CT152" i="1"/>
  <c r="CS223" i="1"/>
  <c r="CS221" i="1" s="1"/>
  <c r="W80" i="1"/>
  <c r="BL105" i="1" l="1"/>
  <c r="BL106" i="1"/>
  <c r="BN109" i="1"/>
  <c r="BR105" i="1"/>
  <c r="BR107" i="1"/>
  <c r="BV90" i="1"/>
  <c r="BP109" i="1"/>
  <c r="BT107" i="1"/>
  <c r="BT105" i="1"/>
  <c r="BT106" i="1"/>
  <c r="BS107" i="1"/>
  <c r="BO109" i="1"/>
  <c r="BS106" i="1"/>
  <c r="BS105" i="1"/>
  <c r="BH109" i="1"/>
  <c r="BL107" i="1"/>
  <c r="BK105" i="1"/>
  <c r="BK106" i="1"/>
  <c r="BK107" i="1"/>
  <c r="BG109" i="1"/>
  <c r="BT90" i="1"/>
  <c r="BV109" i="1"/>
  <c r="BZ90" i="1"/>
  <c r="BY90" i="1"/>
  <c r="BI115" i="1"/>
  <c r="BI116" i="1"/>
  <c r="BI114" i="1"/>
  <c r="BQ109" i="1"/>
  <c r="BU107" i="1"/>
  <c r="BU106" i="1"/>
  <c r="BW105" i="1"/>
  <c r="BW90" i="1"/>
  <c r="BC115" i="1"/>
  <c r="BC114" i="1"/>
  <c r="BC116" i="1"/>
  <c r="AW109" i="1"/>
  <c r="BE90" i="1"/>
  <c r="BQ106" i="1"/>
  <c r="BM109" i="1"/>
  <c r="AQ106" i="1"/>
  <c r="AQ105" i="1"/>
  <c r="BU90" i="1"/>
  <c r="BA107" i="1"/>
  <c r="AX90" i="1"/>
  <c r="CD90" i="1"/>
  <c r="BZ107" i="1"/>
  <c r="BX106" i="1"/>
  <c r="BT109" i="1"/>
  <c r="BX107" i="1"/>
  <c r="CB90" i="1"/>
  <c r="BX105" i="1"/>
  <c r="AN107" i="1"/>
  <c r="AR90" i="1"/>
  <c r="AN106" i="1"/>
  <c r="AN105" i="1"/>
  <c r="BO105" i="1"/>
  <c r="BK109" i="1"/>
  <c r="BO106" i="1"/>
  <c r="BO90" i="1"/>
  <c r="BO107" i="1"/>
  <c r="AP109" i="1"/>
  <c r="CA90" i="1"/>
  <c r="BS109" i="1"/>
  <c r="BW107" i="1"/>
  <c r="BE107" i="1"/>
  <c r="BI90" i="1"/>
  <c r="BE105" i="1"/>
  <c r="BJ106" i="1"/>
  <c r="BJ90" i="1"/>
  <c r="BJ105" i="1"/>
  <c r="AU90" i="1"/>
  <c r="AQ90" i="1"/>
  <c r="AQ107" i="1"/>
  <c r="BQ105" i="1"/>
  <c r="BQ90" i="1"/>
  <c r="BQ107" i="1"/>
  <c r="AW105" i="1"/>
  <c r="AW106" i="1"/>
  <c r="AS109" i="1"/>
  <c r="BA90" i="1"/>
  <c r="AW107" i="1"/>
  <c r="AV109" i="1"/>
  <c r="AZ107" i="1"/>
  <c r="AZ106" i="1"/>
  <c r="BD90" i="1"/>
  <c r="AZ105" i="1"/>
  <c r="AZ109" i="1"/>
  <c r="BD105" i="1"/>
  <c r="BH90" i="1"/>
  <c r="BD107" i="1"/>
  <c r="BD106" i="1"/>
  <c r="AY107" i="1"/>
  <c r="AU109" i="1"/>
  <c r="BC90" i="1"/>
  <c r="AY90" i="1"/>
  <c r="AT106" i="1"/>
  <c r="BJ107" i="1"/>
  <c r="BW106" i="1"/>
  <c r="AM109" i="1"/>
  <c r="BS90" i="1"/>
  <c r="BC107" i="1"/>
  <c r="AY109" i="1"/>
  <c r="BG90" i="1"/>
  <c r="BC106" i="1"/>
  <c r="BC105" i="1"/>
  <c r="BM90" i="1"/>
  <c r="BI107" i="1"/>
  <c r="BI105" i="1"/>
  <c r="BI106" i="1"/>
  <c r="BE109" i="1"/>
  <c r="AO107" i="1"/>
  <c r="AO105" i="1"/>
  <c r="AS90" i="1"/>
  <c r="AO106" i="1"/>
  <c r="BP90" i="1"/>
  <c r="BL109" i="1"/>
  <c r="BP106" i="1"/>
  <c r="BP107" i="1"/>
  <c r="BP105" i="1"/>
  <c r="AS106" i="1"/>
  <c r="AO109" i="1"/>
  <c r="AS107" i="1"/>
  <c r="AS105" i="1"/>
  <c r="AW90" i="1"/>
  <c r="AV106" i="1"/>
  <c r="AV105" i="1"/>
  <c r="AZ90" i="1"/>
  <c r="AV107" i="1"/>
  <c r="AR109" i="1"/>
  <c r="BA105" i="1"/>
  <c r="BA106" i="1"/>
  <c r="BC109" i="1"/>
  <c r="BG105" i="1"/>
  <c r="BG106" i="1"/>
  <c r="BG107" i="1"/>
  <c r="BK90" i="1"/>
  <c r="AT107" i="1"/>
  <c r="AT105" i="1"/>
  <c r="AY105" i="1"/>
  <c r="BZ106" i="1"/>
  <c r="CC110" i="1" s="1"/>
  <c r="BA109" i="1"/>
  <c r="BN90" i="1"/>
  <c r="BZ105" i="1"/>
  <c r="CC90" i="1"/>
  <c r="BY107" i="1"/>
  <c r="BU109" i="1"/>
  <c r="BY106" i="1"/>
  <c r="BY105" i="1"/>
  <c r="AX109" i="1"/>
  <c r="BF90" i="1"/>
  <c r="BB107" i="1"/>
  <c r="BB106" i="1"/>
  <c r="BB105" i="1"/>
  <c r="BH107" i="1"/>
  <c r="BH105" i="1"/>
  <c r="BD109" i="1"/>
  <c r="BL90" i="1"/>
  <c r="BH106" i="1"/>
  <c r="AT90" i="1"/>
  <c r="AP107" i="1"/>
  <c r="AP90" i="1"/>
  <c r="AL109" i="1"/>
  <c r="AP106" i="1"/>
  <c r="AP105" i="1"/>
  <c r="BR90" i="1"/>
  <c r="BJ109" i="1"/>
  <c r="BN107" i="1"/>
  <c r="BN105" i="1"/>
  <c r="BN106" i="1"/>
  <c r="AN109" i="1"/>
  <c r="AR107" i="1"/>
  <c r="AR106" i="1"/>
  <c r="AR105" i="1"/>
  <c r="AV90" i="1"/>
  <c r="AX106" i="1"/>
  <c r="BB90" i="1"/>
  <c r="AX105" i="1"/>
  <c r="AT109" i="1"/>
  <c r="AX107" i="1"/>
  <c r="BX90" i="1"/>
  <c r="BW114" i="1"/>
  <c r="BW116" i="1"/>
  <c r="BW115" i="1"/>
  <c r="BG114" i="1"/>
  <c r="BG116" i="1"/>
  <c r="BG115" i="1"/>
  <c r="AQ115" i="1"/>
  <c r="AQ116" i="1"/>
  <c r="AQ114" i="1"/>
  <c r="AC214" i="1"/>
  <c r="AC152" i="1"/>
  <c r="AC154" i="1" s="1"/>
  <c r="AC53" i="1" s="1"/>
  <c r="CT154" i="1"/>
  <c r="AD145" i="1"/>
  <c r="AD148" i="1" s="1"/>
  <c r="AD269" i="1" s="1"/>
  <c r="AR129" i="1"/>
  <c r="W81" i="1"/>
  <c r="CB110" i="1" l="1"/>
  <c r="BT110" i="1"/>
  <c r="BH110" i="1"/>
  <c r="BM110" i="1"/>
  <c r="BG110" i="1"/>
  <c r="BN110" i="1"/>
  <c r="BB110" i="1"/>
  <c r="BI110" i="1"/>
  <c r="AW110" i="1"/>
  <c r="BL110" i="1"/>
  <c r="BY110" i="1"/>
  <c r="AZ110" i="1"/>
  <c r="AR110" i="1"/>
  <c r="AV110" i="1"/>
  <c r="BJ110" i="1"/>
  <c r="BE110" i="1"/>
  <c r="AS110" i="1"/>
  <c r="AU110" i="1"/>
  <c r="BA110" i="1"/>
  <c r="AT110" i="1"/>
  <c r="AQ110" i="1"/>
  <c r="AP110" i="1"/>
  <c r="AO110" i="1"/>
  <c r="BP110" i="1"/>
  <c r="BO110" i="1"/>
  <c r="AY110" i="1"/>
  <c r="AX110" i="1"/>
  <c r="CA110" i="1"/>
  <c r="BR110" i="1"/>
  <c r="BC110" i="1"/>
  <c r="BZ110" i="1"/>
  <c r="BF110" i="1"/>
  <c r="BS110" i="1"/>
  <c r="BD110" i="1"/>
  <c r="BK110" i="1"/>
  <c r="BQ110" i="1"/>
  <c r="BX110" i="1"/>
  <c r="BW110" i="1"/>
  <c r="BV110" i="1"/>
  <c r="BU110" i="1"/>
  <c r="CU52" i="1"/>
  <c r="CT158" i="1"/>
  <c r="AD226" i="1"/>
  <c r="AB158" i="1"/>
  <c r="AR130" i="1"/>
  <c r="AR133" i="1" s="1"/>
  <c r="AR131" i="1"/>
  <c r="AR134" i="1" s="1"/>
  <c r="CA247" i="1"/>
  <c r="CB247" i="1"/>
  <c r="W213" i="1"/>
  <c r="W215" i="1" s="1"/>
  <c r="BU247" i="1"/>
  <c r="CT223" i="1" l="1"/>
  <c r="CT221" i="1" s="1"/>
  <c r="CU214" i="1"/>
  <c r="CU152" i="1"/>
  <c r="AB223" i="1"/>
  <c r="AB221" i="1" s="1"/>
  <c r="AE144" i="1"/>
  <c r="CA109" i="1"/>
  <c r="CU154" i="1" l="1"/>
  <c r="CF109" i="1"/>
  <c r="CU158" i="1" l="1"/>
  <c r="CV52" i="1"/>
  <c r="AE145" i="1"/>
  <c r="AE148" i="1" s="1"/>
  <c r="AE269" i="1" s="1"/>
  <c r="CV214" i="1" l="1"/>
  <c r="CV152" i="1"/>
  <c r="CU223" i="1"/>
  <c r="CU221" i="1" s="1"/>
  <c r="AE226" i="1"/>
  <c r="AC158" i="1"/>
  <c r="W140" i="1"/>
  <c r="CV154" i="1" l="1"/>
  <c r="W74" i="1"/>
  <c r="AC223" i="1"/>
  <c r="AC221" i="1" s="1"/>
  <c r="X227" i="1"/>
  <c r="X225" i="1" s="1"/>
  <c r="W227" i="1"/>
  <c r="W225" i="1" s="1"/>
  <c r="W149" i="1"/>
  <c r="W75" i="1" s="1"/>
  <c r="W195" i="1"/>
  <c r="CW52" i="1" l="1"/>
  <c r="CV158" i="1"/>
  <c r="CV223" i="1" l="1"/>
  <c r="CV221" i="1" s="1"/>
  <c r="CW214" i="1"/>
  <c r="CW152" i="1"/>
  <c r="CW154" i="1" l="1"/>
  <c r="CW158" i="1" l="1"/>
  <c r="CX52" i="1"/>
  <c r="AD52" i="1" l="1"/>
  <c r="CX214" i="1"/>
  <c r="CX152" i="1"/>
  <c r="CW223" i="1"/>
  <c r="CW221" i="1" s="1"/>
  <c r="AD214" i="1" l="1"/>
  <c r="AD152" i="1"/>
  <c r="AD154" i="1" s="1"/>
  <c r="CX154" i="1"/>
  <c r="AD158" i="1" l="1"/>
  <c r="AD223" i="1" s="1"/>
  <c r="AD221" i="1" s="1"/>
  <c r="AD53" i="1"/>
  <c r="CX158" i="1"/>
  <c r="CY52" i="1"/>
  <c r="CY214" i="1" l="1"/>
  <c r="CY152" i="1"/>
  <c r="CX223" i="1"/>
  <c r="CX221" i="1" s="1"/>
  <c r="CY154" i="1" l="1"/>
  <c r="W200" i="1"/>
  <c r="CY158" i="1" l="1"/>
  <c r="CZ52" i="1"/>
  <c r="W203" i="1"/>
  <c r="W176" i="1"/>
  <c r="X217" i="1" s="1"/>
  <c r="CZ214" i="1" l="1"/>
  <c r="CZ152" i="1"/>
  <c r="CY223" i="1"/>
  <c r="CY221" i="1" s="1"/>
  <c r="W205" i="1"/>
  <c r="W204" i="1" s="1"/>
  <c r="W217" i="1"/>
  <c r="W168" i="1"/>
  <c r="X216" i="1" s="1"/>
  <c r="X218" i="1" s="1"/>
  <c r="X219" i="1" s="1"/>
  <c r="X233" i="1" s="1"/>
  <c r="W199" i="1"/>
  <c r="CZ154" i="1" l="1"/>
  <c r="W202" i="1"/>
  <c r="W177" i="1"/>
  <c r="W216" i="1"/>
  <c r="W218" i="1" s="1"/>
  <c r="W219" i="1" s="1"/>
  <c r="CZ158" i="1" l="1"/>
  <c r="CZ223" i="1" s="1"/>
  <c r="CZ221" i="1" s="1"/>
  <c r="DA52" i="1"/>
  <c r="W201" i="1"/>
  <c r="W206" i="1"/>
  <c r="W230" i="1"/>
  <c r="W233" i="1"/>
  <c r="DA214" i="1" l="1"/>
  <c r="DA152" i="1"/>
  <c r="W209" i="1"/>
  <c r="W210" i="1" s="1"/>
  <c r="X209" i="1"/>
  <c r="X210" i="1" s="1"/>
  <c r="DA154" i="1" l="1"/>
  <c r="W181" i="1"/>
  <c r="X229" i="1" l="1"/>
  <c r="X230" i="1" s="1"/>
  <c r="X231" i="1" s="1"/>
  <c r="W266" i="1"/>
  <c r="W268" i="1"/>
  <c r="W264" i="1"/>
  <c r="DA158" i="1"/>
  <c r="DA223" i="1" s="1"/>
  <c r="DA221" i="1" s="1"/>
  <c r="DB52" i="1"/>
  <c r="W188" i="1"/>
  <c r="W129" i="1" s="1"/>
  <c r="W185" i="1"/>
  <c r="W231" i="1"/>
  <c r="AE52" i="1" l="1"/>
  <c r="AE214" i="1" s="1"/>
  <c r="DB214" i="1"/>
  <c r="DB152" i="1"/>
  <c r="W186" i="1"/>
  <c r="DB154" i="1" l="1"/>
  <c r="DB158" i="1" s="1"/>
  <c r="DB223" i="1" s="1"/>
  <c r="DB221" i="1" s="1"/>
  <c r="AE152" i="1"/>
  <c r="AE154" i="1" s="1"/>
  <c r="C111" i="2"/>
  <c r="C112" i="2"/>
  <c r="C113" i="2"/>
  <c r="AE158" i="1" l="1"/>
  <c r="AE223" i="1" s="1"/>
  <c r="AE221" i="1" s="1"/>
  <c r="AE53" i="1"/>
  <c r="B93" i="1"/>
  <c r="B94" i="1"/>
  <c r="AK199" i="1" l="1"/>
  <c r="AK164" i="1" s="1"/>
  <c r="AM164" i="1" l="1"/>
  <c r="AO164" i="1" l="1"/>
  <c r="AQ164" i="1" l="1"/>
  <c r="AS164" i="1" l="1"/>
  <c r="AU164" i="1" l="1"/>
  <c r="AW164" i="1" l="1"/>
  <c r="AY164" i="1" l="1"/>
  <c r="BA164" i="1" l="1"/>
  <c r="BC164" i="1" l="1"/>
  <c r="BE164" i="1" l="1"/>
  <c r="BG164" i="1" l="1"/>
  <c r="BI164" i="1" l="1"/>
  <c r="BK164" i="1" l="1"/>
  <c r="BM164" i="1" l="1"/>
  <c r="BO164" i="1" l="1"/>
  <c r="BQ164" i="1" l="1"/>
  <c r="BS164" i="1" l="1"/>
  <c r="BU164" i="1" l="1"/>
  <c r="BW164" i="1" l="1"/>
  <c r="BY164" i="1" l="1"/>
  <c r="AK165" i="1" l="1"/>
  <c r="AK168" i="1" s="1"/>
  <c r="AL216" i="1" l="1"/>
  <c r="AK216" i="1"/>
  <c r="AK202" i="1"/>
  <c r="AM165" i="1"/>
  <c r="AM168" i="1" s="1"/>
  <c r="AM202" i="1" l="1"/>
  <c r="AM201" i="1" s="1"/>
  <c r="AN216" i="1"/>
  <c r="AM216" i="1"/>
  <c r="AJ201" i="1"/>
  <c r="AK201" i="1"/>
  <c r="AO165" i="1" l="1"/>
  <c r="AO168" i="1" s="1"/>
  <c r="AP216" i="1" l="1"/>
  <c r="AO202" i="1"/>
  <c r="AO201" i="1" s="1"/>
  <c r="AO216" i="1"/>
  <c r="AQ165" i="1" l="1"/>
  <c r="AQ168" i="1" s="1"/>
  <c r="AQ202" i="1" l="1"/>
  <c r="AQ201" i="1" s="1"/>
  <c r="AR216" i="1"/>
  <c r="AQ216" i="1"/>
  <c r="AS165" i="1" l="1"/>
  <c r="AS168" i="1" s="1"/>
  <c r="AT216" i="1" l="1"/>
  <c r="AS202" i="1"/>
  <c r="AS201" i="1" s="1"/>
  <c r="AS216" i="1"/>
  <c r="AU165" i="1" l="1"/>
  <c r="AU168" i="1" s="1"/>
  <c r="AU202" i="1" l="1"/>
  <c r="AU201" i="1" s="1"/>
  <c r="AV216" i="1"/>
  <c r="AU216" i="1"/>
  <c r="AW165" i="1" l="1"/>
  <c r="AW168" i="1" s="1"/>
  <c r="AW202" i="1" l="1"/>
  <c r="AW201" i="1" s="1"/>
  <c r="AX216" i="1"/>
  <c r="AW216" i="1"/>
  <c r="AY165" i="1" l="1"/>
  <c r="AY168" i="1" s="1"/>
  <c r="AY202" i="1" l="1"/>
  <c r="AY201" i="1" s="1"/>
  <c r="AZ216" i="1"/>
  <c r="AY216" i="1"/>
  <c r="BA165" i="1" l="1"/>
  <c r="BA168" i="1" s="1"/>
  <c r="BB216" i="1" l="1"/>
  <c r="BA202" i="1"/>
  <c r="BA201" i="1" s="1"/>
  <c r="BA216" i="1"/>
  <c r="BC165" i="1" l="1"/>
  <c r="BC168" i="1" s="1"/>
  <c r="BD216" i="1" l="1"/>
  <c r="BC202" i="1"/>
  <c r="BC201" i="1" s="1"/>
  <c r="BC216" i="1"/>
  <c r="BE165" i="1" l="1"/>
  <c r="BE168" i="1" s="1"/>
  <c r="BF216" i="1" l="1"/>
  <c r="BE202" i="1"/>
  <c r="BE201" i="1" s="1"/>
  <c r="BE216" i="1"/>
  <c r="BG165" i="1" l="1"/>
  <c r="BG168" i="1" s="1"/>
  <c r="BG202" i="1" l="1"/>
  <c r="BG201" i="1" s="1"/>
  <c r="BH216" i="1"/>
  <c r="BG216" i="1"/>
  <c r="BI165" i="1" l="1"/>
  <c r="BI168" i="1" s="1"/>
  <c r="BJ216" i="1" l="1"/>
  <c r="BI202" i="1"/>
  <c r="BI201" i="1" s="1"/>
  <c r="BI216" i="1"/>
  <c r="BK165" i="1" l="1"/>
  <c r="BK168" i="1" s="1"/>
  <c r="BL216" i="1" l="1"/>
  <c r="BK202" i="1"/>
  <c r="BK201" i="1" s="1"/>
  <c r="BK216" i="1"/>
  <c r="BM165" i="1" l="1"/>
  <c r="BM168" i="1" s="1"/>
  <c r="BM202" i="1" l="1"/>
  <c r="BM201" i="1" s="1"/>
  <c r="BN216" i="1"/>
  <c r="BM216" i="1"/>
  <c r="BO165" i="1" l="1"/>
  <c r="BO168" i="1" s="1"/>
  <c r="BO202" i="1" l="1"/>
  <c r="BO201" i="1" s="1"/>
  <c r="BP216" i="1"/>
  <c r="BO216" i="1"/>
  <c r="BQ165" i="1" l="1"/>
  <c r="BQ168" i="1" s="1"/>
  <c r="BR216" i="1" l="1"/>
  <c r="BQ202" i="1"/>
  <c r="BQ201" i="1" s="1"/>
  <c r="BQ216" i="1"/>
  <c r="BS165" i="1" l="1"/>
  <c r="BS168" i="1" s="1"/>
  <c r="BT216" i="1" l="1"/>
  <c r="BS202" i="1"/>
  <c r="BS201" i="1" s="1"/>
  <c r="BS216" i="1"/>
  <c r="BU165" i="1" l="1"/>
  <c r="BU168" i="1" s="1"/>
  <c r="BU202" i="1" l="1"/>
  <c r="BU201" i="1" s="1"/>
  <c r="BV216" i="1"/>
  <c r="BU216" i="1"/>
  <c r="BW165" i="1" l="1"/>
  <c r="BW168" i="1" s="1"/>
  <c r="BW202" i="1" l="1"/>
  <c r="BW201" i="1" s="1"/>
  <c r="BX216" i="1"/>
  <c r="BW216" i="1"/>
  <c r="BY165" i="1" l="1"/>
  <c r="BY168" i="1" s="1"/>
  <c r="BZ216" i="1" l="1"/>
  <c r="BY202" i="1"/>
  <c r="BY201" i="1" s="1"/>
  <c r="BY216" i="1"/>
  <c r="AK203" i="1" l="1"/>
  <c r="AK173" i="1" s="1"/>
  <c r="AK176" i="1" s="1"/>
  <c r="AK177" i="1" l="1"/>
  <c r="AK205" i="1"/>
  <c r="AL217" i="1"/>
  <c r="AL218" i="1" s="1"/>
  <c r="AL219" i="1" s="1"/>
  <c r="AL233" i="1" s="1"/>
  <c r="AK217" i="1"/>
  <c r="AK218" i="1" s="1"/>
  <c r="AK219" i="1" s="1"/>
  <c r="AM173" i="1"/>
  <c r="AM176" i="1" s="1"/>
  <c r="AK233" i="1" l="1"/>
  <c r="AK230" i="1"/>
  <c r="AK180" i="1" s="1"/>
  <c r="AK181" i="1" s="1"/>
  <c r="AK185" i="1" s="1"/>
  <c r="AK186" i="1" s="1"/>
  <c r="AN217" i="1"/>
  <c r="AN218" i="1" s="1"/>
  <c r="AN219" i="1" s="1"/>
  <c r="AN233" i="1" s="1"/>
  <c r="AM205" i="1"/>
  <c r="AM204" i="1" s="1"/>
  <c r="AM217" i="1"/>
  <c r="AM218" i="1" s="1"/>
  <c r="AM219" i="1" s="1"/>
  <c r="AM177" i="1"/>
  <c r="AJ204" i="1"/>
  <c r="AJ206" i="1"/>
  <c r="AN209" i="1" s="1"/>
  <c r="AK204" i="1"/>
  <c r="AK206" i="1"/>
  <c r="AO173" i="1"/>
  <c r="AO176" i="1" s="1"/>
  <c r="AM206" i="1" l="1"/>
  <c r="AO205" i="1"/>
  <c r="AO204" i="1" s="1"/>
  <c r="AP217" i="1"/>
  <c r="AP218" i="1" s="1"/>
  <c r="AP219" i="1" s="1"/>
  <c r="AP233" i="1" s="1"/>
  <c r="AO217" i="1"/>
  <c r="AO218" i="1" s="1"/>
  <c r="AO219" i="1" s="1"/>
  <c r="AM233" i="1"/>
  <c r="AM230" i="1"/>
  <c r="AO177" i="1"/>
  <c r="AL229" i="1" l="1"/>
  <c r="AL230" i="1" s="1"/>
  <c r="AL231" i="1" s="1"/>
  <c r="AK231" i="1"/>
  <c r="AO206" i="1"/>
  <c r="AO209" i="1" s="1"/>
  <c r="AO233" i="1"/>
  <c r="AO230" i="1"/>
  <c r="AQ173" i="1"/>
  <c r="AQ176" i="1" s="1"/>
  <c r="AK188" i="1"/>
  <c r="AL57" i="1" s="1"/>
  <c r="AM180" i="1"/>
  <c r="AM181" i="1" s="1"/>
  <c r="AM185" i="1" s="1"/>
  <c r="AN229" i="1" l="1"/>
  <c r="AN230" i="1" s="1"/>
  <c r="AN231" i="1" s="1"/>
  <c r="AM268" i="1"/>
  <c r="AM266" i="1"/>
  <c r="AM264" i="1"/>
  <c r="AQ205" i="1"/>
  <c r="AQ204" i="1" s="1"/>
  <c r="AR217" i="1"/>
  <c r="AR218" i="1" s="1"/>
  <c r="AR219" i="1" s="1"/>
  <c r="AR233" i="1" s="1"/>
  <c r="AQ217" i="1"/>
  <c r="AQ218" i="1" s="1"/>
  <c r="AQ219" i="1" s="1"/>
  <c r="AM231" i="1"/>
  <c r="AQ177" i="1"/>
  <c r="AO180" i="1"/>
  <c r="AO181" i="1" s="1"/>
  <c r="AM188" i="1"/>
  <c r="AO266" i="1" l="1"/>
  <c r="AO268" i="1"/>
  <c r="AO264" i="1"/>
  <c r="AM129" i="1"/>
  <c r="AM130" i="1" s="1"/>
  <c r="AM133" i="1" s="1"/>
  <c r="AN57" i="1"/>
  <c r="AQ206" i="1"/>
  <c r="AQ209" i="1" s="1"/>
  <c r="AQ233" i="1"/>
  <c r="AQ230" i="1"/>
  <c r="AP229" i="1"/>
  <c r="AP230" i="1" s="1"/>
  <c r="AP231" i="1" s="1"/>
  <c r="AO231" i="1"/>
  <c r="AS173" i="1"/>
  <c r="AS176" i="1" s="1"/>
  <c r="AO188" i="1"/>
  <c r="AO185" i="1"/>
  <c r="AM186" i="1"/>
  <c r="AM131" i="1" l="1"/>
  <c r="AM134" i="1" s="1"/>
  <c r="AO129" i="1"/>
  <c r="AO131" i="1" s="1"/>
  <c r="AO134" i="1" s="1"/>
  <c r="AP57" i="1"/>
  <c r="AS205" i="1"/>
  <c r="AS204" i="1" s="1"/>
  <c r="AT217" i="1"/>
  <c r="AT218" i="1" s="1"/>
  <c r="AT219" i="1" s="1"/>
  <c r="AT233" i="1" s="1"/>
  <c r="AS217" i="1"/>
  <c r="AS218" i="1" s="1"/>
  <c r="AS219" i="1" s="1"/>
  <c r="AO186" i="1"/>
  <c r="AS177" i="1"/>
  <c r="AQ180" i="1"/>
  <c r="AQ181" i="1" s="1"/>
  <c r="AQ266" i="1" l="1"/>
  <c r="AQ268" i="1"/>
  <c r="AQ264" i="1"/>
  <c r="AO130" i="1"/>
  <c r="AO133" i="1" s="1"/>
  <c r="AS206" i="1"/>
  <c r="AS209" i="1" s="1"/>
  <c r="AS233" i="1"/>
  <c r="AS230" i="1"/>
  <c r="AR229" i="1"/>
  <c r="AR230" i="1" s="1"/>
  <c r="AR231" i="1" s="1"/>
  <c r="AQ231" i="1"/>
  <c r="AQ185" i="1"/>
  <c r="AQ188" i="1"/>
  <c r="AU173" i="1"/>
  <c r="AU176" i="1" s="1"/>
  <c r="AQ129" i="1" l="1"/>
  <c r="AQ130" i="1" s="1"/>
  <c r="AQ133" i="1" s="1"/>
  <c r="AR57" i="1"/>
  <c r="AU205" i="1"/>
  <c r="AU204" i="1" s="1"/>
  <c r="AV217" i="1"/>
  <c r="AV218" i="1" s="1"/>
  <c r="AV219" i="1" s="1"/>
  <c r="AV233" i="1" s="1"/>
  <c r="AU217" i="1"/>
  <c r="AU218" i="1" s="1"/>
  <c r="AU219" i="1" s="1"/>
  <c r="AU177" i="1"/>
  <c r="AS180" i="1"/>
  <c r="AS181" i="1" s="1"/>
  <c r="AQ186" i="1"/>
  <c r="AS268" i="1" l="1"/>
  <c r="AS266" i="1"/>
  <c r="AS264" i="1"/>
  <c r="AQ131" i="1"/>
  <c r="AQ134" i="1" s="1"/>
  <c r="AU206" i="1"/>
  <c r="AU209" i="1" s="1"/>
  <c r="AU233" i="1"/>
  <c r="AU230" i="1"/>
  <c r="AT229" i="1"/>
  <c r="AT230" i="1" s="1"/>
  <c r="AT231" i="1" s="1"/>
  <c r="AS231" i="1"/>
  <c r="AS188" i="1"/>
  <c r="AS185" i="1"/>
  <c r="AW173" i="1"/>
  <c r="AW176" i="1" s="1"/>
  <c r="AS129" i="1" l="1"/>
  <c r="AS130" i="1" s="1"/>
  <c r="AS133" i="1" s="1"/>
  <c r="AT57" i="1"/>
  <c r="AW205" i="1"/>
  <c r="AW206" i="1" s="1"/>
  <c r="AW209" i="1" s="1"/>
  <c r="AX217" i="1"/>
  <c r="AX218" i="1" s="1"/>
  <c r="AX219" i="1" s="1"/>
  <c r="AX233" i="1" s="1"/>
  <c r="AW217" i="1"/>
  <c r="AW218" i="1" s="1"/>
  <c r="AW219" i="1" s="1"/>
  <c r="AU180" i="1"/>
  <c r="AU181" i="1" s="1"/>
  <c r="AS186" i="1"/>
  <c r="AW177" i="1"/>
  <c r="AU268" i="1" l="1"/>
  <c r="AU266" i="1"/>
  <c r="AU264" i="1"/>
  <c r="AS131" i="1"/>
  <c r="AS134" i="1" s="1"/>
  <c r="AW204" i="1"/>
  <c r="AW233" i="1"/>
  <c r="AW230" i="1"/>
  <c r="AV229" i="1"/>
  <c r="AV230" i="1" s="1"/>
  <c r="AV231" i="1" s="1"/>
  <c r="AU231" i="1"/>
  <c r="AU188" i="1"/>
  <c r="AU185" i="1"/>
  <c r="AY173" i="1"/>
  <c r="AY176" i="1" s="1"/>
  <c r="AU129" i="1" l="1"/>
  <c r="AU131" i="1" s="1"/>
  <c r="AU134" i="1" s="1"/>
  <c r="AV57" i="1"/>
  <c r="AY205" i="1"/>
  <c r="AY204" i="1" s="1"/>
  <c r="AZ217" i="1"/>
  <c r="AZ218" i="1" s="1"/>
  <c r="AZ219" i="1" s="1"/>
  <c r="AZ233" i="1" s="1"/>
  <c r="AY217" i="1"/>
  <c r="AY218" i="1" s="1"/>
  <c r="AY219" i="1" s="1"/>
  <c r="AW180" i="1"/>
  <c r="AW181" i="1" s="1"/>
  <c r="AY177" i="1"/>
  <c r="AU186" i="1"/>
  <c r="AW266" i="1" l="1"/>
  <c r="AW268" i="1"/>
  <c r="AW264" i="1"/>
  <c r="AU130" i="1"/>
  <c r="AU133" i="1" s="1"/>
  <c r="AY206" i="1"/>
  <c r="AY209" i="1" s="1"/>
  <c r="AY233" i="1"/>
  <c r="AY230" i="1"/>
  <c r="AX229" i="1"/>
  <c r="AX230" i="1" s="1"/>
  <c r="AX231" i="1" s="1"/>
  <c r="AW231" i="1"/>
  <c r="BA173" i="1"/>
  <c r="BA176" i="1" s="1"/>
  <c r="AW185" i="1"/>
  <c r="AW188" i="1"/>
  <c r="AW129" i="1" l="1"/>
  <c r="AW131" i="1" s="1"/>
  <c r="AW134" i="1" s="1"/>
  <c r="AX57" i="1"/>
  <c r="BB217" i="1"/>
  <c r="BB218" i="1" s="1"/>
  <c r="BB219" i="1" s="1"/>
  <c r="BB233" i="1" s="1"/>
  <c r="BA205" i="1"/>
  <c r="BA204" i="1" s="1"/>
  <c r="BA217" i="1"/>
  <c r="BA218" i="1" s="1"/>
  <c r="BA219" i="1" s="1"/>
  <c r="AW186" i="1"/>
  <c r="BA177" i="1"/>
  <c r="AY180" i="1"/>
  <c r="AY181" i="1" s="1"/>
  <c r="AY266" i="1" l="1"/>
  <c r="AY268" i="1"/>
  <c r="AY264" i="1"/>
  <c r="AW130" i="1"/>
  <c r="AW133" i="1" s="1"/>
  <c r="BA206" i="1"/>
  <c r="BA209" i="1" s="1"/>
  <c r="BA233" i="1"/>
  <c r="BA230" i="1"/>
  <c r="AZ229" i="1"/>
  <c r="AZ230" i="1" s="1"/>
  <c r="AZ231" i="1" s="1"/>
  <c r="AY231" i="1"/>
  <c r="AY185" i="1"/>
  <c r="AY188" i="1"/>
  <c r="BC173" i="1"/>
  <c r="BC176" i="1" s="1"/>
  <c r="AY129" i="1" l="1"/>
  <c r="AY131" i="1" s="1"/>
  <c r="AY134" i="1" s="1"/>
  <c r="AZ57" i="1"/>
  <c r="BC205" i="1"/>
  <c r="BC204" i="1" s="1"/>
  <c r="BD217" i="1"/>
  <c r="BD218" i="1" s="1"/>
  <c r="BD219" i="1" s="1"/>
  <c r="BD233" i="1" s="1"/>
  <c r="BC217" i="1"/>
  <c r="BC218" i="1" s="1"/>
  <c r="BC219" i="1" s="1"/>
  <c r="AY186" i="1"/>
  <c r="BC177" i="1"/>
  <c r="BA180" i="1"/>
  <c r="BA181" i="1" s="1"/>
  <c r="BA268" i="1" l="1"/>
  <c r="BA266" i="1"/>
  <c r="BA264" i="1"/>
  <c r="AY130" i="1"/>
  <c r="AY133" i="1" s="1"/>
  <c r="BC206" i="1"/>
  <c r="BC209" i="1" s="1"/>
  <c r="BC233" i="1"/>
  <c r="BC230" i="1"/>
  <c r="BB229" i="1"/>
  <c r="BB230" i="1" s="1"/>
  <c r="BB231" i="1" s="1"/>
  <c r="BA231" i="1"/>
  <c r="BE173" i="1"/>
  <c r="BE176" i="1" s="1"/>
  <c r="BA188" i="1"/>
  <c r="BA185" i="1"/>
  <c r="BA129" i="1" l="1"/>
  <c r="BA130" i="1" s="1"/>
  <c r="BA133" i="1" s="1"/>
  <c r="BB57" i="1"/>
  <c r="BE205" i="1"/>
  <c r="BE204" i="1" s="1"/>
  <c r="BF217" i="1"/>
  <c r="BF218" i="1" s="1"/>
  <c r="BF219" i="1" s="1"/>
  <c r="BF233" i="1" s="1"/>
  <c r="BE217" i="1"/>
  <c r="BE218" i="1" s="1"/>
  <c r="BE219" i="1" s="1"/>
  <c r="BC180" i="1"/>
  <c r="BC181" i="1" s="1"/>
  <c r="BA186" i="1"/>
  <c r="BE177" i="1"/>
  <c r="BC268" i="1" l="1"/>
  <c r="BC266" i="1"/>
  <c r="BC264" i="1"/>
  <c r="BA131" i="1"/>
  <c r="BA134" i="1" s="1"/>
  <c r="BE206" i="1"/>
  <c r="BE209" i="1" s="1"/>
  <c r="BE233" i="1"/>
  <c r="BE230" i="1"/>
  <c r="BD229" i="1"/>
  <c r="BD230" i="1" s="1"/>
  <c r="BD231" i="1" s="1"/>
  <c r="BC231" i="1"/>
  <c r="BG173" i="1"/>
  <c r="BG176" i="1" s="1"/>
  <c r="BC185" i="1"/>
  <c r="BC188" i="1"/>
  <c r="BC129" i="1" l="1"/>
  <c r="BC130" i="1" s="1"/>
  <c r="BC133" i="1" s="1"/>
  <c r="BD57" i="1"/>
  <c r="BG205" i="1"/>
  <c r="BG206" i="1" s="1"/>
  <c r="BG209" i="1" s="1"/>
  <c r="BH217" i="1"/>
  <c r="BH218" i="1" s="1"/>
  <c r="BH219" i="1" s="1"/>
  <c r="BH233" i="1" s="1"/>
  <c r="BG217" i="1"/>
  <c r="BG218" i="1" s="1"/>
  <c r="BG219" i="1" s="1"/>
  <c r="BC186" i="1"/>
  <c r="BE180" i="1"/>
  <c r="BE181" i="1" s="1"/>
  <c r="BG177" i="1"/>
  <c r="BE266" i="1" l="1"/>
  <c r="BE268" i="1"/>
  <c r="BE264" i="1"/>
  <c r="BC131" i="1"/>
  <c r="BC134" i="1" s="1"/>
  <c r="BG204" i="1"/>
  <c r="BG233" i="1"/>
  <c r="BG230" i="1"/>
  <c r="BF229" i="1"/>
  <c r="BF230" i="1" s="1"/>
  <c r="BF231" i="1" s="1"/>
  <c r="BE231" i="1"/>
  <c r="BE188" i="1"/>
  <c r="BE185" i="1"/>
  <c r="BI173" i="1"/>
  <c r="BI176" i="1" s="1"/>
  <c r="BE129" i="1" l="1"/>
  <c r="BE130" i="1" s="1"/>
  <c r="BE133" i="1" s="1"/>
  <c r="BF57" i="1"/>
  <c r="BI205" i="1"/>
  <c r="BI204" i="1" s="1"/>
  <c r="BJ217" i="1"/>
  <c r="BJ218" i="1" s="1"/>
  <c r="BJ219" i="1" s="1"/>
  <c r="BJ233" i="1" s="1"/>
  <c r="BI217" i="1"/>
  <c r="BI218" i="1" s="1"/>
  <c r="BI219" i="1" s="1"/>
  <c r="BE186" i="1"/>
  <c r="BG180" i="1"/>
  <c r="BG181" i="1" s="1"/>
  <c r="BI177" i="1"/>
  <c r="BG266" i="1" l="1"/>
  <c r="BG268" i="1"/>
  <c r="BG264" i="1"/>
  <c r="BE131" i="1"/>
  <c r="BE134" i="1" s="1"/>
  <c r="BI206" i="1"/>
  <c r="BI209" i="1" s="1"/>
  <c r="BI233" i="1"/>
  <c r="BI230" i="1"/>
  <c r="BH229" i="1"/>
  <c r="BH230" i="1" s="1"/>
  <c r="BH231" i="1" s="1"/>
  <c r="BG231" i="1"/>
  <c r="BG185" i="1"/>
  <c r="BG188" i="1"/>
  <c r="BK173" i="1"/>
  <c r="BK176" i="1" s="1"/>
  <c r="BG129" i="1" l="1"/>
  <c r="BG130" i="1" s="1"/>
  <c r="BG133" i="1" s="1"/>
  <c r="BH57" i="1"/>
  <c r="BL217" i="1"/>
  <c r="BL218" i="1" s="1"/>
  <c r="BL219" i="1" s="1"/>
  <c r="BL233" i="1" s="1"/>
  <c r="BK205" i="1"/>
  <c r="BK204" i="1" s="1"/>
  <c r="BK217" i="1"/>
  <c r="BK218" i="1" s="1"/>
  <c r="BK219" i="1" s="1"/>
  <c r="BK177" i="1"/>
  <c r="BG186" i="1"/>
  <c r="BI180" i="1"/>
  <c r="BI181" i="1" s="1"/>
  <c r="BI268" i="1" l="1"/>
  <c r="BI266" i="1"/>
  <c r="BI264" i="1"/>
  <c r="BG131" i="1"/>
  <c r="BG134" i="1" s="1"/>
  <c r="BK206" i="1"/>
  <c r="BK209" i="1" s="1"/>
  <c r="BK233" i="1"/>
  <c r="BK230" i="1"/>
  <c r="BJ229" i="1"/>
  <c r="BJ230" i="1" s="1"/>
  <c r="BJ231" i="1" s="1"/>
  <c r="BI231" i="1"/>
  <c r="BI188" i="1"/>
  <c r="BI185" i="1"/>
  <c r="BM173" i="1"/>
  <c r="BM176" i="1" s="1"/>
  <c r="BI129" i="1" l="1"/>
  <c r="BI131" i="1" s="1"/>
  <c r="BI134" i="1" s="1"/>
  <c r="BJ57" i="1"/>
  <c r="BM205" i="1"/>
  <c r="BM204" i="1" s="1"/>
  <c r="BN217" i="1"/>
  <c r="BN218" i="1" s="1"/>
  <c r="BN219" i="1" s="1"/>
  <c r="BN233" i="1" s="1"/>
  <c r="BM217" i="1"/>
  <c r="BM218" i="1" s="1"/>
  <c r="BM219" i="1" s="1"/>
  <c r="BM177" i="1"/>
  <c r="BI186" i="1"/>
  <c r="BK180" i="1"/>
  <c r="BK181" i="1" s="1"/>
  <c r="BK268" i="1" l="1"/>
  <c r="BK266" i="1"/>
  <c r="BK264" i="1"/>
  <c r="BI130" i="1"/>
  <c r="BI133" i="1" s="1"/>
  <c r="BM206" i="1"/>
  <c r="BM209" i="1" s="1"/>
  <c r="BM233" i="1"/>
  <c r="BM230" i="1"/>
  <c r="BL229" i="1"/>
  <c r="BL230" i="1" s="1"/>
  <c r="BL231" i="1" s="1"/>
  <c r="BK231" i="1"/>
  <c r="BK188" i="1"/>
  <c r="BK185" i="1"/>
  <c r="BO173" i="1"/>
  <c r="BO176" i="1" s="1"/>
  <c r="BK129" i="1" l="1"/>
  <c r="BK131" i="1" s="1"/>
  <c r="BK134" i="1" s="1"/>
  <c r="BL57" i="1"/>
  <c r="BO205" i="1"/>
  <c r="BO204" i="1" s="1"/>
  <c r="BP217" i="1"/>
  <c r="BP218" i="1" s="1"/>
  <c r="BP219" i="1" s="1"/>
  <c r="BP233" i="1" s="1"/>
  <c r="BO217" i="1"/>
  <c r="BO218" i="1" s="1"/>
  <c r="BO219" i="1" s="1"/>
  <c r="BM180" i="1"/>
  <c r="BM181" i="1" s="1"/>
  <c r="BK186" i="1"/>
  <c r="BO177" i="1"/>
  <c r="BM266" i="1" l="1"/>
  <c r="BM268" i="1"/>
  <c r="BM264" i="1"/>
  <c r="BK130" i="1"/>
  <c r="BK133" i="1" s="1"/>
  <c r="BO206" i="1"/>
  <c r="BO209" i="1" s="1"/>
  <c r="BO233" i="1"/>
  <c r="BO230" i="1"/>
  <c r="BN229" i="1"/>
  <c r="BN230" i="1" s="1"/>
  <c r="BN231" i="1" s="1"/>
  <c r="BM231" i="1"/>
  <c r="BM185" i="1"/>
  <c r="BM188" i="1"/>
  <c r="BQ173" i="1"/>
  <c r="BQ176" i="1" s="1"/>
  <c r="BM129" i="1" l="1"/>
  <c r="BM130" i="1" s="1"/>
  <c r="BM133" i="1" s="1"/>
  <c r="BN57" i="1"/>
  <c r="BQ205" i="1"/>
  <c r="BQ204" i="1" s="1"/>
  <c r="BR217" i="1"/>
  <c r="BR218" i="1" s="1"/>
  <c r="BR219" i="1" s="1"/>
  <c r="BR233" i="1" s="1"/>
  <c r="BQ217" i="1"/>
  <c r="BQ218" i="1" s="1"/>
  <c r="BQ219" i="1" s="1"/>
  <c r="BO180" i="1"/>
  <c r="BO181" i="1" s="1"/>
  <c r="BQ177" i="1"/>
  <c r="BM186" i="1"/>
  <c r="BO266" i="1" l="1"/>
  <c r="BO268" i="1"/>
  <c r="BO264" i="1"/>
  <c r="BM131" i="1"/>
  <c r="BM134" i="1" s="1"/>
  <c r="BQ206" i="1"/>
  <c r="BQ209" i="1" s="1"/>
  <c r="BQ233" i="1"/>
  <c r="BQ230" i="1"/>
  <c r="BP229" i="1"/>
  <c r="BP230" i="1" s="1"/>
  <c r="BP231" i="1" s="1"/>
  <c r="BO231" i="1"/>
  <c r="BS173" i="1"/>
  <c r="BS176" i="1" s="1"/>
  <c r="BO185" i="1"/>
  <c r="BO188" i="1"/>
  <c r="BO129" i="1" l="1"/>
  <c r="BO130" i="1" s="1"/>
  <c r="BO133" i="1" s="1"/>
  <c r="BP57" i="1"/>
  <c r="BS205" i="1"/>
  <c r="BS204" i="1" s="1"/>
  <c r="BT217" i="1"/>
  <c r="BT218" i="1" s="1"/>
  <c r="BT219" i="1" s="1"/>
  <c r="BT233" i="1" s="1"/>
  <c r="BS217" i="1"/>
  <c r="BS218" i="1" s="1"/>
  <c r="BS219" i="1" s="1"/>
  <c r="BO186" i="1"/>
  <c r="BS177" i="1"/>
  <c r="BQ180" i="1"/>
  <c r="BQ181" i="1" s="1"/>
  <c r="BQ268" i="1" l="1"/>
  <c r="BQ266" i="1"/>
  <c r="BQ264" i="1"/>
  <c r="BO131" i="1"/>
  <c r="BO134" i="1" s="1"/>
  <c r="BS206" i="1"/>
  <c r="BS209" i="1" s="1"/>
  <c r="BS233" i="1"/>
  <c r="BS230" i="1"/>
  <c r="BR229" i="1"/>
  <c r="BR230" i="1" s="1"/>
  <c r="BR231" i="1" s="1"/>
  <c r="BQ231" i="1"/>
  <c r="BQ185" i="1"/>
  <c r="BQ188" i="1"/>
  <c r="BU173" i="1"/>
  <c r="BU176" i="1" s="1"/>
  <c r="BQ129" i="1" l="1"/>
  <c r="BQ130" i="1" s="1"/>
  <c r="BQ133" i="1" s="1"/>
  <c r="BR57" i="1"/>
  <c r="BU205" i="1"/>
  <c r="BU204" i="1" s="1"/>
  <c r="BV217" i="1"/>
  <c r="BV218" i="1" s="1"/>
  <c r="BV219" i="1" s="1"/>
  <c r="BV233" i="1" s="1"/>
  <c r="BU217" i="1"/>
  <c r="BU218" i="1" s="1"/>
  <c r="BU219" i="1" s="1"/>
  <c r="BS180" i="1"/>
  <c r="BS181" i="1" s="1"/>
  <c r="BQ186" i="1"/>
  <c r="BU177" i="1"/>
  <c r="BS268" i="1" l="1"/>
  <c r="BS266" i="1"/>
  <c r="BS264" i="1"/>
  <c r="BQ131" i="1"/>
  <c r="BQ134" i="1" s="1"/>
  <c r="BU206" i="1"/>
  <c r="BU209" i="1" s="1"/>
  <c r="BU233" i="1"/>
  <c r="BU230" i="1"/>
  <c r="BT229" i="1"/>
  <c r="BT230" i="1" s="1"/>
  <c r="BT231" i="1" s="1"/>
  <c r="BS231" i="1"/>
  <c r="BS185" i="1"/>
  <c r="BS188" i="1"/>
  <c r="BW173" i="1"/>
  <c r="BW176" i="1" s="1"/>
  <c r="BS129" i="1" l="1"/>
  <c r="BS131" i="1" s="1"/>
  <c r="BS134" i="1" s="1"/>
  <c r="BT57" i="1"/>
  <c r="BW205" i="1"/>
  <c r="BW204" i="1" s="1"/>
  <c r="BX217" i="1"/>
  <c r="BX218" i="1" s="1"/>
  <c r="BX219" i="1" s="1"/>
  <c r="BX233" i="1" s="1"/>
  <c r="BW217" i="1"/>
  <c r="BW218" i="1" s="1"/>
  <c r="BW219" i="1" s="1"/>
  <c r="BW177" i="1"/>
  <c r="BS186" i="1"/>
  <c r="BU180" i="1"/>
  <c r="BU181" i="1" s="1"/>
  <c r="BU266" i="1" l="1"/>
  <c r="BU268" i="1"/>
  <c r="BU264" i="1"/>
  <c r="BS130" i="1"/>
  <c r="BS133" i="1" s="1"/>
  <c r="BW206" i="1"/>
  <c r="BW209" i="1" s="1"/>
  <c r="BW233" i="1"/>
  <c r="BW230" i="1"/>
  <c r="BV229" i="1"/>
  <c r="BV230" i="1" s="1"/>
  <c r="BV231" i="1" s="1"/>
  <c r="BU231" i="1"/>
  <c r="BU185" i="1"/>
  <c r="BU188" i="1"/>
  <c r="BY173" i="1"/>
  <c r="BY176" i="1" s="1"/>
  <c r="BU129" i="1" l="1"/>
  <c r="BU131" i="1" s="1"/>
  <c r="BU134" i="1" s="1"/>
  <c r="BV57" i="1"/>
  <c r="BZ217" i="1"/>
  <c r="BZ218" i="1" s="1"/>
  <c r="BZ219" i="1" s="1"/>
  <c r="BZ233" i="1" s="1"/>
  <c r="BY205" i="1"/>
  <c r="BY204" i="1" s="1"/>
  <c r="BY217" i="1"/>
  <c r="BY218" i="1" s="1"/>
  <c r="BY219" i="1" s="1"/>
  <c r="BW180" i="1"/>
  <c r="BW181" i="1" s="1"/>
  <c r="BY177" i="1"/>
  <c r="BU186" i="1"/>
  <c r="BW266" i="1" l="1"/>
  <c r="BW268" i="1"/>
  <c r="BW264" i="1"/>
  <c r="BU130" i="1"/>
  <c r="BU133" i="1" s="1"/>
  <c r="BY206" i="1"/>
  <c r="BY209" i="1" s="1"/>
  <c r="BY233" i="1"/>
  <c r="BY230" i="1"/>
  <c r="BX229" i="1"/>
  <c r="BX230" i="1" s="1"/>
  <c r="BX231" i="1" s="1"/>
  <c r="BW231" i="1"/>
  <c r="BW185" i="1"/>
  <c r="BW188" i="1"/>
  <c r="BW129" i="1" l="1"/>
  <c r="BW131" i="1" s="1"/>
  <c r="BW134" i="1" s="1"/>
  <c r="BX57" i="1"/>
  <c r="BW186" i="1"/>
  <c r="BY180" i="1"/>
  <c r="BY181" i="1" s="1"/>
  <c r="BY268" i="1" l="1"/>
  <c r="BY266" i="1"/>
  <c r="BY264" i="1"/>
  <c r="BW130" i="1"/>
  <c r="BW133" i="1" s="1"/>
  <c r="BZ229" i="1"/>
  <c r="BZ230" i="1" s="1"/>
  <c r="BZ231" i="1" s="1"/>
  <c r="BY231" i="1"/>
  <c r="BY188" i="1"/>
  <c r="BY185" i="1"/>
  <c r="BY129" i="1" l="1"/>
  <c r="BY130" i="1" s="1"/>
  <c r="BY133" i="1" s="1"/>
  <c r="BZ57" i="1"/>
  <c r="BY186" i="1"/>
  <c r="CC165" i="1"/>
  <c r="CC164" i="1"/>
  <c r="CA164" i="1"/>
  <c r="CA173" i="1"/>
  <c r="CA176" i="1" s="1"/>
  <c r="CA165" i="1"/>
  <c r="BY131" i="1" l="1"/>
  <c r="BY134" i="1" s="1"/>
  <c r="CA168" i="1"/>
  <c r="CA202" i="1" s="1"/>
  <c r="CA201" i="1" s="1"/>
  <c r="CB217" i="1"/>
  <c r="CA205" i="1"/>
  <c r="CA204" i="1" s="1"/>
  <c r="CA217" i="1"/>
  <c r="CC173" i="1"/>
  <c r="CC176" i="1" s="1"/>
  <c r="CC168" i="1"/>
  <c r="CA177" i="1" l="1"/>
  <c r="CA216" i="1"/>
  <c r="CA218" i="1" s="1"/>
  <c r="CA219" i="1" s="1"/>
  <c r="CA233" i="1" s="1"/>
  <c r="CB216" i="1"/>
  <c r="CB218" i="1" s="1"/>
  <c r="CB219" i="1" s="1"/>
  <c r="CB233" i="1" s="1"/>
  <c r="CA206" i="1"/>
  <c r="CD216" i="1"/>
  <c r="CC202" i="1"/>
  <c r="CC201" i="1" s="1"/>
  <c r="CC216" i="1"/>
  <c r="CC205" i="1"/>
  <c r="CC204" i="1" s="1"/>
  <c r="CD217" i="1"/>
  <c r="CC217" i="1"/>
  <c r="CC177" i="1"/>
  <c r="CA209" i="1" l="1"/>
  <c r="CE209" i="1"/>
  <c r="CC218" i="1"/>
  <c r="CC219" i="1" s="1"/>
  <c r="CC233" i="1" s="1"/>
  <c r="CD218" i="1"/>
  <c r="CD219" i="1" s="1"/>
  <c r="CD233" i="1" s="1"/>
  <c r="CA230" i="1"/>
  <c r="CA180" i="1" s="1"/>
  <c r="CA181" i="1" s="1"/>
  <c r="CC206" i="1"/>
  <c r="CA268" i="1" l="1"/>
  <c r="CA266" i="1"/>
  <c r="CA264" i="1"/>
  <c r="CC209" i="1"/>
  <c r="CG209" i="1"/>
  <c r="CC230" i="1"/>
  <c r="CC180" i="1" s="1"/>
  <c r="CC181" i="1" s="1"/>
  <c r="CB229" i="1"/>
  <c r="CB230" i="1" s="1"/>
  <c r="CB231" i="1" s="1"/>
  <c r="CA231" i="1"/>
  <c r="CA188" i="1"/>
  <c r="CA185" i="1"/>
  <c r="CC266" i="1" l="1"/>
  <c r="CC268" i="1"/>
  <c r="CC264" i="1"/>
  <c r="CA129" i="1"/>
  <c r="CA130" i="1" s="1"/>
  <c r="CA133" i="1" s="1"/>
  <c r="CB57" i="1"/>
  <c r="CD229" i="1"/>
  <c r="CD230" i="1" s="1"/>
  <c r="CD231" i="1" s="1"/>
  <c r="CC231" i="1"/>
  <c r="CC185" i="1"/>
  <c r="CC188" i="1"/>
  <c r="CA186" i="1"/>
  <c r="CA131" i="1" l="1"/>
  <c r="CA134" i="1" s="1"/>
  <c r="CC129" i="1"/>
  <c r="CC130" i="1" s="1"/>
  <c r="CC133" i="1" s="1"/>
  <c r="CD57" i="1"/>
  <c r="CC186" i="1"/>
  <c r="CC131" i="1" l="1"/>
  <c r="CC134" i="1" s="1"/>
  <c r="CE109" i="1"/>
  <c r="CD109" i="1"/>
  <c r="CC109" i="1"/>
  <c r="CB109" i="1"/>
  <c r="CI165" i="1" l="1"/>
  <c r="CI173" i="1"/>
  <c r="CI176" i="1" s="1"/>
  <c r="CI164" i="1"/>
  <c r="CJ217" i="1" l="1"/>
  <c r="CI168" i="1"/>
  <c r="CI217" i="1"/>
  <c r="CJ216" i="1" l="1"/>
  <c r="CJ218" i="1" s="1"/>
  <c r="CJ219" i="1" s="1"/>
  <c r="CJ233" i="1" s="1"/>
  <c r="CI177" i="1"/>
  <c r="CI216" i="1"/>
  <c r="CI218" i="1" s="1"/>
  <c r="CI219" i="1" s="1"/>
  <c r="CI233" i="1" s="1"/>
  <c r="CI206" i="1" l="1"/>
  <c r="CI209" i="1" s="1"/>
  <c r="CI230" i="1"/>
  <c r="CI180" i="1" s="1"/>
  <c r="CI181" i="1" s="1"/>
  <c r="CI268" i="1" l="1"/>
  <c r="CI266" i="1"/>
  <c r="CI264" i="1"/>
  <c r="CI231" i="1"/>
  <c r="CJ229" i="1"/>
  <c r="CJ230" i="1" s="1"/>
  <c r="CI188" i="1"/>
  <c r="CI185" i="1"/>
  <c r="CI129" i="1" l="1"/>
  <c r="CI131" i="1" s="1"/>
  <c r="CI134" i="1" s="1"/>
  <c r="CJ57" i="1"/>
  <c r="CJ231" i="1"/>
  <c r="CI186" i="1"/>
  <c r="CI130" i="1" l="1"/>
  <c r="CI133" i="1" s="1"/>
  <c r="CJ188" i="1"/>
  <c r="CJ129" i="1" l="1"/>
  <c r="CK57" i="1"/>
  <c r="CJ130" i="1" l="1"/>
  <c r="CJ133" i="1" s="1"/>
  <c r="CJ131" i="1"/>
  <c r="CJ134" i="1" s="1"/>
  <c r="CK251" i="1" l="1"/>
  <c r="CK273" i="1"/>
  <c r="CK272" i="1"/>
  <c r="CN30" i="1"/>
  <c r="CN273" i="1"/>
  <c r="CM30" i="1"/>
  <c r="CM273" i="1"/>
  <c r="CN251" i="1"/>
  <c r="CM251" i="1"/>
  <c r="CM118" i="1"/>
  <c r="CM119" i="1" s="1"/>
  <c r="CM122" i="1" s="1"/>
  <c r="CN118" i="1"/>
  <c r="CN119" i="1" s="1"/>
  <c r="CN122" i="1" s="1"/>
  <c r="CL11" i="1" l="1"/>
  <c r="CN31" i="1"/>
  <c r="CN11" i="1"/>
  <c r="CM32" i="1"/>
  <c r="CM31" i="1"/>
  <c r="CM11" i="1"/>
  <c r="CN32" i="1"/>
  <c r="CM166" i="1"/>
  <c r="CQ273" i="1"/>
  <c r="CO30" i="1"/>
  <c r="CN46" i="1"/>
  <c r="CN43" i="1" s="1"/>
  <c r="CR273" i="1"/>
  <c r="CN165" i="1"/>
  <c r="CN36" i="1"/>
  <c r="CN164" i="1"/>
  <c r="CN173" i="1"/>
  <c r="CM46" i="1"/>
  <c r="CM43" i="1" s="1"/>
  <c r="CM173" i="1"/>
  <c r="CN172" i="1"/>
  <c r="CN166" i="1"/>
  <c r="CM165" i="1"/>
  <c r="CM36" i="1"/>
  <c r="CM35" i="1" s="1"/>
  <c r="CM172" i="1"/>
  <c r="CM164" i="1"/>
  <c r="CK164" i="1"/>
  <c r="CK173" i="1"/>
  <c r="CK165" i="1"/>
  <c r="CM245" i="1"/>
  <c r="CK172" i="1"/>
  <c r="CK245" i="1"/>
  <c r="CK166" i="1"/>
  <c r="CN245" i="1"/>
  <c r="AA11" i="1" l="1"/>
  <c r="CO31" i="1"/>
  <c r="CO11" i="1"/>
  <c r="CO32" i="1"/>
  <c r="CO245" i="1"/>
  <c r="CM176" i="1"/>
  <c r="CK176" i="1"/>
  <c r="CN35" i="1"/>
  <c r="CN38" i="1"/>
  <c r="CN48" i="1"/>
  <c r="CN168" i="1"/>
  <c r="CM168" i="1"/>
  <c r="CN176" i="1"/>
  <c r="CR30" i="1"/>
  <c r="CM38" i="1"/>
  <c r="CR251" i="1"/>
  <c r="CQ30" i="1"/>
  <c r="CQ251" i="1"/>
  <c r="CM48" i="1"/>
  <c r="CR118" i="1"/>
  <c r="CR119" i="1" s="1"/>
  <c r="CR122" i="1" s="1"/>
  <c r="CP273" i="1"/>
  <c r="CN39" i="1"/>
  <c r="CO118" i="1"/>
  <c r="CO119" i="1" s="1"/>
  <c r="CO122" i="1" s="1"/>
  <c r="CO273" i="1"/>
  <c r="CO251" i="1"/>
  <c r="CK168" i="1"/>
  <c r="CM39" i="1"/>
  <c r="CP251" i="1"/>
  <c r="CP30" i="1"/>
  <c r="CQ118" i="1"/>
  <c r="CQ119" i="1" s="1"/>
  <c r="CQ122" i="1" s="1"/>
  <c r="AB28" i="1"/>
  <c r="AB273" i="1" s="1"/>
  <c r="CP118" i="1"/>
  <c r="CP119" i="1" s="1"/>
  <c r="CP122" i="1" s="1"/>
  <c r="CO164" i="1"/>
  <c r="CO36" i="1"/>
  <c r="CO172" i="1"/>
  <c r="CO173" i="1"/>
  <c r="CO46" i="1"/>
  <c r="CO43" i="1" s="1"/>
  <c r="CO165" i="1"/>
  <c r="CO166" i="1"/>
  <c r="CK217" i="1" l="1"/>
  <c r="CL217" i="1"/>
  <c r="CK216" i="1"/>
  <c r="CK218" i="1" s="1"/>
  <c r="CL216" i="1"/>
  <c r="CL218" i="1" s="1"/>
  <c r="CL219" i="1" s="1"/>
  <c r="CL233" i="1" s="1"/>
  <c r="CP31" i="1"/>
  <c r="CP11" i="1"/>
  <c r="CP32" i="1"/>
  <c r="CR11" i="1"/>
  <c r="CR31" i="1"/>
  <c r="CQ32" i="1"/>
  <c r="CQ11" i="1"/>
  <c r="CR32" i="1"/>
  <c r="CQ31" i="1"/>
  <c r="CN270" i="1"/>
  <c r="CN271" i="1" s="1"/>
  <c r="CN217" i="1"/>
  <c r="CN49" i="1"/>
  <c r="CN252" i="1"/>
  <c r="CN253" i="1" s="1"/>
  <c r="CN50" i="1"/>
  <c r="CN54" i="1"/>
  <c r="CN177" i="1"/>
  <c r="CM177" i="1"/>
  <c r="CN216" i="1"/>
  <c r="CR172" i="1"/>
  <c r="CR36" i="1"/>
  <c r="CR164" i="1"/>
  <c r="CR165" i="1"/>
  <c r="CR166" i="1"/>
  <c r="CR46" i="1"/>
  <c r="CR43" i="1" s="1"/>
  <c r="CR173" i="1"/>
  <c r="CQ46" i="1"/>
  <c r="CQ43" i="1" s="1"/>
  <c r="CQ166" i="1"/>
  <c r="CQ165" i="1"/>
  <c r="CQ172" i="1"/>
  <c r="CQ173" i="1"/>
  <c r="CQ164" i="1"/>
  <c r="CN51" i="1"/>
  <c r="CM50" i="1"/>
  <c r="CM252" i="1"/>
  <c r="CM253" i="1" s="1"/>
  <c r="CM49" i="1"/>
  <c r="CM54" i="1"/>
  <c r="CQ36" i="1"/>
  <c r="CK177" i="1"/>
  <c r="CK270" i="1"/>
  <c r="CK271" i="1" s="1"/>
  <c r="CS118" i="1"/>
  <c r="CS119" i="1" s="1"/>
  <c r="CS122" i="1" s="1"/>
  <c r="CS273" i="1"/>
  <c r="CM270" i="1"/>
  <c r="CM271" i="1" s="1"/>
  <c r="CK252" i="1"/>
  <c r="CK253" i="1" s="1"/>
  <c r="CK246" i="1"/>
  <c r="CN246" i="1"/>
  <c r="CR245" i="1"/>
  <c r="CP245" i="1"/>
  <c r="AB30" i="1"/>
  <c r="AB11" i="1" s="1"/>
  <c r="CO176" i="1"/>
  <c r="CS30" i="1"/>
  <c r="CS251" i="1"/>
  <c r="CO168" i="1"/>
  <c r="CM132" i="1"/>
  <c r="CN132" i="1"/>
  <c r="CM217" i="1"/>
  <c r="CP165" i="1"/>
  <c r="AB165" i="1" s="1"/>
  <c r="AB200" i="1" s="1"/>
  <c r="CP164" i="1"/>
  <c r="CP172" i="1"/>
  <c r="CP36" i="1"/>
  <c r="CP35" i="1" s="1"/>
  <c r="CP173" i="1"/>
  <c r="AB173" i="1" s="1"/>
  <c r="AB203" i="1" s="1"/>
  <c r="CP166" i="1"/>
  <c r="AB166" i="1" s="1"/>
  <c r="CP46" i="1"/>
  <c r="CP43" i="1" s="1"/>
  <c r="CT273" i="1"/>
  <c r="CO48" i="1"/>
  <c r="CO38" i="1"/>
  <c r="CO39" i="1"/>
  <c r="CM216" i="1"/>
  <c r="CQ245" i="1"/>
  <c r="CO35" i="1"/>
  <c r="CM246" i="1"/>
  <c r="CM51" i="1"/>
  <c r="CS31" i="1" l="1"/>
  <c r="CS11" i="1"/>
  <c r="CS32" i="1"/>
  <c r="CU273" i="1"/>
  <c r="CU30" i="1"/>
  <c r="CU46" i="1" s="1"/>
  <c r="CU43" i="1" s="1"/>
  <c r="CU251" i="1"/>
  <c r="CS245" i="1"/>
  <c r="CW273" i="1"/>
  <c r="CR168" i="1"/>
  <c r="CQ176" i="1"/>
  <c r="AB43" i="1"/>
  <c r="AB46" i="1" s="1"/>
  <c r="AB47" i="1" s="1"/>
  <c r="CN218" i="1"/>
  <c r="CR176" i="1"/>
  <c r="CR38" i="1"/>
  <c r="CR39" i="1"/>
  <c r="CR48" i="1"/>
  <c r="CR35" i="1"/>
  <c r="CV273" i="1"/>
  <c r="CV251" i="1"/>
  <c r="CV30" i="1"/>
  <c r="CQ35" i="1"/>
  <c r="CQ38" i="1"/>
  <c r="CQ48" i="1"/>
  <c r="CQ168" i="1"/>
  <c r="CO132" i="1"/>
  <c r="CO270" i="1"/>
  <c r="CO271" i="1" s="1"/>
  <c r="AB118" i="1"/>
  <c r="AB208" i="1"/>
  <c r="CQ39" i="1"/>
  <c r="AB35" i="1"/>
  <c r="AB36" i="1" s="1"/>
  <c r="CM218" i="1"/>
  <c r="CO177" i="1"/>
  <c r="CO216" i="1"/>
  <c r="CO246" i="1"/>
  <c r="AC28" i="1"/>
  <c r="AC273" i="1" s="1"/>
  <c r="CV118" i="1"/>
  <c r="CV119" i="1" s="1"/>
  <c r="CV122" i="1" s="1"/>
  <c r="AB31" i="1"/>
  <c r="AB78" i="1"/>
  <c r="AB164" i="1"/>
  <c r="CP168" i="1"/>
  <c r="CS164" i="1"/>
  <c r="CS36" i="1"/>
  <c r="CS35" i="1" s="1"/>
  <c r="CS172" i="1"/>
  <c r="CS165" i="1"/>
  <c r="CS173" i="1"/>
  <c r="CS166" i="1"/>
  <c r="CS46" i="1"/>
  <c r="CS43" i="1" s="1"/>
  <c r="CT118" i="1"/>
  <c r="CT119" i="1" s="1"/>
  <c r="CT122" i="1" s="1"/>
  <c r="CO217" i="1"/>
  <c r="CO50" i="1"/>
  <c r="CO252" i="1"/>
  <c r="CO253" i="1" s="1"/>
  <c r="CO54" i="1"/>
  <c r="CO51" i="1"/>
  <c r="CO49" i="1"/>
  <c r="CP38" i="1"/>
  <c r="CP48" i="1"/>
  <c r="CP39" i="1"/>
  <c r="CT251" i="1"/>
  <c r="CT30" i="1"/>
  <c r="CT32" i="1" s="1"/>
  <c r="AB172" i="1"/>
  <c r="AB176" i="1" s="1"/>
  <c r="CP176" i="1"/>
  <c r="CU118" i="1"/>
  <c r="CU119" i="1" s="1"/>
  <c r="CU122" i="1" s="1"/>
  <c r="CU164" i="1" l="1"/>
  <c r="CV11" i="1"/>
  <c r="CV31" i="1"/>
  <c r="CT31" i="1"/>
  <c r="CT11" i="1"/>
  <c r="CU32" i="1"/>
  <c r="CU11" i="1"/>
  <c r="CV32" i="1"/>
  <c r="CU31" i="1"/>
  <c r="CU36" i="1"/>
  <c r="CU35" i="1" s="1"/>
  <c r="CU166" i="1"/>
  <c r="CU173" i="1"/>
  <c r="CU165" i="1"/>
  <c r="CY273" i="1"/>
  <c r="CU172" i="1"/>
  <c r="CQ217" i="1"/>
  <c r="CV164" i="1"/>
  <c r="CV36" i="1"/>
  <c r="CV38" i="1" s="1"/>
  <c r="CV172" i="1"/>
  <c r="CR217" i="1"/>
  <c r="CR177" i="1"/>
  <c r="CR252" i="1"/>
  <c r="CR253" i="1" s="1"/>
  <c r="CR49" i="1"/>
  <c r="CR54" i="1"/>
  <c r="CR50" i="1"/>
  <c r="CV166" i="1"/>
  <c r="CV165" i="1"/>
  <c r="CV46" i="1"/>
  <c r="CV43" i="1" s="1"/>
  <c r="CV173" i="1"/>
  <c r="CQ54" i="1"/>
  <c r="CQ49" i="1"/>
  <c r="CQ50" i="1"/>
  <c r="CR51" i="1"/>
  <c r="CR270" i="1"/>
  <c r="CR271" i="1" s="1"/>
  <c r="CQ252" i="1"/>
  <c r="CQ253" i="1" s="1"/>
  <c r="CR216" i="1"/>
  <c r="CQ177" i="1"/>
  <c r="AB38" i="1"/>
  <c r="CP132" i="1"/>
  <c r="CP270" i="1"/>
  <c r="CP271" i="1" s="1"/>
  <c r="CQ270" i="1"/>
  <c r="CQ271" i="1" s="1"/>
  <c r="CS176" i="1"/>
  <c r="CS217" i="1" s="1"/>
  <c r="CV245" i="1"/>
  <c r="CP217" i="1"/>
  <c r="CP252" i="1"/>
  <c r="CP253" i="1" s="1"/>
  <c r="CP50" i="1"/>
  <c r="CP51" i="1"/>
  <c r="CP49" i="1"/>
  <c r="CP54" i="1"/>
  <c r="CT245" i="1"/>
  <c r="CP246" i="1"/>
  <c r="CU245" i="1"/>
  <c r="CR246" i="1"/>
  <c r="CQ246" i="1"/>
  <c r="CS48" i="1"/>
  <c r="CS270" i="1" s="1"/>
  <c r="CS271" i="1" s="1"/>
  <c r="CS38" i="1"/>
  <c r="CS39" i="1"/>
  <c r="AC30" i="1"/>
  <c r="AC11" i="1" s="1"/>
  <c r="CO218" i="1"/>
  <c r="CW251" i="1"/>
  <c r="CW30" i="1"/>
  <c r="CQ132" i="1"/>
  <c r="CW118" i="1"/>
  <c r="CW119" i="1" s="1"/>
  <c r="CW122" i="1" s="1"/>
  <c r="CS168" i="1"/>
  <c r="CT164" i="1"/>
  <c r="CT173" i="1"/>
  <c r="AC173" i="1" s="1"/>
  <c r="AC203" i="1" s="1"/>
  <c r="CT36" i="1"/>
  <c r="CT35" i="1" s="1"/>
  <c r="AC35" i="1" s="1"/>
  <c r="CT165" i="1"/>
  <c r="AC165" i="1" s="1"/>
  <c r="AC200" i="1" s="1"/>
  <c r="CT172" i="1"/>
  <c r="CT46" i="1"/>
  <c r="CT43" i="1" s="1"/>
  <c r="CT166" i="1"/>
  <c r="AC166" i="1" s="1"/>
  <c r="AB79" i="1"/>
  <c r="AB37" i="1"/>
  <c r="AB48" i="1"/>
  <c r="AB270" i="1" s="1"/>
  <c r="AB271" i="1" s="1"/>
  <c r="CQ51" i="1"/>
  <c r="CQ216" i="1"/>
  <c r="CP177" i="1"/>
  <c r="CP216" i="1"/>
  <c r="CY30" i="1"/>
  <c r="CY251" i="1"/>
  <c r="AB205" i="1"/>
  <c r="AB204" i="1" s="1"/>
  <c r="AB217" i="1"/>
  <c r="CR132" i="1"/>
  <c r="AB168" i="1"/>
  <c r="AB199" i="1"/>
  <c r="CU48" i="1" l="1"/>
  <c r="CU38" i="1"/>
  <c r="CU168" i="1"/>
  <c r="CW11" i="1"/>
  <c r="CW31" i="1"/>
  <c r="CW32" i="1"/>
  <c r="CY11" i="1"/>
  <c r="CY31" i="1"/>
  <c r="CU176" i="1"/>
  <c r="CW245" i="1"/>
  <c r="DA273" i="1"/>
  <c r="CQ218" i="1"/>
  <c r="AC43" i="1"/>
  <c r="AC46" i="1" s="1"/>
  <c r="AC47" i="1" s="1"/>
  <c r="CV168" i="1"/>
  <c r="CV35" i="1"/>
  <c r="CV39" i="1"/>
  <c r="CV176" i="1"/>
  <c r="CV48" i="1"/>
  <c r="CZ273" i="1"/>
  <c r="CZ251" i="1"/>
  <c r="CZ30" i="1"/>
  <c r="CZ32" i="1" s="1"/>
  <c r="CR218" i="1"/>
  <c r="CX118" i="1"/>
  <c r="CX119" i="1" s="1"/>
  <c r="CX122" i="1" s="1"/>
  <c r="CX273" i="1"/>
  <c r="CP218" i="1"/>
  <c r="AC118" i="1"/>
  <c r="AC208" i="1"/>
  <c r="AB50" i="1"/>
  <c r="CT168" i="1"/>
  <c r="CT216" i="1" s="1"/>
  <c r="AC164" i="1"/>
  <c r="CS177" i="1"/>
  <c r="CS216" i="1"/>
  <c r="CS218" i="1" s="1"/>
  <c r="CY118" i="1"/>
  <c r="CY119" i="1" s="1"/>
  <c r="CY122" i="1" s="1"/>
  <c r="CS51" i="1"/>
  <c r="CS49" i="1"/>
  <c r="CS54" i="1"/>
  <c r="CS252" i="1"/>
  <c r="CS253" i="1" s="1"/>
  <c r="CS50" i="1"/>
  <c r="AB177" i="1"/>
  <c r="AB202" i="1"/>
  <c r="AB216" i="1"/>
  <c r="AB218" i="1" s="1"/>
  <c r="AB80" i="1"/>
  <c r="AB54" i="1"/>
  <c r="AB132" i="1"/>
  <c r="AB49" i="1"/>
  <c r="CW36" i="1"/>
  <c r="CW35" i="1" s="1"/>
  <c r="CW172" i="1"/>
  <c r="CW164" i="1"/>
  <c r="CW166" i="1"/>
  <c r="CW165" i="1"/>
  <c r="CW173" i="1"/>
  <c r="CW46" i="1"/>
  <c r="CW43" i="1" s="1"/>
  <c r="CT176" i="1"/>
  <c r="AC172" i="1"/>
  <c r="AC176" i="1" s="1"/>
  <c r="CS132" i="1"/>
  <c r="CK265" i="1"/>
  <c r="CK247" i="1"/>
  <c r="CK254" i="1"/>
  <c r="CS246" i="1"/>
  <c r="CT39" i="1"/>
  <c r="CT38" i="1"/>
  <c r="CT48" i="1"/>
  <c r="AC31" i="1"/>
  <c r="AC36" i="1"/>
  <c r="AC78" i="1"/>
  <c r="CX251" i="1"/>
  <c r="CX30" i="1"/>
  <c r="CX32" i="1" s="1"/>
  <c r="CZ118" i="1"/>
  <c r="CZ119" i="1" s="1"/>
  <c r="CZ122" i="1" s="1"/>
  <c r="CY165" i="1"/>
  <c r="CY36" i="1"/>
  <c r="CY35" i="1" s="1"/>
  <c r="CY173" i="1"/>
  <c r="CY166" i="1"/>
  <c r="CY172" i="1"/>
  <c r="CY46" i="1"/>
  <c r="CY43" i="1" s="1"/>
  <c r="CY164" i="1"/>
  <c r="CU39" i="1"/>
  <c r="AD28" i="1"/>
  <c r="AD273" i="1" s="1"/>
  <c r="CU252" i="1" l="1"/>
  <c r="CU253" i="1" s="1"/>
  <c r="CU49" i="1"/>
  <c r="CU54" i="1"/>
  <c r="CU50" i="1"/>
  <c r="CV216" i="1"/>
  <c r="CU177" i="1"/>
  <c r="CZ173" i="1"/>
  <c r="CZ11" i="1"/>
  <c r="CZ31" i="1"/>
  <c r="CX11" i="1"/>
  <c r="CX31" i="1"/>
  <c r="CY32" i="1"/>
  <c r="CZ245" i="1"/>
  <c r="CV270" i="1"/>
  <c r="CV271" i="1" s="1"/>
  <c r="CV54" i="1"/>
  <c r="CV252" i="1"/>
  <c r="CV253" i="1" s="1"/>
  <c r="CV49" i="1"/>
  <c r="CV51" i="1"/>
  <c r="CV50" i="1"/>
  <c r="CZ46" i="1"/>
  <c r="CZ43" i="1" s="1"/>
  <c r="CZ164" i="1"/>
  <c r="CZ172" i="1"/>
  <c r="CZ166" i="1"/>
  <c r="CZ165" i="1"/>
  <c r="CZ36" i="1"/>
  <c r="CV177" i="1"/>
  <c r="CV217" i="1"/>
  <c r="CV218" i="1" s="1"/>
  <c r="AC38" i="1"/>
  <c r="CU132" i="1"/>
  <c r="CT270" i="1"/>
  <c r="CT271" i="1" s="1"/>
  <c r="CU270" i="1"/>
  <c r="CU271" i="1" s="1"/>
  <c r="CW176" i="1"/>
  <c r="CW217" i="1" s="1"/>
  <c r="CX245" i="1"/>
  <c r="CY245" i="1"/>
  <c r="CU217" i="1"/>
  <c r="CT217" i="1"/>
  <c r="CT218" i="1" s="1"/>
  <c r="CK213" i="1"/>
  <c r="CK215" i="1" s="1"/>
  <c r="CK219" i="1" s="1"/>
  <c r="CK233" i="1" s="1"/>
  <c r="CK139" i="1"/>
  <c r="CV246" i="1"/>
  <c r="AC48" i="1"/>
  <c r="AC270" i="1" s="1"/>
  <c r="AC271" i="1" s="1"/>
  <c r="AC79" i="1"/>
  <c r="AC37" i="1"/>
  <c r="CW168" i="1"/>
  <c r="CT246" i="1"/>
  <c r="AC199" i="1"/>
  <c r="AC168" i="1"/>
  <c r="DA251" i="1"/>
  <c r="DA30" i="1"/>
  <c r="CT177" i="1"/>
  <c r="CU216" i="1"/>
  <c r="CY168" i="1"/>
  <c r="CY176" i="1"/>
  <c r="CX164" i="1"/>
  <c r="CX165" i="1"/>
  <c r="AD165" i="1" s="1"/>
  <c r="AD200" i="1" s="1"/>
  <c r="CX36" i="1"/>
  <c r="CY39" i="1" s="1"/>
  <c r="CX173" i="1"/>
  <c r="AD173" i="1" s="1"/>
  <c r="AD203" i="1" s="1"/>
  <c r="CX172" i="1"/>
  <c r="CX46" i="1"/>
  <c r="CX43" i="1" s="1"/>
  <c r="CX166" i="1"/>
  <c r="AD166" i="1" s="1"/>
  <c r="CT54" i="1"/>
  <c r="CT50" i="1"/>
  <c r="CT49" i="1"/>
  <c r="CT252" i="1"/>
  <c r="CT253" i="1" s="1"/>
  <c r="CT51" i="1"/>
  <c r="CW39" i="1"/>
  <c r="CW38" i="1"/>
  <c r="CW48" i="1"/>
  <c r="CU246" i="1"/>
  <c r="CU51" i="1"/>
  <c r="CY38" i="1"/>
  <c r="CY48" i="1"/>
  <c r="AD30" i="1"/>
  <c r="AD11" i="1" s="1"/>
  <c r="DA118" i="1"/>
  <c r="DA119" i="1" s="1"/>
  <c r="DA122" i="1" s="1"/>
  <c r="AC205" i="1"/>
  <c r="AC204" i="1" s="1"/>
  <c r="AC217" i="1"/>
  <c r="AB201" i="1"/>
  <c r="AB206" i="1"/>
  <c r="AB209" i="1" s="1"/>
  <c r="AB210" i="1" s="1"/>
  <c r="CT132" i="1"/>
  <c r="CV132" i="1"/>
  <c r="CZ176" i="1" l="1"/>
  <c r="CZ217" i="1" s="1"/>
  <c r="DA245" i="1"/>
  <c r="DA11" i="1"/>
  <c r="DA31" i="1"/>
  <c r="DA32" i="1"/>
  <c r="AD43" i="1"/>
  <c r="AD46" i="1" s="1"/>
  <c r="AD47" i="1" s="1"/>
  <c r="CZ168" i="1"/>
  <c r="CZ35" i="1"/>
  <c r="CZ38" i="1"/>
  <c r="CZ48" i="1"/>
  <c r="CZ39" i="1"/>
  <c r="CW246" i="1"/>
  <c r="CW270" i="1"/>
  <c r="CW271" i="1" s="1"/>
  <c r="DB118" i="1"/>
  <c r="DB119" i="1" s="1"/>
  <c r="DB122" i="1" s="1"/>
  <c r="DB273" i="1"/>
  <c r="AD118" i="1"/>
  <c r="AD208" i="1"/>
  <c r="CU218" i="1"/>
  <c r="AC50" i="1"/>
  <c r="AD172" i="1"/>
  <c r="AD176" i="1" s="1"/>
  <c r="CX176" i="1"/>
  <c r="CY54" i="1"/>
  <c r="CY50" i="1"/>
  <c r="CY49" i="1"/>
  <c r="CY252" i="1"/>
  <c r="CY253" i="1" s="1"/>
  <c r="CY177" i="1"/>
  <c r="DA172" i="1"/>
  <c r="DA173" i="1"/>
  <c r="DA165" i="1"/>
  <c r="DA36" i="1"/>
  <c r="DA164" i="1"/>
  <c r="DA46" i="1"/>
  <c r="DA43" i="1" s="1"/>
  <c r="DA166" i="1"/>
  <c r="CK140" i="1"/>
  <c r="CL227" i="1" s="1"/>
  <c r="CL225" i="1" s="1"/>
  <c r="CX39" i="1"/>
  <c r="CX48" i="1"/>
  <c r="CY270" i="1" s="1"/>
  <c r="CY271" i="1" s="1"/>
  <c r="CX38" i="1"/>
  <c r="AC202" i="1"/>
  <c r="AC177" i="1"/>
  <c r="AC216" i="1"/>
  <c r="AC218" i="1" s="1"/>
  <c r="AC54" i="1"/>
  <c r="AC80" i="1"/>
  <c r="AC49" i="1"/>
  <c r="AC132" i="1"/>
  <c r="DB30" i="1"/>
  <c r="DB251" i="1"/>
  <c r="CW177" i="1"/>
  <c r="CW216" i="1"/>
  <c r="CW218" i="1" s="1"/>
  <c r="AD164" i="1"/>
  <c r="CX168" i="1"/>
  <c r="AD78" i="1"/>
  <c r="AD31" i="1"/>
  <c r="CW54" i="1"/>
  <c r="CW50" i="1"/>
  <c r="CW252" i="1"/>
  <c r="CW253" i="1" s="1"/>
  <c r="CW51" i="1"/>
  <c r="CW49" i="1"/>
  <c r="CW132" i="1"/>
  <c r="CX35" i="1"/>
  <c r="AD35" i="1" s="1"/>
  <c r="AD36" i="1" s="1"/>
  <c r="AE28" i="1"/>
  <c r="AE273" i="1" s="1"/>
  <c r="DB245" i="1" l="1"/>
  <c r="DB11" i="1"/>
  <c r="DB31" i="1"/>
  <c r="DB32" i="1"/>
  <c r="CK112" i="1"/>
  <c r="CK74" i="1"/>
  <c r="CZ216" i="1"/>
  <c r="CZ218" i="1" s="1"/>
  <c r="CZ177" i="1"/>
  <c r="CZ270" i="1"/>
  <c r="CZ271" i="1" s="1"/>
  <c r="CZ49" i="1"/>
  <c r="CZ252" i="1"/>
  <c r="CZ253" i="1" s="1"/>
  <c r="CZ51" i="1"/>
  <c r="CZ54" i="1"/>
  <c r="CZ50" i="1"/>
  <c r="AD38" i="1"/>
  <c r="CZ132" i="1"/>
  <c r="CX270" i="1"/>
  <c r="CX271" i="1" s="1"/>
  <c r="CY246" i="1"/>
  <c r="CY51" i="1"/>
  <c r="CZ246" i="1"/>
  <c r="CX246" i="1"/>
  <c r="CY132" i="1"/>
  <c r="CX132" i="1"/>
  <c r="DA168" i="1"/>
  <c r="DA216" i="1" s="1"/>
  <c r="AD37" i="1"/>
  <c r="AD79" i="1"/>
  <c r="AD48" i="1"/>
  <c r="AD270" i="1" s="1"/>
  <c r="AD271" i="1" s="1"/>
  <c r="CY216" i="1"/>
  <c r="CX177" i="1"/>
  <c r="CY217" i="1"/>
  <c r="CX217" i="1"/>
  <c r="AD205" i="1"/>
  <c r="AD204" i="1" s="1"/>
  <c r="AD217" i="1"/>
  <c r="CG109" i="1"/>
  <c r="DA39" i="1"/>
  <c r="DA38" i="1"/>
  <c r="DA48" i="1"/>
  <c r="DA270" i="1" s="1"/>
  <c r="DA271" i="1" s="1"/>
  <c r="CX216" i="1"/>
  <c r="CX54" i="1"/>
  <c r="CX50" i="1"/>
  <c r="CX49" i="1"/>
  <c r="CX252" i="1"/>
  <c r="CX253" i="1" s="1"/>
  <c r="CX51" i="1"/>
  <c r="AD199" i="1"/>
  <c r="AD168" i="1"/>
  <c r="CK227" i="1"/>
  <c r="CK225" i="1" s="1"/>
  <c r="CK230" i="1" s="1"/>
  <c r="CK149" i="1"/>
  <c r="CK75" i="1" s="1"/>
  <c r="AC201" i="1"/>
  <c r="AC206" i="1"/>
  <c r="AC209" i="1" s="1"/>
  <c r="AC210" i="1" s="1"/>
  <c r="DA35" i="1"/>
  <c r="DB165" i="1"/>
  <c r="AE165" i="1" s="1"/>
  <c r="AE200" i="1" s="1"/>
  <c r="DB36" i="1"/>
  <c r="DB35" i="1" s="1"/>
  <c r="DB164" i="1"/>
  <c r="DB46" i="1"/>
  <c r="DB43" i="1" s="1"/>
  <c r="DB173" i="1"/>
  <c r="AE173" i="1" s="1"/>
  <c r="AE203" i="1" s="1"/>
  <c r="DB166" i="1"/>
  <c r="AE166" i="1" s="1"/>
  <c r="DB172" i="1"/>
  <c r="AE30" i="1"/>
  <c r="AE11" i="1" s="1"/>
  <c r="DA176" i="1"/>
  <c r="CK114" i="1" l="1"/>
  <c r="CK116" i="1"/>
  <c r="CK115" i="1"/>
  <c r="AE43" i="1"/>
  <c r="AE46" i="1" s="1"/>
  <c r="AE47" i="1" s="1"/>
  <c r="AE118" i="1"/>
  <c r="AE208" i="1"/>
  <c r="AD50" i="1"/>
  <c r="DA177" i="1"/>
  <c r="CK180" i="1"/>
  <c r="CK181" i="1" s="1"/>
  <c r="CL229" i="1" s="1"/>
  <c r="CL230" i="1" s="1"/>
  <c r="CL231" i="1" s="1"/>
  <c r="DB39" i="1"/>
  <c r="DB48" i="1"/>
  <c r="DB270" i="1" s="1"/>
  <c r="DB271" i="1" s="1"/>
  <c r="DB38" i="1"/>
  <c r="CX218" i="1"/>
  <c r="CY218" i="1"/>
  <c r="AD177" i="1"/>
  <c r="AD202" i="1"/>
  <c r="AD216" i="1"/>
  <c r="AD218" i="1" s="1"/>
  <c r="DB168" i="1"/>
  <c r="AE164" i="1"/>
  <c r="DA54" i="1"/>
  <c r="DA49" i="1"/>
  <c r="DA50" i="1"/>
  <c r="DA51" i="1"/>
  <c r="DA252" i="1"/>
  <c r="DA253" i="1" s="1"/>
  <c r="AD54" i="1"/>
  <c r="AD49" i="1"/>
  <c r="AD132" i="1"/>
  <c r="AD80" i="1"/>
  <c r="AE31" i="1"/>
  <c r="AE78" i="1"/>
  <c r="AE35" i="1"/>
  <c r="AE36" i="1" s="1"/>
  <c r="AE38" i="1" s="1"/>
  <c r="DA132" i="1"/>
  <c r="DA246" i="1"/>
  <c r="AE172" i="1"/>
  <c r="AE176" i="1" s="1"/>
  <c r="DB176" i="1"/>
  <c r="DB217" i="1" s="1"/>
  <c r="DA217" i="1"/>
  <c r="DA218" i="1" s="1"/>
  <c r="CK231" i="1" l="1"/>
  <c r="CK268" i="1"/>
  <c r="CK264" i="1"/>
  <c r="CK266" i="1"/>
  <c r="AE48" i="1"/>
  <c r="AE37" i="1"/>
  <c r="AE79" i="1"/>
  <c r="DB54" i="1"/>
  <c r="DB51" i="1"/>
  <c r="DB252" i="1"/>
  <c r="DB253" i="1" s="1"/>
  <c r="DB49" i="1"/>
  <c r="DB50" i="1"/>
  <c r="DB132" i="1"/>
  <c r="AD206" i="1"/>
  <c r="AD209" i="1" s="1"/>
  <c r="AD210" i="1" s="1"/>
  <c r="AD201" i="1"/>
  <c r="AE168" i="1"/>
  <c r="AE199" i="1"/>
  <c r="CK185" i="1"/>
  <c r="CK188" i="1"/>
  <c r="DB177" i="1"/>
  <c r="DB216" i="1"/>
  <c r="DB218" i="1" s="1"/>
  <c r="AE205" i="1"/>
  <c r="AE204" i="1" s="1"/>
  <c r="AE217" i="1"/>
  <c r="DB246" i="1"/>
  <c r="CK129" i="1" l="1"/>
  <c r="CL57" i="1"/>
  <c r="CM57" i="1" s="1"/>
  <c r="CN57" i="1" s="1"/>
  <c r="CO57" i="1" s="1"/>
  <c r="CP57" i="1" s="1"/>
  <c r="CQ57" i="1" s="1"/>
  <c r="CR57" i="1" s="1"/>
  <c r="CS57" i="1" s="1"/>
  <c r="CT57" i="1" s="1"/>
  <c r="CU57" i="1" s="1"/>
  <c r="CV57" i="1" s="1"/>
  <c r="CW57" i="1" s="1"/>
  <c r="CX57" i="1" s="1"/>
  <c r="CY57" i="1" s="1"/>
  <c r="CZ57" i="1" s="1"/>
  <c r="DA57" i="1" s="1"/>
  <c r="DB57" i="1" s="1"/>
  <c r="AE50" i="1"/>
  <c r="AE270" i="1"/>
  <c r="AE271" i="1" s="1"/>
  <c r="CK186" i="1"/>
  <c r="AE177" i="1"/>
  <c r="AE202" i="1"/>
  <c r="AE216" i="1"/>
  <c r="AE218" i="1" s="1"/>
  <c r="AE54" i="1"/>
  <c r="AE49" i="1"/>
  <c r="AE80" i="1"/>
  <c r="AE132" i="1"/>
  <c r="CK131" i="1" l="1"/>
  <c r="CK134" i="1" s="1"/>
  <c r="CK130" i="1"/>
  <c r="CK133" i="1" s="1"/>
  <c r="AE206" i="1"/>
  <c r="AE209" i="1" s="1"/>
  <c r="AE210" i="1" s="1"/>
  <c r="AE201" i="1"/>
  <c r="CM116" i="1" l="1"/>
  <c r="CN116" i="1" s="1"/>
  <c r="CO116" i="1" s="1"/>
  <c r="CP116" i="1" s="1"/>
  <c r="CQ116" i="1" s="1"/>
  <c r="CR116" i="1" s="1"/>
  <c r="CS116" i="1" s="1"/>
  <c r="CT116" i="1" s="1"/>
  <c r="CU116" i="1" s="1"/>
  <c r="CV116" i="1" s="1"/>
  <c r="CW116" i="1" s="1"/>
  <c r="CX116" i="1" s="1"/>
  <c r="CY116" i="1" s="1"/>
  <c r="CZ116" i="1" s="1"/>
  <c r="DA116" i="1" s="1"/>
  <c r="DB116" i="1" s="1"/>
  <c r="CM115" i="1"/>
  <c r="CN115" i="1" s="1"/>
  <c r="CO115" i="1" s="1"/>
  <c r="CP115" i="1" s="1"/>
  <c r="CQ115" i="1" s="1"/>
  <c r="CR115" i="1" s="1"/>
  <c r="CS115" i="1" s="1"/>
  <c r="CT115" i="1" s="1"/>
  <c r="CU115" i="1" s="1"/>
  <c r="CV115" i="1" s="1"/>
  <c r="CW115" i="1" s="1"/>
  <c r="CX115" i="1" s="1"/>
  <c r="CY115" i="1" s="1"/>
  <c r="CZ115" i="1" s="1"/>
  <c r="DA115" i="1" s="1"/>
  <c r="DB115" i="1" s="1"/>
  <c r="CM107" i="1"/>
  <c r="CN107" i="1" s="1"/>
  <c r="CO107" i="1" s="1"/>
  <c r="CP107" i="1" s="1"/>
  <c r="CQ107" i="1" s="1"/>
  <c r="CR107" i="1" s="1"/>
  <c r="CS107" i="1" s="1"/>
  <c r="CT107" i="1" s="1"/>
  <c r="CU107" i="1" s="1"/>
  <c r="CV107" i="1" s="1"/>
  <c r="CW107" i="1" s="1"/>
  <c r="CX107" i="1" s="1"/>
  <c r="CY107" i="1" s="1"/>
  <c r="CZ107" i="1" s="1"/>
  <c r="DA107" i="1" s="1"/>
  <c r="DB107" i="1" s="1"/>
  <c r="CH109" i="1"/>
  <c r="CM106" i="1" l="1"/>
  <c r="CN106" i="1" s="1"/>
  <c r="CO106" i="1" s="1"/>
  <c r="CP106" i="1" s="1"/>
  <c r="CQ106" i="1" s="1"/>
  <c r="CR106" i="1" s="1"/>
  <c r="CS106" i="1" s="1"/>
  <c r="CT106" i="1" s="1"/>
  <c r="CU106" i="1" s="1"/>
  <c r="CV106" i="1" s="1"/>
  <c r="CW106" i="1" s="1"/>
  <c r="CX106" i="1" s="1"/>
  <c r="CY106" i="1" s="1"/>
  <c r="CZ106" i="1" s="1"/>
  <c r="DA106" i="1" s="1"/>
  <c r="DB106" i="1" s="1"/>
  <c r="CM229" i="1" l="1"/>
  <c r="AB229" i="1"/>
  <c r="CM56" i="1" l="1"/>
  <c r="CM272" i="1" s="1"/>
  <c r="CM58" i="1" l="1"/>
  <c r="CM59" i="1" l="1"/>
  <c r="CM61" i="1" l="1"/>
  <c r="CM63" i="1" l="1"/>
  <c r="CM64" i="1"/>
  <c r="CM254" i="1"/>
  <c r="CM68" i="1"/>
  <c r="CM62" i="1"/>
  <c r="CM265" i="1" s="1"/>
  <c r="CM247" i="1"/>
  <c r="CM213" i="1" l="1"/>
  <c r="CM215" i="1" s="1"/>
  <c r="CM219" i="1" s="1"/>
  <c r="CM233" i="1" s="1"/>
  <c r="CM86" i="1"/>
  <c r="CM139" i="1"/>
  <c r="CM140" i="1" l="1"/>
  <c r="CM89" i="1"/>
  <c r="CM90" i="1" l="1"/>
  <c r="CM98" i="1"/>
  <c r="CI109" i="1"/>
  <c r="CM105" i="1"/>
  <c r="CM99" i="1"/>
  <c r="CM149" i="1"/>
  <c r="CM75" i="1" s="1"/>
  <c r="CM112" i="1"/>
  <c r="CM114" i="1" s="1"/>
  <c r="CM227" i="1"/>
  <c r="CM225" i="1" s="1"/>
  <c r="CM230" i="1" s="1"/>
  <c r="CM74" i="1"/>
  <c r="CM180" i="1" l="1"/>
  <c r="CM181" i="1" s="1"/>
  <c r="CM102" i="1"/>
  <c r="CM128" i="1"/>
  <c r="CM101" i="1"/>
  <c r="CM127" i="1"/>
  <c r="CM231" i="1" l="1"/>
  <c r="CM268" i="1"/>
  <c r="CM266" i="1"/>
  <c r="CM264" i="1"/>
  <c r="CN229" i="1"/>
  <c r="CM185" i="1"/>
  <c r="CM188" i="1"/>
  <c r="CM186" i="1" l="1"/>
  <c r="CN56" i="1"/>
  <c r="CN272" i="1" s="1"/>
  <c r="CM129" i="1"/>
  <c r="CM130" i="1" l="1"/>
  <c r="CM133" i="1" s="1"/>
  <c r="CM131" i="1"/>
  <c r="CM134" i="1" s="1"/>
  <c r="CN58" i="1"/>
  <c r="CN59" i="1" l="1"/>
  <c r="CN61" i="1" s="1"/>
  <c r="CN63" i="1" l="1"/>
  <c r="CN64" i="1"/>
  <c r="CN68" i="1"/>
  <c r="CN254" i="1"/>
  <c r="CN62" i="1"/>
  <c r="CN265" i="1" s="1"/>
  <c r="CN247" i="1"/>
  <c r="CN86" i="1" l="1"/>
  <c r="CN213" i="1"/>
  <c r="CN215" i="1" s="1"/>
  <c r="CN219" i="1" s="1"/>
  <c r="CN233" i="1" s="1"/>
  <c r="CN139" i="1"/>
  <c r="CN89" i="1" l="1"/>
  <c r="CN140" i="1"/>
  <c r="CN90" i="1" l="1"/>
  <c r="CN149" i="1"/>
  <c r="CN75" i="1" s="1"/>
  <c r="CN227" i="1"/>
  <c r="CN225" i="1" s="1"/>
  <c r="CN230" i="1" s="1"/>
  <c r="CN112" i="1"/>
  <c r="CN114" i="1" s="1"/>
  <c r="CN74" i="1"/>
  <c r="CN105" i="1"/>
  <c r="CN98" i="1"/>
  <c r="CN99" i="1"/>
  <c r="CJ109" i="1"/>
  <c r="CN101" i="1" l="1"/>
  <c r="CN127" i="1"/>
  <c r="CN180" i="1"/>
  <c r="CN181" i="1" s="1"/>
  <c r="CN128" i="1"/>
  <c r="CN102" i="1"/>
  <c r="CN231" i="1" l="1"/>
  <c r="CN268" i="1"/>
  <c r="CN266" i="1"/>
  <c r="CN264" i="1"/>
  <c r="CN185" i="1"/>
  <c r="CN188" i="1"/>
  <c r="CO229" i="1"/>
  <c r="CN186" i="1" l="1"/>
  <c r="CO56" i="1"/>
  <c r="CO272" i="1" s="1"/>
  <c r="CN129" i="1"/>
  <c r="CO58" i="1" l="1"/>
  <c r="CN131" i="1"/>
  <c r="CN134" i="1" s="1"/>
  <c r="CN130" i="1"/>
  <c r="CN133" i="1" s="1"/>
  <c r="CO59" i="1" l="1"/>
  <c r="CO61" i="1" l="1"/>
  <c r="CO62" i="1" l="1"/>
  <c r="CO265" i="1" s="1"/>
  <c r="CO64" i="1"/>
  <c r="CO63" i="1"/>
  <c r="CO254" i="1"/>
  <c r="CO68" i="1"/>
  <c r="CO247" i="1"/>
  <c r="CO86" i="1" l="1"/>
  <c r="CO213" i="1"/>
  <c r="CO215" i="1" s="1"/>
  <c r="CO219" i="1" s="1"/>
  <c r="CO233" i="1" s="1"/>
  <c r="CO139" i="1"/>
  <c r="CO140" i="1" l="1"/>
  <c r="CO89" i="1"/>
  <c r="CK109" i="1" s="1"/>
  <c r="CO90" i="1" l="1"/>
  <c r="CO99" i="1"/>
  <c r="CO105" i="1"/>
  <c r="CO98" i="1"/>
  <c r="CO112" i="1"/>
  <c r="CO114" i="1" s="1"/>
  <c r="CO227" i="1"/>
  <c r="CO225" i="1" s="1"/>
  <c r="CO230" i="1" s="1"/>
  <c r="CO149" i="1"/>
  <c r="CO75" i="1" s="1"/>
  <c r="CO74" i="1"/>
  <c r="CO180" i="1" l="1"/>
  <c r="CO181" i="1" s="1"/>
  <c r="CO101" i="1"/>
  <c r="CO127" i="1"/>
  <c r="CO128" i="1"/>
  <c r="CO102" i="1"/>
  <c r="CO231" i="1" l="1"/>
  <c r="CO266" i="1"/>
  <c r="CO264" i="1"/>
  <c r="CO268" i="1"/>
  <c r="CO185" i="1"/>
  <c r="CO188" i="1"/>
  <c r="CP229" i="1"/>
  <c r="CP56" i="1" l="1"/>
  <c r="CP272" i="1" s="1"/>
  <c r="CO129" i="1"/>
  <c r="CO186" i="1"/>
  <c r="CO131" i="1" l="1"/>
  <c r="CO134" i="1" s="1"/>
  <c r="CO130" i="1"/>
  <c r="CO133" i="1" s="1"/>
  <c r="CP58" i="1"/>
  <c r="AB56" i="1"/>
  <c r="AB57" i="1" l="1"/>
  <c r="AB272" i="1"/>
  <c r="AB58" i="1"/>
  <c r="CP59" i="1"/>
  <c r="AB59" i="1" s="1"/>
  <c r="AB60" i="1" l="1"/>
  <c r="CP61" i="1"/>
  <c r="CP62" i="1" s="1"/>
  <c r="CP265" i="1" s="1"/>
  <c r="AB61" i="1"/>
  <c r="CP63" i="1" l="1"/>
  <c r="CP247" i="1"/>
  <c r="CP254" i="1"/>
  <c r="CP68" i="1"/>
  <c r="CP139" i="1" s="1"/>
  <c r="CP64" i="1"/>
  <c r="AB63" i="1"/>
  <c r="AB68" i="1"/>
  <c r="AB62" i="1"/>
  <c r="AB265" i="1" s="1"/>
  <c r="AB81" i="1"/>
  <c r="CP213" i="1" l="1"/>
  <c r="CP215" i="1" s="1"/>
  <c r="CP219" i="1" s="1"/>
  <c r="CP233" i="1" s="1"/>
  <c r="CP86" i="1"/>
  <c r="CP89" i="1" s="1"/>
  <c r="CL109" i="1" s="1"/>
  <c r="AB139" i="1"/>
  <c r="AB140" i="1" s="1"/>
  <c r="AB74" i="1" s="1"/>
  <c r="CP140" i="1"/>
  <c r="AB71" i="1"/>
  <c r="AB72" i="1" s="1"/>
  <c r="AB213" i="1"/>
  <c r="AB215" i="1" s="1"/>
  <c r="AB219" i="1" s="1"/>
  <c r="AB233" i="1" s="1"/>
  <c r="CP92" i="1" l="1"/>
  <c r="CP90" i="1"/>
  <c r="AB149" i="1"/>
  <c r="AB75" i="1" s="1"/>
  <c r="AB195" i="1"/>
  <c r="AB227" i="1"/>
  <c r="AB225" i="1" s="1"/>
  <c r="AB230" i="1" s="1"/>
  <c r="CP98" i="1"/>
  <c r="CP105" i="1"/>
  <c r="CP99" i="1"/>
  <c r="CP227" i="1"/>
  <c r="CP225" i="1" s="1"/>
  <c r="CP230" i="1" s="1"/>
  <c r="CP149" i="1"/>
  <c r="CP75" i="1" s="1"/>
  <c r="CP112" i="1"/>
  <c r="CP114" i="1" s="1"/>
  <c r="CP74" i="1"/>
  <c r="CP180" i="1" l="1"/>
  <c r="CP101" i="1"/>
  <c r="CP127" i="1"/>
  <c r="AB98" i="1"/>
  <c r="CP128" i="1"/>
  <c r="CP102" i="1"/>
  <c r="AB99" i="1"/>
  <c r="AB102" i="1" l="1"/>
  <c r="CP181" i="1"/>
  <c r="AB180" i="1"/>
  <c r="AB181" i="1" s="1"/>
  <c r="AB101" i="1"/>
  <c r="AB268" i="1" l="1"/>
  <c r="AB266" i="1"/>
  <c r="AB264" i="1"/>
  <c r="CP266" i="1"/>
  <c r="CP264" i="1"/>
  <c r="CP268" i="1"/>
  <c r="CP185" i="1"/>
  <c r="CQ229" i="1"/>
  <c r="CP188" i="1"/>
  <c r="CP231" i="1"/>
  <c r="AB188" i="1"/>
  <c r="AB129" i="1" s="1"/>
  <c r="AB185" i="1"/>
  <c r="AC229" i="1"/>
  <c r="AB231" i="1"/>
  <c r="AB186" i="1" l="1"/>
  <c r="CP129" i="1"/>
  <c r="CQ56" i="1"/>
  <c r="CQ272" i="1" s="1"/>
  <c r="CP186" i="1"/>
  <c r="CQ58" i="1" l="1"/>
  <c r="CP130" i="1"/>
  <c r="CP133" i="1" s="1"/>
  <c r="CP131" i="1"/>
  <c r="CP134" i="1" s="1"/>
  <c r="CQ59" i="1" l="1"/>
  <c r="CQ61" i="1" s="1"/>
  <c r="CQ68" i="1" l="1"/>
  <c r="CQ62" i="1"/>
  <c r="CQ265" i="1" s="1"/>
  <c r="CQ63" i="1"/>
  <c r="CQ64" i="1"/>
  <c r="CQ254" i="1"/>
  <c r="CQ247" i="1"/>
  <c r="CQ86" i="1" l="1"/>
  <c r="CQ213" i="1"/>
  <c r="CQ215" i="1" s="1"/>
  <c r="CQ219" i="1" s="1"/>
  <c r="CQ233" i="1" s="1"/>
  <c r="CQ139" i="1"/>
  <c r="CQ140" i="1" l="1"/>
  <c r="CQ89" i="1"/>
  <c r="CQ90" i="1" l="1"/>
  <c r="CQ99" i="1"/>
  <c r="CQ98" i="1"/>
  <c r="CQ105" i="1"/>
  <c r="CQ149" i="1"/>
  <c r="CQ75" i="1" s="1"/>
  <c r="CQ227" i="1"/>
  <c r="CQ225" i="1" s="1"/>
  <c r="CQ230" i="1" s="1"/>
  <c r="CQ112" i="1"/>
  <c r="CQ114" i="1" s="1"/>
  <c r="CQ74" i="1"/>
  <c r="CQ180" i="1" l="1"/>
  <c r="CQ181" i="1" s="1"/>
  <c r="CQ231" i="1" s="1"/>
  <c r="CQ127" i="1"/>
  <c r="CQ101" i="1"/>
  <c r="CQ128" i="1"/>
  <c r="CQ102" i="1"/>
  <c r="CQ268" i="1" l="1"/>
  <c r="CQ266" i="1"/>
  <c r="CQ264" i="1"/>
  <c r="CQ188" i="1"/>
  <c r="CR229" i="1"/>
  <c r="CQ185" i="1"/>
  <c r="CQ186" i="1" l="1"/>
  <c r="CQ129" i="1"/>
  <c r="CR56" i="1"/>
  <c r="CR272" i="1" s="1"/>
  <c r="CR58" i="1" l="1"/>
  <c r="CQ130" i="1"/>
  <c r="CQ133" i="1" s="1"/>
  <c r="CQ131" i="1"/>
  <c r="CQ134" i="1" s="1"/>
  <c r="CR59" i="1" l="1"/>
  <c r="CR61" i="1" s="1"/>
  <c r="CR254" i="1" l="1"/>
  <c r="CR62" i="1"/>
  <c r="CR265" i="1" s="1"/>
  <c r="CR68" i="1"/>
  <c r="CR63" i="1"/>
  <c r="CR64" i="1"/>
  <c r="CR247" i="1"/>
  <c r="CR86" i="1" l="1"/>
  <c r="CR213" i="1"/>
  <c r="CR215" i="1" s="1"/>
  <c r="CR219" i="1" s="1"/>
  <c r="CR233" i="1" s="1"/>
  <c r="CR139" i="1"/>
  <c r="CR140" i="1" l="1"/>
  <c r="CR89" i="1"/>
  <c r="CR90" i="1" l="1"/>
  <c r="CR105" i="1"/>
  <c r="CR98" i="1"/>
  <c r="CR99" i="1"/>
  <c r="CR149" i="1"/>
  <c r="CR75" i="1" s="1"/>
  <c r="CR227" i="1"/>
  <c r="CR225" i="1" s="1"/>
  <c r="CR230" i="1" s="1"/>
  <c r="CR112" i="1"/>
  <c r="CR114" i="1" s="1"/>
  <c r="CR74" i="1"/>
  <c r="CR180" i="1" l="1"/>
  <c r="CR181" i="1" s="1"/>
  <c r="CR128" i="1"/>
  <c r="CR102" i="1"/>
  <c r="CR127" i="1"/>
  <c r="CR101" i="1"/>
  <c r="CR268" i="1" l="1"/>
  <c r="CR266" i="1"/>
  <c r="CR264" i="1"/>
  <c r="CS229" i="1"/>
  <c r="CR188" i="1"/>
  <c r="CR185" i="1"/>
  <c r="CR231" i="1"/>
  <c r="CR186" i="1" l="1"/>
  <c r="CR129" i="1"/>
  <c r="CS56" i="1"/>
  <c r="CS272" i="1" s="1"/>
  <c r="CS58" i="1" l="1"/>
  <c r="CR130" i="1"/>
  <c r="CR133" i="1" s="1"/>
  <c r="CR131" i="1"/>
  <c r="CR134" i="1" s="1"/>
  <c r="CS59" i="1" l="1"/>
  <c r="CS61" i="1" l="1"/>
  <c r="CS68" i="1" l="1"/>
  <c r="CS64" i="1"/>
  <c r="CS254" i="1"/>
  <c r="CS63" i="1"/>
  <c r="CS62" i="1"/>
  <c r="CS265" i="1" s="1"/>
  <c r="CS247" i="1"/>
  <c r="CS86" i="1" l="1"/>
  <c r="CS213" i="1"/>
  <c r="CS215" i="1" s="1"/>
  <c r="CS219" i="1" s="1"/>
  <c r="CS233" i="1" s="1"/>
  <c r="CS139" i="1"/>
  <c r="CS140" i="1" l="1"/>
  <c r="CS89" i="1"/>
  <c r="CS90" i="1" l="1"/>
  <c r="CS98" i="1"/>
  <c r="CS99" i="1"/>
  <c r="CS105" i="1"/>
  <c r="CS149" i="1"/>
  <c r="CS75" i="1" s="1"/>
  <c r="CS112" i="1"/>
  <c r="CS114" i="1" s="1"/>
  <c r="CS227" i="1"/>
  <c r="CS225" i="1" s="1"/>
  <c r="CS230" i="1" s="1"/>
  <c r="CS74" i="1"/>
  <c r="CS180" i="1" l="1"/>
  <c r="CS181" i="1" s="1"/>
  <c r="CS128" i="1"/>
  <c r="CS102" i="1"/>
  <c r="CS127" i="1"/>
  <c r="CS101" i="1"/>
  <c r="CS266" i="1" l="1"/>
  <c r="CS268" i="1"/>
  <c r="CS264" i="1"/>
  <c r="CT229" i="1"/>
  <c r="CS185" i="1"/>
  <c r="CS188" i="1"/>
  <c r="CS231" i="1"/>
  <c r="CT56" i="1" l="1"/>
  <c r="CT272" i="1" s="1"/>
  <c r="CS129" i="1"/>
  <c r="CS186" i="1"/>
  <c r="CS131" i="1" l="1"/>
  <c r="CS134" i="1" s="1"/>
  <c r="CS130" i="1"/>
  <c r="CS133" i="1" s="1"/>
  <c r="CT58" i="1"/>
  <c r="AC56" i="1"/>
  <c r="AC57" i="1" l="1"/>
  <c r="AC272" i="1"/>
  <c r="AC58" i="1"/>
  <c r="CT59" i="1"/>
  <c r="AC59" i="1" s="1"/>
  <c r="AC60" i="1" l="1"/>
  <c r="CT61" i="1"/>
  <c r="CT64" i="1" s="1"/>
  <c r="AC61" i="1"/>
  <c r="CT63" i="1" l="1"/>
  <c r="CT68" i="1"/>
  <c r="CT254" i="1"/>
  <c r="CT247" i="1"/>
  <c r="CT62" i="1"/>
  <c r="CT265" i="1" s="1"/>
  <c r="AC63" i="1"/>
  <c r="AC62" i="1"/>
  <c r="AC265" i="1" s="1"/>
  <c r="AC81" i="1"/>
  <c r="AC68" i="1"/>
  <c r="CT139" i="1" l="1"/>
  <c r="CT86" i="1"/>
  <c r="CT89" i="1" s="1"/>
  <c r="CT92" i="1" s="1"/>
  <c r="CT213" i="1"/>
  <c r="CT215" i="1" s="1"/>
  <c r="CT219" i="1" s="1"/>
  <c r="CT233" i="1" s="1"/>
  <c r="AC71" i="1"/>
  <c r="AC72" i="1" s="1"/>
  <c r="AC213" i="1"/>
  <c r="AC215" i="1" s="1"/>
  <c r="AC219" i="1" s="1"/>
  <c r="AC233" i="1" s="1"/>
  <c r="CT140" i="1" l="1"/>
  <c r="AC139" i="1"/>
  <c r="AC140" i="1" s="1"/>
  <c r="AC149" i="1" s="1"/>
  <c r="AC75" i="1" s="1"/>
  <c r="CT90" i="1"/>
  <c r="CT105" i="1"/>
  <c r="CT98" i="1"/>
  <c r="CT99" i="1"/>
  <c r="CT149" i="1" l="1"/>
  <c r="CT75" i="1" s="1"/>
  <c r="CT112" i="1"/>
  <c r="CT114" i="1" s="1"/>
  <c r="CT227" i="1"/>
  <c r="CT225" i="1" s="1"/>
  <c r="CT230" i="1" s="1"/>
  <c r="CT180" i="1" s="1"/>
  <c r="CT74" i="1"/>
  <c r="AC74" i="1"/>
  <c r="AC227" i="1"/>
  <c r="AC225" i="1" s="1"/>
  <c r="AC230" i="1" s="1"/>
  <c r="AC195" i="1"/>
  <c r="CT127" i="1"/>
  <c r="CT101" i="1"/>
  <c r="AC98" i="1"/>
  <c r="CT128" i="1"/>
  <c r="CT102" i="1"/>
  <c r="AC99" i="1"/>
  <c r="AC101" i="1" l="1"/>
  <c r="CT181" i="1"/>
  <c r="AC180" i="1"/>
  <c r="AC181" i="1" s="1"/>
  <c r="AC102" i="1"/>
  <c r="CT266" i="1" l="1"/>
  <c r="CT268" i="1"/>
  <c r="CT264" i="1"/>
  <c r="AC268" i="1"/>
  <c r="AC266" i="1"/>
  <c r="AC264" i="1"/>
  <c r="CU229" i="1"/>
  <c r="CT185" i="1"/>
  <c r="CT188" i="1"/>
  <c r="CT231" i="1"/>
  <c r="AD229" i="1"/>
  <c r="AC188" i="1"/>
  <c r="AC129" i="1" s="1"/>
  <c r="AC185" i="1"/>
  <c r="AC231" i="1"/>
  <c r="AC186" i="1" l="1"/>
  <c r="CT186" i="1"/>
  <c r="CT129" i="1"/>
  <c r="CU56" i="1"/>
  <c r="CU272" i="1" s="1"/>
  <c r="CU58" i="1" l="1"/>
  <c r="CT130" i="1"/>
  <c r="CT133" i="1" s="1"/>
  <c r="CT131" i="1"/>
  <c r="CT134" i="1" s="1"/>
  <c r="CU59" i="1" l="1"/>
  <c r="CU61" i="1" s="1"/>
  <c r="CU62" i="1" l="1"/>
  <c r="CU265" i="1" s="1"/>
  <c r="CU63" i="1"/>
  <c r="CU64" i="1"/>
  <c r="CU68" i="1"/>
  <c r="CU254" i="1"/>
  <c r="CU247" i="1"/>
  <c r="CU213" i="1" l="1"/>
  <c r="CU215" i="1" s="1"/>
  <c r="CU219" i="1" s="1"/>
  <c r="CU233" i="1" s="1"/>
  <c r="CU86" i="1"/>
  <c r="CU139" i="1"/>
  <c r="CU140" i="1" l="1"/>
  <c r="CU89" i="1"/>
  <c r="CU90" i="1" l="1"/>
  <c r="CU105" i="1"/>
  <c r="CU99" i="1"/>
  <c r="CU98" i="1"/>
  <c r="CU149" i="1"/>
  <c r="CU75" i="1" s="1"/>
  <c r="CU227" i="1"/>
  <c r="CU225" i="1" s="1"/>
  <c r="CU230" i="1" s="1"/>
  <c r="CU112" i="1"/>
  <c r="CU114" i="1" s="1"/>
  <c r="CU74" i="1"/>
  <c r="CU180" i="1" l="1"/>
  <c r="CU181" i="1" s="1"/>
  <c r="CU127" i="1"/>
  <c r="CU101" i="1"/>
  <c r="CU128" i="1"/>
  <c r="CU102" i="1"/>
  <c r="CU268" i="1" l="1"/>
  <c r="CU264" i="1"/>
  <c r="CU266" i="1"/>
  <c r="CU185" i="1"/>
  <c r="CU188" i="1"/>
  <c r="CV229" i="1"/>
  <c r="CU231" i="1"/>
  <c r="CU186" i="1" l="1"/>
  <c r="CV56" i="1"/>
  <c r="CV272" i="1" s="1"/>
  <c r="CU129" i="1"/>
  <c r="CU130" i="1" l="1"/>
  <c r="CU133" i="1" s="1"/>
  <c r="CU131" i="1"/>
  <c r="CU134" i="1" s="1"/>
  <c r="CV58" i="1"/>
  <c r="CV59" i="1" l="1"/>
  <c r="CV61" i="1" l="1"/>
  <c r="CV68" i="1" l="1"/>
  <c r="CV254" i="1"/>
  <c r="CV62" i="1"/>
  <c r="CV265" i="1" s="1"/>
  <c r="CV64" i="1"/>
  <c r="CV63" i="1"/>
  <c r="CV247" i="1"/>
  <c r="CV213" i="1" l="1"/>
  <c r="CV215" i="1" s="1"/>
  <c r="CV219" i="1" s="1"/>
  <c r="CV233" i="1" s="1"/>
  <c r="CV86" i="1"/>
  <c r="CV139" i="1"/>
  <c r="CV140" i="1" l="1"/>
  <c r="CV89" i="1"/>
  <c r="CV90" i="1" l="1"/>
  <c r="CV98" i="1"/>
  <c r="CV99" i="1"/>
  <c r="CV105" i="1"/>
  <c r="CV112" i="1"/>
  <c r="CV114" i="1" s="1"/>
  <c r="CV149" i="1"/>
  <c r="CV75" i="1" s="1"/>
  <c r="CV227" i="1"/>
  <c r="CV225" i="1" s="1"/>
  <c r="CV230" i="1" s="1"/>
  <c r="CV74" i="1"/>
  <c r="CV180" i="1" l="1"/>
  <c r="CV181" i="1" s="1"/>
  <c r="CV128" i="1"/>
  <c r="CV102" i="1"/>
  <c r="CV127" i="1"/>
  <c r="CV101" i="1"/>
  <c r="CV266" i="1" l="1"/>
  <c r="CV264" i="1"/>
  <c r="CV268" i="1"/>
  <c r="CV188" i="1"/>
  <c r="CW229" i="1"/>
  <c r="CV185" i="1"/>
  <c r="CV231" i="1"/>
  <c r="CV186" i="1" l="1"/>
  <c r="CV129" i="1"/>
  <c r="CW56" i="1"/>
  <c r="CW272" i="1" s="1"/>
  <c r="CW58" i="1" l="1"/>
  <c r="CV131" i="1"/>
  <c r="CV134" i="1" s="1"/>
  <c r="CV130" i="1"/>
  <c r="CV133" i="1" s="1"/>
  <c r="CW59" i="1" l="1"/>
  <c r="CW61" i="1" l="1"/>
  <c r="CW62" i="1" l="1"/>
  <c r="CW265" i="1" s="1"/>
  <c r="CW64" i="1"/>
  <c r="CW68" i="1"/>
  <c r="CW63" i="1"/>
  <c r="CW254" i="1"/>
  <c r="CW247" i="1"/>
  <c r="CW213" i="1" l="1"/>
  <c r="CW215" i="1" s="1"/>
  <c r="CW219" i="1" s="1"/>
  <c r="CW233" i="1" s="1"/>
  <c r="CW86" i="1"/>
  <c r="CW139" i="1"/>
  <c r="CW140" i="1" l="1"/>
  <c r="CW89" i="1"/>
  <c r="CW90" i="1" l="1"/>
  <c r="CW105" i="1"/>
  <c r="CW99" i="1"/>
  <c r="CW98" i="1"/>
  <c r="CW227" i="1"/>
  <c r="CW225" i="1" s="1"/>
  <c r="CW230" i="1" s="1"/>
  <c r="CW149" i="1"/>
  <c r="CW75" i="1" s="1"/>
  <c r="CW112" i="1"/>
  <c r="CW114" i="1" s="1"/>
  <c r="CW74" i="1"/>
  <c r="CW180" i="1" l="1"/>
  <c r="CW181" i="1" s="1"/>
  <c r="CW127" i="1"/>
  <c r="CW101" i="1"/>
  <c r="CW128" i="1"/>
  <c r="CW102" i="1"/>
  <c r="CW266" i="1" l="1"/>
  <c r="CW264" i="1"/>
  <c r="CW268" i="1"/>
  <c r="CW185" i="1"/>
  <c r="CX229" i="1"/>
  <c r="CW188" i="1"/>
  <c r="CW231" i="1"/>
  <c r="CX56" i="1" l="1"/>
  <c r="CX272" i="1" s="1"/>
  <c r="CW129" i="1"/>
  <c r="CW186" i="1"/>
  <c r="CW130" i="1" l="1"/>
  <c r="CW133" i="1" s="1"/>
  <c r="CW131" i="1"/>
  <c r="CW134" i="1" s="1"/>
  <c r="CX58" i="1"/>
  <c r="AD56" i="1"/>
  <c r="AD57" i="1" l="1"/>
  <c r="AD272" i="1"/>
  <c r="AD58" i="1"/>
  <c r="CX59" i="1"/>
  <c r="AD59" i="1" s="1"/>
  <c r="AD60" i="1" l="1"/>
  <c r="CX61" i="1"/>
  <c r="CX247" i="1" s="1"/>
  <c r="AD61" i="1"/>
  <c r="CX64" i="1" l="1"/>
  <c r="CX254" i="1"/>
  <c r="CX68" i="1"/>
  <c r="CX62" i="1"/>
  <c r="CX265" i="1" s="1"/>
  <c r="CX63" i="1"/>
  <c r="AD63" i="1"/>
  <c r="AD81" i="1"/>
  <c r="AD68" i="1"/>
  <c r="AD62" i="1"/>
  <c r="AD265" i="1" s="1"/>
  <c r="CX86" i="1" l="1"/>
  <c r="CX89" i="1" s="1"/>
  <c r="CX213" i="1"/>
  <c r="CX215" i="1" s="1"/>
  <c r="CX219" i="1" s="1"/>
  <c r="CX233" i="1" s="1"/>
  <c r="CX139" i="1"/>
  <c r="AD71" i="1"/>
  <c r="AD72" i="1" s="1"/>
  <c r="AD213" i="1"/>
  <c r="AD215" i="1" s="1"/>
  <c r="AD219" i="1" s="1"/>
  <c r="AD233" i="1" s="1"/>
  <c r="AD139" i="1" l="1"/>
  <c r="AD140" i="1" s="1"/>
  <c r="CX140" i="1"/>
  <c r="CX227" i="1" s="1"/>
  <c r="CX225" i="1" s="1"/>
  <c r="CX230" i="1" s="1"/>
  <c r="CX90" i="1"/>
  <c r="CX98" i="1"/>
  <c r="CX105" i="1"/>
  <c r="CX99" i="1"/>
  <c r="AD195" i="1" l="1"/>
  <c r="AD149" i="1"/>
  <c r="AD75" i="1" s="1"/>
  <c r="AD74" i="1"/>
  <c r="AD227" i="1"/>
  <c r="AD225" i="1" s="1"/>
  <c r="AD230" i="1" s="1"/>
  <c r="CX149" i="1"/>
  <c r="CX75" i="1" s="1"/>
  <c r="CX112" i="1"/>
  <c r="CX114" i="1" s="1"/>
  <c r="CX74" i="1"/>
  <c r="CX180" i="1"/>
  <c r="CX102" i="1"/>
  <c r="CX128" i="1"/>
  <c r="AD99" i="1"/>
  <c r="CX127" i="1"/>
  <c r="CX101" i="1"/>
  <c r="AD98" i="1"/>
  <c r="AD102" i="1" l="1"/>
  <c r="AD101" i="1"/>
  <c r="CX181" i="1"/>
  <c r="AD180" i="1"/>
  <c r="AD181" i="1" s="1"/>
  <c r="AD268" i="1" l="1"/>
  <c r="AD266" i="1"/>
  <c r="AD264" i="1"/>
  <c r="CX268" i="1"/>
  <c r="CX266" i="1"/>
  <c r="CX264" i="1"/>
  <c r="AE229" i="1"/>
  <c r="AD185" i="1"/>
  <c r="AD188" i="1"/>
  <c r="AD129" i="1" s="1"/>
  <c r="AD231" i="1"/>
  <c r="CY229" i="1"/>
  <c r="CX185" i="1"/>
  <c r="CX188" i="1"/>
  <c r="CX231" i="1"/>
  <c r="AD186" i="1" l="1"/>
  <c r="CX129" i="1"/>
  <c r="CY56" i="1"/>
  <c r="CY272" i="1" s="1"/>
  <c r="CX186" i="1"/>
  <c r="CY58" i="1" l="1"/>
  <c r="CX130" i="1"/>
  <c r="CX133" i="1" s="1"/>
  <c r="CX131" i="1"/>
  <c r="CX134" i="1" s="1"/>
  <c r="CY59" i="1" l="1"/>
  <c r="CY61" i="1" l="1"/>
  <c r="CY62" i="1" l="1"/>
  <c r="CY265" i="1" s="1"/>
  <c r="CY254" i="1"/>
  <c r="CY63" i="1"/>
  <c r="CY64" i="1"/>
  <c r="CY68" i="1"/>
  <c r="CY247" i="1"/>
  <c r="CY86" i="1" l="1"/>
  <c r="CY213" i="1"/>
  <c r="CY215" i="1" s="1"/>
  <c r="CY219" i="1" s="1"/>
  <c r="CY233" i="1" s="1"/>
  <c r="CY139" i="1"/>
  <c r="CY140" i="1" l="1"/>
  <c r="CY89" i="1"/>
  <c r="CY90" i="1" s="1"/>
  <c r="CY98" i="1" l="1"/>
  <c r="CY105" i="1"/>
  <c r="CY99" i="1"/>
  <c r="CY112" i="1"/>
  <c r="CY114" i="1" s="1"/>
  <c r="CY149" i="1"/>
  <c r="CY75" i="1" s="1"/>
  <c r="CY227" i="1"/>
  <c r="CY225" i="1" s="1"/>
  <c r="CY230" i="1" s="1"/>
  <c r="CY74" i="1"/>
  <c r="CY180" i="1" l="1"/>
  <c r="CY181" i="1" s="1"/>
  <c r="CY128" i="1"/>
  <c r="CY102" i="1"/>
  <c r="CY101" i="1"/>
  <c r="CY127" i="1"/>
  <c r="CY231" i="1" l="1"/>
  <c r="CY268" i="1"/>
  <c r="CY266" i="1"/>
  <c r="CY264" i="1"/>
  <c r="CZ229" i="1"/>
  <c r="CY185" i="1"/>
  <c r="CY188" i="1"/>
  <c r="CY186" i="1" l="1"/>
  <c r="CZ56" i="1"/>
  <c r="CZ272" i="1" s="1"/>
  <c r="CY129" i="1"/>
  <c r="CY131" i="1" l="1"/>
  <c r="CY134" i="1" s="1"/>
  <c r="CY130" i="1"/>
  <c r="CY133" i="1" s="1"/>
  <c r="CZ58" i="1"/>
  <c r="CZ59" i="1" l="1"/>
  <c r="CZ61" i="1" l="1"/>
  <c r="CZ254" i="1" l="1"/>
  <c r="CZ63" i="1"/>
  <c r="CZ62" i="1"/>
  <c r="CZ265" i="1" s="1"/>
  <c r="CZ64" i="1"/>
  <c r="CZ68" i="1"/>
  <c r="CZ247" i="1"/>
  <c r="CZ213" i="1" l="1"/>
  <c r="CZ215" i="1" s="1"/>
  <c r="CZ219" i="1" s="1"/>
  <c r="CZ233" i="1" s="1"/>
  <c r="CZ86" i="1"/>
  <c r="CZ139" i="1"/>
  <c r="CZ140" i="1" l="1"/>
  <c r="CZ89" i="1"/>
  <c r="CZ90" i="1" s="1"/>
  <c r="CZ105" i="1" l="1"/>
  <c r="CZ99" i="1"/>
  <c r="CZ98" i="1"/>
  <c r="CZ149" i="1"/>
  <c r="CZ75" i="1" s="1"/>
  <c r="CZ227" i="1"/>
  <c r="CZ225" i="1" s="1"/>
  <c r="CZ230" i="1" s="1"/>
  <c r="CZ112" i="1"/>
  <c r="CZ114" i="1" s="1"/>
  <c r="CZ74" i="1"/>
  <c r="CZ180" i="1" l="1"/>
  <c r="CZ181" i="1" s="1"/>
  <c r="CZ127" i="1"/>
  <c r="CZ101" i="1"/>
  <c r="CZ102" i="1"/>
  <c r="CZ128" i="1"/>
  <c r="CZ266" i="1" l="1"/>
  <c r="CZ264" i="1"/>
  <c r="CZ268" i="1"/>
  <c r="CZ185" i="1"/>
  <c r="CZ188" i="1"/>
  <c r="DA229" i="1"/>
  <c r="CZ231" i="1"/>
  <c r="CZ129" i="1" l="1"/>
  <c r="DA56" i="1"/>
  <c r="DA272" i="1" s="1"/>
  <c r="CZ186" i="1"/>
  <c r="DA58" i="1" l="1"/>
  <c r="CZ130" i="1"/>
  <c r="CZ133" i="1" s="1"/>
  <c r="CZ131" i="1"/>
  <c r="CZ134" i="1" s="1"/>
  <c r="DA59" i="1" l="1"/>
  <c r="DA61" i="1" l="1"/>
  <c r="DA254" i="1" l="1"/>
  <c r="DA68" i="1"/>
  <c r="DA63" i="1"/>
  <c r="DA64" i="1"/>
  <c r="DA62" i="1"/>
  <c r="DA265" i="1" s="1"/>
  <c r="DA247" i="1"/>
  <c r="DA86" i="1" l="1"/>
  <c r="DA213" i="1"/>
  <c r="DA215" i="1" s="1"/>
  <c r="DA219" i="1" s="1"/>
  <c r="DA233" i="1" s="1"/>
  <c r="DA139" i="1"/>
  <c r="DA140" i="1" l="1"/>
  <c r="DA89" i="1"/>
  <c r="DA90" i="1" s="1"/>
  <c r="DA99" i="1" l="1"/>
  <c r="DA98" i="1"/>
  <c r="DA105" i="1"/>
  <c r="DA149" i="1"/>
  <c r="DA75" i="1" s="1"/>
  <c r="DA227" i="1"/>
  <c r="DA225" i="1" s="1"/>
  <c r="DA230" i="1" s="1"/>
  <c r="DA112" i="1"/>
  <c r="DA114" i="1" s="1"/>
  <c r="DA74" i="1"/>
  <c r="DA180" i="1" l="1"/>
  <c r="DA181" i="1" s="1"/>
  <c r="DA127" i="1"/>
  <c r="DA101" i="1"/>
  <c r="DA102" i="1"/>
  <c r="DA128" i="1"/>
  <c r="DA231" i="1" l="1"/>
  <c r="DA268" i="1"/>
  <c r="DA264" i="1"/>
  <c r="DA266" i="1"/>
  <c r="DA188" i="1"/>
  <c r="DB229" i="1"/>
  <c r="DA185" i="1"/>
  <c r="DA186" i="1" l="1"/>
  <c r="DA129" i="1"/>
  <c r="DB56" i="1"/>
  <c r="DB272" i="1" s="1"/>
  <c r="DA131" i="1" l="1"/>
  <c r="DA134" i="1" s="1"/>
  <c r="DA130" i="1"/>
  <c r="DA133" i="1" s="1"/>
  <c r="DB58" i="1"/>
  <c r="AE56" i="1"/>
  <c r="AE57" i="1" l="1"/>
  <c r="AE272" i="1"/>
  <c r="AE58" i="1"/>
  <c r="DB59" i="1"/>
  <c r="AE59" i="1" s="1"/>
  <c r="AE60" i="1" l="1"/>
  <c r="DB61" i="1"/>
  <c r="AE61" i="1"/>
  <c r="AE63" i="1" s="1"/>
  <c r="AE62" i="1" l="1"/>
  <c r="AE265" i="1" s="1"/>
  <c r="AE68" i="1"/>
  <c r="AE81" i="1"/>
  <c r="DB63" i="1"/>
  <c r="DB64" i="1"/>
  <c r="DB254" i="1"/>
  <c r="DB62" i="1"/>
  <c r="DB265" i="1" s="1"/>
  <c r="DB68" i="1"/>
  <c r="DB247" i="1"/>
  <c r="AE71" i="1" l="1"/>
  <c r="AE72" i="1" s="1"/>
  <c r="AE213" i="1"/>
  <c r="AE215" i="1" s="1"/>
  <c r="AE219" i="1" s="1"/>
  <c r="AE233" i="1" s="1"/>
  <c r="DB213" i="1"/>
  <c r="DB215" i="1" s="1"/>
  <c r="DB219" i="1" s="1"/>
  <c r="DB233" i="1" s="1"/>
  <c r="DB86" i="1"/>
  <c r="DB89" i="1" s="1"/>
  <c r="DB90" i="1" s="1"/>
  <c r="DB139" i="1"/>
  <c r="AE139" i="1" l="1"/>
  <c r="AE140" i="1" s="1"/>
  <c r="DB140" i="1"/>
  <c r="DB99" i="1"/>
  <c r="DB98" i="1"/>
  <c r="DB105" i="1"/>
  <c r="DB127" i="1" l="1"/>
  <c r="DB101" i="1"/>
  <c r="AE98" i="1"/>
  <c r="DB128" i="1"/>
  <c r="DB102" i="1"/>
  <c r="AE99" i="1"/>
  <c r="DB227" i="1"/>
  <c r="DB225" i="1" s="1"/>
  <c r="DB230" i="1" s="1"/>
  <c r="DB149" i="1"/>
  <c r="DB75" i="1" s="1"/>
  <c r="DB112" i="1"/>
  <c r="DB114" i="1" s="1"/>
  <c r="DB74" i="1"/>
  <c r="AE227" i="1"/>
  <c r="AE225" i="1" s="1"/>
  <c r="AE230" i="1" s="1"/>
  <c r="AE149" i="1"/>
  <c r="AE75" i="1" s="1"/>
  <c r="AE195" i="1"/>
  <c r="AE74" i="1"/>
  <c r="AE102" i="1" l="1"/>
  <c r="AE101" i="1"/>
  <c r="DB180" i="1"/>
  <c r="AE180" i="1" l="1"/>
  <c r="AE181" i="1" s="1"/>
  <c r="DB181" i="1"/>
  <c r="DB264" i="1" l="1"/>
  <c r="DB268" i="1"/>
  <c r="DB266" i="1"/>
  <c r="AE266" i="1"/>
  <c r="AE264" i="1"/>
  <c r="AE268" i="1"/>
  <c r="DB185" i="1"/>
  <c r="DB188" i="1"/>
  <c r="DB129" i="1" s="1"/>
  <c r="DB231" i="1"/>
  <c r="AE188" i="1"/>
  <c r="AE129" i="1" s="1"/>
  <c r="AE185" i="1"/>
  <c r="AE231" i="1"/>
  <c r="AE186" i="1" l="1"/>
  <c r="DB130" i="1"/>
  <c r="DB133" i="1" s="1"/>
  <c r="DB131" i="1"/>
  <c r="DB134" i="1" s="1"/>
  <c r="DB186" i="1"/>
  <c r="AA83" i="1" l="1"/>
  <c r="AB83" i="1"/>
  <c r="Z83" i="1"/>
  <c r="Y83" i="1"/>
  <c r="X83" i="1"/>
  <c r="W83" i="1"/>
  <c r="V83" i="1"/>
  <c r="V85" i="1"/>
  <c r="V128" i="1"/>
  <c r="V131" i="1"/>
  <c r="V134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F85" i="1"/>
  <c r="F127" i="1"/>
  <c r="F130" i="1"/>
  <c r="F133" i="1"/>
  <c r="N85" i="1"/>
  <c r="N86" i="1"/>
  <c r="Z85" i="1"/>
  <c r="Z128" i="1"/>
  <c r="Z119" i="1"/>
  <c r="Z123" i="1"/>
  <c r="AC83" i="1"/>
  <c r="AD83" i="1"/>
  <c r="AD85" i="1"/>
  <c r="AD127" i="1"/>
  <c r="AD130" i="1"/>
  <c r="AD133" i="1"/>
  <c r="I85" i="1"/>
  <c r="I127" i="1"/>
  <c r="I130" i="1"/>
  <c r="Q85" i="1"/>
  <c r="Q127" i="1"/>
  <c r="Q130" i="1"/>
  <c r="Q133" i="1"/>
  <c r="N89" i="1"/>
  <c r="M109" i="1"/>
  <c r="H85" i="1"/>
  <c r="H127" i="1"/>
  <c r="H130" i="1"/>
  <c r="H133" i="1"/>
  <c r="T85" i="1"/>
  <c r="T86" i="1"/>
  <c r="T89" i="1"/>
  <c r="T107" i="1"/>
  <c r="N107" i="1"/>
  <c r="J85" i="1"/>
  <c r="J119" i="1"/>
  <c r="J123" i="1"/>
  <c r="H119" i="1"/>
  <c r="H124" i="1"/>
  <c r="G85" i="1"/>
  <c r="G119" i="1"/>
  <c r="G122" i="1"/>
  <c r="AB85" i="1"/>
  <c r="AB127" i="1"/>
  <c r="AB130" i="1"/>
  <c r="AB133" i="1"/>
  <c r="G124" i="1"/>
  <c r="H122" i="1"/>
  <c r="N106" i="1"/>
  <c r="N105" i="1"/>
  <c r="J124" i="1"/>
  <c r="U85" i="1"/>
  <c r="U128" i="1"/>
  <c r="U131" i="1"/>
  <c r="E83" i="1"/>
  <c r="E85" i="1"/>
  <c r="E127" i="1"/>
  <c r="E130" i="1"/>
  <c r="E133" i="1"/>
  <c r="N127" i="1"/>
  <c r="N130" i="1"/>
  <c r="N133" i="1"/>
  <c r="H123" i="1"/>
  <c r="N90" i="1"/>
  <c r="X85" i="1"/>
  <c r="X128" i="1"/>
  <c r="X131" i="1"/>
  <c r="X134" i="1"/>
  <c r="J122" i="1"/>
  <c r="I128" i="1"/>
  <c r="I131" i="1"/>
  <c r="I134" i="1"/>
  <c r="W85" i="1"/>
  <c r="W128" i="1"/>
  <c r="W131" i="1"/>
  <c r="W134" i="1"/>
  <c r="G123" i="1"/>
  <c r="J127" i="1"/>
  <c r="J130" i="1"/>
  <c r="O85" i="1"/>
  <c r="O128" i="1"/>
  <c r="O131" i="1"/>
  <c r="J86" i="1"/>
  <c r="J89" i="1"/>
  <c r="J90" i="1"/>
  <c r="X86" i="1"/>
  <c r="K85" i="1"/>
  <c r="K127" i="1"/>
  <c r="U86" i="1"/>
  <c r="Q112" i="1"/>
  <c r="J88" i="1"/>
  <c r="AD119" i="1"/>
  <c r="Y85" i="1"/>
  <c r="P85" i="1"/>
  <c r="U127" i="1"/>
  <c r="X119" i="1"/>
  <c r="X124" i="1"/>
  <c r="U119" i="1"/>
  <c r="V86" i="1"/>
  <c r="J112" i="1"/>
  <c r="AE83" i="1"/>
  <c r="AE85" i="1"/>
  <c r="AE86" i="1"/>
  <c r="AE89" i="1"/>
  <c r="AD109" i="1"/>
  <c r="W86" i="1"/>
  <c r="AB128" i="1"/>
  <c r="J128" i="1"/>
  <c r="AA85" i="1"/>
  <c r="Z122" i="1"/>
  <c r="I86" i="1"/>
  <c r="T112" i="1"/>
  <c r="Q128" i="1"/>
  <c r="AA86" i="1"/>
  <c r="AA89" i="1"/>
  <c r="Z109" i="1"/>
  <c r="H86" i="1"/>
  <c r="AA84" i="1"/>
  <c r="AB84" i="1"/>
  <c r="Z84" i="1"/>
  <c r="Y84" i="1"/>
  <c r="X84" i="1"/>
  <c r="W84" i="1"/>
  <c r="V84" i="1"/>
  <c r="U84" i="1"/>
  <c r="T84" i="1"/>
  <c r="S84" i="1"/>
  <c r="R84" i="1"/>
  <c r="Z131" i="1"/>
  <c r="V119" i="1"/>
  <c r="Z127" i="1"/>
  <c r="AC85" i="1"/>
  <c r="AC112" i="1"/>
  <c r="AC114" i="1"/>
  <c r="AD86" i="1"/>
  <c r="AD89" i="1"/>
  <c r="AD90" i="1"/>
  <c r="O119" i="1"/>
  <c r="F86" i="1"/>
  <c r="F89" i="1"/>
  <c r="F106" i="1"/>
  <c r="R85" i="1"/>
  <c r="R86" i="1"/>
  <c r="R89" i="1"/>
  <c r="R105" i="1"/>
  <c r="Q109" i="1"/>
  <c r="J107" i="1"/>
  <c r="J105" i="1"/>
  <c r="V127" i="1"/>
  <c r="W127" i="1"/>
  <c r="W130" i="1"/>
  <c r="W133" i="1"/>
  <c r="AE127" i="1"/>
  <c r="J106" i="1"/>
  <c r="N119" i="1"/>
  <c r="AE119" i="1"/>
  <c r="N112" i="1"/>
  <c r="M85" i="1"/>
  <c r="M128" i="1"/>
  <c r="Q86" i="1"/>
  <c r="Q89" i="1"/>
  <c r="P109" i="1"/>
  <c r="AC127" i="1"/>
  <c r="H128" i="1"/>
  <c r="G86" i="1"/>
  <c r="AB119" i="1"/>
  <c r="S85" i="1"/>
  <c r="X127" i="1"/>
  <c r="E86" i="1"/>
  <c r="M127" i="1"/>
  <c r="M130" i="1"/>
  <c r="M133" i="1"/>
  <c r="O134" i="1"/>
  <c r="F105" i="1"/>
  <c r="G127" i="1"/>
  <c r="G130" i="1"/>
  <c r="G133" i="1"/>
  <c r="O86" i="1"/>
  <c r="N122" i="1"/>
  <c r="I119" i="1"/>
  <c r="U89" i="1"/>
  <c r="T109" i="1"/>
  <c r="Y119" i="1"/>
  <c r="V130" i="1"/>
  <c r="U130" i="1"/>
  <c r="R128" i="1"/>
  <c r="I133" i="1"/>
  <c r="Y128" i="1"/>
  <c r="P119" i="1"/>
  <c r="AE128" i="1"/>
  <c r="L85" i="1"/>
  <c r="L127" i="1"/>
  <c r="L130" i="1"/>
  <c r="AE105" i="1"/>
  <c r="T115" i="1"/>
  <c r="T105" i="1"/>
  <c r="Y131" i="1"/>
  <c r="K86" i="1"/>
  <c r="J114" i="1"/>
  <c r="AD105" i="1"/>
  <c r="AC116" i="1"/>
  <c r="AC109" i="1"/>
  <c r="X122" i="1"/>
  <c r="T127" i="1"/>
  <c r="T130" i="1"/>
  <c r="T133" i="1"/>
  <c r="F107" i="1"/>
  <c r="U90" i="1"/>
  <c r="AC130" i="1"/>
  <c r="AC133" i="1"/>
  <c r="K89" i="1"/>
  <c r="K90" i="1"/>
  <c r="Z112" i="1"/>
  <c r="R112" i="1"/>
  <c r="Z130" i="1"/>
  <c r="K112" i="1"/>
  <c r="K114" i="1"/>
  <c r="S119" i="1"/>
  <c r="Y86" i="1"/>
  <c r="Y89" i="1"/>
  <c r="Y90" i="1"/>
  <c r="AD106" i="1"/>
  <c r="I89" i="1"/>
  <c r="I105" i="1"/>
  <c r="W89" i="1"/>
  <c r="V109" i="1"/>
  <c r="V112" i="1"/>
  <c r="O112" i="1"/>
  <c r="O115" i="1"/>
  <c r="V114" i="1"/>
  <c r="AD128" i="1"/>
  <c r="AD131" i="1"/>
  <c r="AD134" i="1"/>
  <c r="U112" i="1"/>
  <c r="U115" i="1"/>
  <c r="Y127" i="1"/>
  <c r="Y130" i="1"/>
  <c r="Y133" i="1"/>
  <c r="U116" i="1"/>
  <c r="AC128" i="1"/>
  <c r="AC131" i="1"/>
  <c r="O127" i="1"/>
  <c r="O130" i="1"/>
  <c r="Q119" i="1"/>
  <c r="O89" i="1"/>
  <c r="K128" i="1"/>
  <c r="K131" i="1"/>
  <c r="K134" i="1"/>
  <c r="U106" i="1"/>
  <c r="R88" i="1"/>
  <c r="Q90" i="1"/>
  <c r="R119" i="1"/>
  <c r="AB123" i="1"/>
  <c r="I109" i="1"/>
  <c r="V122" i="1"/>
  <c r="P112" i="1"/>
  <c r="P115" i="1"/>
  <c r="M112" i="1"/>
  <c r="M86" i="1"/>
  <c r="M89" i="1"/>
  <c r="N128" i="1"/>
  <c r="N131" i="1"/>
  <c r="N134" i="1"/>
  <c r="M105" i="1"/>
  <c r="M119" i="1"/>
  <c r="W119" i="1"/>
  <c r="W123" i="1"/>
  <c r="M123" i="1"/>
  <c r="M115" i="1"/>
  <c r="AC86" i="1"/>
  <c r="AC89" i="1"/>
  <c r="V88" i="1"/>
  <c r="Q131" i="1"/>
  <c r="W112" i="1"/>
  <c r="N114" i="1"/>
  <c r="Q123" i="1"/>
  <c r="T106" i="1"/>
  <c r="AA107" i="1"/>
  <c r="Z86" i="1"/>
  <c r="Z89" i="1"/>
  <c r="Z106" i="1"/>
  <c r="J133" i="1"/>
  <c r="W106" i="1"/>
  <c r="E88" i="1"/>
  <c r="Y124" i="1"/>
  <c r="K119" i="1"/>
  <c r="N123" i="1"/>
  <c r="W107" i="1"/>
  <c r="V116" i="1"/>
  <c r="O116" i="1"/>
  <c r="T88" i="1"/>
  <c r="W115" i="1"/>
  <c r="M114" i="1"/>
  <c r="AB109" i="1"/>
  <c r="AC84" i="1"/>
  <c r="AD84" i="1"/>
  <c r="K116" i="1"/>
  <c r="AA105" i="1"/>
  <c r="Y109" i="1"/>
  <c r="Z105" i="1"/>
  <c r="G89" i="1"/>
  <c r="Z115" i="1"/>
  <c r="X123" i="1"/>
  <c r="M88" i="1"/>
  <c r="J116" i="1"/>
  <c r="H89" i="1"/>
  <c r="AC107" i="1"/>
  <c r="R131" i="1"/>
  <c r="R134" i="1"/>
  <c r="L128" i="1"/>
  <c r="AE106" i="1"/>
  <c r="X112" i="1"/>
  <c r="L86" i="1"/>
  <c r="L89" i="1"/>
  <c r="S112" i="1"/>
  <c r="Y112" i="1"/>
  <c r="AB131" i="1"/>
  <c r="N115" i="1"/>
  <c r="AE112" i="1"/>
  <c r="U114" i="1"/>
  <c r="V115" i="1"/>
  <c r="H105" i="1"/>
  <c r="AE116" i="1"/>
  <c r="U122" i="1"/>
  <c r="V124" i="1"/>
  <c r="AE84" i="1"/>
  <c r="M124" i="1"/>
  <c r="I112" i="1"/>
  <c r="L131" i="1"/>
  <c r="L134" i="1"/>
  <c r="Q88" i="1"/>
  <c r="E89" i="1"/>
  <c r="E105" i="1"/>
  <c r="H109" i="1"/>
  <c r="W88" i="1"/>
  <c r="K124" i="1"/>
  <c r="T119" i="1"/>
  <c r="L107" i="1"/>
  <c r="S128" i="1"/>
  <c r="H131" i="1"/>
  <c r="AC119" i="1"/>
  <c r="S127" i="1"/>
  <c r="X130" i="1"/>
  <c r="R127" i="1"/>
  <c r="F119" i="1"/>
  <c r="P127" i="1"/>
  <c r="P130" i="1"/>
  <c r="T124" i="1"/>
  <c r="W122" i="1"/>
  <c r="G112" i="1"/>
  <c r="G128" i="1"/>
  <c r="G131" i="1"/>
  <c r="G134" i="1"/>
  <c r="Q124" i="1"/>
  <c r="F128" i="1"/>
  <c r="F131" i="1"/>
  <c r="F134" i="1"/>
  <c r="P86" i="1"/>
  <c r="P89" i="1"/>
  <c r="O109" i="1"/>
  <c r="T128" i="1"/>
  <c r="E112" i="1"/>
  <c r="H112" i="1"/>
  <c r="K105" i="1"/>
  <c r="J109" i="1"/>
  <c r="X116" i="1"/>
  <c r="K122" i="1"/>
  <c r="N124" i="1"/>
  <c r="E119" i="1"/>
  <c r="T131" i="1"/>
  <c r="T134" i="1"/>
  <c r="N88" i="1"/>
  <c r="AB122" i="1"/>
  <c r="V123" i="1"/>
  <c r="T90" i="1"/>
  <c r="T114" i="1"/>
  <c r="P105" i="1"/>
  <c r="X115" i="1"/>
  <c r="AA127" i="1"/>
  <c r="AA112" i="1"/>
  <c r="AA115" i="1"/>
  <c r="Q84" i="1"/>
  <c r="P84" i="1"/>
  <c r="O84" i="1"/>
  <c r="N84" i="1"/>
  <c r="M84" i="1"/>
  <c r="L84" i="1"/>
  <c r="K84" i="1"/>
  <c r="J84" i="1"/>
  <c r="I84" i="1"/>
  <c r="H84" i="1"/>
  <c r="G84" i="1"/>
  <c r="F84" i="1"/>
  <c r="Z114" i="1"/>
  <c r="Z90" i="1"/>
  <c r="AA106" i="1"/>
  <c r="Z134" i="1"/>
  <c r="S130" i="1"/>
  <c r="R130" i="1"/>
  <c r="Z116" i="1"/>
  <c r="E116" i="1"/>
  <c r="S86" i="1"/>
  <c r="S89" i="1"/>
  <c r="U105" i="1"/>
  <c r="L105" i="1"/>
  <c r="X89" i="1"/>
  <c r="X106" i="1"/>
  <c r="O105" i="1"/>
  <c r="I90" i="1"/>
  <c r="L88" i="1"/>
  <c r="G116" i="1"/>
  <c r="X88" i="1"/>
  <c r="AD88" i="1"/>
  <c r="AC134" i="1"/>
  <c r="AC88" i="1"/>
  <c r="AB86" i="1"/>
  <c r="AB89" i="1"/>
  <c r="AB90" i="1"/>
  <c r="O123" i="1"/>
  <c r="F122" i="1"/>
  <c r="Y134" i="1"/>
  <c r="X109" i="1"/>
  <c r="Q122" i="1"/>
  <c r="Y106" i="1"/>
  <c r="L119" i="1"/>
  <c r="E123" i="1"/>
  <c r="S122" i="1"/>
  <c r="K109" i="1"/>
  <c r="G115" i="1"/>
  <c r="P88" i="1"/>
  <c r="O124" i="1"/>
  <c r="Z133" i="1"/>
  <c r="Z124" i="1"/>
  <c r="Q134" i="1"/>
  <c r="H107" i="1"/>
  <c r="G109" i="1"/>
  <c r="K88" i="1"/>
  <c r="V133" i="1"/>
  <c r="J131" i="1"/>
  <c r="E84" i="1"/>
  <c r="P124" i="1"/>
  <c r="P123" i="1"/>
  <c r="AE131" i="1"/>
  <c r="D109" i="1"/>
  <c r="O122" i="1"/>
  <c r="Z107" i="1"/>
  <c r="Q114" i="1"/>
  <c r="W124" i="1"/>
  <c r="W114" i="1"/>
  <c r="G105" i="1"/>
  <c r="S131" i="1"/>
  <c r="S134" i="1"/>
  <c r="F123" i="1"/>
  <c r="S88" i="1"/>
  <c r="Q115" i="1"/>
  <c r="E106" i="1"/>
  <c r="E107" i="1"/>
  <c r="AE134" i="1"/>
  <c r="E90" i="1"/>
  <c r="I114" i="1"/>
  <c r="V89" i="1"/>
  <c r="V105" i="1"/>
  <c r="V90" i="1"/>
  <c r="V106" i="1"/>
  <c r="V107" i="1"/>
  <c r="U109" i="1"/>
  <c r="AE130" i="1"/>
  <c r="Y88" i="1"/>
  <c r="AD122" i="1"/>
  <c r="G88" i="1"/>
  <c r="R122" i="1"/>
  <c r="S114" i="1"/>
  <c r="I122" i="1"/>
  <c r="M116" i="1"/>
  <c r="S107" i="1"/>
  <c r="AB88" i="1"/>
  <c r="Y115" i="1"/>
  <c r="F112" i="1"/>
  <c r="U124" i="1"/>
  <c r="E128" i="1"/>
  <c r="E131" i="1"/>
  <c r="E134" i="1"/>
  <c r="AA114" i="1"/>
  <c r="AD124" i="1"/>
  <c r="F115" i="1"/>
  <c r="AE114" i="1"/>
  <c r="P116" i="1"/>
  <c r="Y122" i="1"/>
  <c r="R107" i="1"/>
  <c r="U133" i="1"/>
  <c r="AC115" i="1"/>
  <c r="M122" i="1"/>
  <c r="S124" i="1"/>
  <c r="R109" i="1"/>
  <c r="O107" i="1"/>
  <c r="I123" i="1"/>
  <c r="R114" i="1"/>
  <c r="M131" i="1"/>
  <c r="M134" i="1"/>
  <c r="K130" i="1"/>
  <c r="K133" i="1"/>
  <c r="AA130" i="1"/>
  <c r="AA133" i="1"/>
  <c r="AE124" i="1"/>
  <c r="O114" i="1"/>
  <c r="AA90" i="1"/>
  <c r="AA128" i="1"/>
  <c r="AA131" i="1"/>
  <c r="AA134" i="1"/>
  <c r="E122" i="1"/>
  <c r="L112" i="1"/>
  <c r="L115" i="1"/>
  <c r="Y116" i="1"/>
  <c r="P114" i="1"/>
  <c r="E109" i="1"/>
  <c r="E124" i="1"/>
  <c r="I106" i="1"/>
  <c r="AA116" i="1"/>
  <c r="H106" i="1"/>
  <c r="P106" i="1"/>
  <c r="L124" i="1"/>
  <c r="R116" i="1"/>
  <c r="R133" i="1"/>
  <c r="P107" i="1"/>
  <c r="AC124" i="1"/>
  <c r="X105" i="1"/>
  <c r="S133" i="1"/>
  <c r="X107" i="1"/>
  <c r="F124" i="1"/>
  <c r="E114" i="1"/>
  <c r="F114" i="1"/>
  <c r="AE133" i="1"/>
  <c r="L116" i="1"/>
  <c r="L114" i="1"/>
  <c r="F116" i="1"/>
  <c r="F109" i="1"/>
  <c r="R90" i="1"/>
  <c r="R106" i="1"/>
  <c r="N116" i="1"/>
  <c r="AE122" i="1"/>
  <c r="H88" i="1"/>
  <c r="AC90" i="1"/>
  <c r="S109" i="1"/>
  <c r="AB124" i="1"/>
  <c r="Y123" i="1"/>
  <c r="O88" i="1"/>
  <c r="AE123" i="1"/>
  <c r="Q105" i="1"/>
  <c r="AD123" i="1"/>
  <c r="J115" i="1"/>
  <c r="F90" i="1"/>
  <c r="AE107" i="1"/>
  <c r="M106" i="1"/>
  <c r="K107" i="1"/>
  <c r="O90" i="1"/>
  <c r="U107" i="1"/>
  <c r="AA88" i="1"/>
  <c r="L133" i="1"/>
  <c r="U88" i="1"/>
  <c r="K106" i="1"/>
  <c r="G107" i="1"/>
  <c r="L123" i="1"/>
  <c r="G90" i="1"/>
  <c r="L90" i="1"/>
  <c r="AB105" i="1"/>
  <c r="AD107" i="1"/>
  <c r="U134" i="1"/>
  <c r="W109" i="1"/>
  <c r="AB112" i="1"/>
  <c r="U123" i="1"/>
  <c r="H114" i="1"/>
  <c r="W116" i="1"/>
  <c r="H116" i="1"/>
  <c r="P128" i="1"/>
  <c r="AC106" i="1"/>
  <c r="AD112" i="1"/>
  <c r="AE90" i="1"/>
  <c r="I116" i="1"/>
  <c r="AA119" i="1"/>
  <c r="K123" i="1"/>
  <c r="I115" i="1"/>
  <c r="Q116" i="1"/>
  <c r="Y107" i="1"/>
  <c r="F88" i="1"/>
  <c r="I124" i="1"/>
  <c r="R124" i="1"/>
  <c r="AC105" i="1"/>
  <c r="Q106" i="1"/>
  <c r="R123" i="1"/>
  <c r="Y105" i="1"/>
  <c r="S116" i="1"/>
  <c r="X90" i="1"/>
  <c r="AB106" i="1"/>
  <c r="X133" i="1"/>
  <c r="M90" i="1"/>
  <c r="I88" i="1"/>
  <c r="P90" i="1"/>
  <c r="AE115" i="1"/>
  <c r="AB114" i="1"/>
  <c r="J134" i="1"/>
  <c r="P122" i="1"/>
  <c r="Q107" i="1"/>
  <c r="T116" i="1"/>
  <c r="K115" i="1"/>
  <c r="H115" i="1"/>
  <c r="N109" i="1"/>
  <c r="L109" i="1"/>
  <c r="S106" i="1"/>
  <c r="O133" i="1"/>
  <c r="AE88" i="1"/>
  <c r="I107" i="1"/>
  <c r="X114" i="1"/>
  <c r="L106" i="1"/>
  <c r="S115" i="1"/>
  <c r="AB107" i="1"/>
  <c r="AA109" i="1"/>
  <c r="R115" i="1"/>
  <c r="T122" i="1"/>
  <c r="Y114" i="1"/>
  <c r="AB134" i="1"/>
  <c r="H90" i="1"/>
  <c r="W105" i="1"/>
  <c r="P131" i="1"/>
  <c r="P134" i="1"/>
  <c r="L122" i="1"/>
  <c r="Z88" i="1"/>
  <c r="G106" i="1"/>
  <c r="S105" i="1"/>
  <c r="AD115" i="1"/>
  <c r="O106" i="1"/>
  <c r="W90" i="1"/>
  <c r="M107" i="1"/>
  <c r="S123" i="1"/>
  <c r="G114" i="1"/>
  <c r="AB115" i="1"/>
  <c r="T123" i="1"/>
  <c r="S90" i="1"/>
  <c r="H134" i="1"/>
  <c r="E115" i="1"/>
  <c r="AC123" i="1"/>
  <c r="P133" i="1"/>
  <c r="AC122" i="1"/>
  <c r="AD116" i="1"/>
  <c r="AA123" i="1"/>
  <c r="AD114" i="1"/>
  <c r="AA124" i="1"/>
  <c r="AA122" i="1"/>
  <c r="AB1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<sst xmlns="http://schemas.openxmlformats.org/spreadsheetml/2006/main" count="678" uniqueCount="539">
  <si>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</si>
  <si>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</si>
  <si>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</si>
  <si>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</si>
  <si>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</si>
  <si>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</si>
  <si>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</si>
  <si>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</si>
  <si>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</si>
  <si>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</si>
  <si>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</si>
  <si>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</si>
  <si>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</si>
  <si>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</si>
  <si>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</si>
  <si>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</si>
  <si>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</si>
  <si>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</si>
  <si>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</si>
  <si>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</si>
  <si>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</si>
  <si>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</si>
  <si>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</si>
  <si>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</si>
  <si>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</si>
  <si>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</si>
  <si>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</si>
  <si>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</si>
  <si>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</si>
  <si>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</si>
  <si>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</si>
  <si>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</si>
  <si>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</si>
  <si>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</si>
  <si>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</si>
  <si>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</si>
  <si>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</si>
  <si>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</si>
  <si>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</si>
  <si>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</si>
  <si>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</si>
  <si>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</si>
  <si>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</si>
  <si>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</si>
  <si>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</si>
  <si>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</si>
  <si>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</si>
  <si>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</si>
  <si>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</si>
  <si>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</si>
  <si>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</si>
  <si>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</si>
  <si>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</si>
  <si>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</si>
  <si>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</si>
  <si>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</si>
  <si>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</si>
  <si>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</si>
  <si>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</si>
  <si>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</si>
  <si>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</si>
  <si>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</si>
  <si>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</si>
  <si>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</si>
  <si>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</si>
  <si>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</si>
  <si>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</si>
  <si>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</si>
  <si>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</si>
  <si>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</si>
  <si>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</si>
  <si>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</si>
  <si>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</si>
  <si>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</si>
  <si>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</si>
  <si>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</si>
  <si>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</si>
  <si>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</si>
  <si>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</si>
  <si>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</si>
  <si>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</si>
  <si>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</si>
  <si>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</si>
  <si>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</si>
  <si>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</si>
  <si>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</si>
  <si>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</si>
  <si>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</si>
  <si>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</si>
  <si>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</si>
  <si>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</si>
  <si>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</si>
  <si>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</si>
  <si>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</si>
  <si>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</si>
  <si>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</si>
  <si>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</si>
  <si>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</si>
  <si>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</si>
  <si>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</si>
  <si>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</si>
  <si>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</si>
  <si>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</si>
  <si>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</si>
  <si>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</si>
  <si>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</si>
  <si>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</si>
  <si>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</si>
  <si>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</si>
  <si>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</si>
  <si>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</si>
  <si>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</si>
  <si>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</si>
  <si>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</si>
  <si>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</si>
  <si>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</si>
  <si>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</si>
  <si>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</si>
  <si>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</si>
  <si>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</si>
  <si>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</si>
  <si>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</si>
  <si>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</si>
  <si>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</si>
  <si>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</si>
  <si>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</si>
  <si>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</si>
  <si>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</si>
  <si>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</si>
  <si>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</si>
  <si>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</si>
  <si>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</si>
  <si>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</si>
  <si>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</si>
  <si>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</si>
  <si>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</si>
  <si>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</si>
  <si>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</si>
  <si>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</si>
  <si>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</si>
  <si>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</si>
  <si>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</si>
  <si>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</si>
  <si>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</si>
  <si>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</si>
  <si>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</si>
  <si>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</si>
  <si>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</si>
  <si>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</si>
  <si>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</si>
  <si>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</si>
  <si>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</si>
  <si>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</si>
  <si>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</si>
  <si>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</si>
  <si>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</si>
  <si>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</si>
  <si>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</si>
  <si>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</si>
  <si>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</si>
  <si>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</si>
  <si>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</si>
  <si>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</si>
  <si>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</si>
  <si>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</si>
  <si>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</si>
  <si>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</si>
  <si>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</si>
  <si>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</si>
  <si>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</si>
  <si>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</si>
  <si>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</si>
  <si>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</si>
  <si>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</si>
  <si>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</si>
  <si>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</si>
  <si>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</si>
  <si>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</si>
  <si>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</si>
  <si>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</si>
  <si>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</si>
  <si>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</si>
  <si>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</si>
  <si>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</si>
  <si>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</si>
  <si>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</si>
  <si>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</si>
  <si>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</si>
  <si>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</si>
  <si>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</si>
  <si>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</si>
  <si>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</si>
  <si>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</si>
  <si>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</si>
  <si>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</si>
  <si>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</si>
  <si>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</si>
  <si>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</si>
  <si>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</si>
  <si>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</si>
  <si>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</si>
  <si>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</si>
  <si>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</si>
  <si>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</si>
  <si>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</si>
  <si>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</si>
  <si>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</si>
  <si>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</si>
  <si>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</si>
  <si>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</si>
  <si>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</si>
  <si>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</si>
  <si>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</si>
  <si>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</si>
  <si>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</si>
  <si>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</si>
  <si>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</si>
  <si>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</si>
  <si>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</si>
  <si>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</si>
  <si>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</si>
  <si>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</si>
  <si>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</si>
  <si>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</si>
  <si>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</si>
  <si>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</si>
  <si>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</si>
  <si>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</si>
  <si>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</si>
  <si>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</si>
  <si>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</si>
  <si>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</si>
  <si>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</si>
  <si>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</si>
  <si>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</si>
  <si>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</si>
  <si>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</si>
  <si>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</si>
  <si>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</si>
  <si>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</si>
  <si>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</si>
  <si>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</si>
  <si>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</si>
  <si>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</si>
  <si>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</si>
  <si>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</si>
  <si>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</si>
  <si>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</si>
  <si>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</si>
  <si>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</si>
  <si>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</si>
  <si>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</si>
  <si>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</si>
  <si>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</si>
  <si>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</si>
  <si>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</si>
  <si>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</si>
  <si>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</si>
  <si>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</si>
  <si>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</si>
  <si>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</si>
  <si>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</si>
  <si>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</si>
  <si>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</si>
  <si>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</si>
  <si>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</si>
  <si>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</si>
  <si>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</si>
  <si>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</si>
  <si>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</si>
  <si>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</si>
  <si>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</si>
  <si>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</si>
  <si>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</si>
  <si>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</si>
  <si>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</si>
  <si>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</si>
  <si>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</si>
  <si>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</si>
  <si>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</si>
  <si>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</si>
  <si>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</si>
  <si>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</si>
  <si>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</si>
  <si>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</si>
  <si>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</si>
  <si>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</si>
  <si>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</si>
  <si>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</si>
  <si>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</si>
  <si>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</si>
  <si>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</si>
  <si>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</si>
  <si>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</si>
  <si>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</si>
  <si>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</si>
  <si>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</si>
  <si>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</si>
  <si>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</si>
  <si>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</si>
  <si>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</si>
  <si>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</si>
  <si>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</si>
  <si>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</si>
  <si>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</si>
  <si>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</si>
  <si>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</si>
  <si>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</si>
  <si>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</si>
  <si>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</si>
  <si>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</si>
  <si>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</si>
  <si>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</si>
  <si>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</si>
  <si>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</si>
  <si>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</si>
  <si>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</si>
  <si>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</si>
  <si>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</si>
  <si>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</si>
  <si>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</si>
  <si>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</si>
  <si>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</si>
  <si>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</si>
  <si>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</si>
  <si>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</si>
  <si>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</si>
  <si>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</si>
  <si>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</si>
  <si>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</si>
  <si>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</si>
  <si>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</si>
  <si>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</si>
  <si>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</si>
  <si>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</si>
  <si>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</si>
  <si>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</si>
  <si>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</si>
  <si>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</si>
  <si>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</si>
  <si>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</si>
  <si>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</si>
  <si>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</si>
  <si>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</si>
  <si>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</si>
  <si>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</si>
  <si>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</si>
  <si>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</si>
  <si>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</si>
  <si>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</si>
  <si>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</si>
  <si>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</si>
  <si>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</si>
  <si>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</si>
  <si>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</si>
  <si>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</si>
  <si>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</si>
  <si>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</si>
  <si>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</si>
  <si>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</si>
  <si>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</si>
  <si>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</si>
  <si>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</si>
  <si>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</si>
  <si>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</si>
  <si>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</si>
  <si>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</si>
  <si>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</si>
  <si>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</si>
  <si>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</si>
  <si>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</si>
  <si>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</si>
  <si>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</si>
  <si>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</si>
  <si>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</si>
  <si>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</si>
  <si>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</si>
  <si>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</si>
  <si>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</si>
  <si>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</si>
  <si>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</si>
  <si>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</si>
  <si>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</si>
  <si>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</si>
  <si>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</si>
  <si>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</si>
  <si>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</si>
  <si>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</si>
  <si>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</si>
  <si>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</si>
  <si>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</si>
  <si>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</si>
  <si>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</si>
  <si>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</si>
  <si>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</si>
  <si>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</si>
  <si>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</si>
  <si>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</si>
  <si>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</si>
  <si>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</si>
  <si>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</si>
  <si>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</si>
  <si>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</si>
  <si>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</si>
  <si>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</si>
  <si>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</si>
  <si>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</si>
  <si>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</si>
  <si>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</si>
  <si>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</si>
  <si>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</si>
  <si>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</si>
  <si>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</si>
  <si>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</si>
  <si>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</si>
  <si>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</si>
  <si>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</si>
  <si>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</si>
  <si>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</si>
  <si>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</si>
  <si>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</si>
  <si>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</si>
  <si>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</si>
  <si>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</si>
  <si>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</si>
  <si>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</si>
  <si>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</si>
  <si>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</si>
  <si>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</si>
  <si>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</si>
  <si>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</si>
  <si>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</si>
  <si>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</si>
  <si>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</si>
  <si>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</si>
  <si>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</si>
  <si>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</si>
  <si>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</si>
  <si>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</si>
  <si>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</si>
  <si>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</si>
  <si>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</si>
  <si>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</si>
  <si>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</si>
  <si>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</si>
  <si>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</si>
  <si>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</si>
  <si>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</si>
  <si>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</si>
  <si>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</si>
  <si>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</si>
  <si>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</si>
  <si>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</si>
  <si>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</si>
  <si>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</si>
  <si>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</si>
  <si>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</si>
  <si>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</si>
  <si>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</si>
  <si>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</si>
  <si>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</si>
  <si>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</si>
  <si>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</si>
  <si>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</si>
  <si>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</si>
  <si>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</si>
  <si>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</si>
  <si>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</si>
  <si>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</si>
  <si>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</si>
  <si>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</si>
  <si>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</si>
  <si>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</si>
  <si>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</si>
  <si>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</si>
  <si>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</si>
  <si>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</si>
  <si>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</si>
  <si>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</si>
  <si>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</si>
  <si>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</si>
  <si>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</si>
  <si>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</si>
  <si>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</si>
  <si>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</si>
  <si>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</si>
  <si>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</si>
  <si>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</si>
  <si>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</si>
  <si>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</si>
  <si>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</si>
  <si>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</si>
  <si>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</si>
  <si>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</si>
  <si>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</si>
  <si>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</si>
  <si>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</si>
  <si>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</si>
  <si>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</si>
  <si>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</si>
  <si>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</si>
  <si>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</si>
  <si>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</si>
  <si>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</si>
  <si>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</si>
  <si>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</si>
  <si>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</si>
  <si>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</si>
  <si>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</si>
  <si>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</si>
  <si>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</si>
  <si>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</si>
  <si>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</si>
  <si>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</si>
  <si>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</si>
  <si>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JB Chemicals &amp; Pharmaceuticals Ltd.</t>
  </si>
  <si>
    <t>DATE</t>
  </si>
  <si>
    <t>ADJCLOSE</t>
  </si>
  <si>
    <t>ADJHIGH</t>
  </si>
  <si>
    <t>ADJLOW</t>
  </si>
  <si>
    <t>ADJOPEN</t>
  </si>
  <si>
    <t>CLOSE</t>
  </si>
  <si>
    <t>VOLUME</t>
  </si>
  <si>
    <t>Revenue Breakup -Segment wise</t>
  </si>
  <si>
    <t>Export Formulation</t>
  </si>
  <si>
    <t>Domestic Formulation</t>
  </si>
  <si>
    <t>Contract Manufacturing</t>
  </si>
  <si>
    <t>API</t>
  </si>
  <si>
    <t>Other</t>
  </si>
  <si>
    <t xml:space="preserve">Total Revenue </t>
  </si>
  <si>
    <t>Revenue Growth% Y-o-Y</t>
  </si>
  <si>
    <t>Export Formulation %</t>
  </si>
  <si>
    <t>Domestic Formulation %</t>
  </si>
  <si>
    <t>Contract Manufacturing %</t>
  </si>
  <si>
    <t>API %</t>
  </si>
  <si>
    <t>Other %</t>
  </si>
  <si>
    <t>Total Revenue  %</t>
  </si>
  <si>
    <t>Checksum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</si>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</sst>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  <numFmt numFmtId="168" formatCode="#,##0.00;\(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02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9" fontId="9" fillId="2" borderId="0" xfId="1" applyFont="1" applyFill="1" applyAlignment="1">
      <alignment horizontal="right"/>
    </xf>
    <xf numFmtId="43" fontId="18" fillId="2" borderId="1" xfId="2" applyFont="1" applyFill="1" applyBorder="1" applyAlignment="1">
      <alignment horizontal="left"/>
    </xf>
    <xf numFmtId="43" fontId="18" fillId="2" borderId="1" xfId="2" applyFont="1" applyFill="1" applyBorder="1" applyAlignment="1">
      <alignment horizontal="center"/>
    </xf>
    <xf numFmtId="43" fontId="18" fillId="7" borderId="1" xfId="2" applyFont="1" applyFill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18" fillId="0" borderId="1" xfId="2" applyFont="1" applyFill="1" applyBorder="1" applyAlignment="1">
      <alignment horizontal="center"/>
    </xf>
    <xf numFmtId="43" fontId="18" fillId="2" borderId="0" xfId="2" applyFont="1" applyFill="1" applyBorder="1" applyAlignment="1">
      <alignment horizontal="left"/>
    </xf>
    <xf numFmtId="168" fontId="20" fillId="2" borderId="0" xfId="2" applyNumberFormat="1" applyFont="1" applyFill="1" applyAlignment="1">
      <alignment horizontal="right"/>
    </xf>
    <xf numFmtId="168" fontId="7" fillId="0" borderId="0" xfId="2" applyNumberFormat="1" applyFont="1" applyAlignment="1">
      <alignment horizontal="right"/>
    </xf>
    <xf numFmtId="168" fontId="20" fillId="0" borderId="0" xfId="2" applyNumberFormat="1" applyFont="1" applyFill="1" applyAlignment="1">
      <alignment horizontal="right"/>
    </xf>
    <xf numFmtId="168" fontId="20" fillId="2" borderId="0" xfId="2" applyNumberFormat="1" applyFont="1" applyFill="1" applyAlignment="1">
      <alignment horizontal="left"/>
    </xf>
    <xf numFmtId="43" fontId="18" fillId="2" borderId="0" xfId="2" applyFont="1" applyFill="1" applyBorder="1" applyAlignment="1">
      <alignment horizontal="center"/>
    </xf>
    <xf numFmtId="43" fontId="18" fillId="7" borderId="0" xfId="2" applyFont="1" applyFill="1" applyBorder="1" applyAlignment="1">
      <alignment horizontal="center"/>
    </xf>
    <xf numFmtId="43" fontId="4" fillId="0" borderId="0" xfId="2" applyFont="1" applyBorder="1" applyAlignment="1">
      <alignment horizontal="center"/>
    </xf>
    <xf numFmtId="43" fontId="18" fillId="0" borderId="0" xfId="2" applyFont="1" applyFill="1" applyBorder="1" applyAlignment="1">
      <alignment horizontal="center"/>
    </xf>
    <xf numFmtId="9" fontId="9" fillId="7" borderId="0" xfId="1" applyFont="1" applyFill="1" applyAlignment="1">
      <alignment horizontal="right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7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B18" sqref="DB18"/>
    </sheetView>
  </sheetViews>
  <sheetFormatPr defaultColWidth="11.140625" defaultRowHeight="12" outlineLevelRow="1" x14ac:dyDescent="0.2"/>
  <cols>
    <col min="1" max="1" width="35.85546875" style="2" customWidth="1"/>
    <col min="2" max="17" width="11.140625" style="2" hidden="1" customWidth="1"/>
    <col min="18" max="22" width="11.140625" style="2" customWidth="1"/>
    <col min="23" max="26" width="11.140625" style="2"/>
    <col min="27" max="29" width="11.140625" style="19"/>
    <col min="30" max="31" width="12.140625" style="19" bestFit="1" customWidth="1"/>
    <col min="32" max="34" width="11.140625" style="2"/>
    <col min="35" max="50" width="11.140625" style="2" hidden="1" customWidth="1"/>
    <col min="51" max="70" width="11.140625" style="2" customWidth="1"/>
    <col min="71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JB Chemicals &amp; Pharmaceuticals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201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1" customFormat="1" x14ac:dyDescent="0.2">
      <c r="A4" s="151" t="s">
        <v>523</v>
      </c>
    </row>
    <row r="5" spans="1:110" s="158" customFormat="1" x14ac:dyDescent="0.2">
      <c r="A5" s="155" t="s">
        <v>524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>
        <f>SUM(AY5:BB5)</f>
        <v>529.20000000000005</v>
      </c>
      <c r="S5" s="156">
        <f>SUM(BC5:BF5)</f>
        <v>537.9</v>
      </c>
      <c r="T5" s="156">
        <f>SUM(BG5:BJ5)</f>
        <v>686.6</v>
      </c>
      <c r="U5" s="156">
        <f>SUM(BK5:BN5)</f>
        <v>309.60000000000002</v>
      </c>
      <c r="V5" s="156">
        <f>SUM(BO5:BR5)</f>
        <v>744</v>
      </c>
      <c r="W5" s="156">
        <f>SUM(BS5:BV5)</f>
        <v>886</v>
      </c>
      <c r="X5" s="156">
        <f>SUM(BW5:BZ5)</f>
        <v>1009</v>
      </c>
      <c r="Y5" s="156">
        <f>SUM(CA5:CD5)</f>
        <v>1070</v>
      </c>
      <c r="Z5" s="156">
        <f>SUM(CE5:CH5)</f>
        <v>1126</v>
      </c>
      <c r="AA5" s="157">
        <f>SUM(CI5:CL5)</f>
        <v>1205.2</v>
      </c>
      <c r="AB5" s="157">
        <f>SUM(CM5:CP5)</f>
        <v>1385.98</v>
      </c>
      <c r="AC5" s="157">
        <f>SUM(CQ5:CT5)</f>
        <v>1552.2976000000001</v>
      </c>
      <c r="AD5" s="157">
        <f>SUM(CU5:CX5)</f>
        <v>1738.5733120000002</v>
      </c>
      <c r="AE5" s="157">
        <f>SUM(CY5:DB5)</f>
        <v>1947.2021094400004</v>
      </c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>
        <v>131.1</v>
      </c>
      <c r="AZ5" s="156">
        <v>131.4</v>
      </c>
      <c r="BA5" s="156">
        <v>123.8</v>
      </c>
      <c r="BB5" s="156">
        <v>142.9</v>
      </c>
      <c r="BC5" s="156">
        <v>116.1</v>
      </c>
      <c r="BD5" s="156">
        <v>141.80000000000001</v>
      </c>
      <c r="BE5" s="156">
        <v>130.4</v>
      </c>
      <c r="BF5" s="156">
        <v>149.6</v>
      </c>
      <c r="BG5" s="156">
        <v>158.6</v>
      </c>
      <c r="BH5" s="156">
        <v>194.5</v>
      </c>
      <c r="BI5" s="156">
        <v>158.30000000000001</v>
      </c>
      <c r="BJ5" s="156">
        <v>175.2</v>
      </c>
      <c r="BK5" s="156">
        <v>148.4</v>
      </c>
      <c r="BL5" s="156">
        <v>161.19999999999999</v>
      </c>
      <c r="BM5" s="156">
        <v>0</v>
      </c>
      <c r="BN5" s="156">
        <v>0</v>
      </c>
      <c r="BO5" s="156">
        <v>198</v>
      </c>
      <c r="BP5" s="156">
        <v>171</v>
      </c>
      <c r="BQ5" s="156">
        <v>174</v>
      </c>
      <c r="BR5" s="156">
        <v>201</v>
      </c>
      <c r="BS5" s="156">
        <v>221</v>
      </c>
      <c r="BT5" s="156">
        <v>206</v>
      </c>
      <c r="BU5" s="156">
        <v>241</v>
      </c>
      <c r="BV5" s="156">
        <v>218</v>
      </c>
      <c r="BW5" s="156">
        <v>245</v>
      </c>
      <c r="BX5" s="156">
        <v>242</v>
      </c>
      <c r="BY5" s="156">
        <v>267</v>
      </c>
      <c r="BZ5" s="156">
        <v>255</v>
      </c>
      <c r="CA5" s="156">
        <v>275</v>
      </c>
      <c r="CB5" s="156">
        <v>263</v>
      </c>
      <c r="CC5" s="156">
        <v>265</v>
      </c>
      <c r="CD5" s="156">
        <v>267</v>
      </c>
      <c r="CE5" s="156">
        <v>290</v>
      </c>
      <c r="CF5" s="156">
        <v>300</v>
      </c>
      <c r="CG5" s="156">
        <v>254</v>
      </c>
      <c r="CH5" s="156">
        <v>282</v>
      </c>
      <c r="CI5" s="156">
        <v>283</v>
      </c>
      <c r="CJ5" s="156">
        <v>306</v>
      </c>
      <c r="CK5" s="156">
        <v>306</v>
      </c>
      <c r="CL5" s="157">
        <f>CH5*(1+CL14)</f>
        <v>310.20000000000005</v>
      </c>
      <c r="CM5" s="157">
        <f t="shared" ref="CM5:DB5" si="33">CI5*(1+CM14)</f>
        <v>325.45</v>
      </c>
      <c r="CN5" s="157">
        <f t="shared" si="33"/>
        <v>351.9</v>
      </c>
      <c r="CO5" s="157">
        <f t="shared" si="33"/>
        <v>351.9</v>
      </c>
      <c r="CP5" s="157">
        <f t="shared" si="33"/>
        <v>356.73</v>
      </c>
      <c r="CQ5" s="157">
        <f t="shared" si="33"/>
        <v>364.50400000000002</v>
      </c>
      <c r="CR5" s="157">
        <f t="shared" si="33"/>
        <v>394.12799999999999</v>
      </c>
      <c r="CS5" s="157">
        <f t="shared" si="33"/>
        <v>394.12799999999999</v>
      </c>
      <c r="CT5" s="157">
        <f t="shared" si="33"/>
        <v>399.53760000000005</v>
      </c>
      <c r="CU5" s="157">
        <f t="shared" si="33"/>
        <v>408.24448000000007</v>
      </c>
      <c r="CV5" s="157">
        <f t="shared" si="33"/>
        <v>441.42336</v>
      </c>
      <c r="CW5" s="157">
        <f t="shared" si="33"/>
        <v>441.42336</v>
      </c>
      <c r="CX5" s="157">
        <f t="shared" si="33"/>
        <v>447.48211200000009</v>
      </c>
      <c r="CY5" s="157">
        <f t="shared" si="33"/>
        <v>457.23381760000012</v>
      </c>
      <c r="CZ5" s="157">
        <f t="shared" si="33"/>
        <v>494.39416320000004</v>
      </c>
      <c r="DA5" s="157">
        <f t="shared" si="33"/>
        <v>494.39416320000004</v>
      </c>
      <c r="DB5" s="157">
        <f t="shared" si="33"/>
        <v>501.17996544000016</v>
      </c>
      <c r="DE5" s="159"/>
    </row>
    <row r="6" spans="1:110" s="158" customFormat="1" x14ac:dyDescent="0.2">
      <c r="A6" s="155" t="s">
        <v>525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>
        <f t="shared" ref="R6:R9" si="34">SUM(AY6:BB6)</f>
        <v>481.5</v>
      </c>
      <c r="S6" s="156">
        <f t="shared" ref="S6:S9" si="35">SUM(BC6:BF6)</f>
        <v>577.59999999999991</v>
      </c>
      <c r="T6" s="156">
        <f t="shared" ref="T6:T9" si="36">SUM(BG6:BJ6)</f>
        <v>674.6</v>
      </c>
      <c r="U6" s="156">
        <f t="shared" ref="U6:U9" si="37">SUM(BK6:BN6)</f>
        <v>797.1</v>
      </c>
      <c r="V6" s="156">
        <f t="shared" ref="V6:V9" si="38">SUM(BO6:BR6)</f>
        <v>890.7</v>
      </c>
      <c r="W6" s="156">
        <f t="shared" ref="W6:W9" si="39">SUM(BS6:BV6)</f>
        <v>1174</v>
      </c>
      <c r="X6" s="156">
        <f t="shared" ref="X6:X9" si="40">SUM(BW6:BZ6)</f>
        <v>1639</v>
      </c>
      <c r="Y6" s="156">
        <f t="shared" ref="Y6:Y9" si="41">SUM(CA6:CD6)</f>
        <v>1897</v>
      </c>
      <c r="Z6" s="156">
        <f t="shared" ref="Z6:Z9" si="42">SUM(CE6:CH6)</f>
        <v>2268</v>
      </c>
      <c r="AA6" s="157">
        <f t="shared" ref="AA6:AA9" si="43">SUM(CI6:CL6)</f>
        <v>2497.33</v>
      </c>
      <c r="AB6" s="157">
        <f t="shared" ref="AB6:AB9" si="44">SUM(CM6:CP6)</f>
        <v>2747.0630000000001</v>
      </c>
      <c r="AC6" s="157">
        <f t="shared" ref="AC6:AC9" si="45">SUM(CQ6:CT6)</f>
        <v>2994.2986700000006</v>
      </c>
      <c r="AD6" s="157">
        <f t="shared" ref="AD6:AD9" si="46">SUM(CU6:CX6)</f>
        <v>3293.7285370000009</v>
      </c>
      <c r="AE6" s="157">
        <f t="shared" ref="AE6:AE9" si="47">SUM(CY6:DB6)</f>
        <v>3623.1013907000015</v>
      </c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>
        <v>128.80000000000001</v>
      </c>
      <c r="AZ6" s="156">
        <v>125.8</v>
      </c>
      <c r="BA6" s="156">
        <v>119.5</v>
      </c>
      <c r="BB6" s="156">
        <v>107.4</v>
      </c>
      <c r="BC6" s="156">
        <v>122.8</v>
      </c>
      <c r="BD6" s="156">
        <v>168.5</v>
      </c>
      <c r="BE6" s="156">
        <v>147.1</v>
      </c>
      <c r="BF6" s="156">
        <v>139.19999999999999</v>
      </c>
      <c r="BG6" s="156">
        <v>174.5</v>
      </c>
      <c r="BH6" s="156">
        <v>177.1</v>
      </c>
      <c r="BI6" s="156">
        <v>161.1</v>
      </c>
      <c r="BJ6" s="156">
        <v>161.9</v>
      </c>
      <c r="BK6" s="156">
        <v>206.7</v>
      </c>
      <c r="BL6" s="156">
        <v>204.4</v>
      </c>
      <c r="BM6" s="156">
        <v>184</v>
      </c>
      <c r="BN6" s="156">
        <v>202</v>
      </c>
      <c r="BO6" s="156">
        <v>224</v>
      </c>
      <c r="BP6" s="156">
        <v>213.7</v>
      </c>
      <c r="BQ6" s="156">
        <v>232</v>
      </c>
      <c r="BR6" s="156">
        <v>221</v>
      </c>
      <c r="BS6" s="156">
        <v>313</v>
      </c>
      <c r="BT6" s="156">
        <v>296</v>
      </c>
      <c r="BU6" s="156">
        <v>278</v>
      </c>
      <c r="BV6" s="156">
        <v>287</v>
      </c>
      <c r="BW6" s="156">
        <v>418</v>
      </c>
      <c r="BX6" s="156">
        <v>434</v>
      </c>
      <c r="BY6" s="156">
        <v>407</v>
      </c>
      <c r="BZ6" s="156">
        <v>380</v>
      </c>
      <c r="CA6" s="156">
        <v>489</v>
      </c>
      <c r="CB6" s="156">
        <v>481</v>
      </c>
      <c r="CC6" s="156">
        <v>462</v>
      </c>
      <c r="CD6" s="156">
        <v>465</v>
      </c>
      <c r="CE6" s="156">
        <v>595</v>
      </c>
      <c r="CF6" s="156">
        <v>588</v>
      </c>
      <c r="CG6" s="156">
        <v>566</v>
      </c>
      <c r="CH6" s="156">
        <v>519</v>
      </c>
      <c r="CI6" s="156">
        <v>678</v>
      </c>
      <c r="CJ6" s="156">
        <v>644</v>
      </c>
      <c r="CK6" s="156">
        <v>620</v>
      </c>
      <c r="CL6" s="157">
        <f t="shared" ref="CL6:DB6" si="48">CH6*(1+CL15)</f>
        <v>555.33000000000004</v>
      </c>
      <c r="CM6" s="157">
        <f t="shared" si="48"/>
        <v>745.80000000000007</v>
      </c>
      <c r="CN6" s="157">
        <f t="shared" si="48"/>
        <v>708.40000000000009</v>
      </c>
      <c r="CO6" s="157">
        <f t="shared" si="48"/>
        <v>682</v>
      </c>
      <c r="CP6" s="157">
        <f t="shared" si="48"/>
        <v>610.86300000000006</v>
      </c>
      <c r="CQ6" s="157">
        <f t="shared" si="48"/>
        <v>812.92200000000014</v>
      </c>
      <c r="CR6" s="157">
        <f t="shared" si="48"/>
        <v>772.15600000000018</v>
      </c>
      <c r="CS6" s="157">
        <f t="shared" si="48"/>
        <v>743.38000000000011</v>
      </c>
      <c r="CT6" s="157">
        <f t="shared" si="48"/>
        <v>665.84067000000016</v>
      </c>
      <c r="CU6" s="157">
        <f t="shared" si="48"/>
        <v>894.21420000000023</v>
      </c>
      <c r="CV6" s="157">
        <f t="shared" si="48"/>
        <v>849.37160000000029</v>
      </c>
      <c r="CW6" s="157">
        <f t="shared" si="48"/>
        <v>817.71800000000019</v>
      </c>
      <c r="CX6" s="157">
        <f t="shared" si="48"/>
        <v>732.42473700000028</v>
      </c>
      <c r="CY6" s="157">
        <f t="shared" si="48"/>
        <v>983.63562000000036</v>
      </c>
      <c r="CZ6" s="157">
        <f t="shared" si="48"/>
        <v>934.30876000000035</v>
      </c>
      <c r="DA6" s="157">
        <f t="shared" si="48"/>
        <v>899.48980000000029</v>
      </c>
      <c r="DB6" s="157">
        <f t="shared" si="48"/>
        <v>805.6672107000004</v>
      </c>
      <c r="DE6" s="159"/>
    </row>
    <row r="7" spans="1:110" s="158" customFormat="1" x14ac:dyDescent="0.2">
      <c r="A7" s="155" t="s">
        <v>526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>
        <f t="shared" si="34"/>
        <v>0</v>
      </c>
      <c r="S7" s="156">
        <f t="shared" si="35"/>
        <v>0</v>
      </c>
      <c r="T7" s="156">
        <f t="shared" si="36"/>
        <v>0</v>
      </c>
      <c r="U7" s="156">
        <f t="shared" si="37"/>
        <v>112.9</v>
      </c>
      <c r="V7" s="156">
        <f t="shared" si="38"/>
        <v>207</v>
      </c>
      <c r="W7" s="156">
        <f t="shared" si="39"/>
        <v>250</v>
      </c>
      <c r="X7" s="156">
        <f t="shared" si="40"/>
        <v>406</v>
      </c>
      <c r="Y7" s="156">
        <f t="shared" si="41"/>
        <v>432</v>
      </c>
      <c r="Z7" s="156">
        <f t="shared" si="42"/>
        <v>447</v>
      </c>
      <c r="AA7" s="157">
        <f t="shared" si="43"/>
        <v>480.45000000000005</v>
      </c>
      <c r="AB7" s="157">
        <f t="shared" si="44"/>
        <v>504.47250000000003</v>
      </c>
      <c r="AC7" s="157">
        <f t="shared" si="45"/>
        <v>544.83030000000008</v>
      </c>
      <c r="AD7" s="157">
        <f t="shared" si="46"/>
        <v>588.41672400000016</v>
      </c>
      <c r="AE7" s="157">
        <f t="shared" si="47"/>
        <v>635.49006192000024</v>
      </c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>
        <v>0</v>
      </c>
      <c r="AZ7" s="156">
        <v>0</v>
      </c>
      <c r="BA7" s="156">
        <v>0</v>
      </c>
      <c r="BB7" s="156">
        <v>0</v>
      </c>
      <c r="BC7" s="156">
        <v>0</v>
      </c>
      <c r="BD7" s="156">
        <v>0</v>
      </c>
      <c r="BE7" s="156">
        <v>0</v>
      </c>
      <c r="BF7" s="156">
        <v>0</v>
      </c>
      <c r="BG7" s="156">
        <v>0</v>
      </c>
      <c r="BH7" s="156">
        <v>0</v>
      </c>
      <c r="BI7" s="156">
        <v>0</v>
      </c>
      <c r="BJ7" s="156">
        <v>0</v>
      </c>
      <c r="BK7" s="156">
        <v>55.7</v>
      </c>
      <c r="BL7" s="156">
        <v>57.2</v>
      </c>
      <c r="BM7" s="156">
        <v>0</v>
      </c>
      <c r="BN7" s="156">
        <v>0</v>
      </c>
      <c r="BO7" s="156">
        <v>58</v>
      </c>
      <c r="BP7" s="156">
        <v>36</v>
      </c>
      <c r="BQ7" s="156">
        <v>38</v>
      </c>
      <c r="BR7" s="156">
        <v>75</v>
      </c>
      <c r="BS7" s="156">
        <v>48</v>
      </c>
      <c r="BT7" s="156">
        <v>67</v>
      </c>
      <c r="BU7" s="156">
        <v>50</v>
      </c>
      <c r="BV7" s="156">
        <v>85</v>
      </c>
      <c r="BW7" s="156">
        <v>100</v>
      </c>
      <c r="BX7" s="156">
        <v>110</v>
      </c>
      <c r="BY7" s="156">
        <v>96</v>
      </c>
      <c r="BZ7" s="156">
        <v>100</v>
      </c>
      <c r="CA7" s="156">
        <v>119</v>
      </c>
      <c r="CB7" s="156">
        <v>115</v>
      </c>
      <c r="CC7" s="156">
        <v>89</v>
      </c>
      <c r="CD7" s="156">
        <v>109</v>
      </c>
      <c r="CE7" s="156">
        <v>106</v>
      </c>
      <c r="CF7" s="156">
        <v>94</v>
      </c>
      <c r="CG7" s="156">
        <v>118</v>
      </c>
      <c r="CH7" s="156">
        <v>129</v>
      </c>
      <c r="CI7" s="156">
        <v>115</v>
      </c>
      <c r="CJ7" s="156">
        <v>113</v>
      </c>
      <c r="CK7" s="156">
        <v>117</v>
      </c>
      <c r="CL7" s="157">
        <f t="shared" ref="CL7:DB7" si="49">CH7*(1+CL16)</f>
        <v>135.45000000000002</v>
      </c>
      <c r="CM7" s="157">
        <f t="shared" si="49"/>
        <v>120.75</v>
      </c>
      <c r="CN7" s="157">
        <f t="shared" si="49"/>
        <v>118.65</v>
      </c>
      <c r="CO7" s="157">
        <f t="shared" si="49"/>
        <v>122.85000000000001</v>
      </c>
      <c r="CP7" s="157">
        <f t="shared" si="49"/>
        <v>142.22250000000003</v>
      </c>
      <c r="CQ7" s="157">
        <f t="shared" si="49"/>
        <v>130.41</v>
      </c>
      <c r="CR7" s="157">
        <f t="shared" si="49"/>
        <v>128.14200000000002</v>
      </c>
      <c r="CS7" s="157">
        <f t="shared" si="49"/>
        <v>132.67800000000003</v>
      </c>
      <c r="CT7" s="157">
        <f t="shared" si="49"/>
        <v>153.60030000000003</v>
      </c>
      <c r="CU7" s="157">
        <f t="shared" si="49"/>
        <v>140.84280000000001</v>
      </c>
      <c r="CV7" s="157">
        <f t="shared" si="49"/>
        <v>138.39336000000003</v>
      </c>
      <c r="CW7" s="157">
        <f t="shared" si="49"/>
        <v>143.29224000000005</v>
      </c>
      <c r="CX7" s="157">
        <f t="shared" si="49"/>
        <v>165.88832400000004</v>
      </c>
      <c r="CY7" s="157">
        <f t="shared" si="49"/>
        <v>152.11022400000002</v>
      </c>
      <c r="CZ7" s="157">
        <f t="shared" si="49"/>
        <v>149.46482880000005</v>
      </c>
      <c r="DA7" s="157">
        <f t="shared" si="49"/>
        <v>154.75561920000007</v>
      </c>
      <c r="DB7" s="157">
        <f t="shared" si="49"/>
        <v>179.15938992000005</v>
      </c>
      <c r="DE7" s="159"/>
    </row>
    <row r="8" spans="1:110" s="158" customFormat="1" x14ac:dyDescent="0.2">
      <c r="A8" s="155" t="s">
        <v>527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>
        <f t="shared" si="34"/>
        <v>91.8</v>
      </c>
      <c r="S8" s="156">
        <f t="shared" si="35"/>
        <v>92.800000000000011</v>
      </c>
      <c r="T8" s="156">
        <f t="shared" si="36"/>
        <v>83.5</v>
      </c>
      <c r="U8" s="156">
        <f t="shared" si="37"/>
        <v>38.799999999999997</v>
      </c>
      <c r="V8" s="156">
        <f t="shared" si="38"/>
        <v>86</v>
      </c>
      <c r="W8" s="156">
        <f t="shared" si="39"/>
        <v>90</v>
      </c>
      <c r="X8" s="156">
        <f t="shared" si="40"/>
        <v>94</v>
      </c>
      <c r="Y8" s="156">
        <f t="shared" si="41"/>
        <v>86</v>
      </c>
      <c r="Z8" s="156">
        <f t="shared" si="42"/>
        <v>76</v>
      </c>
      <c r="AA8" s="157">
        <f t="shared" si="43"/>
        <v>82.28</v>
      </c>
      <c r="AB8" s="157">
        <f t="shared" si="44"/>
        <v>92.153600000000012</v>
      </c>
      <c r="AC8" s="157">
        <f t="shared" si="45"/>
        <v>101.36896000000002</v>
      </c>
      <c r="AD8" s="157">
        <f t="shared" si="46"/>
        <v>111.50585600000004</v>
      </c>
      <c r="AE8" s="157">
        <f t="shared" si="47"/>
        <v>122.65644160000005</v>
      </c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>
        <v>26.1</v>
      </c>
      <c r="AZ8" s="156">
        <v>20.7</v>
      </c>
      <c r="BA8" s="156">
        <v>15.1</v>
      </c>
      <c r="BB8" s="156">
        <v>29.9</v>
      </c>
      <c r="BC8" s="156">
        <v>30.5</v>
      </c>
      <c r="BD8" s="156">
        <v>26.2</v>
      </c>
      <c r="BE8" s="156">
        <v>15.5</v>
      </c>
      <c r="BF8" s="156">
        <v>20.6</v>
      </c>
      <c r="BG8" s="156">
        <v>20.8</v>
      </c>
      <c r="BH8" s="156">
        <v>17.899999999999999</v>
      </c>
      <c r="BI8" s="156">
        <v>19.5</v>
      </c>
      <c r="BJ8" s="156">
        <v>25.3</v>
      </c>
      <c r="BK8" s="156">
        <v>18.899999999999999</v>
      </c>
      <c r="BL8" s="156">
        <v>19.899999999999999</v>
      </c>
      <c r="BM8" s="156">
        <v>0</v>
      </c>
      <c r="BN8" s="156">
        <v>0</v>
      </c>
      <c r="BO8" s="156">
        <v>28</v>
      </c>
      <c r="BP8" s="156">
        <v>19</v>
      </c>
      <c r="BQ8" s="156">
        <v>18</v>
      </c>
      <c r="BR8" s="156">
        <v>21</v>
      </c>
      <c r="BS8" s="156">
        <v>18</v>
      </c>
      <c r="BT8" s="156">
        <v>21</v>
      </c>
      <c r="BU8" s="156">
        <v>24</v>
      </c>
      <c r="BV8" s="156">
        <v>27</v>
      </c>
      <c r="BW8" s="156">
        <v>21</v>
      </c>
      <c r="BX8" s="156">
        <v>23</v>
      </c>
      <c r="BY8" s="156">
        <v>23</v>
      </c>
      <c r="BZ8" s="156">
        <v>27</v>
      </c>
      <c r="CA8" s="156">
        <v>13</v>
      </c>
      <c r="CB8" s="156">
        <v>23</v>
      </c>
      <c r="CC8" s="156">
        <v>29</v>
      </c>
      <c r="CD8" s="156">
        <v>21</v>
      </c>
      <c r="CE8" s="156">
        <v>13</v>
      </c>
      <c r="CF8" s="156">
        <v>19</v>
      </c>
      <c r="CG8" s="156">
        <v>25</v>
      </c>
      <c r="CH8" s="156">
        <v>19</v>
      </c>
      <c r="CI8" s="156">
        <v>18</v>
      </c>
      <c r="CJ8" s="156">
        <v>22</v>
      </c>
      <c r="CK8" s="156">
        <v>21</v>
      </c>
      <c r="CL8" s="157">
        <f t="shared" ref="CL8:DB8" si="50">CH8*(1+CL17)</f>
        <v>21.28</v>
      </c>
      <c r="CM8" s="157">
        <f t="shared" si="50"/>
        <v>20.160000000000004</v>
      </c>
      <c r="CN8" s="157">
        <f t="shared" si="50"/>
        <v>24.64</v>
      </c>
      <c r="CO8" s="157">
        <f t="shared" si="50"/>
        <v>23.520000000000003</v>
      </c>
      <c r="CP8" s="157">
        <f t="shared" si="50"/>
        <v>23.833600000000004</v>
      </c>
      <c r="CQ8" s="157">
        <f t="shared" si="50"/>
        <v>22.176000000000005</v>
      </c>
      <c r="CR8" s="157">
        <f t="shared" si="50"/>
        <v>27.104000000000003</v>
      </c>
      <c r="CS8" s="157">
        <f t="shared" si="50"/>
        <v>25.872000000000007</v>
      </c>
      <c r="CT8" s="157">
        <f t="shared" si="50"/>
        <v>26.216960000000007</v>
      </c>
      <c r="CU8" s="157">
        <f t="shared" si="50"/>
        <v>24.393600000000006</v>
      </c>
      <c r="CV8" s="157">
        <f t="shared" si="50"/>
        <v>29.814400000000006</v>
      </c>
      <c r="CW8" s="157">
        <f t="shared" si="50"/>
        <v>28.45920000000001</v>
      </c>
      <c r="CX8" s="157">
        <f t="shared" si="50"/>
        <v>28.838656000000011</v>
      </c>
      <c r="CY8" s="157">
        <f t="shared" si="50"/>
        <v>26.832960000000011</v>
      </c>
      <c r="CZ8" s="157">
        <f t="shared" si="50"/>
        <v>32.795840000000013</v>
      </c>
      <c r="DA8" s="157">
        <f t="shared" si="50"/>
        <v>31.305120000000013</v>
      </c>
      <c r="DB8" s="157">
        <f t="shared" si="50"/>
        <v>31.722521600000015</v>
      </c>
      <c r="DE8" s="159"/>
    </row>
    <row r="9" spans="1:110" s="193" customFormat="1" x14ac:dyDescent="0.2">
      <c r="A9" s="195" t="s">
        <v>528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56">
        <f t="shared" si="34"/>
        <v>69.099999999999994</v>
      </c>
      <c r="S9" s="156">
        <f t="shared" si="35"/>
        <v>49.1</v>
      </c>
      <c r="T9" s="156">
        <f t="shared" si="36"/>
        <v>94.6</v>
      </c>
      <c r="U9" s="156">
        <f t="shared" si="37"/>
        <v>516.29999999999995</v>
      </c>
      <c r="V9" s="156">
        <f t="shared" si="38"/>
        <v>67</v>
      </c>
      <c r="W9" s="156">
        <f t="shared" si="39"/>
        <v>24.299999999999997</v>
      </c>
      <c r="X9" s="156">
        <f t="shared" si="40"/>
        <v>1.2000000000000002</v>
      </c>
      <c r="Y9" s="156">
        <f t="shared" si="41"/>
        <v>-0.89999999999999991</v>
      </c>
      <c r="Z9" s="156">
        <f t="shared" si="42"/>
        <v>1</v>
      </c>
      <c r="AA9" s="157">
        <f t="shared" si="43"/>
        <v>1.01</v>
      </c>
      <c r="AB9" s="157">
        <f t="shared" si="44"/>
        <v>1.0302</v>
      </c>
      <c r="AC9" s="157">
        <f t="shared" si="45"/>
        <v>1.0611059999999999</v>
      </c>
      <c r="AD9" s="157">
        <f t="shared" si="46"/>
        <v>1.0929391800000001</v>
      </c>
      <c r="AE9" s="157">
        <f t="shared" si="47"/>
        <v>1.1257273554</v>
      </c>
      <c r="AI9" s="192"/>
      <c r="AJ9" s="192"/>
      <c r="AK9" s="192"/>
      <c r="AL9" s="192"/>
      <c r="AM9" s="192"/>
      <c r="AN9" s="192"/>
      <c r="AO9" s="192"/>
      <c r="AP9" s="192"/>
      <c r="AQ9" s="192"/>
      <c r="AR9" s="192"/>
      <c r="AS9" s="192"/>
      <c r="AT9" s="192"/>
      <c r="AU9" s="192"/>
      <c r="AV9" s="192"/>
      <c r="AW9" s="192"/>
      <c r="AX9" s="192"/>
      <c r="AY9" s="192">
        <v>23.3</v>
      </c>
      <c r="AZ9" s="192">
        <v>18.7</v>
      </c>
      <c r="BA9" s="192">
        <v>1</v>
      </c>
      <c r="BB9" s="192">
        <v>26.1</v>
      </c>
      <c r="BC9" s="192">
        <v>14.4</v>
      </c>
      <c r="BD9" s="192">
        <v>13.4</v>
      </c>
      <c r="BE9" s="192">
        <v>11.8</v>
      </c>
      <c r="BF9" s="192">
        <v>9.5</v>
      </c>
      <c r="BG9" s="192">
        <v>12.1</v>
      </c>
      <c r="BH9" s="192">
        <v>14.8</v>
      </c>
      <c r="BI9" s="192">
        <v>13.2</v>
      </c>
      <c r="BJ9" s="192">
        <v>54.5</v>
      </c>
      <c r="BK9" s="192">
        <v>16.399999999999999</v>
      </c>
      <c r="BL9" s="192">
        <v>13.7</v>
      </c>
      <c r="BM9" s="192">
        <v>244.6</v>
      </c>
      <c r="BN9" s="192">
        <v>241.6</v>
      </c>
      <c r="BO9" s="192">
        <v>14.3</v>
      </c>
      <c r="BP9" s="192">
        <v>3.9</v>
      </c>
      <c r="BQ9" s="192">
        <v>38.299999999999997</v>
      </c>
      <c r="BR9" s="192">
        <v>10.5</v>
      </c>
      <c r="BS9" s="192">
        <v>6</v>
      </c>
      <c r="BT9" s="192">
        <v>3</v>
      </c>
      <c r="BU9" s="192">
        <v>7.7</v>
      </c>
      <c r="BV9" s="192">
        <v>7.6</v>
      </c>
      <c r="BW9" s="192">
        <v>0.8</v>
      </c>
      <c r="BX9" s="192">
        <v>0.4</v>
      </c>
      <c r="BY9" s="192">
        <v>-0.3</v>
      </c>
      <c r="BZ9" s="192">
        <v>0.3</v>
      </c>
      <c r="CA9" s="192">
        <v>0.2</v>
      </c>
      <c r="CB9" s="192">
        <v>-0.3</v>
      </c>
      <c r="CC9" s="192">
        <v>-0.5</v>
      </c>
      <c r="CD9" s="192">
        <v>-0.3</v>
      </c>
      <c r="CE9" s="192">
        <v>0.4</v>
      </c>
      <c r="CF9" s="192">
        <v>-0.4</v>
      </c>
      <c r="CG9" s="192">
        <v>0.5</v>
      </c>
      <c r="CH9" s="192">
        <v>0.5</v>
      </c>
      <c r="CI9" s="192">
        <v>-0.1</v>
      </c>
      <c r="CJ9" s="192">
        <v>-0.1</v>
      </c>
      <c r="CK9" s="192">
        <v>0.7</v>
      </c>
      <c r="CL9" s="157">
        <f t="shared" ref="CL9:DB9" si="51">CH9*(1+CL18)</f>
        <v>0.51</v>
      </c>
      <c r="CM9" s="157">
        <f t="shared" si="51"/>
        <v>-0.10200000000000001</v>
      </c>
      <c r="CN9" s="157">
        <f t="shared" si="51"/>
        <v>-0.10200000000000001</v>
      </c>
      <c r="CO9" s="157">
        <f t="shared" si="51"/>
        <v>0.71399999999999997</v>
      </c>
      <c r="CP9" s="157">
        <f t="shared" si="51"/>
        <v>0.5202</v>
      </c>
      <c r="CQ9" s="157">
        <f t="shared" si="51"/>
        <v>-0.10506000000000001</v>
      </c>
      <c r="CR9" s="157">
        <f t="shared" si="51"/>
        <v>-0.10506000000000001</v>
      </c>
      <c r="CS9" s="157">
        <f t="shared" si="51"/>
        <v>0.73541999999999996</v>
      </c>
      <c r="CT9" s="157">
        <f t="shared" si="51"/>
        <v>0.535806</v>
      </c>
      <c r="CU9" s="157">
        <f t="shared" si="51"/>
        <v>-0.10821180000000002</v>
      </c>
      <c r="CV9" s="157">
        <f t="shared" si="51"/>
        <v>-0.10821180000000002</v>
      </c>
      <c r="CW9" s="157">
        <f t="shared" si="51"/>
        <v>0.75748260000000001</v>
      </c>
      <c r="CX9" s="157">
        <f t="shared" si="51"/>
        <v>0.55188018000000005</v>
      </c>
      <c r="CY9" s="157">
        <f t="shared" si="51"/>
        <v>-0.11145815400000003</v>
      </c>
      <c r="CZ9" s="157">
        <f t="shared" si="51"/>
        <v>-0.11145815400000003</v>
      </c>
      <c r="DA9" s="157">
        <f t="shared" si="51"/>
        <v>0.780207078</v>
      </c>
      <c r="DB9" s="157">
        <f t="shared" si="51"/>
        <v>0.56843658540000008</v>
      </c>
      <c r="DE9" s="194"/>
    </row>
    <row r="10" spans="1:110" s="189" customFormat="1" x14ac:dyDescent="0.2">
      <c r="A10" s="186" t="s">
        <v>529</v>
      </c>
      <c r="B10" s="187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>
        <f>SUM(R5:R9)</f>
        <v>1171.5999999999999</v>
      </c>
      <c r="S10" s="187">
        <f>SUM(S5:S9)</f>
        <v>1257.3999999999999</v>
      </c>
      <c r="T10" s="187">
        <f t="shared" ref="T10:AE10" si="52">SUM(T5:T9)</f>
        <v>1539.3</v>
      </c>
      <c r="U10" s="187">
        <f t="shared" si="52"/>
        <v>1774.7</v>
      </c>
      <c r="V10" s="187">
        <f t="shared" si="52"/>
        <v>1994.7</v>
      </c>
      <c r="W10" s="187">
        <f t="shared" si="52"/>
        <v>2424.3000000000002</v>
      </c>
      <c r="X10" s="187">
        <f t="shared" si="52"/>
        <v>3149.2</v>
      </c>
      <c r="Y10" s="187">
        <f t="shared" si="52"/>
        <v>3484.1</v>
      </c>
      <c r="Z10" s="187">
        <f t="shared" si="52"/>
        <v>3918</v>
      </c>
      <c r="AA10" s="188">
        <f t="shared" si="52"/>
        <v>4266.2699999999995</v>
      </c>
      <c r="AB10" s="188">
        <f t="shared" si="52"/>
        <v>4730.6992999999993</v>
      </c>
      <c r="AC10" s="188">
        <f t="shared" si="52"/>
        <v>5193.8566360000013</v>
      </c>
      <c r="AD10" s="188">
        <f t="shared" si="52"/>
        <v>5733.3173681800017</v>
      </c>
      <c r="AE10" s="188">
        <f t="shared" si="52"/>
        <v>6329.5757310154022</v>
      </c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/>
      <c r="AY10" s="187">
        <f t="shared" ref="AY10:BB10" si="53">SUM(AY5:AY9)</f>
        <v>309.3</v>
      </c>
      <c r="AZ10" s="187">
        <f t="shared" si="53"/>
        <v>296.59999999999997</v>
      </c>
      <c r="BA10" s="187">
        <f t="shared" si="53"/>
        <v>259.40000000000003</v>
      </c>
      <c r="BB10" s="187">
        <f t="shared" si="53"/>
        <v>306.3</v>
      </c>
      <c r="BC10" s="187">
        <f t="shared" ref="BC10:BR10" si="54">SUM(BC5:BC9)</f>
        <v>283.79999999999995</v>
      </c>
      <c r="BD10" s="187">
        <f t="shared" si="54"/>
        <v>349.9</v>
      </c>
      <c r="BE10" s="187">
        <f t="shared" si="54"/>
        <v>304.8</v>
      </c>
      <c r="BF10" s="187">
        <f t="shared" si="54"/>
        <v>318.89999999999998</v>
      </c>
      <c r="BG10" s="187">
        <f t="shared" si="54"/>
        <v>366.00000000000006</v>
      </c>
      <c r="BH10" s="187">
        <f t="shared" si="54"/>
        <v>404.3</v>
      </c>
      <c r="BI10" s="187">
        <f t="shared" si="54"/>
        <v>352.09999999999997</v>
      </c>
      <c r="BJ10" s="187">
        <f t="shared" si="54"/>
        <v>416.90000000000003</v>
      </c>
      <c r="BK10" s="187">
        <f t="shared" si="54"/>
        <v>446.09999999999997</v>
      </c>
      <c r="BL10" s="187">
        <f t="shared" si="54"/>
        <v>456.4</v>
      </c>
      <c r="BM10" s="187">
        <f t="shared" si="54"/>
        <v>428.6</v>
      </c>
      <c r="BN10" s="187">
        <f t="shared" si="54"/>
        <v>443.6</v>
      </c>
      <c r="BO10" s="187">
        <f t="shared" si="54"/>
        <v>522.29999999999995</v>
      </c>
      <c r="BP10" s="187">
        <f t="shared" si="54"/>
        <v>443.59999999999997</v>
      </c>
      <c r="BQ10" s="187">
        <f t="shared" si="54"/>
        <v>500.3</v>
      </c>
      <c r="BR10" s="187">
        <f t="shared" si="54"/>
        <v>528.5</v>
      </c>
      <c r="BS10" s="187">
        <f t="shared" ref="BS10:CJ10" si="55">SUM(BS5:BS9)</f>
        <v>606</v>
      </c>
      <c r="BT10" s="187">
        <f t="shared" si="55"/>
        <v>593</v>
      </c>
      <c r="BU10" s="187">
        <f t="shared" si="55"/>
        <v>600.70000000000005</v>
      </c>
      <c r="BV10" s="187">
        <f t="shared" si="55"/>
        <v>624.6</v>
      </c>
      <c r="BW10" s="187">
        <f t="shared" si="55"/>
        <v>784.8</v>
      </c>
      <c r="BX10" s="187">
        <f t="shared" si="55"/>
        <v>809.4</v>
      </c>
      <c r="BY10" s="187">
        <f t="shared" si="55"/>
        <v>792.7</v>
      </c>
      <c r="BZ10" s="187">
        <f t="shared" si="55"/>
        <v>762.3</v>
      </c>
      <c r="CA10" s="187">
        <f t="shared" si="55"/>
        <v>896.2</v>
      </c>
      <c r="CB10" s="187">
        <f t="shared" si="55"/>
        <v>881.7</v>
      </c>
      <c r="CC10" s="187">
        <f t="shared" si="55"/>
        <v>844.5</v>
      </c>
      <c r="CD10" s="187">
        <f t="shared" si="55"/>
        <v>861.7</v>
      </c>
      <c r="CE10" s="187">
        <f t="shared" si="55"/>
        <v>1004.4</v>
      </c>
      <c r="CF10" s="187">
        <f t="shared" si="55"/>
        <v>1000.6</v>
      </c>
      <c r="CG10" s="187">
        <f t="shared" si="55"/>
        <v>963.5</v>
      </c>
      <c r="CH10" s="187">
        <f t="shared" si="55"/>
        <v>949.5</v>
      </c>
      <c r="CI10" s="187">
        <f>SUM(CI5:CI9)</f>
        <v>1093.9000000000001</v>
      </c>
      <c r="CJ10" s="187">
        <f t="shared" si="55"/>
        <v>1084.9000000000001</v>
      </c>
      <c r="CK10" s="187">
        <f>SUM(CK5:CK9)</f>
        <v>1064.7</v>
      </c>
      <c r="CL10" s="188">
        <f t="shared" ref="CL10:DB10" si="56">SUM(CL5:CL9)</f>
        <v>1022.7700000000001</v>
      </c>
      <c r="CM10" s="188">
        <f t="shared" si="56"/>
        <v>1212.058</v>
      </c>
      <c r="CN10" s="188">
        <f t="shared" si="56"/>
        <v>1203.4880000000003</v>
      </c>
      <c r="CO10" s="188">
        <f t="shared" si="56"/>
        <v>1180.9839999999999</v>
      </c>
      <c r="CP10" s="188">
        <f t="shared" si="56"/>
        <v>1134.1693</v>
      </c>
      <c r="CQ10" s="188">
        <f t="shared" si="56"/>
        <v>1329.9069400000001</v>
      </c>
      <c r="CR10" s="188">
        <f t="shared" si="56"/>
        <v>1321.4249400000001</v>
      </c>
      <c r="CS10" s="188">
        <f t="shared" si="56"/>
        <v>1296.7934200000002</v>
      </c>
      <c r="CT10" s="188">
        <f t="shared" si="56"/>
        <v>1245.7313360000003</v>
      </c>
      <c r="CU10" s="188">
        <f t="shared" si="56"/>
        <v>1467.5868682000003</v>
      </c>
      <c r="CV10" s="188">
        <f t="shared" si="56"/>
        <v>1458.8945082000002</v>
      </c>
      <c r="CW10" s="188">
        <f t="shared" si="56"/>
        <v>1431.6502826000001</v>
      </c>
      <c r="CX10" s="188">
        <f t="shared" si="56"/>
        <v>1375.1857091800002</v>
      </c>
      <c r="CY10" s="188">
        <f t="shared" si="56"/>
        <v>1619.7011634460005</v>
      </c>
      <c r="CZ10" s="188">
        <f t="shared" si="56"/>
        <v>1610.8521338460005</v>
      </c>
      <c r="DA10" s="188">
        <f t="shared" si="56"/>
        <v>1580.7249094780007</v>
      </c>
      <c r="DB10" s="188">
        <f t="shared" si="56"/>
        <v>1518.2975242454004</v>
      </c>
      <c r="DE10" s="190"/>
    </row>
    <row r="11" spans="1:110" s="198" customFormat="1" x14ac:dyDescent="0.2">
      <c r="A11" s="191" t="s">
        <v>537</v>
      </c>
      <c r="B11" s="196"/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196"/>
      <c r="R11" s="196">
        <f>R30-R10</f>
        <v>196.7170000000001</v>
      </c>
      <c r="S11" s="196">
        <f t="shared" ref="S11:Z11" si="57">S30-S10</f>
        <v>156.36780000000022</v>
      </c>
      <c r="T11" s="196">
        <f t="shared" si="57"/>
        <v>103.90039999999999</v>
      </c>
      <c r="U11" s="196">
        <f t="shared" si="57"/>
        <v>2.909999999997126E-2</v>
      </c>
      <c r="V11" s="196">
        <f t="shared" si="57"/>
        <v>47.821500000000015</v>
      </c>
      <c r="W11" s="196">
        <f t="shared" si="57"/>
        <v>-5.6200000000444561E-2</v>
      </c>
      <c r="X11" s="196">
        <f t="shared" si="57"/>
        <v>8.2800000000133878E-2</v>
      </c>
      <c r="Y11" s="196">
        <f t="shared" si="57"/>
        <v>8.3799999999882857E-2</v>
      </c>
      <c r="Z11" s="196">
        <f t="shared" si="57"/>
        <v>-1.1400000000321597E-2</v>
      </c>
      <c r="AA11" s="197">
        <f t="shared" ref="AA11" si="58">AA30-AA10</f>
        <v>-118.47809999999936</v>
      </c>
      <c r="AB11" s="197">
        <f t="shared" ref="AB11" si="59">AB30-AB10</f>
        <v>0</v>
      </c>
      <c r="AC11" s="197">
        <f t="shared" ref="AC11" si="60">AC30-AC10</f>
        <v>0</v>
      </c>
      <c r="AD11" s="197">
        <f t="shared" ref="AD11" si="61">AD30-AD10</f>
        <v>0</v>
      </c>
      <c r="AE11" s="197">
        <f t="shared" ref="AE11" si="62">AE30-AE10</f>
        <v>0</v>
      </c>
      <c r="AI11" s="196"/>
      <c r="AJ11" s="196"/>
      <c r="AK11" s="196"/>
      <c r="AL11" s="196"/>
      <c r="AM11" s="196"/>
      <c r="AN11" s="196"/>
      <c r="AO11" s="196"/>
      <c r="AP11" s="196"/>
      <c r="AQ11" s="196"/>
      <c r="AR11" s="196"/>
      <c r="AS11" s="196"/>
      <c r="AT11" s="196"/>
      <c r="AU11" s="196"/>
      <c r="AV11" s="196"/>
      <c r="AW11" s="196"/>
      <c r="AX11" s="196"/>
      <c r="AY11" s="196">
        <f>AY30-AY10</f>
        <v>4.9879999999999995</v>
      </c>
      <c r="AZ11" s="196">
        <f t="shared" ref="AZ11:CK11" si="63">AZ30-AZ10</f>
        <v>4.8880000000000337</v>
      </c>
      <c r="BA11" s="196">
        <f t="shared" si="63"/>
        <v>17.081999999999994</v>
      </c>
      <c r="BB11" s="196">
        <f t="shared" si="63"/>
        <v>-3.8000000000010914E-2</v>
      </c>
      <c r="BC11" s="196">
        <f t="shared" si="63"/>
        <v>3.8000000000067757E-2</v>
      </c>
      <c r="BD11" s="196">
        <f t="shared" si="63"/>
        <v>-2.5809999999999604</v>
      </c>
      <c r="BE11" s="196">
        <f t="shared" si="63"/>
        <v>-5.7999999999992724E-2</v>
      </c>
      <c r="BF11" s="196">
        <f t="shared" si="63"/>
        <v>-0.42599999999998772</v>
      </c>
      <c r="BG11" s="196">
        <f t="shared" si="63"/>
        <v>40.91599999999994</v>
      </c>
      <c r="BH11" s="196">
        <f t="shared" si="63"/>
        <v>31.043000000000006</v>
      </c>
      <c r="BI11" s="196">
        <f t="shared" si="63"/>
        <v>29.926000000000045</v>
      </c>
      <c r="BJ11" s="196">
        <f t="shared" si="63"/>
        <v>2.0149999999999864</v>
      </c>
      <c r="BK11" s="196">
        <f t="shared" si="63"/>
        <v>1.0000000000047748E-2</v>
      </c>
      <c r="BL11" s="196">
        <f t="shared" si="63"/>
        <v>1.6999999999995907E-2</v>
      </c>
      <c r="BM11" s="196">
        <f t="shared" si="63"/>
        <v>3.1999999999982265E-2</v>
      </c>
      <c r="BN11" s="196">
        <f t="shared" si="63"/>
        <v>-3.1000000000005912E-2</v>
      </c>
      <c r="BO11" s="196">
        <f t="shared" si="63"/>
        <v>-1.4999999999986358E-2</v>
      </c>
      <c r="BP11" s="196">
        <f t="shared" si="63"/>
        <v>-3.5999999999944521E-2</v>
      </c>
      <c r="BQ11" s="196">
        <f t="shared" si="63"/>
        <v>47.916999999999973</v>
      </c>
      <c r="BR11" s="196">
        <f t="shared" si="63"/>
        <v>-4.4999999999959073E-2</v>
      </c>
      <c r="BS11" s="196">
        <f t="shared" si="63"/>
        <v>-9.9999999999909051E-3</v>
      </c>
      <c r="BT11" s="196">
        <f t="shared" si="63"/>
        <v>9.9999999999909051E-3</v>
      </c>
      <c r="BU11" s="196">
        <f t="shared" si="63"/>
        <v>-5.0000000000068212E-2</v>
      </c>
      <c r="BV11" s="196">
        <f t="shared" si="63"/>
        <v>-9.9999999999909051E-3</v>
      </c>
      <c r="BW11" s="196">
        <f t="shared" si="63"/>
        <v>9.9999999999909051E-3</v>
      </c>
      <c r="BX11" s="196">
        <f t="shared" si="63"/>
        <v>4.0000000000077307E-2</v>
      </c>
      <c r="BY11" s="196">
        <f t="shared" si="63"/>
        <v>9.9999999999909051E-3</v>
      </c>
      <c r="BZ11" s="196">
        <f t="shared" si="63"/>
        <v>2.0000000000095497E-2</v>
      </c>
      <c r="CA11" s="196">
        <f t="shared" si="63"/>
        <v>0</v>
      </c>
      <c r="CB11" s="196">
        <f t="shared" si="63"/>
        <v>3.999999999996362E-2</v>
      </c>
      <c r="CC11" s="196">
        <f t="shared" si="63"/>
        <v>9.9999999999909051E-3</v>
      </c>
      <c r="CD11" s="196">
        <f t="shared" si="63"/>
        <v>2.9999999999972715E-2</v>
      </c>
      <c r="CE11" s="196">
        <f t="shared" si="63"/>
        <v>0</v>
      </c>
      <c r="CF11" s="196">
        <f t="shared" si="63"/>
        <v>1.999999999998181E-2</v>
      </c>
      <c r="CG11" s="196">
        <f t="shared" si="63"/>
        <v>-9.9999999999909051E-3</v>
      </c>
      <c r="CH11" s="196">
        <f t="shared" si="63"/>
        <v>-1.999999999998181E-2</v>
      </c>
      <c r="CI11" s="196">
        <f t="shared" si="63"/>
        <v>3.999999999996362E-2</v>
      </c>
      <c r="CJ11" s="196">
        <f t="shared" si="63"/>
        <v>0</v>
      </c>
      <c r="CK11" s="196">
        <f t="shared" si="63"/>
        <v>1.999999999998181E-2</v>
      </c>
      <c r="CL11" s="197">
        <f t="shared" ref="CL11" si="64">CL30-CL10</f>
        <v>-118.54000000000008</v>
      </c>
      <c r="CM11" s="197">
        <f t="shared" ref="CM11" si="65">CM30-CM10</f>
        <v>0</v>
      </c>
      <c r="CN11" s="197">
        <f t="shared" ref="CN11" si="66">CN30-CN10</f>
        <v>0</v>
      </c>
      <c r="CO11" s="197">
        <f t="shared" ref="CO11" si="67">CO30-CO10</f>
        <v>0</v>
      </c>
      <c r="CP11" s="197">
        <f t="shared" ref="CP11" si="68">CP30-CP10</f>
        <v>0</v>
      </c>
      <c r="CQ11" s="197">
        <f t="shared" ref="CQ11" si="69">CQ30-CQ10</f>
        <v>0</v>
      </c>
      <c r="CR11" s="197">
        <f t="shared" ref="CR11" si="70">CR30-CR10</f>
        <v>0</v>
      </c>
      <c r="CS11" s="197">
        <f t="shared" ref="CS11" si="71">CS30-CS10</f>
        <v>0</v>
      </c>
      <c r="CT11" s="197">
        <f t="shared" ref="CT11" si="72">CT30-CT10</f>
        <v>0</v>
      </c>
      <c r="CU11" s="197">
        <f t="shared" ref="CU11" si="73">CU30-CU10</f>
        <v>0</v>
      </c>
      <c r="CV11" s="197">
        <f t="shared" ref="CV11" si="74">CV30-CV10</f>
        <v>0</v>
      </c>
      <c r="CW11" s="197">
        <f t="shared" ref="CW11" si="75">CW30-CW10</f>
        <v>0</v>
      </c>
      <c r="CX11" s="197">
        <f t="shared" ref="CX11" si="76">CX30-CX10</f>
        <v>0</v>
      </c>
      <c r="CY11" s="197">
        <f t="shared" ref="CY11" si="77">CY30-CY10</f>
        <v>0</v>
      </c>
      <c r="CZ11" s="197">
        <f t="shared" ref="CZ11" si="78">CZ30-CZ10</f>
        <v>0</v>
      </c>
      <c r="DA11" s="197">
        <f t="shared" ref="DA11" si="79">DA30-DA10</f>
        <v>0</v>
      </c>
      <c r="DB11" s="197">
        <f t="shared" ref="DB11" si="80">DB30-DB10</f>
        <v>0</v>
      </c>
      <c r="DE11" s="199"/>
    </row>
    <row r="12" spans="1:110" s="158" customFormat="1" x14ac:dyDescent="0.2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7"/>
      <c r="AB12" s="157"/>
      <c r="AC12" s="157"/>
      <c r="AD12" s="157"/>
      <c r="AE12" s="157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56"/>
      <c r="CB12" s="156"/>
      <c r="CC12" s="156"/>
      <c r="CD12" s="156"/>
      <c r="CE12" s="156"/>
      <c r="CF12" s="156"/>
      <c r="CG12" s="156"/>
      <c r="CH12" s="156"/>
      <c r="CI12" s="156"/>
      <c r="CJ12" s="156"/>
      <c r="CK12" s="156"/>
      <c r="CL12" s="157"/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E12" s="159"/>
    </row>
    <row r="13" spans="1:110" s="151" customFormat="1" x14ac:dyDescent="0.2">
      <c r="A13" s="151" t="s">
        <v>530</v>
      </c>
    </row>
    <row r="14" spans="1:110" s="158" customFormat="1" x14ac:dyDescent="0.2">
      <c r="A14" s="155" t="s">
        <v>531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85">
        <f>S5/R5-1</f>
        <v>1.6439909297051969E-2</v>
      </c>
      <c r="T14" s="185">
        <f t="shared" ref="T14:AE14" si="81">T5/S5-1</f>
        <v>0.27644543595463844</v>
      </c>
      <c r="U14" s="185">
        <f t="shared" si="81"/>
        <v>-0.54908243518788225</v>
      </c>
      <c r="V14" s="185">
        <f t="shared" si="81"/>
        <v>1.4031007751937983</v>
      </c>
      <c r="W14" s="185">
        <f t="shared" si="81"/>
        <v>0.19086021505376349</v>
      </c>
      <c r="X14" s="185">
        <f t="shared" si="81"/>
        <v>0.13882618510158018</v>
      </c>
      <c r="Y14" s="185">
        <f t="shared" si="81"/>
        <v>6.0455896927651187E-2</v>
      </c>
      <c r="Z14" s="185">
        <f t="shared" si="81"/>
        <v>5.2336448598130803E-2</v>
      </c>
      <c r="AA14" s="200">
        <f t="shared" si="81"/>
        <v>7.0337477797513426E-2</v>
      </c>
      <c r="AB14" s="200">
        <f t="shared" si="81"/>
        <v>0.14999999999999991</v>
      </c>
      <c r="AC14" s="200">
        <f t="shared" si="81"/>
        <v>0.12000000000000011</v>
      </c>
      <c r="AD14" s="200">
        <f t="shared" si="81"/>
        <v>0.12000000000000011</v>
      </c>
      <c r="AE14" s="200">
        <f t="shared" si="81"/>
        <v>0.12000000000000011</v>
      </c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85">
        <f t="shared" ref="BC14:BF14" si="82">BC5/AY5-1</f>
        <v>-0.11441647597254001</v>
      </c>
      <c r="BD14" s="185">
        <f t="shared" si="82"/>
        <v>7.9147640791476404E-2</v>
      </c>
      <c r="BE14" s="185">
        <f t="shared" si="82"/>
        <v>5.331179321486279E-2</v>
      </c>
      <c r="BF14" s="185">
        <f t="shared" si="82"/>
        <v>4.6885934219734082E-2</v>
      </c>
      <c r="BG14" s="185">
        <f t="shared" ref="BG14:BR19" si="83">BG5/BC5-1</f>
        <v>0.36606373815676152</v>
      </c>
      <c r="BH14" s="185">
        <f t="shared" si="83"/>
        <v>0.37165021156558531</v>
      </c>
      <c r="BI14" s="185">
        <f t="shared" si="83"/>
        <v>0.21395705521472386</v>
      </c>
      <c r="BJ14" s="185">
        <f t="shared" si="83"/>
        <v>0.17112299465240643</v>
      </c>
      <c r="BK14" s="185">
        <f t="shared" si="83"/>
        <v>-6.4312736443883911E-2</v>
      </c>
      <c r="BL14" s="185">
        <f t="shared" si="83"/>
        <v>-0.17120822622107978</v>
      </c>
      <c r="BM14" s="185">
        <f t="shared" si="83"/>
        <v>-1</v>
      </c>
      <c r="BN14" s="185">
        <f t="shared" si="83"/>
        <v>-1</v>
      </c>
      <c r="BO14" s="185">
        <f t="shared" si="83"/>
        <v>0.33423180592991919</v>
      </c>
      <c r="BP14" s="185">
        <f t="shared" si="83"/>
        <v>6.0794044665012592E-2</v>
      </c>
      <c r="BQ14" s="185" t="e">
        <f t="shared" si="83"/>
        <v>#DIV/0!</v>
      </c>
      <c r="BR14" s="185" t="e">
        <f t="shared" si="83"/>
        <v>#DIV/0!</v>
      </c>
      <c r="BS14" s="185">
        <f t="shared" ref="BS14:CJ14" si="84">BS5/BO5-1</f>
        <v>0.11616161616161613</v>
      </c>
      <c r="BT14" s="185">
        <f t="shared" si="84"/>
        <v>0.20467836257309946</v>
      </c>
      <c r="BU14" s="185">
        <f t="shared" si="84"/>
        <v>0.38505747126436773</v>
      </c>
      <c r="BV14" s="185">
        <f t="shared" si="84"/>
        <v>8.4577114427860645E-2</v>
      </c>
      <c r="BW14" s="185">
        <f t="shared" si="84"/>
        <v>0.10859728506787336</v>
      </c>
      <c r="BX14" s="185">
        <f t="shared" si="84"/>
        <v>0.17475728155339798</v>
      </c>
      <c r="BY14" s="185">
        <f t="shared" si="84"/>
        <v>0.10788381742738595</v>
      </c>
      <c r="BZ14" s="185">
        <f t="shared" si="84"/>
        <v>0.16972477064220182</v>
      </c>
      <c r="CA14" s="185">
        <f t="shared" si="84"/>
        <v>0.12244897959183665</v>
      </c>
      <c r="CB14" s="185">
        <f t="shared" si="84"/>
        <v>8.6776859504132275E-2</v>
      </c>
      <c r="CC14" s="185">
        <f t="shared" si="84"/>
        <v>-7.4906367041198685E-3</v>
      </c>
      <c r="CD14" s="185">
        <f t="shared" si="84"/>
        <v>4.705882352941182E-2</v>
      </c>
      <c r="CE14" s="185">
        <f t="shared" si="84"/>
        <v>5.4545454545454453E-2</v>
      </c>
      <c r="CF14" s="185">
        <f t="shared" si="84"/>
        <v>0.14068441064638781</v>
      </c>
      <c r="CG14" s="185">
        <f t="shared" si="84"/>
        <v>-4.1509433962264142E-2</v>
      </c>
      <c r="CH14" s="185">
        <f t="shared" si="84"/>
        <v>5.6179775280898792E-2</v>
      </c>
      <c r="CI14" s="185">
        <f t="shared" si="84"/>
        <v>-2.4137931034482807E-2</v>
      </c>
      <c r="CJ14" s="185">
        <f t="shared" si="84"/>
        <v>2.0000000000000018E-2</v>
      </c>
      <c r="CK14" s="185">
        <f>CK5/CG5-1</f>
        <v>0.20472440944881898</v>
      </c>
      <c r="CL14" s="200">
        <v>0.1</v>
      </c>
      <c r="CM14" s="200">
        <v>0.15</v>
      </c>
      <c r="CN14" s="200">
        <v>0.15</v>
      </c>
      <c r="CO14" s="200">
        <v>0.15</v>
      </c>
      <c r="CP14" s="200">
        <v>0.15</v>
      </c>
      <c r="CQ14" s="200">
        <v>0.12</v>
      </c>
      <c r="CR14" s="200">
        <v>0.12</v>
      </c>
      <c r="CS14" s="200">
        <v>0.12</v>
      </c>
      <c r="CT14" s="200">
        <v>0.12</v>
      </c>
      <c r="CU14" s="200">
        <v>0.12</v>
      </c>
      <c r="CV14" s="200">
        <v>0.12</v>
      </c>
      <c r="CW14" s="200">
        <v>0.12</v>
      </c>
      <c r="CX14" s="200">
        <v>0.12</v>
      </c>
      <c r="CY14" s="200">
        <v>0.12</v>
      </c>
      <c r="CZ14" s="200">
        <v>0.12</v>
      </c>
      <c r="DA14" s="200">
        <v>0.12</v>
      </c>
      <c r="DB14" s="200">
        <v>0.12</v>
      </c>
      <c r="DE14" s="159"/>
    </row>
    <row r="15" spans="1:110" s="158" customFormat="1" x14ac:dyDescent="0.2">
      <c r="A15" s="155" t="s">
        <v>532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85">
        <f t="shared" ref="S15:AE15" si="85">S6/R6-1</f>
        <v>0.199584631360332</v>
      </c>
      <c r="T15" s="185">
        <f t="shared" si="85"/>
        <v>0.1679362880886428</v>
      </c>
      <c r="U15" s="185">
        <f t="shared" si="85"/>
        <v>0.18158908983101085</v>
      </c>
      <c r="V15" s="185">
        <f t="shared" si="85"/>
        <v>0.11742566804666921</v>
      </c>
      <c r="W15" s="185">
        <f t="shared" si="85"/>
        <v>0.31806444369596942</v>
      </c>
      <c r="X15" s="185">
        <f t="shared" si="85"/>
        <v>0.39608177172061332</v>
      </c>
      <c r="Y15" s="185">
        <f t="shared" si="85"/>
        <v>0.15741305674191586</v>
      </c>
      <c r="Z15" s="185">
        <f t="shared" si="85"/>
        <v>0.19557195571955721</v>
      </c>
      <c r="AA15" s="200">
        <f t="shared" si="85"/>
        <v>0.10111552028218695</v>
      </c>
      <c r="AB15" s="200">
        <f t="shared" si="85"/>
        <v>0.10000000000000009</v>
      </c>
      <c r="AC15" s="200">
        <f t="shared" si="85"/>
        <v>9.000000000000008E-2</v>
      </c>
      <c r="AD15" s="200">
        <f t="shared" si="85"/>
        <v>0.10000000000000009</v>
      </c>
      <c r="AE15" s="200">
        <f t="shared" si="85"/>
        <v>0.10000000000000009</v>
      </c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85">
        <f t="shared" ref="BC15:BF15" si="86">BC6/AY6-1</f>
        <v>-4.6583850931677162E-2</v>
      </c>
      <c r="BD15" s="185">
        <f t="shared" si="86"/>
        <v>0.33942766295707472</v>
      </c>
      <c r="BE15" s="185">
        <f t="shared" si="86"/>
        <v>0.2309623430962342</v>
      </c>
      <c r="BF15" s="185">
        <f t="shared" si="86"/>
        <v>0.29608938547486008</v>
      </c>
      <c r="BG15" s="185">
        <f t="shared" si="83"/>
        <v>0.42100977198697076</v>
      </c>
      <c r="BH15" s="185">
        <f t="shared" si="83"/>
        <v>5.1038575667655683E-2</v>
      </c>
      <c r="BI15" s="185">
        <f t="shared" si="83"/>
        <v>9.5173351461590672E-2</v>
      </c>
      <c r="BJ15" s="185">
        <f t="shared" si="83"/>
        <v>0.16307471264367823</v>
      </c>
      <c r="BK15" s="185">
        <f t="shared" si="83"/>
        <v>0.18452722063037252</v>
      </c>
      <c r="BL15" s="185">
        <f t="shared" si="83"/>
        <v>0.1541501976284585</v>
      </c>
      <c r="BM15" s="185">
        <f t="shared" si="83"/>
        <v>0.1421477343265054</v>
      </c>
      <c r="BN15" s="185">
        <f t="shared" si="83"/>
        <v>0.24768375540457077</v>
      </c>
      <c r="BO15" s="185">
        <f t="shared" si="83"/>
        <v>8.3696178035800761E-2</v>
      </c>
      <c r="BP15" s="185">
        <f t="shared" si="83"/>
        <v>4.5499021526418604E-2</v>
      </c>
      <c r="BQ15" s="185">
        <f t="shared" si="83"/>
        <v>0.26086956521739135</v>
      </c>
      <c r="BR15" s="185">
        <f t="shared" si="83"/>
        <v>9.4059405940594143E-2</v>
      </c>
      <c r="BS15" s="185">
        <f t="shared" ref="BS15:CK15" si="87">BS6/BO6-1</f>
        <v>0.3973214285714286</v>
      </c>
      <c r="BT15" s="185">
        <f t="shared" si="87"/>
        <v>0.3851193261581658</v>
      </c>
      <c r="BU15" s="185">
        <f t="shared" si="87"/>
        <v>0.19827586206896552</v>
      </c>
      <c r="BV15" s="185">
        <f t="shared" si="87"/>
        <v>0.29864253393665163</v>
      </c>
      <c r="BW15" s="185">
        <f t="shared" si="87"/>
        <v>0.33546325878594252</v>
      </c>
      <c r="BX15" s="185">
        <f t="shared" si="87"/>
        <v>0.46621621621621623</v>
      </c>
      <c r="BY15" s="185">
        <f t="shared" si="87"/>
        <v>0.46402877697841727</v>
      </c>
      <c r="BZ15" s="185">
        <f t="shared" si="87"/>
        <v>0.3240418118466899</v>
      </c>
      <c r="CA15" s="185">
        <f t="shared" si="87"/>
        <v>0.16985645933014348</v>
      </c>
      <c r="CB15" s="185">
        <f t="shared" si="87"/>
        <v>0.10829493087557607</v>
      </c>
      <c r="CC15" s="185">
        <f t="shared" si="87"/>
        <v>0.13513513513513509</v>
      </c>
      <c r="CD15" s="185">
        <f t="shared" si="87"/>
        <v>0.22368421052631571</v>
      </c>
      <c r="CE15" s="185">
        <f t="shared" si="87"/>
        <v>0.21676891615541916</v>
      </c>
      <c r="CF15" s="185">
        <f t="shared" si="87"/>
        <v>0.22245322245322252</v>
      </c>
      <c r="CG15" s="185">
        <f t="shared" si="87"/>
        <v>0.22510822510822504</v>
      </c>
      <c r="CH15" s="185">
        <f t="shared" si="87"/>
        <v>0.11612903225806459</v>
      </c>
      <c r="CI15" s="185">
        <f t="shared" si="87"/>
        <v>0.13949579831932768</v>
      </c>
      <c r="CJ15" s="185">
        <f t="shared" si="87"/>
        <v>9.5238095238095344E-2</v>
      </c>
      <c r="CK15" s="185">
        <f t="shared" si="87"/>
        <v>9.540636042402828E-2</v>
      </c>
      <c r="CL15" s="200">
        <v>7.0000000000000007E-2</v>
      </c>
      <c r="CM15" s="200">
        <v>0.1</v>
      </c>
      <c r="CN15" s="200">
        <v>0.1</v>
      </c>
      <c r="CO15" s="200">
        <v>0.1</v>
      </c>
      <c r="CP15" s="200">
        <v>0.1</v>
      </c>
      <c r="CQ15" s="200">
        <v>0.09</v>
      </c>
      <c r="CR15" s="200">
        <v>0.09</v>
      </c>
      <c r="CS15" s="200">
        <v>0.09</v>
      </c>
      <c r="CT15" s="200">
        <v>0.09</v>
      </c>
      <c r="CU15" s="200">
        <v>0.1</v>
      </c>
      <c r="CV15" s="200">
        <v>0.1</v>
      </c>
      <c r="CW15" s="200">
        <v>0.1</v>
      </c>
      <c r="CX15" s="200">
        <v>0.1</v>
      </c>
      <c r="CY15" s="200">
        <v>0.1</v>
      </c>
      <c r="CZ15" s="200">
        <v>0.1</v>
      </c>
      <c r="DA15" s="200">
        <v>0.1</v>
      </c>
      <c r="DB15" s="200">
        <v>0.1</v>
      </c>
      <c r="DE15" s="159"/>
    </row>
    <row r="16" spans="1:110" s="158" customFormat="1" x14ac:dyDescent="0.2">
      <c r="A16" s="155" t="s">
        <v>533</v>
      </c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85" t="e">
        <f t="shared" ref="S16:AE16" si="88">S7/R7-1</f>
        <v>#DIV/0!</v>
      </c>
      <c r="T16" s="185" t="e">
        <f t="shared" si="88"/>
        <v>#DIV/0!</v>
      </c>
      <c r="U16" s="185" t="e">
        <f t="shared" si="88"/>
        <v>#DIV/0!</v>
      </c>
      <c r="V16" s="185">
        <f t="shared" si="88"/>
        <v>0.83348095659875998</v>
      </c>
      <c r="W16" s="185">
        <f t="shared" si="88"/>
        <v>0.20772946859903385</v>
      </c>
      <c r="X16" s="185">
        <f t="shared" si="88"/>
        <v>0.62400000000000011</v>
      </c>
      <c r="Y16" s="185">
        <f t="shared" si="88"/>
        <v>6.4039408866995107E-2</v>
      </c>
      <c r="Z16" s="185">
        <f t="shared" si="88"/>
        <v>3.4722222222222321E-2</v>
      </c>
      <c r="AA16" s="200">
        <f t="shared" si="88"/>
        <v>7.4832214765100824E-2</v>
      </c>
      <c r="AB16" s="200">
        <f t="shared" si="88"/>
        <v>5.0000000000000044E-2</v>
      </c>
      <c r="AC16" s="200">
        <f t="shared" si="88"/>
        <v>8.0000000000000071E-2</v>
      </c>
      <c r="AD16" s="200">
        <f t="shared" si="88"/>
        <v>8.0000000000000071E-2</v>
      </c>
      <c r="AE16" s="200">
        <f t="shared" si="88"/>
        <v>8.0000000000000071E-2</v>
      </c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85" t="e">
        <f t="shared" ref="BC16:BF16" si="89">BC7/AY7-1</f>
        <v>#DIV/0!</v>
      </c>
      <c r="BD16" s="185" t="e">
        <f t="shared" si="89"/>
        <v>#DIV/0!</v>
      </c>
      <c r="BE16" s="185" t="e">
        <f t="shared" si="89"/>
        <v>#DIV/0!</v>
      </c>
      <c r="BF16" s="185" t="e">
        <f t="shared" si="89"/>
        <v>#DIV/0!</v>
      </c>
      <c r="BG16" s="185" t="e">
        <f t="shared" si="83"/>
        <v>#DIV/0!</v>
      </c>
      <c r="BH16" s="185" t="e">
        <f t="shared" si="83"/>
        <v>#DIV/0!</v>
      </c>
      <c r="BI16" s="185" t="e">
        <f t="shared" si="83"/>
        <v>#DIV/0!</v>
      </c>
      <c r="BJ16" s="185" t="e">
        <f t="shared" si="83"/>
        <v>#DIV/0!</v>
      </c>
      <c r="BK16" s="185" t="e">
        <f t="shared" si="83"/>
        <v>#DIV/0!</v>
      </c>
      <c r="BL16" s="185" t="e">
        <f t="shared" si="83"/>
        <v>#DIV/0!</v>
      </c>
      <c r="BM16" s="185" t="e">
        <f t="shared" si="83"/>
        <v>#DIV/0!</v>
      </c>
      <c r="BN16" s="185" t="e">
        <f t="shared" si="83"/>
        <v>#DIV/0!</v>
      </c>
      <c r="BO16" s="185">
        <f t="shared" si="83"/>
        <v>4.1292639138240439E-2</v>
      </c>
      <c r="BP16" s="185">
        <f t="shared" si="83"/>
        <v>-0.37062937062937062</v>
      </c>
      <c r="BQ16" s="185" t="e">
        <f t="shared" si="83"/>
        <v>#DIV/0!</v>
      </c>
      <c r="BR16" s="185" t="e">
        <f t="shared" si="83"/>
        <v>#DIV/0!</v>
      </c>
      <c r="BS16" s="185">
        <f t="shared" ref="BS16:CK16" si="90">BS7/BO7-1</f>
        <v>-0.17241379310344829</v>
      </c>
      <c r="BT16" s="185">
        <f t="shared" si="90"/>
        <v>0.86111111111111116</v>
      </c>
      <c r="BU16" s="185">
        <f t="shared" si="90"/>
        <v>0.31578947368421062</v>
      </c>
      <c r="BV16" s="185">
        <f t="shared" si="90"/>
        <v>0.1333333333333333</v>
      </c>
      <c r="BW16" s="185">
        <f t="shared" si="90"/>
        <v>1.0833333333333335</v>
      </c>
      <c r="BX16" s="185">
        <f t="shared" si="90"/>
        <v>0.64179104477611948</v>
      </c>
      <c r="BY16" s="185">
        <f t="shared" si="90"/>
        <v>0.91999999999999993</v>
      </c>
      <c r="BZ16" s="185">
        <f t="shared" si="90"/>
        <v>0.17647058823529416</v>
      </c>
      <c r="CA16" s="185">
        <f t="shared" si="90"/>
        <v>0.18999999999999995</v>
      </c>
      <c r="CB16" s="185">
        <f t="shared" si="90"/>
        <v>4.5454545454545414E-2</v>
      </c>
      <c r="CC16" s="185">
        <f t="shared" si="90"/>
        <v>-7.291666666666663E-2</v>
      </c>
      <c r="CD16" s="185">
        <f t="shared" si="90"/>
        <v>9.000000000000008E-2</v>
      </c>
      <c r="CE16" s="185">
        <f t="shared" si="90"/>
        <v>-0.10924369747899154</v>
      </c>
      <c r="CF16" s="185">
        <f t="shared" si="90"/>
        <v>-0.18260869565217386</v>
      </c>
      <c r="CG16" s="185">
        <f t="shared" si="90"/>
        <v>0.32584269662921339</v>
      </c>
      <c r="CH16" s="185">
        <f t="shared" si="90"/>
        <v>0.1834862385321101</v>
      </c>
      <c r="CI16" s="185">
        <f t="shared" si="90"/>
        <v>8.4905660377358583E-2</v>
      </c>
      <c r="CJ16" s="185">
        <f t="shared" si="90"/>
        <v>0.2021276595744681</v>
      </c>
      <c r="CK16" s="185">
        <f t="shared" si="90"/>
        <v>-8.4745762711864181E-3</v>
      </c>
      <c r="CL16" s="200">
        <v>0.05</v>
      </c>
      <c r="CM16" s="200">
        <v>0.05</v>
      </c>
      <c r="CN16" s="200">
        <v>0.05</v>
      </c>
      <c r="CO16" s="200">
        <v>0.05</v>
      </c>
      <c r="CP16" s="200">
        <v>0.05</v>
      </c>
      <c r="CQ16" s="200">
        <v>0.08</v>
      </c>
      <c r="CR16" s="200">
        <v>0.08</v>
      </c>
      <c r="CS16" s="200">
        <v>0.08</v>
      </c>
      <c r="CT16" s="200">
        <v>0.08</v>
      </c>
      <c r="CU16" s="200">
        <v>0.08</v>
      </c>
      <c r="CV16" s="200">
        <v>0.08</v>
      </c>
      <c r="CW16" s="200">
        <v>0.08</v>
      </c>
      <c r="CX16" s="200">
        <v>0.08</v>
      </c>
      <c r="CY16" s="200">
        <v>0.08</v>
      </c>
      <c r="CZ16" s="200">
        <v>0.08</v>
      </c>
      <c r="DA16" s="200">
        <v>0.08</v>
      </c>
      <c r="DB16" s="200">
        <v>0.08</v>
      </c>
      <c r="DE16" s="159"/>
    </row>
    <row r="17" spans="1:110" s="158" customFormat="1" x14ac:dyDescent="0.2">
      <c r="A17" s="155" t="s">
        <v>534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85">
        <f t="shared" ref="S17:AE17" si="91">S8/R8-1</f>
        <v>1.0893246187364092E-2</v>
      </c>
      <c r="T17" s="185">
        <f t="shared" si="91"/>
        <v>-0.10021551724137945</v>
      </c>
      <c r="U17" s="185">
        <f t="shared" si="91"/>
        <v>-0.53532934131736531</v>
      </c>
      <c r="V17" s="185">
        <f t="shared" si="91"/>
        <v>1.2164948453608249</v>
      </c>
      <c r="W17" s="185">
        <f t="shared" si="91"/>
        <v>4.6511627906976827E-2</v>
      </c>
      <c r="X17" s="185">
        <f t="shared" si="91"/>
        <v>4.4444444444444509E-2</v>
      </c>
      <c r="Y17" s="185">
        <f t="shared" si="91"/>
        <v>-8.5106382978723416E-2</v>
      </c>
      <c r="Z17" s="185">
        <f t="shared" si="91"/>
        <v>-0.11627906976744184</v>
      </c>
      <c r="AA17" s="200">
        <f t="shared" si="91"/>
        <v>8.2631578947368389E-2</v>
      </c>
      <c r="AB17" s="200">
        <f t="shared" si="91"/>
        <v>0.12000000000000011</v>
      </c>
      <c r="AC17" s="200">
        <f t="shared" si="91"/>
        <v>0.10000000000000009</v>
      </c>
      <c r="AD17" s="200">
        <f t="shared" si="91"/>
        <v>0.10000000000000009</v>
      </c>
      <c r="AE17" s="200">
        <f t="shared" si="91"/>
        <v>0.10000000000000009</v>
      </c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85">
        <f t="shared" ref="BC17:BF17" si="92">BC8/AY8-1</f>
        <v>0.16858237547892707</v>
      </c>
      <c r="BD17" s="185">
        <f t="shared" si="92"/>
        <v>0.26570048309178751</v>
      </c>
      <c r="BE17" s="185">
        <f t="shared" si="92"/>
        <v>2.6490066225165476E-2</v>
      </c>
      <c r="BF17" s="185">
        <f t="shared" si="92"/>
        <v>-0.31103678929765877</v>
      </c>
      <c r="BG17" s="185">
        <f t="shared" si="83"/>
        <v>-0.31803278688524583</v>
      </c>
      <c r="BH17" s="185">
        <f t="shared" si="83"/>
        <v>-0.31679389312977102</v>
      </c>
      <c r="BI17" s="185">
        <f t="shared" si="83"/>
        <v>0.25806451612903225</v>
      </c>
      <c r="BJ17" s="185">
        <f t="shared" si="83"/>
        <v>0.22815533980582514</v>
      </c>
      <c r="BK17" s="185">
        <f t="shared" si="83"/>
        <v>-9.1346153846153966E-2</v>
      </c>
      <c r="BL17" s="185">
        <f t="shared" si="83"/>
        <v>0.1117318435754191</v>
      </c>
      <c r="BM17" s="185">
        <f t="shared" si="83"/>
        <v>-1</v>
      </c>
      <c r="BN17" s="185">
        <f t="shared" si="83"/>
        <v>-1</v>
      </c>
      <c r="BO17" s="185">
        <f t="shared" si="83"/>
        <v>0.48148148148148162</v>
      </c>
      <c r="BP17" s="185">
        <f t="shared" si="83"/>
        <v>-4.5226130653266305E-2</v>
      </c>
      <c r="BQ17" s="185" t="e">
        <f t="shared" si="83"/>
        <v>#DIV/0!</v>
      </c>
      <c r="BR17" s="185" t="e">
        <f t="shared" si="83"/>
        <v>#DIV/0!</v>
      </c>
      <c r="BS17" s="185">
        <f t="shared" ref="BS17:CK17" si="93">BS8/BO8-1</f>
        <v>-0.3571428571428571</v>
      </c>
      <c r="BT17" s="185">
        <f t="shared" si="93"/>
        <v>0.10526315789473695</v>
      </c>
      <c r="BU17" s="185">
        <f t="shared" si="93"/>
        <v>0.33333333333333326</v>
      </c>
      <c r="BV17" s="185">
        <f t="shared" si="93"/>
        <v>0.28571428571428581</v>
      </c>
      <c r="BW17" s="185">
        <f t="shared" si="93"/>
        <v>0.16666666666666674</v>
      </c>
      <c r="BX17" s="185">
        <f t="shared" si="93"/>
        <v>9.5238095238095344E-2</v>
      </c>
      <c r="BY17" s="185">
        <f t="shared" si="93"/>
        <v>-4.166666666666663E-2</v>
      </c>
      <c r="BZ17" s="185">
        <f t="shared" si="93"/>
        <v>0</v>
      </c>
      <c r="CA17" s="185">
        <f t="shared" si="93"/>
        <v>-0.38095238095238093</v>
      </c>
      <c r="CB17" s="185">
        <f t="shared" si="93"/>
        <v>0</v>
      </c>
      <c r="CC17" s="185">
        <f t="shared" si="93"/>
        <v>0.26086956521739135</v>
      </c>
      <c r="CD17" s="185">
        <f t="shared" si="93"/>
        <v>-0.22222222222222221</v>
      </c>
      <c r="CE17" s="185">
        <f t="shared" si="93"/>
        <v>0</v>
      </c>
      <c r="CF17" s="185">
        <f t="shared" si="93"/>
        <v>-0.17391304347826086</v>
      </c>
      <c r="CG17" s="185">
        <f t="shared" si="93"/>
        <v>-0.13793103448275867</v>
      </c>
      <c r="CH17" s="185">
        <f t="shared" si="93"/>
        <v>-9.5238095238095233E-2</v>
      </c>
      <c r="CI17" s="185">
        <f t="shared" si="93"/>
        <v>0.38461538461538458</v>
      </c>
      <c r="CJ17" s="185">
        <f t="shared" si="93"/>
        <v>0.15789473684210531</v>
      </c>
      <c r="CK17" s="185">
        <f t="shared" si="93"/>
        <v>-0.16000000000000003</v>
      </c>
      <c r="CL17" s="200">
        <v>0.12</v>
      </c>
      <c r="CM17" s="200">
        <v>0.12</v>
      </c>
      <c r="CN17" s="200">
        <v>0.12</v>
      </c>
      <c r="CO17" s="200">
        <v>0.12</v>
      </c>
      <c r="CP17" s="200">
        <v>0.12</v>
      </c>
      <c r="CQ17" s="200">
        <v>0.1</v>
      </c>
      <c r="CR17" s="200">
        <v>0.1</v>
      </c>
      <c r="CS17" s="200">
        <v>0.1</v>
      </c>
      <c r="CT17" s="200">
        <v>0.1</v>
      </c>
      <c r="CU17" s="200">
        <v>0.1</v>
      </c>
      <c r="CV17" s="200">
        <v>0.1</v>
      </c>
      <c r="CW17" s="200">
        <v>0.1</v>
      </c>
      <c r="CX17" s="200">
        <v>0.1</v>
      </c>
      <c r="CY17" s="200">
        <v>0.1</v>
      </c>
      <c r="CZ17" s="200">
        <v>0.1</v>
      </c>
      <c r="DA17" s="200">
        <v>0.1</v>
      </c>
      <c r="DB17" s="200">
        <v>0.1</v>
      </c>
      <c r="DE17" s="159"/>
    </row>
    <row r="18" spans="1:110" s="158" customFormat="1" x14ac:dyDescent="0.2">
      <c r="A18" s="155" t="s">
        <v>535</v>
      </c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85">
        <f t="shared" ref="S18:AE18" si="94">S9/R9-1</f>
        <v>-0.28943560057887108</v>
      </c>
      <c r="T18" s="185">
        <f t="shared" si="94"/>
        <v>0.92668024439918506</v>
      </c>
      <c r="U18" s="185">
        <f t="shared" si="94"/>
        <v>4.4577167019027479</v>
      </c>
      <c r="V18" s="185">
        <f t="shared" si="94"/>
        <v>-0.87023048615146226</v>
      </c>
      <c r="W18" s="185">
        <f t="shared" si="94"/>
        <v>-0.63731343283582098</v>
      </c>
      <c r="X18" s="185">
        <f t="shared" si="94"/>
        <v>-0.95061728395061729</v>
      </c>
      <c r="Y18" s="185">
        <f t="shared" si="94"/>
        <v>-1.7499999999999998</v>
      </c>
      <c r="Z18" s="185">
        <f t="shared" si="94"/>
        <v>-2.1111111111111112</v>
      </c>
      <c r="AA18" s="200">
        <f t="shared" si="94"/>
        <v>1.0000000000000009E-2</v>
      </c>
      <c r="AB18" s="200">
        <f t="shared" si="94"/>
        <v>2.0000000000000018E-2</v>
      </c>
      <c r="AC18" s="200">
        <f t="shared" si="94"/>
        <v>2.9999999999999805E-2</v>
      </c>
      <c r="AD18" s="200">
        <f t="shared" si="94"/>
        <v>3.0000000000000249E-2</v>
      </c>
      <c r="AE18" s="200">
        <f t="shared" si="94"/>
        <v>2.9999999999999805E-2</v>
      </c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85">
        <f t="shared" ref="BC18:BF18" si="95">BC9/AY9-1</f>
        <v>-0.38197424892703868</v>
      </c>
      <c r="BD18" s="185">
        <f t="shared" si="95"/>
        <v>-0.28342245989304804</v>
      </c>
      <c r="BE18" s="185">
        <f t="shared" si="95"/>
        <v>10.8</v>
      </c>
      <c r="BF18" s="185">
        <f t="shared" si="95"/>
        <v>-0.63601532567049812</v>
      </c>
      <c r="BG18" s="185">
        <f t="shared" si="83"/>
        <v>-0.15972222222222232</v>
      </c>
      <c r="BH18" s="185">
        <f t="shared" si="83"/>
        <v>0.10447761194029859</v>
      </c>
      <c r="BI18" s="185">
        <f t="shared" si="83"/>
        <v>0.11864406779661008</v>
      </c>
      <c r="BJ18" s="185">
        <f t="shared" si="83"/>
        <v>4.7368421052631575</v>
      </c>
      <c r="BK18" s="185">
        <f t="shared" si="83"/>
        <v>0.35537190082644621</v>
      </c>
      <c r="BL18" s="185">
        <f t="shared" si="83"/>
        <v>-7.4324324324324453E-2</v>
      </c>
      <c r="BM18" s="185">
        <f t="shared" si="83"/>
        <v>17.530303030303031</v>
      </c>
      <c r="BN18" s="185">
        <f t="shared" si="83"/>
        <v>3.4330275229357801</v>
      </c>
      <c r="BO18" s="185">
        <f t="shared" si="83"/>
        <v>-0.12804878048780477</v>
      </c>
      <c r="BP18" s="185">
        <f t="shared" si="83"/>
        <v>-0.71532846715328469</v>
      </c>
      <c r="BQ18" s="185">
        <f t="shared" si="83"/>
        <v>-0.8434178250204416</v>
      </c>
      <c r="BR18" s="185">
        <f t="shared" si="83"/>
        <v>-0.95653973509933776</v>
      </c>
      <c r="BS18" s="185">
        <f t="shared" ref="BS18:CK18" si="96">BS9/BO9-1</f>
        <v>-0.58041958041958042</v>
      </c>
      <c r="BT18" s="185">
        <f t="shared" si="96"/>
        <v>-0.23076923076923073</v>
      </c>
      <c r="BU18" s="185">
        <f t="shared" si="96"/>
        <v>-0.79895561357702349</v>
      </c>
      <c r="BV18" s="185">
        <f t="shared" si="96"/>
        <v>-0.27619047619047621</v>
      </c>
      <c r="BW18" s="185">
        <f t="shared" si="96"/>
        <v>-0.8666666666666667</v>
      </c>
      <c r="BX18" s="185">
        <f t="shared" si="96"/>
        <v>-0.8666666666666667</v>
      </c>
      <c r="BY18" s="185">
        <f t="shared" si="96"/>
        <v>-1.0389610389610389</v>
      </c>
      <c r="BZ18" s="185">
        <f t="shared" si="96"/>
        <v>-0.96052631578947367</v>
      </c>
      <c r="CA18" s="185">
        <f t="shared" si="96"/>
        <v>-0.75</v>
      </c>
      <c r="CB18" s="185">
        <f t="shared" si="96"/>
        <v>-1.75</v>
      </c>
      <c r="CC18" s="185">
        <f t="shared" si="96"/>
        <v>0.66666666666666674</v>
      </c>
      <c r="CD18" s="185">
        <f t="shared" si="96"/>
        <v>-2</v>
      </c>
      <c r="CE18" s="185">
        <f t="shared" si="96"/>
        <v>1</v>
      </c>
      <c r="CF18" s="185">
        <f t="shared" si="96"/>
        <v>0.33333333333333348</v>
      </c>
      <c r="CG18" s="185">
        <f t="shared" si="96"/>
        <v>-2</v>
      </c>
      <c r="CH18" s="185">
        <f t="shared" si="96"/>
        <v>-2.666666666666667</v>
      </c>
      <c r="CI18" s="185">
        <f t="shared" si="96"/>
        <v>-1.25</v>
      </c>
      <c r="CJ18" s="185">
        <f t="shared" si="96"/>
        <v>-0.75</v>
      </c>
      <c r="CK18" s="185">
        <f t="shared" si="96"/>
        <v>0.39999999999999991</v>
      </c>
      <c r="CL18" s="200">
        <v>0.02</v>
      </c>
      <c r="CM18" s="200">
        <v>0.02</v>
      </c>
      <c r="CN18" s="200">
        <v>0.02</v>
      </c>
      <c r="CO18" s="200">
        <v>0.02</v>
      </c>
      <c r="CP18" s="200">
        <v>0.02</v>
      </c>
      <c r="CQ18" s="200">
        <v>0.03</v>
      </c>
      <c r="CR18" s="200">
        <v>0.03</v>
      </c>
      <c r="CS18" s="200">
        <v>0.03</v>
      </c>
      <c r="CT18" s="200">
        <v>0.03</v>
      </c>
      <c r="CU18" s="200">
        <v>0.03</v>
      </c>
      <c r="CV18" s="200">
        <v>0.03</v>
      </c>
      <c r="CW18" s="200">
        <v>0.03</v>
      </c>
      <c r="CX18" s="200">
        <v>0.03</v>
      </c>
      <c r="CY18" s="200">
        <v>0.03</v>
      </c>
      <c r="CZ18" s="200">
        <v>0.03</v>
      </c>
      <c r="DA18" s="200">
        <v>0.03</v>
      </c>
      <c r="DB18" s="200">
        <v>0.03</v>
      </c>
      <c r="DE18" s="159"/>
    </row>
    <row r="19" spans="1:110" s="158" customFormat="1" x14ac:dyDescent="0.2">
      <c r="A19" s="191" t="s">
        <v>536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85">
        <f t="shared" ref="S19:AE19" si="97">S10/R10-1</f>
        <v>7.323318538750434E-2</v>
      </c>
      <c r="T19" s="185">
        <f t="shared" si="97"/>
        <v>0.22419277874980126</v>
      </c>
      <c r="U19" s="185">
        <f t="shared" si="97"/>
        <v>0.1529266549730397</v>
      </c>
      <c r="V19" s="185">
        <f t="shared" si="97"/>
        <v>0.1239646137375332</v>
      </c>
      <c r="W19" s="185">
        <f t="shared" si="97"/>
        <v>0.2153707324409686</v>
      </c>
      <c r="X19" s="185">
        <f t="shared" si="97"/>
        <v>0.299014148413975</v>
      </c>
      <c r="Y19" s="185">
        <f t="shared" si="97"/>
        <v>0.10634446843642831</v>
      </c>
      <c r="Z19" s="185">
        <f t="shared" si="97"/>
        <v>0.12453718320369678</v>
      </c>
      <c r="AA19" s="200">
        <f t="shared" si="97"/>
        <v>8.8889739663093215E-2</v>
      </c>
      <c r="AB19" s="200">
        <f t="shared" si="97"/>
        <v>0.10886073783422057</v>
      </c>
      <c r="AC19" s="200">
        <f t="shared" si="97"/>
        <v>9.7904623952742575E-2</v>
      </c>
      <c r="AD19" s="200">
        <f t="shared" si="97"/>
        <v>0.10386515646982919</v>
      </c>
      <c r="AE19" s="200">
        <f t="shared" si="97"/>
        <v>0.10399884125456649</v>
      </c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85">
        <f t="shared" ref="BC19:BF19" si="98">BC10/AY10-1</f>
        <v>-8.2444228903976957E-2</v>
      </c>
      <c r="BD19" s="185">
        <f t="shared" si="98"/>
        <v>0.17970330411328383</v>
      </c>
      <c r="BE19" s="185">
        <f t="shared" si="98"/>
        <v>0.17501927525057814</v>
      </c>
      <c r="BF19" s="185">
        <f t="shared" si="98"/>
        <v>4.1136141038197627E-2</v>
      </c>
      <c r="BG19" s="185">
        <f t="shared" si="83"/>
        <v>0.28964059196617375</v>
      </c>
      <c r="BH19" s="185">
        <f t="shared" si="83"/>
        <v>0.15547299228350964</v>
      </c>
      <c r="BI19" s="185">
        <f t="shared" si="83"/>
        <v>0.15518372703412053</v>
      </c>
      <c r="BJ19" s="185">
        <f t="shared" si="83"/>
        <v>0.30730636563185976</v>
      </c>
      <c r="BK19" s="185">
        <f t="shared" si="83"/>
        <v>0.21885245901639316</v>
      </c>
      <c r="BL19" s="185">
        <f t="shared" si="83"/>
        <v>0.12886470442740539</v>
      </c>
      <c r="BM19" s="185">
        <f t="shared" si="83"/>
        <v>0.21726782164157932</v>
      </c>
      <c r="BN19" s="185">
        <f t="shared" si="83"/>
        <v>6.4044135284240689E-2</v>
      </c>
      <c r="BO19" s="185">
        <f t="shared" si="83"/>
        <v>0.17081371889710817</v>
      </c>
      <c r="BP19" s="185">
        <f t="shared" si="83"/>
        <v>-2.8045574057844025E-2</v>
      </c>
      <c r="BQ19" s="185">
        <f t="shared" si="83"/>
        <v>0.16728884741017258</v>
      </c>
      <c r="BR19" s="185">
        <f t="shared" si="83"/>
        <v>0.19138863841298459</v>
      </c>
      <c r="BS19" s="185">
        <f t="shared" ref="BS19:CK19" si="99">BS10/BO10-1</f>
        <v>0.16025272831705917</v>
      </c>
      <c r="BT19" s="185">
        <f t="shared" si="99"/>
        <v>0.33678990081154203</v>
      </c>
      <c r="BU19" s="185">
        <f t="shared" si="99"/>
        <v>0.20067959224465337</v>
      </c>
      <c r="BV19" s="185">
        <f t="shared" si="99"/>
        <v>0.18183538315988645</v>
      </c>
      <c r="BW19" s="185">
        <f t="shared" si="99"/>
        <v>0.29504950495049487</v>
      </c>
      <c r="BX19" s="185">
        <f t="shared" si="99"/>
        <v>0.36492411467116348</v>
      </c>
      <c r="BY19" s="185">
        <f t="shared" si="99"/>
        <v>0.31962710171466613</v>
      </c>
      <c r="BZ19" s="185">
        <f t="shared" si="99"/>
        <v>0.22046109510086453</v>
      </c>
      <c r="CA19" s="185">
        <f t="shared" si="99"/>
        <v>0.14194699286442414</v>
      </c>
      <c r="CB19" s="185">
        <f t="shared" si="99"/>
        <v>8.932542624166051E-2</v>
      </c>
      <c r="CC19" s="185">
        <f t="shared" si="99"/>
        <v>6.5346284849249425E-2</v>
      </c>
      <c r="CD19" s="185">
        <f t="shared" si="99"/>
        <v>0.13039485766758507</v>
      </c>
      <c r="CE19" s="185">
        <f t="shared" si="99"/>
        <v>0.12073197946886838</v>
      </c>
      <c r="CF19" s="185">
        <f t="shared" si="99"/>
        <v>0.13485312464557109</v>
      </c>
      <c r="CG19" s="185">
        <f t="shared" si="99"/>
        <v>0.14091178211959732</v>
      </c>
      <c r="CH19" s="185">
        <f t="shared" si="99"/>
        <v>0.10189160960891264</v>
      </c>
      <c r="CI19" s="185">
        <f t="shared" si="99"/>
        <v>8.9107925129430665E-2</v>
      </c>
      <c r="CJ19" s="185">
        <f t="shared" si="99"/>
        <v>8.4249450329802134E-2</v>
      </c>
      <c r="CK19" s="185">
        <f t="shared" si="99"/>
        <v>0.10503373118837578</v>
      </c>
      <c r="CL19" s="200">
        <f t="shared" ref="CL19" si="100">CL10/CH10-1</f>
        <v>7.7166929963138564E-2</v>
      </c>
      <c r="CM19" s="200">
        <f t="shared" ref="CM19" si="101">CM10/CI10-1</f>
        <v>0.10801535789377437</v>
      </c>
      <c r="CN19" s="200">
        <f t="shared" ref="CN19" si="102">CN10/CJ10-1</f>
        <v>0.10930777030141048</v>
      </c>
      <c r="CO19" s="200">
        <f t="shared" ref="CO19" si="103">CO10/CK10-1</f>
        <v>0.10921761998685064</v>
      </c>
      <c r="CP19" s="200">
        <f t="shared" ref="CP19" si="104">CP10/CL10-1</f>
        <v>0.10891920959746559</v>
      </c>
      <c r="CQ19" s="200">
        <v>0.1</v>
      </c>
      <c r="CR19" s="200">
        <v>0.1</v>
      </c>
      <c r="CS19" s="200">
        <v>0.1</v>
      </c>
      <c r="CT19" s="200">
        <v>0.1</v>
      </c>
      <c r="CU19" s="200">
        <f t="shared" ref="CU19" si="105">CU10/CQ10-1</f>
        <v>0.10352598671302538</v>
      </c>
      <c r="CV19" s="200">
        <f t="shared" ref="CV19" si="106">CV10/CR10-1</f>
        <v>0.10403131047307168</v>
      </c>
      <c r="CW19" s="200">
        <f t="shared" ref="CW19" si="107">CW10/CS10-1</f>
        <v>0.10399255619295156</v>
      </c>
      <c r="CX19" s="200">
        <f t="shared" ref="CX19" si="108">CX10/CT10-1</f>
        <v>0.10391837263697123</v>
      </c>
      <c r="CY19" s="200">
        <f t="shared" ref="CY19" si="109">CY10/CU10-1</f>
        <v>0.10364926161581756</v>
      </c>
      <c r="CZ19" s="200">
        <f t="shared" ref="CZ19" si="110">CZ10/CV10-1</f>
        <v>0.10415943359296564</v>
      </c>
      <c r="DA19" s="200">
        <f t="shared" ref="DA19" si="111">DA10/CW10-1</f>
        <v>0.10412782275799093</v>
      </c>
      <c r="DB19" s="200">
        <f t="shared" ref="DB19" si="112">DB10/CX10-1</f>
        <v>0.10406726459565618</v>
      </c>
      <c r="DE19" s="159"/>
    </row>
    <row r="20" spans="1:110" s="158" customFormat="1" x14ac:dyDescent="0.2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85"/>
      <c r="Y20" s="185"/>
      <c r="Z20" s="185"/>
      <c r="AA20" s="157"/>
      <c r="AB20" s="157"/>
      <c r="AC20" s="157"/>
      <c r="AD20" s="157"/>
      <c r="AE20" s="157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/>
      <c r="BP20" s="156"/>
      <c r="BQ20" s="156"/>
      <c r="BR20" s="156"/>
      <c r="BS20" s="156"/>
      <c r="BT20" s="156"/>
      <c r="BU20" s="156"/>
      <c r="BV20" s="156"/>
      <c r="BW20" s="185"/>
      <c r="BX20" s="185"/>
      <c r="BY20" s="185"/>
      <c r="BZ20" s="185"/>
      <c r="CA20" s="185"/>
      <c r="CB20" s="185"/>
      <c r="CC20" s="185"/>
      <c r="CD20" s="185"/>
      <c r="CE20" s="185"/>
      <c r="CF20" s="185"/>
      <c r="CG20" s="185"/>
      <c r="CH20" s="185"/>
      <c r="CI20" s="185"/>
      <c r="CJ20" s="185"/>
      <c r="CK20" s="185"/>
      <c r="CL20" s="157"/>
      <c r="CM20" s="157"/>
      <c r="CN20" s="157"/>
      <c r="CO20" s="157"/>
      <c r="CP20" s="157"/>
      <c r="CQ20" s="157"/>
      <c r="CR20" s="157"/>
      <c r="CS20" s="157"/>
      <c r="CT20" s="157"/>
      <c r="CU20" s="157"/>
      <c r="CV20" s="157"/>
      <c r="CW20" s="157"/>
      <c r="CX20" s="157"/>
      <c r="CY20" s="157"/>
      <c r="CZ20" s="157"/>
      <c r="DA20" s="157"/>
      <c r="DB20" s="157"/>
      <c r="DE20" s="159"/>
    </row>
    <row r="21" spans="1:110" s="158" customFormat="1" x14ac:dyDescent="0.2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85"/>
      <c r="Y21" s="185"/>
      <c r="Z21" s="185"/>
      <c r="AA21" s="157"/>
      <c r="AB21" s="157"/>
      <c r="AC21" s="157"/>
      <c r="AD21" s="157"/>
      <c r="AE21" s="157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6"/>
      <c r="BS21" s="156"/>
      <c r="BT21" s="156"/>
      <c r="BU21" s="156"/>
      <c r="BV21" s="156"/>
      <c r="BW21" s="185"/>
      <c r="BX21" s="185"/>
      <c r="BY21" s="185"/>
      <c r="BZ21" s="185"/>
      <c r="CA21" s="185"/>
      <c r="CB21" s="185"/>
      <c r="CC21" s="185"/>
      <c r="CD21" s="185"/>
      <c r="CE21" s="185"/>
      <c r="CF21" s="185"/>
      <c r="CG21" s="185"/>
      <c r="CH21" s="185"/>
      <c r="CI21" s="185"/>
      <c r="CJ21" s="185"/>
      <c r="CK21" s="185"/>
      <c r="CL21" s="157"/>
      <c r="CM21" s="157"/>
      <c r="CN21" s="157"/>
      <c r="CO21" s="157"/>
      <c r="CP21" s="157"/>
      <c r="CQ21" s="157"/>
      <c r="CR21" s="157"/>
      <c r="CS21" s="157"/>
      <c r="CT21" s="157"/>
      <c r="CU21" s="157"/>
      <c r="CV21" s="157"/>
      <c r="CW21" s="157"/>
      <c r="CX21" s="157"/>
      <c r="CY21" s="157"/>
      <c r="CZ21" s="157"/>
      <c r="DA21" s="157"/>
      <c r="DB21" s="157"/>
      <c r="DE21" s="159"/>
    </row>
    <row r="22" spans="1:110" s="158" customFormat="1" x14ac:dyDescent="0.2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85"/>
      <c r="Y22" s="185"/>
      <c r="Z22" s="185"/>
      <c r="AA22" s="157"/>
      <c r="AB22" s="157"/>
      <c r="AC22" s="157"/>
      <c r="AD22" s="157"/>
      <c r="AE22" s="157"/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6"/>
      <c r="BS22" s="156"/>
      <c r="BT22" s="156"/>
      <c r="BU22" s="156"/>
      <c r="BV22" s="156"/>
      <c r="BW22" s="185"/>
      <c r="BX22" s="185"/>
      <c r="BY22" s="185"/>
      <c r="BZ22" s="185"/>
      <c r="CA22" s="185"/>
      <c r="CB22" s="185"/>
      <c r="CC22" s="185"/>
      <c r="CD22" s="185"/>
      <c r="CE22" s="185"/>
      <c r="CF22" s="185"/>
      <c r="CG22" s="185"/>
      <c r="CH22" s="185"/>
      <c r="CI22" s="185"/>
      <c r="CJ22" s="185"/>
      <c r="CK22" s="185"/>
      <c r="CL22" s="157"/>
      <c r="CM22" s="157"/>
      <c r="CN22" s="157"/>
      <c r="CO22" s="157"/>
      <c r="CP22" s="157"/>
      <c r="CQ22" s="157"/>
      <c r="CR22" s="157"/>
      <c r="CS22" s="157"/>
      <c r="CT22" s="157"/>
      <c r="CU22" s="157"/>
      <c r="CV22" s="157"/>
      <c r="CW22" s="157"/>
      <c r="CX22" s="157"/>
      <c r="CY22" s="157"/>
      <c r="CZ22" s="157"/>
      <c r="DA22" s="157"/>
      <c r="DB22" s="157"/>
      <c r="DE22" s="159"/>
    </row>
    <row r="23" spans="1:110" s="158" customFormat="1" x14ac:dyDescent="0.2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85"/>
      <c r="Y23" s="185"/>
      <c r="Z23" s="185"/>
      <c r="AA23" s="157"/>
      <c r="AB23" s="157"/>
      <c r="AC23" s="157"/>
      <c r="AD23" s="157"/>
      <c r="AE23" s="157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6"/>
      <c r="BL23" s="156"/>
      <c r="BM23" s="156"/>
      <c r="BN23" s="156"/>
      <c r="BO23" s="156"/>
      <c r="BP23" s="156"/>
      <c r="BQ23" s="156"/>
      <c r="BR23" s="156"/>
      <c r="BS23" s="156"/>
      <c r="BT23" s="156"/>
      <c r="BU23" s="156"/>
      <c r="BV23" s="156"/>
      <c r="BW23" s="185"/>
      <c r="BX23" s="185"/>
      <c r="BY23" s="185"/>
      <c r="BZ23" s="185"/>
      <c r="CA23" s="185"/>
      <c r="CB23" s="185"/>
      <c r="CC23" s="185"/>
      <c r="CD23" s="185"/>
      <c r="CE23" s="185"/>
      <c r="CF23" s="185"/>
      <c r="CG23" s="185"/>
      <c r="CH23" s="185"/>
      <c r="CI23" s="185"/>
      <c r="CJ23" s="185"/>
      <c r="CK23" s="185"/>
      <c r="CL23" s="157"/>
      <c r="CM23" s="157"/>
      <c r="CN23" s="157"/>
      <c r="CO23" s="157"/>
      <c r="CP23" s="157"/>
      <c r="CQ23" s="157"/>
      <c r="CR23" s="157"/>
      <c r="CS23" s="157"/>
      <c r="CT23" s="157"/>
      <c r="CU23" s="157"/>
      <c r="CV23" s="157"/>
      <c r="CW23" s="157"/>
      <c r="CX23" s="157"/>
      <c r="CY23" s="157"/>
      <c r="CZ23" s="157"/>
      <c r="DA23" s="157"/>
      <c r="DB23" s="157"/>
      <c r="DE23" s="159"/>
    </row>
    <row r="24" spans="1:110" s="158" customFormat="1" x14ac:dyDescent="0.2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85"/>
      <c r="Y24" s="185"/>
      <c r="Z24" s="185"/>
      <c r="AA24" s="157"/>
      <c r="AB24" s="157"/>
      <c r="AC24" s="157"/>
      <c r="AD24" s="157"/>
      <c r="AE24" s="157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  <c r="BI24" s="156"/>
      <c r="BJ24" s="156"/>
      <c r="BK24" s="156"/>
      <c r="BL24" s="156"/>
      <c r="BM24" s="156"/>
      <c r="BN24" s="156"/>
      <c r="BO24" s="156"/>
      <c r="BP24" s="156"/>
      <c r="BQ24" s="156"/>
      <c r="BR24" s="156"/>
      <c r="BS24" s="156"/>
      <c r="BT24" s="156"/>
      <c r="BU24" s="156"/>
      <c r="BV24" s="156"/>
      <c r="BW24" s="185"/>
      <c r="BX24" s="185"/>
      <c r="BY24" s="185"/>
      <c r="BZ24" s="185"/>
      <c r="CA24" s="185"/>
      <c r="CB24" s="185"/>
      <c r="CC24" s="185"/>
      <c r="CD24" s="185"/>
      <c r="CE24" s="185"/>
      <c r="CF24" s="185"/>
      <c r="CG24" s="185"/>
      <c r="CH24" s="185"/>
      <c r="CI24" s="185"/>
      <c r="CJ24" s="185"/>
      <c r="CK24" s="185"/>
      <c r="CL24" s="157"/>
      <c r="CM24" s="157"/>
      <c r="CN24" s="157"/>
      <c r="CO24" s="157"/>
      <c r="CP24" s="157"/>
      <c r="CQ24" s="157"/>
      <c r="CR24" s="157"/>
      <c r="CS24" s="157"/>
      <c r="CT24" s="157"/>
      <c r="CU24" s="157"/>
      <c r="CV24" s="157"/>
      <c r="CW24" s="157"/>
      <c r="CX24" s="157"/>
      <c r="CY24" s="157"/>
      <c r="CZ24" s="157"/>
      <c r="DA24" s="157"/>
      <c r="DB24" s="157"/>
      <c r="DE24" s="159"/>
    </row>
    <row r="25" spans="1:110" s="158" customFormat="1" x14ac:dyDescent="0.2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7"/>
      <c r="AB25" s="157"/>
      <c r="AC25" s="157"/>
      <c r="AD25" s="157"/>
      <c r="AE25" s="157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56"/>
      <c r="BI25" s="156"/>
      <c r="BJ25" s="156"/>
      <c r="BK25" s="156"/>
      <c r="BL25" s="156"/>
      <c r="BM25" s="156"/>
      <c r="BN25" s="156"/>
      <c r="BO25" s="156"/>
      <c r="BP25" s="156"/>
      <c r="BQ25" s="156"/>
      <c r="BR25" s="156"/>
      <c r="BS25" s="156"/>
      <c r="BT25" s="156"/>
      <c r="BU25" s="156"/>
      <c r="BV25" s="156"/>
      <c r="BW25" s="156"/>
      <c r="BX25" s="156"/>
      <c r="BY25" s="156"/>
      <c r="BZ25" s="156"/>
      <c r="CA25" s="156"/>
      <c r="CB25" s="156"/>
      <c r="CC25" s="156"/>
      <c r="CD25" s="156"/>
      <c r="CE25" s="156"/>
      <c r="CF25" s="156"/>
      <c r="CG25" s="156"/>
      <c r="CH25" s="156"/>
      <c r="CI25" s="156"/>
      <c r="CJ25" s="156"/>
      <c r="CK25" s="156"/>
      <c r="CL25" s="157"/>
      <c r="CM25" s="157"/>
      <c r="CN25" s="157"/>
      <c r="CO25" s="157"/>
      <c r="CP25" s="157"/>
      <c r="CQ25" s="157"/>
      <c r="CR25" s="157"/>
      <c r="CS25" s="157"/>
      <c r="CT25" s="157"/>
      <c r="CU25" s="157"/>
      <c r="CV25" s="157"/>
      <c r="CW25" s="157"/>
      <c r="CX25" s="157"/>
      <c r="CY25" s="157"/>
      <c r="CZ25" s="157"/>
      <c r="DA25" s="157"/>
      <c r="DB25" s="157"/>
      <c r="DE25" s="159"/>
    </row>
    <row r="26" spans="1:110" s="106" customFormat="1" x14ac:dyDescent="0.2">
      <c r="A26" s="151" t="s">
        <v>500</v>
      </c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5"/>
      <c r="AB26" s="105"/>
      <c r="AC26" s="105"/>
      <c r="AD26" s="105"/>
      <c r="AE26" s="105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4"/>
      <c r="BN26" s="104"/>
      <c r="BO26" s="104"/>
      <c r="BP26" s="104"/>
      <c r="BQ26" s="104"/>
      <c r="BR26" s="104"/>
      <c r="BS26" s="104"/>
      <c r="BT26" s="104"/>
      <c r="BU26" s="104"/>
      <c r="BV26" s="104"/>
      <c r="BW26" s="104"/>
      <c r="BX26" s="104"/>
      <c r="BY26" s="104"/>
      <c r="BZ26" s="104"/>
      <c r="CA26" s="104"/>
      <c r="CB26" s="104"/>
      <c r="CC26" s="104"/>
      <c r="CD26" s="104"/>
      <c r="CE26" s="104"/>
      <c r="CF26" s="104"/>
      <c r="CG26" s="104"/>
      <c r="CH26" s="104"/>
      <c r="CI26" s="104"/>
      <c r="CJ26" s="104"/>
      <c r="CK26" s="104"/>
      <c r="CL26" s="105"/>
      <c r="CM26" s="105"/>
      <c r="CN26" s="105"/>
      <c r="CO26" s="105"/>
      <c r="CP26" s="105"/>
      <c r="CQ26" s="105"/>
      <c r="CR26" s="105"/>
      <c r="CS26" s="105"/>
      <c r="CT26" s="105"/>
      <c r="CU26" s="105"/>
      <c r="CV26" s="105"/>
      <c r="CW26" s="105"/>
      <c r="CX26" s="105"/>
      <c r="CY26" s="105"/>
      <c r="CZ26" s="105"/>
      <c r="DA26" s="105"/>
      <c r="DB26" s="105"/>
      <c r="DE26" s="118"/>
    </row>
    <row r="27" spans="1:110" s="106" customFormat="1" x14ac:dyDescent="0.2">
      <c r="A27" s="151" t="s">
        <v>485</v>
      </c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05"/>
      <c r="AC27" s="105"/>
      <c r="AD27" s="105"/>
      <c r="AE27" s="105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  <c r="BJ27" s="118"/>
      <c r="BK27" s="118"/>
      <c r="BL27" s="118"/>
      <c r="BM27" s="118"/>
      <c r="BN27" s="118"/>
      <c r="BO27" s="118"/>
      <c r="BP27" s="118"/>
      <c r="BQ27" s="118"/>
      <c r="BR27" s="118"/>
      <c r="BS27" s="118"/>
      <c r="BT27" s="118"/>
      <c r="BU27" s="118"/>
      <c r="BV27" s="118"/>
      <c r="BW27" s="118"/>
      <c r="BX27" s="118"/>
      <c r="BY27" s="118"/>
      <c r="BZ27" s="118"/>
      <c r="CA27" s="118"/>
      <c r="CB27" s="118"/>
      <c r="CC27" s="118"/>
      <c r="CD27" s="118"/>
      <c r="CE27" s="118"/>
      <c r="CF27" s="118"/>
      <c r="CG27" s="118"/>
      <c r="CH27" s="118"/>
      <c r="CI27" s="118"/>
      <c r="CJ27" s="160"/>
      <c r="CK27" s="160"/>
      <c r="CL27" s="160"/>
      <c r="CM27" s="105"/>
      <c r="CN27" s="105"/>
      <c r="CO27" s="105"/>
      <c r="CP27" s="105"/>
      <c r="CQ27" s="105"/>
      <c r="CR27" s="105"/>
      <c r="CS27" s="105"/>
      <c r="CT27" s="105"/>
      <c r="CU27" s="105"/>
      <c r="CV27" s="105"/>
      <c r="CW27" s="105"/>
      <c r="CX27" s="105"/>
      <c r="CY27" s="105"/>
      <c r="CZ27" s="105"/>
      <c r="DA27" s="105"/>
      <c r="DB27" s="105"/>
      <c r="DE27" s="118"/>
    </row>
    <row r="28" spans="1:110" s="25" customFormat="1" outlineLevel="1" x14ac:dyDescent="0.2">
      <c r="A28" s="25" t="s">
        <v>430</v>
      </c>
      <c r="B28" s="25">
        <f>'Annual Raw'!C6</f>
        <v>237.53200000000001</v>
      </c>
      <c r="C28" s="25">
        <f>'Annual Raw'!D6</f>
        <v>276.04360000000003</v>
      </c>
      <c r="D28" s="25">
        <f>'Annual Raw'!E6</f>
        <v>292.798</v>
      </c>
      <c r="E28" s="25">
        <f>'Annual Raw'!F6</f>
        <v>319.1696</v>
      </c>
      <c r="F28" s="25">
        <f>'Annual Raw'!G6</f>
        <v>373.47359999999998</v>
      </c>
      <c r="G28" s="25">
        <f>'Annual Raw'!H6</f>
        <v>482.36720000000003</v>
      </c>
      <c r="H28" s="25">
        <f>'Annual Raw'!I6</f>
        <v>543.15260000000001</v>
      </c>
      <c r="I28" s="25">
        <f>'Annual Raw'!J6</f>
        <v>584.02570000000003</v>
      </c>
      <c r="J28" s="25">
        <f>'Annual Raw'!K6</f>
        <v>725.20579999999995</v>
      </c>
      <c r="K28" s="25">
        <f>'Annual Raw'!L6</f>
        <v>762.73180000000002</v>
      </c>
      <c r="L28" s="25">
        <f>'Annual Raw'!M6</f>
        <v>896.94899999999996</v>
      </c>
      <c r="M28" s="25">
        <f>'Annual Raw'!N6</f>
        <v>809.25340000000006</v>
      </c>
      <c r="N28" s="25">
        <f>'Annual Raw'!O6</f>
        <v>876.46770000000004</v>
      </c>
      <c r="O28" s="25">
        <f>'Annual Raw'!P6</f>
        <v>1034.3891000000001</v>
      </c>
      <c r="P28" s="25">
        <f>'Annual Raw'!Q6</f>
        <v>1158.7817</v>
      </c>
      <c r="Q28" s="25">
        <f>'Annual Raw'!R6</f>
        <v>1231.5831000000001</v>
      </c>
      <c r="R28" s="25">
        <f>'Annual Raw'!S6</f>
        <v>1368.317</v>
      </c>
      <c r="S28" s="25">
        <f>'Annual Raw'!T6</f>
        <v>1413.7678000000001</v>
      </c>
      <c r="T28" s="25">
        <f>'Annual Raw'!U6</f>
        <v>1643.2003999999999</v>
      </c>
      <c r="U28" s="25">
        <f>'Annual Raw'!V6</f>
        <v>1774.7291</v>
      </c>
      <c r="V28" s="25">
        <f>'Annual Raw'!W6</f>
        <v>2042.5215000000001</v>
      </c>
      <c r="W28" s="25">
        <f>'Annual Raw'!X6</f>
        <v>2488.1925999999999</v>
      </c>
      <c r="X28" s="25">
        <f>'Annual Raw'!Y6</f>
        <v>3269.4513999999999</v>
      </c>
      <c r="Y28" s="25">
        <f>'Annual Raw'!Z6</f>
        <v>3604.6023</v>
      </c>
      <c r="Z28" s="25">
        <f>'Annual Raw'!AA6</f>
        <v>3776.4245999999998</v>
      </c>
      <c r="AA28" s="25">
        <f>'Annual Raw'!AB6</f>
        <v>4006.2278000000001</v>
      </c>
      <c r="AB28" s="17">
        <f>+SUM(CM28:CP28)</f>
        <v>4730.6993000000002</v>
      </c>
      <c r="AC28" s="17">
        <f>+SUM(CQ28:CT28)</f>
        <v>5193.8566360000004</v>
      </c>
      <c r="AD28" s="17">
        <f>+SUM(CU28:CX28)</f>
        <v>5733.3173681800008</v>
      </c>
      <c r="AE28" s="17">
        <f>+SUM(CY28:DB28)</f>
        <v>6329.5757310154022</v>
      </c>
      <c r="AI28" s="25">
        <f>'QTR Raw'!C6+'QTR Raw'!C8</f>
        <v>189.745</v>
      </c>
      <c r="AJ28" s="25">
        <f>'QTR Raw'!D6+'QTR Raw'!D8</f>
        <v>217.24199999999999</v>
      </c>
      <c r="AK28" s="25">
        <f>'QTR Raw'!E6+'QTR Raw'!E8</f>
        <v>204.292</v>
      </c>
      <c r="AL28" s="25">
        <f>'QTR Raw'!F6+'QTR Raw'!F8</f>
        <v>205.14400000000001</v>
      </c>
      <c r="AM28" s="25">
        <f>'QTR Raw'!G6+'QTR Raw'!G8</f>
        <v>235.22800000000001</v>
      </c>
      <c r="AN28" s="25">
        <f>'QTR Raw'!H6+'QTR Raw'!H8</f>
        <v>253.18700000000001</v>
      </c>
      <c r="AO28" s="25">
        <f>'QTR Raw'!I6+'QTR Raw'!I8</f>
        <v>239.52199999999999</v>
      </c>
      <c r="AP28" s="25">
        <f>'QTR Raw'!J6+'QTR Raw'!J8</f>
        <v>228.59800000000001</v>
      </c>
      <c r="AQ28" s="25">
        <f>'QTR Raw'!K6+'QTR Raw'!K8</f>
        <v>262.60300000000001</v>
      </c>
      <c r="AR28" s="25">
        <f>'QTR Raw'!L6+'QTR Raw'!L8</f>
        <v>280.25799999999998</v>
      </c>
      <c r="AS28" s="25">
        <f>'QTR Raw'!M6+'QTR Raw'!M8</f>
        <v>263.46799999999996</v>
      </c>
      <c r="AT28" s="25">
        <f>'QTR Raw'!N6+'QTR Raw'!N8</f>
        <v>255.09200000000001</v>
      </c>
      <c r="AU28" s="25">
        <f>'QTR Raw'!O6+'QTR Raw'!O8</f>
        <v>284.20800000000003</v>
      </c>
      <c r="AV28" s="25">
        <f>'QTR Raw'!P6+'QTR Raw'!P8</f>
        <v>291.01500000000004</v>
      </c>
      <c r="AW28" s="25">
        <f>'QTR Raw'!Q6+'QTR Raw'!Q8</f>
        <v>282.38299999999998</v>
      </c>
      <c r="AX28" s="25">
        <f>'QTR Raw'!R6+'QTR Raw'!R8</f>
        <v>302.75900000000001</v>
      </c>
      <c r="AY28" s="25">
        <f>'QTR Raw'!S6+'QTR Raw'!S8</f>
        <v>314.28800000000001</v>
      </c>
      <c r="AZ28" s="25">
        <f>'QTR Raw'!T6+'QTR Raw'!T8</f>
        <v>301.488</v>
      </c>
      <c r="BA28" s="25">
        <f>'QTR Raw'!U6+'QTR Raw'!U8</f>
        <v>276.48200000000003</v>
      </c>
      <c r="BB28" s="25">
        <f>'QTR Raw'!V6+'QTR Raw'!V8</f>
        <v>306.262</v>
      </c>
      <c r="BC28" s="25">
        <f>'QTR Raw'!W6+'QTR Raw'!W8</f>
        <v>283.83800000000002</v>
      </c>
      <c r="BD28" s="25">
        <f>'QTR Raw'!X6+'QTR Raw'!X8</f>
        <v>347.31900000000002</v>
      </c>
      <c r="BE28" s="25">
        <f>'QTR Raw'!Y6+'QTR Raw'!Y8</f>
        <v>304.74200000000002</v>
      </c>
      <c r="BF28" s="25">
        <f>'QTR Raw'!Z6+'QTR Raw'!Z8</f>
        <v>318.47399999999999</v>
      </c>
      <c r="BG28" s="25">
        <f>'QTR Raw'!AA6+'QTR Raw'!AA8</f>
        <v>406.916</v>
      </c>
      <c r="BH28" s="25">
        <f>'QTR Raw'!AB6+'QTR Raw'!AB8</f>
        <v>435.34300000000002</v>
      </c>
      <c r="BI28" s="25">
        <f>'QTR Raw'!AC6+'QTR Raw'!AC8</f>
        <v>382.02600000000001</v>
      </c>
      <c r="BJ28" s="25">
        <f>'QTR Raw'!AD6+'QTR Raw'!AD8</f>
        <v>418.91500000000002</v>
      </c>
      <c r="BK28" s="25">
        <f>'QTR Raw'!AE6+'QTR Raw'!AE8</f>
        <v>446.11</v>
      </c>
      <c r="BL28" s="25">
        <f>'QTR Raw'!AF6+'QTR Raw'!AF8</f>
        <v>456.41699999999997</v>
      </c>
      <c r="BM28" s="25">
        <f>'QTR Raw'!AG6+'QTR Raw'!AG8</f>
        <v>428.63200000000001</v>
      </c>
      <c r="BN28" s="25">
        <f>'QTR Raw'!AH6+'QTR Raw'!AH8</f>
        <v>443.56900000000002</v>
      </c>
      <c r="BO28" s="25">
        <f>'QTR Raw'!AI6+'QTR Raw'!AI8</f>
        <v>522.28499999999997</v>
      </c>
      <c r="BP28" s="25">
        <f>'QTR Raw'!AJ6+'QTR Raw'!AJ8</f>
        <v>443.56400000000002</v>
      </c>
      <c r="BQ28" s="25">
        <f>'QTR Raw'!AK6+'QTR Raw'!AK8</f>
        <v>548.21699999999998</v>
      </c>
      <c r="BR28" s="25">
        <f>'QTR Raw'!AL6+'QTR Raw'!AL8</f>
        <v>528.45500000000004</v>
      </c>
      <c r="BS28" s="25">
        <f>'QTR Raw'!AM6+'QTR Raw'!AM8</f>
        <v>605.99</v>
      </c>
      <c r="BT28" s="25">
        <f>'QTR Raw'!AN6+'QTR Raw'!AN8</f>
        <v>593.01</v>
      </c>
      <c r="BU28" s="25">
        <f>'QTR Raw'!AO6+'QTR Raw'!AO8</f>
        <v>600.65</v>
      </c>
      <c r="BV28" s="25">
        <f>'QTR Raw'!AP6+'QTR Raw'!AP8</f>
        <v>624.59</v>
      </c>
      <c r="BW28" s="25">
        <f>'QTR Raw'!AQ6+'QTR Raw'!AQ8</f>
        <v>784.81</v>
      </c>
      <c r="BX28" s="25">
        <f>'QTR Raw'!AR6+'QTR Raw'!AR8</f>
        <v>809.44</v>
      </c>
      <c r="BY28" s="25">
        <f>'QTR Raw'!AS6+'QTR Raw'!AS8</f>
        <v>792.71</v>
      </c>
      <c r="BZ28" s="25">
        <f>'QTR Raw'!AT6+'QTR Raw'!AT8</f>
        <v>762.32</v>
      </c>
      <c r="CA28" s="25">
        <f>'QTR Raw'!AU6+'QTR Raw'!AU8</f>
        <v>896.2</v>
      </c>
      <c r="CB28" s="25">
        <f>'QTR Raw'!AV6+'QTR Raw'!AV8</f>
        <v>881.74</v>
      </c>
      <c r="CC28" s="25">
        <f>'QTR Raw'!AW6+'QTR Raw'!AW8</f>
        <v>844.51</v>
      </c>
      <c r="CD28" s="25">
        <f>'QTR Raw'!AX6+'QTR Raw'!AX8</f>
        <v>861.73</v>
      </c>
      <c r="CE28" s="25">
        <f>'QTR Raw'!AY6+'QTR Raw'!AY8</f>
        <v>1004.4</v>
      </c>
      <c r="CF28" s="25">
        <f>'QTR Raw'!AZ6+'QTR Raw'!AZ8</f>
        <v>1000.62</v>
      </c>
      <c r="CG28" s="25">
        <f>'QTR Raw'!BA6+'QTR Raw'!BA8</f>
        <v>963.49</v>
      </c>
      <c r="CH28" s="25">
        <f>'QTR Raw'!BB6+'QTR Raw'!BB8</f>
        <v>949.48</v>
      </c>
      <c r="CI28" s="25">
        <f>'QTR Raw'!BC6+'QTR Raw'!BC8</f>
        <v>1093.94</v>
      </c>
      <c r="CJ28" s="25">
        <f>'QTR Raw'!BD6+'QTR Raw'!BD8</f>
        <v>1084.9000000000001</v>
      </c>
      <c r="CK28" s="25">
        <f>'QTR Raw'!BE6+'QTR Raw'!BE8</f>
        <v>1064.72</v>
      </c>
      <c r="CL28" s="25">
        <f>'QTR Raw'!BF6+'QTR Raw'!BF8</f>
        <v>904.23</v>
      </c>
      <c r="CM28" s="17">
        <f t="shared" ref="CM28:DB28" si="113">CM10</f>
        <v>1212.058</v>
      </c>
      <c r="CN28" s="17">
        <f t="shared" si="113"/>
        <v>1203.4880000000003</v>
      </c>
      <c r="CO28" s="17">
        <f t="shared" si="113"/>
        <v>1180.9839999999999</v>
      </c>
      <c r="CP28" s="17">
        <f t="shared" si="113"/>
        <v>1134.1693</v>
      </c>
      <c r="CQ28" s="17">
        <f t="shared" si="113"/>
        <v>1329.9069400000001</v>
      </c>
      <c r="CR28" s="17">
        <f t="shared" si="113"/>
        <v>1321.4249400000001</v>
      </c>
      <c r="CS28" s="17">
        <f t="shared" si="113"/>
        <v>1296.7934200000002</v>
      </c>
      <c r="CT28" s="17">
        <f t="shared" si="113"/>
        <v>1245.7313360000003</v>
      </c>
      <c r="CU28" s="17">
        <f t="shared" si="113"/>
        <v>1467.5868682000003</v>
      </c>
      <c r="CV28" s="17">
        <f t="shared" si="113"/>
        <v>1458.8945082000002</v>
      </c>
      <c r="CW28" s="17">
        <f t="shared" si="113"/>
        <v>1431.6502826000001</v>
      </c>
      <c r="CX28" s="17">
        <f t="shared" si="113"/>
        <v>1375.1857091800002</v>
      </c>
      <c r="CY28" s="17">
        <f t="shared" si="113"/>
        <v>1619.7011634460005</v>
      </c>
      <c r="CZ28" s="17">
        <f t="shared" si="113"/>
        <v>1610.8521338460005</v>
      </c>
      <c r="DA28" s="17">
        <f t="shared" si="113"/>
        <v>1580.7249094780007</v>
      </c>
      <c r="DB28" s="17">
        <f t="shared" si="113"/>
        <v>1518.2975242454004</v>
      </c>
      <c r="DE28" s="119"/>
      <c r="DF28" s="25">
        <v>4006.2278000000001</v>
      </c>
    </row>
    <row r="29" spans="1:110" s="92" customFormat="1" outlineLevel="1" x14ac:dyDescent="0.2">
      <c r="A29" s="92" t="s">
        <v>109</v>
      </c>
      <c r="B29" s="92">
        <f>'Annual Raw'!C7+'Annual Raw'!C8+'Annual Raw'!C9</f>
        <v>12.8672</v>
      </c>
      <c r="C29" s="92">
        <f>'Annual Raw'!D7+'Annual Raw'!D8+'Annual Raw'!D9</f>
        <v>15.5306</v>
      </c>
      <c r="D29" s="92">
        <f>'Annual Raw'!E7+'Annual Raw'!E8+'Annual Raw'!E9</f>
        <v>18.021799999999999</v>
      </c>
      <c r="E29" s="92">
        <f>'Annual Raw'!F7+'Annual Raw'!F8+'Annual Raw'!F9</f>
        <v>16.310199999999998</v>
      </c>
      <c r="F29" s="92">
        <f>'Annual Raw'!G7+'Annual Raw'!G8+'Annual Raw'!G9</f>
        <v>17.9162</v>
      </c>
      <c r="G29" s="92">
        <f>'Annual Raw'!H7+'Annual Raw'!H8+'Annual Raw'!H9</f>
        <v>20.9556</v>
      </c>
      <c r="H29" s="92">
        <f>'Annual Raw'!I7+'Annual Raw'!I8+'Annual Raw'!I9</f>
        <v>25.175000000000001</v>
      </c>
      <c r="I29" s="92">
        <f>'Annual Raw'!J7+'Annual Raw'!J8+'Annual Raw'!J9</f>
        <v>19.371400000000001</v>
      </c>
      <c r="J29" s="92">
        <f>'Annual Raw'!K7+'Annual Raw'!K8+'Annual Raw'!K9</f>
        <v>8.1146999999999991</v>
      </c>
      <c r="K29" s="92">
        <f>'Annual Raw'!L7+'Annual Raw'!L8+'Annual Raw'!L9</f>
        <v>5.8479000000000001</v>
      </c>
      <c r="L29" s="92">
        <f>'Annual Raw'!M7+'Annual Raw'!M8+'Annual Raw'!M9</f>
        <v>6.1585000000000001</v>
      </c>
      <c r="M29" s="92">
        <f>'Annual Raw'!N7+'Annual Raw'!N8+'Annual Raw'!N9</f>
        <v>7.3849999999999998</v>
      </c>
      <c r="N29" s="92">
        <f>'Annual Raw'!O7+'Annual Raw'!O8+'Annual Raw'!O9</f>
        <v>10.3421</v>
      </c>
      <c r="O29" s="92">
        <f>'Annual Raw'!P7+'Annual Raw'!P8+'Annual Raw'!P9</f>
        <v>12.5244</v>
      </c>
      <c r="P29" s="92">
        <f>'Annual Raw'!Q7+'Annual Raw'!Q8+'Annual Raw'!Q9</f>
        <v>14.5669</v>
      </c>
      <c r="Q29" s="92">
        <f>'Annual Raw'!R7+'Annual Raw'!R8+'Annual Raw'!R9</f>
        <v>0</v>
      </c>
      <c r="R29" s="92">
        <f>'Annual Raw'!S7+'Annual Raw'!S8+'Annual Raw'!S9</f>
        <v>0</v>
      </c>
      <c r="S29" s="92">
        <f>'Annual Raw'!T7+'Annual Raw'!T8+'Annual Raw'!T9</f>
        <v>0</v>
      </c>
      <c r="T29" s="92">
        <f>'Annual Raw'!U7+'Annual Raw'!U8+'Annual Raw'!U9</f>
        <v>0</v>
      </c>
      <c r="U29" s="92">
        <f>'Annual Raw'!V7+'Annual Raw'!V8+'Annual Raw'!V9</f>
        <v>0</v>
      </c>
      <c r="V29" s="92">
        <f>'Annual Raw'!W7+'Annual Raw'!W8+'Annual Raw'!W9</f>
        <v>0</v>
      </c>
      <c r="W29" s="92">
        <f>'Annual Raw'!X7+'Annual Raw'!X8+'Annual Raw'!X9</f>
        <v>63.948799999999999</v>
      </c>
      <c r="X29" s="92">
        <f>'Annual Raw'!Y7+'Annual Raw'!Y8+'Annual Raw'!Y9</f>
        <v>120.1686</v>
      </c>
      <c r="Y29" s="92">
        <f>'Annual Raw'!Z7+'Annual Raw'!Z8+'Annual Raw'!Z9</f>
        <v>120.41849999999999</v>
      </c>
      <c r="Z29" s="92">
        <f>'Annual Raw'!AA7+'Annual Raw'!AA8+'Annual Raw'!AA9</f>
        <v>-141.56399999999999</v>
      </c>
      <c r="AA29" s="92">
        <f>'Annual Raw'!AB7+'Annual Raw'!AB8+'Annual Raw'!AB9</f>
        <v>-141.5641</v>
      </c>
      <c r="AB29" s="76">
        <f>+SUM(CM29:CP29)</f>
        <v>0</v>
      </c>
      <c r="AC29" s="76">
        <f>+SUM(CQ29:CT29)</f>
        <v>0</v>
      </c>
      <c r="AD29" s="76">
        <f>+SUM(CU29:CX29)</f>
        <v>0</v>
      </c>
      <c r="AE29" s="76">
        <f>+SUM(CY29:DB29)</f>
        <v>0</v>
      </c>
      <c r="AI29" s="92">
        <f>+'QTR Raw'!C20+'QTR Raw'!C19+'QTR Raw'!C13+'QTR Raw'!C7</f>
        <v>8.9589999999999996</v>
      </c>
      <c r="AJ29" s="92">
        <f>+'QTR Raw'!D20+'QTR Raw'!D19+'QTR Raw'!D13+'QTR Raw'!D7</f>
        <v>1.3660000000000001</v>
      </c>
      <c r="AK29" s="92">
        <f>+'QTR Raw'!E20+'QTR Raw'!E19+'QTR Raw'!E13+'QTR Raw'!E7</f>
        <v>6.3890000000000002</v>
      </c>
      <c r="AL29" s="92">
        <f>+'QTR Raw'!F20+'QTR Raw'!F19+'QTR Raw'!F13+'QTR Raw'!F7</f>
        <v>0</v>
      </c>
      <c r="AM29" s="92">
        <f>+'QTR Raw'!G20+'QTR Raw'!G19+'QTR Raw'!G13+'QTR Raw'!G7</f>
        <v>3.5999999999999997E-2</v>
      </c>
      <c r="AN29" s="92">
        <f>+'QTR Raw'!H20+'QTR Raw'!H19+'QTR Raw'!H13+'QTR Raw'!H7</f>
        <v>1.3160000000000001</v>
      </c>
      <c r="AO29" s="92">
        <f>+'QTR Raw'!I20+'QTR Raw'!I19+'QTR Raw'!I13+'QTR Raw'!I7</f>
        <v>3.4420000000000002</v>
      </c>
      <c r="AP29" s="92">
        <f>+'QTR Raw'!J20+'QTR Raw'!J19+'QTR Raw'!J13+'QTR Raw'!J7</f>
        <v>0</v>
      </c>
      <c r="AQ29" s="92">
        <f>+'QTR Raw'!K20+'QTR Raw'!K19+'QTR Raw'!K13+'QTR Raw'!K7</f>
        <v>0</v>
      </c>
      <c r="AR29" s="92">
        <f>+'QTR Raw'!L20+'QTR Raw'!L19+'QTR Raw'!L13+'QTR Raw'!L7</f>
        <v>0.26</v>
      </c>
      <c r="AS29" s="92">
        <f>+'QTR Raw'!M20+'QTR Raw'!M19+'QTR Raw'!M13+'QTR Raw'!M7</f>
        <v>2.83</v>
      </c>
      <c r="AT29" s="92">
        <f>+'QTR Raw'!N20+'QTR Raw'!N19+'QTR Raw'!N13+'QTR Raw'!N7</f>
        <v>0.39900000000000002</v>
      </c>
      <c r="AU29" s="92">
        <f>+'QTR Raw'!O20+'QTR Raw'!O19+'QTR Raw'!O13+'QTR Raw'!O7</f>
        <v>1.1870000000000001</v>
      </c>
      <c r="AV29" s="92">
        <f>+'QTR Raw'!P20+'QTR Raw'!P19+'QTR Raw'!P13+'QTR Raw'!P7</f>
        <v>9.027000000000001</v>
      </c>
      <c r="AW29" s="92">
        <f>+'QTR Raw'!Q20+'QTR Raw'!Q19+'QTR Raw'!Q13+'QTR Raw'!Q7</f>
        <v>4.0279999999999996</v>
      </c>
      <c r="AX29" s="92">
        <f>+'QTR Raw'!R20+'QTR Raw'!R19+'QTR Raw'!R13+'QTR Raw'!R7</f>
        <v>0</v>
      </c>
      <c r="AY29" s="92">
        <f>+'QTR Raw'!S20+'QTR Raw'!S19+'QTR Raw'!S13+'QTR Raw'!S7</f>
        <v>0</v>
      </c>
      <c r="AZ29" s="92">
        <f>+'QTR Raw'!T20+'QTR Raw'!T19+'QTR Raw'!T13+'QTR Raw'!T7</f>
        <v>0</v>
      </c>
      <c r="BA29" s="92">
        <f>+'QTR Raw'!U20+'QTR Raw'!U19+'QTR Raw'!U13+'QTR Raw'!U7</f>
        <v>0</v>
      </c>
      <c r="BB29" s="92">
        <f>+'QTR Raw'!V20+'QTR Raw'!V19+'QTR Raw'!V13+'QTR Raw'!V7</f>
        <v>0</v>
      </c>
      <c r="BC29" s="92">
        <f>+'QTR Raw'!W20+'QTR Raw'!W19+'QTR Raw'!W13+'QTR Raw'!W7</f>
        <v>0</v>
      </c>
      <c r="BD29" s="92">
        <f>+'QTR Raw'!X20+'QTR Raw'!X19+'QTR Raw'!X13+'QTR Raw'!X7</f>
        <v>0</v>
      </c>
      <c r="BE29" s="92">
        <f>+'QTR Raw'!Y20+'QTR Raw'!Y19+'QTR Raw'!Y13+'QTR Raw'!Y7</f>
        <v>0</v>
      </c>
      <c r="BF29" s="92">
        <f>+'QTR Raw'!Z20+'QTR Raw'!Z19+'QTR Raw'!Z13+'QTR Raw'!Z7</f>
        <v>0</v>
      </c>
      <c r="BG29" s="92">
        <f>+'QTR Raw'!AA20+'QTR Raw'!AA19+'QTR Raw'!AA13+'QTR Raw'!AA7</f>
        <v>0</v>
      </c>
      <c r="BH29" s="92">
        <f>+'QTR Raw'!AB20+'QTR Raw'!AB19+'QTR Raw'!AB13+'QTR Raw'!AB7</f>
        <v>0</v>
      </c>
      <c r="BI29" s="92">
        <f>+'QTR Raw'!AC20+'QTR Raw'!AC19+'QTR Raw'!AC13+'QTR Raw'!AC7</f>
        <v>0</v>
      </c>
      <c r="BJ29" s="92">
        <f>+'QTR Raw'!AD20+'QTR Raw'!AD19+'QTR Raw'!AD13+'QTR Raw'!AD7</f>
        <v>0</v>
      </c>
      <c r="BK29" s="92">
        <f>+'QTR Raw'!AE20+'QTR Raw'!AE19+'QTR Raw'!AE13+'QTR Raw'!AE7</f>
        <v>0</v>
      </c>
      <c r="BL29" s="92">
        <f>+'QTR Raw'!AF20+'QTR Raw'!AF19+'QTR Raw'!AF13+'QTR Raw'!AF7</f>
        <v>0</v>
      </c>
      <c r="BM29" s="92">
        <f>+'QTR Raw'!AG20+'QTR Raw'!AG19+'QTR Raw'!AG13+'QTR Raw'!AG7</f>
        <v>0</v>
      </c>
      <c r="BN29" s="92">
        <f>+'QTR Raw'!AH20+'QTR Raw'!AH19+'QTR Raw'!AH13+'QTR Raw'!AH7</f>
        <v>0</v>
      </c>
      <c r="BO29" s="92">
        <f>+'QTR Raw'!AI20+'QTR Raw'!AI19+'QTR Raw'!AI13+'QTR Raw'!AI7</f>
        <v>0</v>
      </c>
      <c r="BP29" s="92">
        <f>+'QTR Raw'!AJ20+'QTR Raw'!AJ19+'QTR Raw'!AJ13+'QTR Raw'!AJ7</f>
        <v>0</v>
      </c>
      <c r="BQ29" s="92">
        <f>+'QTR Raw'!AK20+'QTR Raw'!AK19+'QTR Raw'!AK13+'QTR Raw'!AK7</f>
        <v>0</v>
      </c>
      <c r="BR29" s="92">
        <f>+'QTR Raw'!AL20+'QTR Raw'!AL19+'QTR Raw'!AL13+'QTR Raw'!AL7</f>
        <v>0</v>
      </c>
      <c r="BS29" s="92">
        <f>+'QTR Raw'!AM20+'QTR Raw'!AM19+'QTR Raw'!AM13+'QTR Raw'!AM7</f>
        <v>0</v>
      </c>
      <c r="BT29" s="92">
        <f>+'QTR Raw'!AN20+'QTR Raw'!AN19+'QTR Raw'!AN13+'QTR Raw'!AN7</f>
        <v>0</v>
      </c>
      <c r="BU29" s="92">
        <f>+'QTR Raw'!AO20+'QTR Raw'!AO19+'QTR Raw'!AO13+'QTR Raw'!AO7</f>
        <v>0</v>
      </c>
      <c r="BV29" s="92">
        <f>+'QTR Raw'!AP20+'QTR Raw'!AP19+'QTR Raw'!AP13+'QTR Raw'!AP7</f>
        <v>0</v>
      </c>
      <c r="BW29" s="92">
        <f>+'QTR Raw'!AQ20+'QTR Raw'!AQ19+'QTR Raw'!AQ13+'QTR Raw'!AQ7</f>
        <v>0</v>
      </c>
      <c r="BX29" s="92">
        <f>+'QTR Raw'!AR20+'QTR Raw'!AR19+'QTR Raw'!AR13+'QTR Raw'!AR7</f>
        <v>0</v>
      </c>
      <c r="BY29" s="92">
        <f>+'QTR Raw'!AS20+'QTR Raw'!AS19+'QTR Raw'!AS13+'QTR Raw'!AS7</f>
        <v>0</v>
      </c>
      <c r="BZ29" s="92">
        <f>+'QTR Raw'!AT20+'QTR Raw'!AT19+'QTR Raw'!AT13+'QTR Raw'!AT7</f>
        <v>0</v>
      </c>
      <c r="CA29" s="92">
        <f>+'QTR Raw'!AU20+'QTR Raw'!AU19+'QTR Raw'!AU13+'QTR Raw'!AU7</f>
        <v>0</v>
      </c>
      <c r="CB29" s="92">
        <f>+'QTR Raw'!AV20+'QTR Raw'!AV19+'QTR Raw'!AV13+'QTR Raw'!AV7</f>
        <v>0</v>
      </c>
      <c r="CC29" s="92">
        <f>+'QTR Raw'!AW20+'QTR Raw'!AW19+'QTR Raw'!AW13+'QTR Raw'!AW7</f>
        <v>0</v>
      </c>
      <c r="CD29" s="92">
        <f>+'QTR Raw'!AX20+'QTR Raw'!AX19+'QTR Raw'!AX13+'QTR Raw'!AX7</f>
        <v>0</v>
      </c>
      <c r="CE29" s="92">
        <f>+'QTR Raw'!AY20+'QTR Raw'!AY19+'QTR Raw'!AY13+'QTR Raw'!AY7</f>
        <v>0</v>
      </c>
      <c r="CF29" s="92">
        <f>+'QTR Raw'!AZ20+'QTR Raw'!AZ19+'QTR Raw'!AZ13+'QTR Raw'!AZ7</f>
        <v>0</v>
      </c>
      <c r="CG29" s="92">
        <f>+'QTR Raw'!BA20+'QTR Raw'!BA19+'QTR Raw'!BA13+'QTR Raw'!BA7</f>
        <v>0</v>
      </c>
      <c r="CH29" s="92">
        <f>+'QTR Raw'!BB20+'QTR Raw'!BB19+'QTR Raw'!BB13+'QTR Raw'!BB7</f>
        <v>0</v>
      </c>
      <c r="CI29" s="92">
        <f>+'QTR Raw'!BC20+'QTR Raw'!BC19+'QTR Raw'!BC13+'QTR Raw'!BC7</f>
        <v>0</v>
      </c>
      <c r="CJ29" s="92">
        <f>+'QTR Raw'!BD20+'QTR Raw'!BD19+'QTR Raw'!BD13+'QTR Raw'!BD7</f>
        <v>0</v>
      </c>
      <c r="CK29" s="92">
        <f>+'QTR Raw'!BE20+'QTR Raw'!BE19+'QTR Raw'!BE13+'QTR Raw'!BE7</f>
        <v>0</v>
      </c>
      <c r="CL29" s="92">
        <f>+'QTR Raw'!BF20+'QTR Raw'!BF19+'QTR Raw'!BF13+'QTR Raw'!BF7</f>
        <v>0</v>
      </c>
      <c r="CM29" s="74"/>
      <c r="CN29" s="74"/>
      <c r="CO29" s="74"/>
      <c r="CP29" s="74"/>
      <c r="CQ29" s="74"/>
      <c r="CR29" s="74"/>
      <c r="CS29" s="74"/>
      <c r="CT29" s="74"/>
      <c r="CU29" s="74"/>
      <c r="CV29" s="74"/>
      <c r="CW29" s="74"/>
      <c r="CX29" s="74"/>
      <c r="CY29" s="74"/>
      <c r="CZ29" s="74"/>
      <c r="DA29" s="74"/>
      <c r="DB29" s="74"/>
      <c r="DE29" s="120"/>
      <c r="DF29" s="92">
        <v>-141.5641</v>
      </c>
    </row>
    <row r="30" spans="1:110" s="26" customFormat="1" x14ac:dyDescent="0.2">
      <c r="A30" s="26" t="s">
        <v>431</v>
      </c>
      <c r="B30" s="26">
        <f>+B28-B29</f>
        <v>224.66480000000001</v>
      </c>
      <c r="C30" s="26">
        <f>+C28-C29</f>
        <v>260.51300000000003</v>
      </c>
      <c r="D30" s="26">
        <f t="shared" ref="D30:U30" si="114">+D28-D29</f>
        <v>274.77620000000002</v>
      </c>
      <c r="E30" s="26">
        <f t="shared" si="114"/>
        <v>302.85939999999999</v>
      </c>
      <c r="F30" s="26">
        <f t="shared" si="114"/>
        <v>355.55739999999997</v>
      </c>
      <c r="G30" s="26">
        <f t="shared" si="114"/>
        <v>461.41160000000002</v>
      </c>
      <c r="H30" s="26">
        <f t="shared" si="114"/>
        <v>517.97760000000005</v>
      </c>
      <c r="I30" s="26">
        <f t="shared" si="114"/>
        <v>564.65430000000003</v>
      </c>
      <c r="J30" s="26">
        <f t="shared" si="114"/>
        <v>717.09109999999998</v>
      </c>
      <c r="K30" s="26">
        <f t="shared" si="114"/>
        <v>756.88390000000004</v>
      </c>
      <c r="L30" s="26">
        <f t="shared" si="114"/>
        <v>890.79049999999995</v>
      </c>
      <c r="M30" s="26">
        <f t="shared" si="114"/>
        <v>801.86840000000007</v>
      </c>
      <c r="N30" s="26">
        <f t="shared" si="114"/>
        <v>866.12560000000008</v>
      </c>
      <c r="O30" s="26">
        <f t="shared" si="114"/>
        <v>1021.8647000000001</v>
      </c>
      <c r="P30" s="26">
        <f t="shared" si="114"/>
        <v>1144.2148</v>
      </c>
      <c r="Q30" s="26">
        <f t="shared" si="114"/>
        <v>1231.5831000000001</v>
      </c>
      <c r="R30" s="26">
        <f t="shared" si="114"/>
        <v>1368.317</v>
      </c>
      <c r="S30" s="26">
        <f t="shared" si="114"/>
        <v>1413.7678000000001</v>
      </c>
      <c r="T30" s="26">
        <f t="shared" si="114"/>
        <v>1643.2003999999999</v>
      </c>
      <c r="U30" s="26">
        <f t="shared" si="114"/>
        <v>1774.7291</v>
      </c>
      <c r="V30" s="26">
        <f t="shared" ref="V30:AA30" si="115">+V28-V29</f>
        <v>2042.5215000000001</v>
      </c>
      <c r="W30" s="26">
        <f t="shared" si="115"/>
        <v>2424.2437999999997</v>
      </c>
      <c r="X30" s="26">
        <f t="shared" si="115"/>
        <v>3149.2828</v>
      </c>
      <c r="Y30" s="26">
        <f t="shared" si="115"/>
        <v>3484.1837999999998</v>
      </c>
      <c r="Z30" s="26">
        <f t="shared" si="115"/>
        <v>3917.9885999999997</v>
      </c>
      <c r="AA30" s="26">
        <f t="shared" ref="AA30" si="116">+AA28-AA29</f>
        <v>4147.7919000000002</v>
      </c>
      <c r="AB30" s="27">
        <f t="shared" ref="AB30:AD30" si="117">+AB28-AB29</f>
        <v>4730.6993000000002</v>
      </c>
      <c r="AC30" s="27">
        <f t="shared" si="117"/>
        <v>5193.8566360000004</v>
      </c>
      <c r="AD30" s="27">
        <f t="shared" si="117"/>
        <v>5733.3173681800008</v>
      </c>
      <c r="AE30" s="27">
        <f t="shared" ref="AE30" si="118">+AE28-AE29</f>
        <v>6329.5757310154022</v>
      </c>
      <c r="AI30" s="26">
        <f t="shared" ref="AI30" si="119">+AI28-AI29</f>
        <v>180.786</v>
      </c>
      <c r="AJ30" s="26">
        <f t="shared" ref="AJ30" si="120">+AJ28-AJ29</f>
        <v>215.87599999999998</v>
      </c>
      <c r="AK30" s="26">
        <f t="shared" ref="AK30:AM30" si="121">+AK28-AK29</f>
        <v>197.90299999999999</v>
      </c>
      <c r="AL30" s="26">
        <f t="shared" si="121"/>
        <v>205.14400000000001</v>
      </c>
      <c r="AM30" s="26">
        <f t="shared" si="121"/>
        <v>235.19200000000001</v>
      </c>
      <c r="AN30" s="26">
        <f t="shared" ref="AN30:AO30" si="122">+AN28-AN29</f>
        <v>251.87100000000001</v>
      </c>
      <c r="AO30" s="26">
        <f t="shared" si="122"/>
        <v>236.07999999999998</v>
      </c>
      <c r="AP30" s="26">
        <f t="shared" ref="AP30:AW30" si="123">+AP28-AP29</f>
        <v>228.59800000000001</v>
      </c>
      <c r="AQ30" s="26">
        <f t="shared" si="123"/>
        <v>262.60300000000001</v>
      </c>
      <c r="AR30" s="26">
        <f t="shared" si="123"/>
        <v>279.99799999999999</v>
      </c>
      <c r="AS30" s="26">
        <f t="shared" si="123"/>
        <v>260.63799999999998</v>
      </c>
      <c r="AT30" s="26">
        <f t="shared" si="123"/>
        <v>254.69300000000001</v>
      </c>
      <c r="AU30" s="26">
        <f t="shared" si="123"/>
        <v>283.02100000000002</v>
      </c>
      <c r="AV30" s="26">
        <f t="shared" si="123"/>
        <v>281.98800000000006</v>
      </c>
      <c r="AW30" s="26">
        <f t="shared" si="123"/>
        <v>278.35499999999996</v>
      </c>
      <c r="AX30" s="26">
        <f t="shared" ref="AX30:CF30" si="124">+AX28-AX29</f>
        <v>302.75900000000001</v>
      </c>
      <c r="AY30" s="26">
        <f t="shared" si="124"/>
        <v>314.28800000000001</v>
      </c>
      <c r="AZ30" s="26">
        <f t="shared" si="124"/>
        <v>301.488</v>
      </c>
      <c r="BA30" s="26">
        <f t="shared" si="124"/>
        <v>276.48200000000003</v>
      </c>
      <c r="BB30" s="26">
        <f t="shared" si="124"/>
        <v>306.262</v>
      </c>
      <c r="BC30" s="26">
        <f t="shared" si="124"/>
        <v>283.83800000000002</v>
      </c>
      <c r="BD30" s="26">
        <f t="shared" si="124"/>
        <v>347.31900000000002</v>
      </c>
      <c r="BE30" s="26">
        <f t="shared" si="124"/>
        <v>304.74200000000002</v>
      </c>
      <c r="BF30" s="26">
        <f t="shared" si="124"/>
        <v>318.47399999999999</v>
      </c>
      <c r="BG30" s="26">
        <f t="shared" si="124"/>
        <v>406.916</v>
      </c>
      <c r="BH30" s="26">
        <f t="shared" si="124"/>
        <v>435.34300000000002</v>
      </c>
      <c r="BI30" s="26">
        <f t="shared" si="124"/>
        <v>382.02600000000001</v>
      </c>
      <c r="BJ30" s="26">
        <f t="shared" si="124"/>
        <v>418.91500000000002</v>
      </c>
      <c r="BK30" s="26">
        <f t="shared" si="124"/>
        <v>446.11</v>
      </c>
      <c r="BL30" s="26">
        <f t="shared" si="124"/>
        <v>456.41699999999997</v>
      </c>
      <c r="BM30" s="26">
        <f t="shared" si="124"/>
        <v>428.63200000000001</v>
      </c>
      <c r="BN30" s="26">
        <f t="shared" si="124"/>
        <v>443.56900000000002</v>
      </c>
      <c r="BO30" s="26">
        <f t="shared" si="124"/>
        <v>522.28499999999997</v>
      </c>
      <c r="BP30" s="26">
        <f t="shared" si="124"/>
        <v>443.56400000000002</v>
      </c>
      <c r="BQ30" s="26">
        <f t="shared" si="124"/>
        <v>548.21699999999998</v>
      </c>
      <c r="BR30" s="26">
        <f t="shared" si="124"/>
        <v>528.45500000000004</v>
      </c>
      <c r="BS30" s="26">
        <f t="shared" si="124"/>
        <v>605.99</v>
      </c>
      <c r="BT30" s="26">
        <f t="shared" si="124"/>
        <v>593.01</v>
      </c>
      <c r="BU30" s="26">
        <f t="shared" si="124"/>
        <v>600.65</v>
      </c>
      <c r="BV30" s="26">
        <f t="shared" si="124"/>
        <v>624.59</v>
      </c>
      <c r="BW30" s="26">
        <f t="shared" si="124"/>
        <v>784.81</v>
      </c>
      <c r="BX30" s="26">
        <f t="shared" si="124"/>
        <v>809.44</v>
      </c>
      <c r="BY30" s="26">
        <f t="shared" si="124"/>
        <v>792.71</v>
      </c>
      <c r="BZ30" s="26">
        <f t="shared" si="124"/>
        <v>762.32</v>
      </c>
      <c r="CA30" s="26">
        <f t="shared" si="124"/>
        <v>896.2</v>
      </c>
      <c r="CB30" s="26">
        <f t="shared" si="124"/>
        <v>881.74</v>
      </c>
      <c r="CC30" s="26">
        <f t="shared" si="124"/>
        <v>844.51</v>
      </c>
      <c r="CD30" s="26">
        <f t="shared" si="124"/>
        <v>861.73</v>
      </c>
      <c r="CE30" s="26">
        <f t="shared" si="124"/>
        <v>1004.4</v>
      </c>
      <c r="CF30" s="26">
        <f t="shared" si="124"/>
        <v>1000.62</v>
      </c>
      <c r="CG30" s="26">
        <f t="shared" ref="CG30:CH30" si="125">+CG28-CG29</f>
        <v>963.49</v>
      </c>
      <c r="CH30" s="26">
        <f t="shared" si="125"/>
        <v>949.48</v>
      </c>
      <c r="CI30" s="26">
        <f t="shared" ref="CI30:CJ30" si="126">+CI28-CI29</f>
        <v>1093.94</v>
      </c>
      <c r="CJ30" s="26">
        <f t="shared" si="126"/>
        <v>1084.9000000000001</v>
      </c>
      <c r="CK30" s="26">
        <f t="shared" ref="CK30:CL30" si="127">+CK28-CK29</f>
        <v>1064.72</v>
      </c>
      <c r="CL30" s="26">
        <f t="shared" si="127"/>
        <v>904.23</v>
      </c>
      <c r="CM30" s="27">
        <f t="shared" ref="CM30:DB30" si="128">+CM28-CM29</f>
        <v>1212.058</v>
      </c>
      <c r="CN30" s="27">
        <f t="shared" si="128"/>
        <v>1203.4880000000003</v>
      </c>
      <c r="CO30" s="27">
        <f t="shared" si="128"/>
        <v>1180.9839999999999</v>
      </c>
      <c r="CP30" s="27">
        <f t="shared" si="128"/>
        <v>1134.1693</v>
      </c>
      <c r="CQ30" s="27">
        <f t="shared" si="128"/>
        <v>1329.9069400000001</v>
      </c>
      <c r="CR30" s="27">
        <f t="shared" si="128"/>
        <v>1321.4249400000001</v>
      </c>
      <c r="CS30" s="27">
        <f t="shared" si="128"/>
        <v>1296.7934200000002</v>
      </c>
      <c r="CT30" s="27">
        <f t="shared" si="128"/>
        <v>1245.7313360000003</v>
      </c>
      <c r="CU30" s="27">
        <f t="shared" si="128"/>
        <v>1467.5868682000003</v>
      </c>
      <c r="CV30" s="27">
        <f t="shared" si="128"/>
        <v>1458.8945082000002</v>
      </c>
      <c r="CW30" s="27">
        <f t="shared" si="128"/>
        <v>1431.6502826000001</v>
      </c>
      <c r="CX30" s="27">
        <f t="shared" si="128"/>
        <v>1375.1857091800002</v>
      </c>
      <c r="CY30" s="27">
        <f t="shared" si="128"/>
        <v>1619.7011634460005</v>
      </c>
      <c r="CZ30" s="27">
        <f t="shared" si="128"/>
        <v>1610.8521338460005</v>
      </c>
      <c r="DA30" s="27">
        <f t="shared" si="128"/>
        <v>1580.7249094780007</v>
      </c>
      <c r="DB30" s="27">
        <f t="shared" si="128"/>
        <v>1518.2975242454004</v>
      </c>
      <c r="DE30" s="121"/>
      <c r="DF30" s="26">
        <v>4147.7919000000002</v>
      </c>
    </row>
    <row r="31" spans="1:110" s="39" customFormat="1" x14ac:dyDescent="0.2">
      <c r="A31" s="39" t="s">
        <v>484</v>
      </c>
      <c r="C31" s="39">
        <f t="shared" ref="C31" si="129">C30/B30-1</f>
        <v>0.15956304681463229</v>
      </c>
      <c r="D31" s="39">
        <f t="shared" ref="D31" si="130">D30/C30-1</f>
        <v>5.4750434719188501E-2</v>
      </c>
      <c r="E31" s="39">
        <f t="shared" ref="E31" si="131">E30/D30-1</f>
        <v>0.10220390266697033</v>
      </c>
      <c r="F31" s="39">
        <f t="shared" ref="F31:R31" si="132">F30/E30-1</f>
        <v>0.1740015333847984</v>
      </c>
      <c r="G31" s="39">
        <f t="shared" si="132"/>
        <v>0.29771339311177347</v>
      </c>
      <c r="H31" s="39">
        <f t="shared" si="132"/>
        <v>0.12259336349584626</v>
      </c>
      <c r="I31" s="39">
        <f t="shared" si="132"/>
        <v>9.0113356253243238E-2</v>
      </c>
      <c r="J31" s="39">
        <f t="shared" si="132"/>
        <v>0.26996482626626572</v>
      </c>
      <c r="K31" s="39">
        <f>K30/J30-1</f>
        <v>5.5491973056143173E-2</v>
      </c>
      <c r="L31" s="39">
        <f t="shared" si="132"/>
        <v>0.17691828297576406</v>
      </c>
      <c r="M31" s="39">
        <f t="shared" si="132"/>
        <v>-9.9823808179364204E-2</v>
      </c>
      <c r="N31" s="39">
        <f t="shared" si="132"/>
        <v>8.0134346234369547E-2</v>
      </c>
      <c r="O31" s="39">
        <f t="shared" si="132"/>
        <v>0.17981121906568753</v>
      </c>
      <c r="P31" s="39">
        <f t="shared" si="132"/>
        <v>0.11973219155138626</v>
      </c>
      <c r="Q31" s="39">
        <f t="shared" si="132"/>
        <v>7.6356554730807602E-2</v>
      </c>
      <c r="R31" s="39">
        <f t="shared" si="132"/>
        <v>0.11102287779038211</v>
      </c>
      <c r="S31" s="39">
        <f t="shared" ref="S31:AA31" si="133">S30/R30-1</f>
        <v>3.321657189087035E-2</v>
      </c>
      <c r="T31" s="39">
        <f t="shared" si="133"/>
        <v>0.16228449961867852</v>
      </c>
      <c r="U31" s="39">
        <f t="shared" si="133"/>
        <v>8.0044223455641772E-2</v>
      </c>
      <c r="V31" s="39">
        <f t="shared" si="133"/>
        <v>0.15089198683900551</v>
      </c>
      <c r="W31" s="39">
        <f t="shared" si="133"/>
        <v>0.18688777572231174</v>
      </c>
      <c r="X31" s="39">
        <f t="shared" si="133"/>
        <v>0.29907841777299793</v>
      </c>
      <c r="Y31" s="39">
        <f t="shared" si="133"/>
        <v>0.10634198999213407</v>
      </c>
      <c r="Z31" s="39">
        <f t="shared" si="133"/>
        <v>0.12450686441972425</v>
      </c>
      <c r="AA31" s="39">
        <f t="shared" si="133"/>
        <v>5.8653386587189216E-2</v>
      </c>
      <c r="AB31" s="40">
        <f t="shared" ref="AB31" si="134">AB30/AA30-1</f>
        <v>0.14053438891184489</v>
      </c>
      <c r="AC31" s="40">
        <f t="shared" ref="AC31" si="135">AC30/AB30-1</f>
        <v>9.7904623952742131E-2</v>
      </c>
      <c r="AD31" s="40">
        <f t="shared" ref="AD31" si="136">AD30/AC30-1</f>
        <v>0.10386515646982919</v>
      </c>
      <c r="AE31" s="40">
        <f t="shared" ref="AE31" si="137">AE30/AD30-1</f>
        <v>0.10399884125456649</v>
      </c>
      <c r="AM31" s="39">
        <f t="shared" ref="AM31:CI31" si="138">+IF(AI30&lt;0,1-AM30/AI30,AM30/AI30-1)</f>
        <v>0.30094144458088579</v>
      </c>
      <c r="AN31" s="39">
        <f t="shared" si="138"/>
        <v>0.16673923919287015</v>
      </c>
      <c r="AO31" s="39">
        <f t="shared" si="138"/>
        <v>0.19290763656943044</v>
      </c>
      <c r="AP31" s="39">
        <f t="shared" si="138"/>
        <v>0.11432944663260924</v>
      </c>
      <c r="AQ31" s="39">
        <f t="shared" si="138"/>
        <v>0.11654733154188923</v>
      </c>
      <c r="AR31" s="39">
        <f t="shared" si="138"/>
        <v>0.11167224491902594</v>
      </c>
      <c r="AS31" s="39">
        <f t="shared" si="138"/>
        <v>0.10402405964079975</v>
      </c>
      <c r="AT31" s="39">
        <f t="shared" si="138"/>
        <v>0.11415235478875574</v>
      </c>
      <c r="AU31" s="39">
        <f t="shared" si="138"/>
        <v>7.7752348602262655E-2</v>
      </c>
      <c r="AV31" s="39">
        <f t="shared" si="138"/>
        <v>7.1071936228117583E-3</v>
      </c>
      <c r="AW31" s="39">
        <f t="shared" si="138"/>
        <v>6.7975506257721419E-2</v>
      </c>
      <c r="AX31" s="39">
        <f t="shared" si="138"/>
        <v>0.18872132331866198</v>
      </c>
      <c r="AY31" s="39">
        <f t="shared" si="138"/>
        <v>0.11047590108154526</v>
      </c>
      <c r="AZ31" s="39">
        <f t="shared" si="138"/>
        <v>6.9151878803353162E-2</v>
      </c>
      <c r="BA31" s="39">
        <f t="shared" si="138"/>
        <v>-6.7288175171990039E-3</v>
      </c>
      <c r="BB31" s="39">
        <f t="shared" si="138"/>
        <v>1.157025885275087E-2</v>
      </c>
      <c r="BC31" s="39">
        <f t="shared" si="138"/>
        <v>-9.6885659013388969E-2</v>
      </c>
      <c r="BD31" s="39">
        <f t="shared" si="138"/>
        <v>0.1520160006368414</v>
      </c>
      <c r="BE31" s="39">
        <f t="shared" si="138"/>
        <v>0.10221280228007612</v>
      </c>
      <c r="BF31" s="39">
        <f t="shared" si="138"/>
        <v>3.987435594360389E-2</v>
      </c>
      <c r="BG31" s="39">
        <f t="shared" si="138"/>
        <v>0.43362058639082846</v>
      </c>
      <c r="BH31" s="39">
        <f t="shared" si="138"/>
        <v>0.25343848162640104</v>
      </c>
      <c r="BI31" s="39">
        <f t="shared" si="138"/>
        <v>0.25360468855622131</v>
      </c>
      <c r="BJ31" s="39">
        <f t="shared" si="138"/>
        <v>0.31538210340561568</v>
      </c>
      <c r="BK31" s="39">
        <f t="shared" si="138"/>
        <v>9.6319633536159799E-2</v>
      </c>
      <c r="BL31" s="39">
        <f t="shared" si="138"/>
        <v>4.8407807177329065E-2</v>
      </c>
      <c r="BM31" s="39">
        <f t="shared" si="138"/>
        <v>0.12199693214597951</v>
      </c>
      <c r="BN31" s="39">
        <f t="shared" si="138"/>
        <v>5.8852034422257393E-2</v>
      </c>
      <c r="BO31" s="39">
        <f t="shared" si="138"/>
        <v>0.17075384994732223</v>
      </c>
      <c r="BP31" s="39">
        <f t="shared" si="138"/>
        <v>-2.8160651334196429E-2</v>
      </c>
      <c r="BQ31" s="39">
        <f t="shared" si="138"/>
        <v>0.278992235764012</v>
      </c>
      <c r="BR31" s="39">
        <f t="shared" si="138"/>
        <v>0.19137045194772417</v>
      </c>
      <c r="BS31" s="39">
        <f t="shared" si="138"/>
        <v>0.16026690408493449</v>
      </c>
      <c r="BT31" s="39">
        <f t="shared" si="138"/>
        <v>0.33692094038289833</v>
      </c>
      <c r="BU31" s="39">
        <f t="shared" si="138"/>
        <v>9.5642783788171482E-2</v>
      </c>
      <c r="BV31" s="39">
        <f t="shared" si="138"/>
        <v>0.18191709795536037</v>
      </c>
      <c r="BW31" s="39">
        <f t="shared" si="138"/>
        <v>0.29508737767949955</v>
      </c>
      <c r="BX31" s="39">
        <f t="shared" si="138"/>
        <v>0.3649685502773985</v>
      </c>
      <c r="BY31" s="39">
        <f t="shared" si="138"/>
        <v>0.31975360026637811</v>
      </c>
      <c r="BZ31" s="39">
        <f t="shared" si="138"/>
        <v>0.22051265630253458</v>
      </c>
      <c r="CA31" s="39">
        <f t="shared" si="138"/>
        <v>0.14193244224716817</v>
      </c>
      <c r="CB31" s="39">
        <f t="shared" si="138"/>
        <v>8.9321012057718807E-2</v>
      </c>
      <c r="CC31" s="39">
        <f t="shared" si="138"/>
        <v>6.5345460508887232E-2</v>
      </c>
      <c r="CD31" s="39">
        <f t="shared" si="138"/>
        <v>0.13040455451778765</v>
      </c>
      <c r="CE31" s="39">
        <f t="shared" si="138"/>
        <v>0.12073197946886838</v>
      </c>
      <c r="CF31" s="39">
        <f t="shared" si="138"/>
        <v>0.13482432463084359</v>
      </c>
      <c r="CG31" s="39">
        <f t="shared" si="138"/>
        <v>0.14088643118494759</v>
      </c>
      <c r="CH31" s="39">
        <f t="shared" si="138"/>
        <v>0.10183003957155945</v>
      </c>
      <c r="CI31" s="39">
        <f t="shared" si="138"/>
        <v>8.9147749900438056E-2</v>
      </c>
      <c r="CJ31" s="39">
        <f>+IF(CF30&lt;0,1-CJ30/CF30,CJ30/CF30-1)</f>
        <v>8.4227778777158147E-2</v>
      </c>
      <c r="CK31" s="39">
        <f>+IF(CG30&lt;0,1-CK30/CG30,CK30/CG30-1)</f>
        <v>0.10506595813137665</v>
      </c>
      <c r="CL31" s="39">
        <f>+IF(CH30&lt;0,1-CL30/CH30,CL30/CH30-1)</f>
        <v>-4.765766524834647E-2</v>
      </c>
      <c r="CM31" s="40">
        <f t="shared" ref="CM31:DB31" si="139">+IF(CI30&lt;0,1-CM30/CI30,CM30/CI30-1)</f>
        <v>0.10797484322723361</v>
      </c>
      <c r="CN31" s="40">
        <f t="shared" si="139"/>
        <v>0.10930777030141048</v>
      </c>
      <c r="CO31" s="40">
        <f t="shared" si="139"/>
        <v>0.10919678413103906</v>
      </c>
      <c r="CP31" s="40">
        <f t="shared" si="139"/>
        <v>0.25429293431980793</v>
      </c>
      <c r="CQ31" s="40">
        <f t="shared" si="139"/>
        <v>9.7230446067762433E-2</v>
      </c>
      <c r="CR31" s="40">
        <f t="shared" si="139"/>
        <v>9.7995941795846475E-2</v>
      </c>
      <c r="CS31" s="40">
        <f t="shared" si="139"/>
        <v>9.8061802700121437E-2</v>
      </c>
      <c r="CT31" s="40">
        <f t="shared" si="139"/>
        <v>9.8364535171248546E-2</v>
      </c>
      <c r="CU31" s="40">
        <f t="shared" si="139"/>
        <v>0.10352598671302538</v>
      </c>
      <c r="CV31" s="40">
        <f t="shared" si="139"/>
        <v>0.10403131047307168</v>
      </c>
      <c r="CW31" s="40">
        <f t="shared" si="139"/>
        <v>0.10399255619295156</v>
      </c>
      <c r="CX31" s="40">
        <f t="shared" si="139"/>
        <v>0.10391837263697123</v>
      </c>
      <c r="CY31" s="40">
        <f t="shared" si="139"/>
        <v>0.10364926161581756</v>
      </c>
      <c r="CZ31" s="40">
        <f t="shared" si="139"/>
        <v>0.10415943359296564</v>
      </c>
      <c r="DA31" s="40">
        <f t="shared" si="139"/>
        <v>0.10412782275799093</v>
      </c>
      <c r="DB31" s="40">
        <f t="shared" si="139"/>
        <v>0.10406726459565618</v>
      </c>
      <c r="DE31" s="122"/>
      <c r="DF31" s="39">
        <v>5.8653386587189216E-2</v>
      </c>
    </row>
    <row r="32" spans="1:110" s="39" customFormat="1" x14ac:dyDescent="0.2">
      <c r="A32" s="39" t="s">
        <v>446</v>
      </c>
      <c r="AB32" s="40"/>
      <c r="AC32" s="40"/>
      <c r="AD32" s="40"/>
      <c r="AE32" s="40"/>
      <c r="AJ32" s="39">
        <f t="shared" ref="AJ32:AL32" si="140">+IF(AI30&lt;0,1-AJ30/AI30,AJ30/AI30-1)</f>
        <v>0.19409688803336533</v>
      </c>
      <c r="AK32" s="39">
        <f t="shared" si="140"/>
        <v>-8.3256128518223393E-2</v>
      </c>
      <c r="AL32" s="39">
        <f t="shared" si="140"/>
        <v>3.6588631804469918E-2</v>
      </c>
      <c r="AM32" s="39">
        <f t="shared" ref="AM32:CI32" si="141">+IF(AL30&lt;0,1-AM30/AL30,AM30/AL30-1)</f>
        <v>0.14647272160043667</v>
      </c>
      <c r="AN32" s="39">
        <f t="shared" si="141"/>
        <v>7.0916527773053462E-2</v>
      </c>
      <c r="AO32" s="39">
        <f t="shared" si="141"/>
        <v>-6.269479217535967E-2</v>
      </c>
      <c r="AP32" s="39">
        <f t="shared" si="141"/>
        <v>-3.1692646560487869E-2</v>
      </c>
      <c r="AQ32" s="39">
        <f t="shared" si="141"/>
        <v>0.14875458227980998</v>
      </c>
      <c r="AR32" s="39">
        <f t="shared" si="141"/>
        <v>6.624067508748932E-2</v>
      </c>
      <c r="AS32" s="39">
        <f t="shared" si="141"/>
        <v>-6.9143351023935984E-2</v>
      </c>
      <c r="AT32" s="39">
        <f t="shared" si="141"/>
        <v>-2.2809413823003388E-2</v>
      </c>
      <c r="AU32" s="39">
        <f t="shared" si="141"/>
        <v>0.11122410117278458</v>
      </c>
      <c r="AV32" s="39">
        <f t="shared" si="141"/>
        <v>-3.6499058373758997E-3</v>
      </c>
      <c r="AW32" s="39">
        <f t="shared" si="141"/>
        <v>-1.2883526958594294E-2</v>
      </c>
      <c r="AX32" s="39">
        <f t="shared" si="141"/>
        <v>8.7672217132798158E-2</v>
      </c>
      <c r="AY32" s="39">
        <f t="shared" si="141"/>
        <v>3.8079792838528359E-2</v>
      </c>
      <c r="AZ32" s="39">
        <f t="shared" si="141"/>
        <v>-4.0726976531079817E-2</v>
      </c>
      <c r="BA32" s="39">
        <f t="shared" si="141"/>
        <v>-8.2941941304463085E-2</v>
      </c>
      <c r="BB32" s="39">
        <f t="shared" si="141"/>
        <v>0.10771044769641414</v>
      </c>
      <c r="BC32" s="39">
        <f t="shared" si="141"/>
        <v>-7.3218355525660916E-2</v>
      </c>
      <c r="BD32" s="39">
        <f t="shared" si="141"/>
        <v>0.22365222415603259</v>
      </c>
      <c r="BE32" s="39">
        <f t="shared" si="141"/>
        <v>-0.12258759238625005</v>
      </c>
      <c r="BF32" s="39">
        <f t="shared" si="141"/>
        <v>4.5061068051007069E-2</v>
      </c>
      <c r="BG32" s="39">
        <f t="shared" si="141"/>
        <v>0.27770555838153199</v>
      </c>
      <c r="BH32" s="39">
        <f t="shared" si="141"/>
        <v>6.9859627048334261E-2</v>
      </c>
      <c r="BI32" s="39">
        <f t="shared" si="141"/>
        <v>-0.12247124680998667</v>
      </c>
      <c r="BJ32" s="39">
        <f t="shared" si="141"/>
        <v>9.656149057917518E-2</v>
      </c>
      <c r="BK32" s="39">
        <f t="shared" si="141"/>
        <v>6.4917704068844451E-2</v>
      </c>
      <c r="BL32" s="39">
        <f t="shared" si="141"/>
        <v>2.3104167133666476E-2</v>
      </c>
      <c r="BM32" s="39">
        <f t="shared" si="141"/>
        <v>-6.087634772587347E-2</v>
      </c>
      <c r="BN32" s="39">
        <f t="shared" si="141"/>
        <v>3.484807480542762E-2</v>
      </c>
      <c r="BO32" s="39">
        <f t="shared" si="141"/>
        <v>0.17746055292412222</v>
      </c>
      <c r="BP32" s="39">
        <f t="shared" si="141"/>
        <v>-0.15072422144997455</v>
      </c>
      <c r="BQ32" s="39">
        <f t="shared" si="141"/>
        <v>0.23593664048480023</v>
      </c>
      <c r="BR32" s="39">
        <f t="shared" si="141"/>
        <v>-3.604776940518073E-2</v>
      </c>
      <c r="BS32" s="39">
        <f t="shared" si="141"/>
        <v>0.14672015592623766</v>
      </c>
      <c r="BT32" s="39">
        <f t="shared" si="141"/>
        <v>-2.1419495371210795E-2</v>
      </c>
      <c r="BU32" s="39">
        <f t="shared" si="141"/>
        <v>1.2883425237348423E-2</v>
      </c>
      <c r="BV32" s="39">
        <f t="shared" si="141"/>
        <v>3.9856821776409035E-2</v>
      </c>
      <c r="BW32" s="39">
        <f t="shared" si="141"/>
        <v>0.25652027730190996</v>
      </c>
      <c r="BX32" s="39">
        <f t="shared" si="141"/>
        <v>3.1383392158611745E-2</v>
      </c>
      <c r="BY32" s="39">
        <f t="shared" si="141"/>
        <v>-2.0668610397311715E-2</v>
      </c>
      <c r="BZ32" s="39">
        <f t="shared" si="141"/>
        <v>-3.8336844495464928E-2</v>
      </c>
      <c r="CA32" s="39">
        <f t="shared" si="141"/>
        <v>0.17562178612656099</v>
      </c>
      <c r="CB32" s="39">
        <f t="shared" si="141"/>
        <v>-1.6134791341218535E-2</v>
      </c>
      <c r="CC32" s="39">
        <f t="shared" si="141"/>
        <v>-4.2223331140699094E-2</v>
      </c>
      <c r="CD32" s="39">
        <f t="shared" si="141"/>
        <v>2.0390522314715165E-2</v>
      </c>
      <c r="CE32" s="39">
        <f t="shared" si="141"/>
        <v>0.16556229909600439</v>
      </c>
      <c r="CF32" s="39">
        <f t="shared" si="141"/>
        <v>-3.7634408602150726E-3</v>
      </c>
      <c r="CG32" s="39">
        <f t="shared" si="141"/>
        <v>-3.7106993663928334E-2</v>
      </c>
      <c r="CH32" s="39">
        <f t="shared" si="141"/>
        <v>-1.4540887814092462E-2</v>
      </c>
      <c r="CI32" s="39">
        <f t="shared" si="141"/>
        <v>0.15214643805030126</v>
      </c>
      <c r="CJ32" s="39">
        <f>+IF(CI30&lt;0,1-CJ30/CI30,CJ30/CI30-1)</f>
        <v>-8.2637073331260913E-3</v>
      </c>
      <c r="CK32" s="39">
        <f>+IF(CJ30&lt;0,1-CK30/CJ30,CK30/CJ30-1)</f>
        <v>-1.8600792699788093E-2</v>
      </c>
      <c r="CL32" s="39">
        <f>+IF(CK30&lt;0,1-CL30/CK30,CL30/CK30-1)</f>
        <v>-0.15073446539935387</v>
      </c>
      <c r="CM32" s="40">
        <f t="shared" ref="CM32:DB32" si="142">+IF(CL30&lt;0,1-CM30/CL30,CM30/CL30-1)</f>
        <v>0.34043108501155683</v>
      </c>
      <c r="CN32" s="40">
        <f t="shared" si="142"/>
        <v>-7.0706187327667092E-3</v>
      </c>
      <c r="CO32" s="40">
        <f t="shared" si="142"/>
        <v>-1.8698981626738553E-2</v>
      </c>
      <c r="CP32" s="40">
        <f t="shared" si="142"/>
        <v>-3.964041849847233E-2</v>
      </c>
      <c r="CQ32" s="40">
        <f t="shared" si="142"/>
        <v>0.17258238254200675</v>
      </c>
      <c r="CR32" s="40">
        <f t="shared" si="142"/>
        <v>-6.3778898694971664E-3</v>
      </c>
      <c r="CS32" s="40">
        <f t="shared" si="142"/>
        <v>-1.8640120414255112E-2</v>
      </c>
      <c r="CT32" s="40">
        <f t="shared" si="142"/>
        <v>-3.9375650132462803E-2</v>
      </c>
      <c r="CU32" s="40">
        <f t="shared" si="142"/>
        <v>0.17809259973532532</v>
      </c>
      <c r="CV32" s="40">
        <f t="shared" si="142"/>
        <v>-5.9228930077993569E-3</v>
      </c>
      <c r="CW32" s="40">
        <f t="shared" si="142"/>
        <v>-1.8674568618134324E-2</v>
      </c>
      <c r="CX32" s="40">
        <f t="shared" si="142"/>
        <v>-3.9440199961023548E-2</v>
      </c>
      <c r="CY32" s="40">
        <f t="shared" si="142"/>
        <v>0.17780540666889322</v>
      </c>
      <c r="CZ32" s="40">
        <f t="shared" si="142"/>
        <v>-5.4633717624633649E-3</v>
      </c>
      <c r="DA32" s="40">
        <f t="shared" si="142"/>
        <v>-1.8702662854640395E-2</v>
      </c>
      <c r="DB32" s="40">
        <f t="shared" si="142"/>
        <v>-3.9492883839741255E-2</v>
      </c>
      <c r="DE32" s="122"/>
    </row>
    <row r="33" spans="1:110" s="23" customFormat="1" outlineLevel="1" x14ac:dyDescent="0.2">
      <c r="A33" s="23" t="s">
        <v>2</v>
      </c>
      <c r="B33" s="23">
        <f>'Annual Raw'!C11</f>
        <v>3.6073</v>
      </c>
      <c r="C33" s="23">
        <f>'Annual Raw'!D11</f>
        <v>-1.0101</v>
      </c>
      <c r="D33" s="23">
        <f>'Annual Raw'!E11</f>
        <v>-4.1064999999999996</v>
      </c>
      <c r="E33" s="23">
        <f>'Annual Raw'!F11</f>
        <v>-6.4619</v>
      </c>
      <c r="F33" s="23">
        <f>'Annual Raw'!G11</f>
        <v>-8.7596000000000007</v>
      </c>
      <c r="G33" s="23">
        <f>'Annual Raw'!H11</f>
        <v>-7.6863999999999999</v>
      </c>
      <c r="H33" s="23">
        <f>'Annual Raw'!I11</f>
        <v>-10.6137</v>
      </c>
      <c r="I33" s="23">
        <f>'Annual Raw'!J11</f>
        <v>9.6194000000000006</v>
      </c>
      <c r="J33" s="23">
        <f>'Annual Raw'!K11</f>
        <v>2.7075</v>
      </c>
      <c r="K33" s="23">
        <f>'Annual Raw'!L11</f>
        <v>11.7179</v>
      </c>
      <c r="L33" s="23">
        <f>'Annual Raw'!M11</f>
        <v>-15.6936</v>
      </c>
      <c r="M33" s="23">
        <f>'Annual Raw'!N11</f>
        <v>16.901700000000002</v>
      </c>
      <c r="N33" s="23">
        <f>'Annual Raw'!O11</f>
        <v>2.7441</v>
      </c>
      <c r="O33" s="23">
        <f>'Annual Raw'!P11</f>
        <v>-14.9343</v>
      </c>
      <c r="P33" s="23">
        <f>'Annual Raw'!Q11</f>
        <v>-12.249599999999999</v>
      </c>
      <c r="Q33" s="23">
        <f>'Annual Raw'!R11</f>
        <v>7.7012999999999998</v>
      </c>
      <c r="R33" s="23">
        <f>'Annual Raw'!S11</f>
        <v>32.464399999999998</v>
      </c>
      <c r="S33" s="23">
        <f>'Annual Raw'!T11</f>
        <v>-1.9966999999999999</v>
      </c>
      <c r="T33" s="23">
        <f>'Annual Raw'!U11</f>
        <v>-19.299800000000001</v>
      </c>
      <c r="U33" s="23">
        <f>'Annual Raw'!V11</f>
        <v>-3.9927000000000001</v>
      </c>
      <c r="V33" s="23">
        <f>'Annual Raw'!W11</f>
        <v>-41.257100000000001</v>
      </c>
      <c r="W33" s="23">
        <f>'Annual Raw'!X11</f>
        <v>-17.446899999999999</v>
      </c>
      <c r="X33" s="23">
        <f>'Annual Raw'!Y11</f>
        <v>-11.000500000000001</v>
      </c>
      <c r="Y33" s="23">
        <f>'Annual Raw'!Z11</f>
        <v>-46.845999999999997</v>
      </c>
      <c r="Z33" s="23">
        <f>'Annual Raw'!AA11</f>
        <v>-0.42509999999999998</v>
      </c>
      <c r="AA33" s="23">
        <f>'Annual Raw'!AB11</f>
        <v>-94.074200000000005</v>
      </c>
      <c r="AB33" s="76">
        <f>+SUM(CM33:CP33)</f>
        <v>0</v>
      </c>
      <c r="AC33" s="76">
        <f>+SUM(CQ33:CT33)</f>
        <v>0</v>
      </c>
      <c r="AD33" s="76">
        <f>+SUM(CU33:CX33)</f>
        <v>0</v>
      </c>
      <c r="AE33" s="76">
        <f>+SUM(CY33:DB33)</f>
        <v>0</v>
      </c>
      <c r="AI33" s="23">
        <f>'QTR Raw'!C10</f>
        <v>3.5459999999999998</v>
      </c>
      <c r="AJ33" s="23">
        <f>'QTR Raw'!D10</f>
        <v>2.161</v>
      </c>
      <c r="AK33" s="23">
        <f>'QTR Raw'!E10</f>
        <v>0.114</v>
      </c>
      <c r="AL33" s="23">
        <f>'QTR Raw'!F10</f>
        <v>-1.0109999999999999</v>
      </c>
      <c r="AM33" s="23">
        <f>'QTR Raw'!G10</f>
        <v>-2.0750000000000002</v>
      </c>
      <c r="AN33" s="23">
        <f>'QTR Raw'!H10</f>
        <v>0.438</v>
      </c>
      <c r="AO33" s="23">
        <f>'QTR Raw'!I10</f>
        <v>-3.3290000000000002</v>
      </c>
      <c r="AP33" s="23">
        <f>'QTR Raw'!J10</f>
        <v>-5.7830000000000004</v>
      </c>
      <c r="AQ33" s="23">
        <f>'QTR Raw'!K10</f>
        <v>4.375</v>
      </c>
      <c r="AR33" s="23">
        <f>'QTR Raw'!L10</f>
        <v>-5.0739999999999998</v>
      </c>
      <c r="AS33" s="23">
        <f>'QTR Raw'!M10</f>
        <v>2.7890000000000001</v>
      </c>
      <c r="AT33" s="23">
        <f>'QTR Raw'!N10</f>
        <v>-2.7719999999999998</v>
      </c>
      <c r="AU33" s="23">
        <f>'QTR Raw'!O10</f>
        <v>5.9950000000000001</v>
      </c>
      <c r="AV33" s="23">
        <f>'QTR Raw'!P10</f>
        <v>-1.895</v>
      </c>
      <c r="AW33" s="23">
        <f>'QTR Raw'!Q10</f>
        <v>-3.9540000000000002</v>
      </c>
      <c r="AX33" s="23">
        <f>'QTR Raw'!R10</f>
        <v>-6.9870000000000001</v>
      </c>
      <c r="AY33" s="23">
        <f>'QTR Raw'!S10</f>
        <v>-1.7410000000000001</v>
      </c>
      <c r="AZ33" s="23">
        <f>'QTR Raw'!T10</f>
        <v>-6.91</v>
      </c>
      <c r="BA33" s="23">
        <f>'QTR Raw'!U10</f>
        <v>-2.7690000000000001</v>
      </c>
      <c r="BB33" s="23">
        <f>'QTR Raw'!V10</f>
        <v>-6.6319999999999997</v>
      </c>
      <c r="BC33" s="23">
        <f>'QTR Raw'!W10</f>
        <v>-1.3420000000000001</v>
      </c>
      <c r="BD33" s="23">
        <f>'QTR Raw'!X10</f>
        <v>19.312000000000001</v>
      </c>
      <c r="BE33" s="23">
        <f>'QTR Raw'!Y10</f>
        <v>-16.760999999999999</v>
      </c>
      <c r="BF33" s="23">
        <f>'QTR Raw'!Z10</f>
        <v>-1.5960000000000001</v>
      </c>
      <c r="BG33" s="23">
        <f>'QTR Raw'!AA10</f>
        <v>-9.4719999999999995</v>
      </c>
      <c r="BH33" s="23">
        <f>'QTR Raw'!AB10</f>
        <v>1.1579999999999999</v>
      </c>
      <c r="BI33" s="23">
        <f>'QTR Raw'!AC10</f>
        <v>-19.012</v>
      </c>
      <c r="BJ33" s="23">
        <f>'QTR Raw'!AD10</f>
        <v>8.0269999999999992</v>
      </c>
      <c r="BK33" s="23">
        <f>'QTR Raw'!AE10</f>
        <v>9.6010000000000009</v>
      </c>
      <c r="BL33" s="23">
        <f>'QTR Raw'!AF10</f>
        <v>-1.03</v>
      </c>
      <c r="BM33" s="23">
        <f>'QTR Raw'!AG10</f>
        <v>-3.391</v>
      </c>
      <c r="BN33" s="23">
        <f>'QTR Raw'!AH10</f>
        <v>-9.1739999999999995</v>
      </c>
      <c r="BO33" s="23">
        <f>'QTR Raw'!AI10</f>
        <v>-5.452</v>
      </c>
      <c r="BP33" s="23">
        <f>'QTR Raw'!AJ10</f>
        <v>-53.792000000000002</v>
      </c>
      <c r="BQ33" s="23">
        <f>'QTR Raw'!AK10</f>
        <v>-1.2430000000000001</v>
      </c>
      <c r="BR33" s="23">
        <f>'QTR Raw'!AL10</f>
        <v>19.23</v>
      </c>
      <c r="BS33" s="23">
        <f>'QTR Raw'!AM10</f>
        <v>-9.44</v>
      </c>
      <c r="BT33" s="23">
        <f>'QTR Raw'!AN10</f>
        <v>-6.14</v>
      </c>
      <c r="BU33" s="23">
        <f>'QTR Raw'!AO10</f>
        <v>6.7</v>
      </c>
      <c r="BV33" s="23">
        <f>'QTR Raw'!AP10</f>
        <v>-8.57</v>
      </c>
      <c r="BW33" s="23">
        <f>'QTR Raw'!AQ10</f>
        <v>-8.11</v>
      </c>
      <c r="BX33" s="23">
        <f>'QTR Raw'!AR10</f>
        <v>-5.2</v>
      </c>
      <c r="BY33" s="23">
        <f>'QTR Raw'!AS10</f>
        <v>-19.32</v>
      </c>
      <c r="BZ33" s="23">
        <f>'QTR Raw'!AT10</f>
        <v>21.63</v>
      </c>
      <c r="CA33" s="23">
        <f>'QTR Raw'!AU10</f>
        <v>10.95</v>
      </c>
      <c r="CB33" s="23">
        <f>'QTR Raw'!AV10</f>
        <v>-1.37</v>
      </c>
      <c r="CC33" s="23">
        <f>'QTR Raw'!AW10</f>
        <v>-3.73</v>
      </c>
      <c r="CD33" s="23">
        <f>'QTR Raw'!AX10</f>
        <v>-52.7</v>
      </c>
      <c r="CE33" s="23">
        <f>'QTR Raw'!AY10</f>
        <v>-12.89</v>
      </c>
      <c r="CF33" s="23">
        <f>'QTR Raw'!AZ10</f>
        <v>9.08</v>
      </c>
      <c r="CG33" s="23">
        <f>'QTR Raw'!BA10</f>
        <v>6.67</v>
      </c>
      <c r="CH33" s="23">
        <f>'QTR Raw'!BB10</f>
        <v>-3.29</v>
      </c>
      <c r="CI33" s="23">
        <f>'QTR Raw'!BC10</f>
        <v>-43.69</v>
      </c>
      <c r="CJ33" s="23">
        <f>'QTR Raw'!BD10</f>
        <v>-1.19</v>
      </c>
      <c r="CK33" s="23">
        <f>'QTR Raw'!BE10</f>
        <v>13.08</v>
      </c>
      <c r="CL33" s="23">
        <f>'QTR Raw'!BF10</f>
        <v>-62.28</v>
      </c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E33" s="123"/>
      <c r="DF33" s="23">
        <v>-94.074200000000005</v>
      </c>
    </row>
    <row r="34" spans="1:110" s="23" customFormat="1" outlineLevel="1" x14ac:dyDescent="0.2">
      <c r="A34" s="23" t="s">
        <v>3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76">
        <f>+SUM(CM34:CP34)</f>
        <v>0</v>
      </c>
      <c r="AC34" s="76">
        <f>+SUM(CQ34:CT34)</f>
        <v>0</v>
      </c>
      <c r="AD34" s="76">
        <f>+SUM(CU34:CX34)</f>
        <v>0</v>
      </c>
      <c r="AE34" s="76">
        <f>+SUM(CY34:DB34)</f>
        <v>0</v>
      </c>
      <c r="AI34" s="23">
        <f>'QTR Raw'!C12</f>
        <v>13.968</v>
      </c>
      <c r="AJ34" s="23">
        <f>'QTR Raw'!D12</f>
        <v>17.117999999999999</v>
      </c>
      <c r="AK34" s="23">
        <f>'QTR Raw'!E12</f>
        <v>19.472000000000001</v>
      </c>
      <c r="AL34" s="23">
        <f>'QTR Raw'!F12</f>
        <v>20.994</v>
      </c>
      <c r="AM34" s="23">
        <f>'QTR Raw'!G12</f>
        <v>22.390999999999998</v>
      </c>
      <c r="AN34" s="23">
        <f>'QTR Raw'!H12</f>
        <v>15.849</v>
      </c>
      <c r="AO34" s="23">
        <f>'QTR Raw'!I12</f>
        <v>16.826000000000001</v>
      </c>
      <c r="AP34" s="23">
        <f>'QTR Raw'!J12</f>
        <v>21.704999999999998</v>
      </c>
      <c r="AQ34" s="23">
        <f>'QTR Raw'!K12</f>
        <v>24.02</v>
      </c>
      <c r="AR34" s="23">
        <f>'QTR Raw'!L12</f>
        <v>30.709</v>
      </c>
      <c r="AS34" s="23">
        <f>'QTR Raw'!M12</f>
        <v>16.297999999999998</v>
      </c>
      <c r="AT34" s="23">
        <f>'QTR Raw'!N12</f>
        <v>19.068999999999999</v>
      </c>
      <c r="AU34" s="23">
        <f>'QTR Raw'!O12</f>
        <v>23.091000000000001</v>
      </c>
      <c r="AV34" s="23">
        <f>'QTR Raw'!P12</f>
        <v>20.036999999999999</v>
      </c>
      <c r="AW34" s="23">
        <f>'QTR Raw'!Q12</f>
        <v>10.731</v>
      </c>
      <c r="AX34" s="23">
        <f>'QTR Raw'!R12</f>
        <v>28.69</v>
      </c>
      <c r="AY34" s="23">
        <f>'QTR Raw'!S12</f>
        <v>21.35</v>
      </c>
      <c r="AZ34" s="23">
        <f>'QTR Raw'!T12</f>
        <v>23.117000000000001</v>
      </c>
      <c r="BA34" s="23">
        <f>'QTR Raw'!U12</f>
        <v>23.202000000000002</v>
      </c>
      <c r="BB34" s="23">
        <f>'QTR Raw'!V12</f>
        <v>28.574999999999999</v>
      </c>
      <c r="BC34" s="23">
        <f>'QTR Raw'!W12</f>
        <v>24.369</v>
      </c>
      <c r="BD34" s="23">
        <f>'QTR Raw'!X12</f>
        <v>38.61</v>
      </c>
      <c r="BE34" s="23">
        <f>'QTR Raw'!Y12</f>
        <v>22.79</v>
      </c>
      <c r="BF34" s="23">
        <f>'QTR Raw'!Z12</f>
        <v>7.2750000000000004</v>
      </c>
      <c r="BG34" s="23">
        <f>'QTR Raw'!AA12</f>
        <v>45.058999999999997</v>
      </c>
      <c r="BH34" s="23">
        <f>'QTR Raw'!AB12</f>
        <v>43.844000000000001</v>
      </c>
      <c r="BI34" s="23">
        <f>'QTR Raw'!AC12</f>
        <v>34.902000000000001</v>
      </c>
      <c r="BJ34" s="23">
        <f>'QTR Raw'!AD12</f>
        <v>38.295000000000002</v>
      </c>
      <c r="BK34" s="23">
        <f>'QTR Raw'!AE12</f>
        <v>30.97</v>
      </c>
      <c r="BL34" s="23">
        <f>'QTR Raw'!AF12</f>
        <v>61.905999999999999</v>
      </c>
      <c r="BM34" s="23">
        <f>'QTR Raw'!AG12</f>
        <v>54.030999999999999</v>
      </c>
      <c r="BN34" s="23">
        <f>'QTR Raw'!AH12</f>
        <v>35.401000000000003</v>
      </c>
      <c r="BO34" s="23">
        <f>'QTR Raw'!AI12</f>
        <v>65.102000000000004</v>
      </c>
      <c r="BP34" s="23">
        <f>'QTR Raw'!AJ12</f>
        <v>35.542000000000002</v>
      </c>
      <c r="BQ34" s="23">
        <f>'QTR Raw'!AK12</f>
        <v>59.595999999999997</v>
      </c>
      <c r="BR34" s="23">
        <f>'QTR Raw'!AL12</f>
        <v>40.125999999999998</v>
      </c>
      <c r="BS34" s="23">
        <f>'QTR Raw'!AM12</f>
        <v>78.05</v>
      </c>
      <c r="BT34" s="23">
        <f>'QTR Raw'!AN12</f>
        <v>66.45</v>
      </c>
      <c r="BU34" s="23">
        <f>'QTR Raw'!AO12</f>
        <v>52.73</v>
      </c>
      <c r="BV34" s="23">
        <f>'QTR Raw'!AP12</f>
        <v>60.93</v>
      </c>
      <c r="BW34" s="23">
        <f>'QTR Raw'!AQ12</f>
        <v>115.01</v>
      </c>
      <c r="BX34" s="23">
        <f>'QTR Raw'!AR12</f>
        <v>96.57</v>
      </c>
      <c r="BY34" s="23">
        <f>'QTR Raw'!AS12</f>
        <v>120.29</v>
      </c>
      <c r="BZ34" s="23">
        <f>'QTR Raw'!AT12</f>
        <v>63.35</v>
      </c>
      <c r="CA34" s="23">
        <f>'QTR Raw'!AU12</f>
        <v>80.209999999999994</v>
      </c>
      <c r="CB34" s="23">
        <f>'QTR Raw'!AV12</f>
        <v>78.19</v>
      </c>
      <c r="CC34" s="23">
        <f>'QTR Raw'!AW12</f>
        <v>78.42</v>
      </c>
      <c r="CD34" s="23">
        <f>'QTR Raw'!AX12</f>
        <v>175.8</v>
      </c>
      <c r="CE34" s="23">
        <f>'QTR Raw'!AY12</f>
        <v>101.01</v>
      </c>
      <c r="CF34" s="23">
        <f>'QTR Raw'!AZ12</f>
        <v>150.13999999999999</v>
      </c>
      <c r="CG34" s="23">
        <f>'QTR Raw'!BA12</f>
        <v>109.84</v>
      </c>
      <c r="CH34" s="23">
        <f>'QTR Raw'!BB12</f>
        <v>135.96</v>
      </c>
      <c r="CI34" s="23">
        <f>'QTR Raw'!BC12</f>
        <v>149.41</v>
      </c>
      <c r="CJ34" s="23">
        <f>'QTR Raw'!BD12</f>
        <v>121.34</v>
      </c>
      <c r="CK34" s="23">
        <f>'QTR Raw'!BE12</f>
        <v>104.34</v>
      </c>
      <c r="CL34" s="23">
        <f>'QTR Raw'!BF12</f>
        <v>102.82</v>
      </c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E34" s="123"/>
      <c r="DF34" s="23">
        <v>0</v>
      </c>
    </row>
    <row r="35" spans="1:110" s="23" customFormat="1" outlineLevel="1" x14ac:dyDescent="0.2">
      <c r="A35" s="23" t="s">
        <v>4</v>
      </c>
      <c r="B35" s="23">
        <f>'Annual Raw'!C12</f>
        <v>64.748199999999997</v>
      </c>
      <c r="C35" s="23">
        <f>'Annual Raw'!D12</f>
        <v>66.377600000000001</v>
      </c>
      <c r="D35" s="23">
        <f>'Annual Raw'!E12</f>
        <v>69.469200000000001</v>
      </c>
      <c r="E35" s="23">
        <f>'Annual Raw'!F12</f>
        <v>78.0672</v>
      </c>
      <c r="F35" s="23">
        <f>'Annual Raw'!G12</f>
        <v>83.969099999999997</v>
      </c>
      <c r="G35" s="23">
        <f>'Annual Raw'!H12</f>
        <v>115.9071</v>
      </c>
      <c r="H35" s="23">
        <f>'Annual Raw'!I12</f>
        <v>131.8167</v>
      </c>
      <c r="I35" s="23">
        <f>'Annual Raw'!J12</f>
        <v>131.494</v>
      </c>
      <c r="J35" s="23">
        <f>'Annual Raw'!K12</f>
        <v>184.90809999999999</v>
      </c>
      <c r="K35" s="23">
        <f>'Annual Raw'!L12</f>
        <v>166.99539999999999</v>
      </c>
      <c r="L35" s="23">
        <f>'Annual Raw'!M12</f>
        <v>292.73149999999998</v>
      </c>
      <c r="M35" s="23">
        <f>'Annual Raw'!N12</f>
        <v>303.16699999999997</v>
      </c>
      <c r="N35" s="23">
        <f>'Annual Raw'!O12</f>
        <v>368.78179999999998</v>
      </c>
      <c r="O35" s="23">
        <f>'Annual Raw'!P12</f>
        <v>328.81869999999998</v>
      </c>
      <c r="P35" s="23">
        <f>'Annual Raw'!Q12</f>
        <v>353.6499</v>
      </c>
      <c r="Q35" s="23">
        <f>'Annual Raw'!R12</f>
        <v>483.70690000000002</v>
      </c>
      <c r="R35" s="23">
        <f>'Annual Raw'!S12</f>
        <v>519.53599999999994</v>
      </c>
      <c r="S35" s="23">
        <f>'Annual Raw'!T12</f>
        <v>544.41240000000005</v>
      </c>
      <c r="T35" s="23">
        <f>'Annual Raw'!U12</f>
        <v>615.75879999999995</v>
      </c>
      <c r="U35" s="23">
        <f>'Annual Raw'!V12</f>
        <v>634.78809999999999</v>
      </c>
      <c r="V35" s="23">
        <f>'Annual Raw'!W12</f>
        <v>742.75609999999995</v>
      </c>
      <c r="W35" s="23">
        <f>'Annual Raw'!X12</f>
        <v>860.38099999999997</v>
      </c>
      <c r="X35" s="23">
        <f>'Annual Raw'!Y12</f>
        <v>1179.2021999999999</v>
      </c>
      <c r="Y35" s="23">
        <f>'Annual Raw'!Z12</f>
        <v>1228.9023</v>
      </c>
      <c r="Z35" s="23">
        <f>'Annual Raw'!AA12</f>
        <v>1316.9748</v>
      </c>
      <c r="AA35" s="23">
        <f>'Annual Raw'!AB12</f>
        <v>1390.3416</v>
      </c>
      <c r="AB35" s="24">
        <f>+SUM(CM35:CP35)</f>
        <v>1467.3902563594447</v>
      </c>
      <c r="AC35" s="24">
        <f>+SUM(CQ35:CT35)</f>
        <v>1608.4251244582824</v>
      </c>
      <c r="AD35" s="24">
        <f>+SUM(CU35:CX35)</f>
        <v>1774.9151828894924</v>
      </c>
      <c r="AE35" s="24">
        <f>+SUM(CY35:DB35)</f>
        <v>1959.4006870561288</v>
      </c>
      <c r="AI35" s="23">
        <f>'QTR Raw'!C11</f>
        <v>61.328000000000003</v>
      </c>
      <c r="AJ35" s="23">
        <f>'QTR Raw'!D11</f>
        <v>73.370999999999995</v>
      </c>
      <c r="AK35" s="23">
        <f>'QTR Raw'!E11</f>
        <v>65.096999999999994</v>
      </c>
      <c r="AL35" s="23">
        <f>'QTR Raw'!F11</f>
        <v>62.107999999999997</v>
      </c>
      <c r="AM35" s="23">
        <f>'QTR Raw'!G11</f>
        <v>78.254000000000005</v>
      </c>
      <c r="AN35" s="23">
        <f>'QTR Raw'!H11</f>
        <v>78.344999999999999</v>
      </c>
      <c r="AO35" s="23">
        <f>'QTR Raw'!I11</f>
        <v>78.712000000000003</v>
      </c>
      <c r="AP35" s="23">
        <f>'QTR Raw'!J11</f>
        <v>75.474999999999994</v>
      </c>
      <c r="AQ35" s="23">
        <f>'QTR Raw'!K11</f>
        <v>83.385999999999996</v>
      </c>
      <c r="AR35" s="23">
        <f>'QTR Raw'!L11</f>
        <v>87.037999999999997</v>
      </c>
      <c r="AS35" s="23">
        <f>'QTR Raw'!M11</f>
        <v>84.11</v>
      </c>
      <c r="AT35" s="23">
        <f>'QTR Raw'!N11</f>
        <v>87.052000000000007</v>
      </c>
      <c r="AU35" s="23">
        <f>'QTR Raw'!O11</f>
        <v>90.23</v>
      </c>
      <c r="AV35" s="23">
        <f>'QTR Raw'!P11</f>
        <v>98.197999999999993</v>
      </c>
      <c r="AW35" s="23">
        <f>'QTR Raw'!Q11</f>
        <v>94.974999999999994</v>
      </c>
      <c r="AX35" s="23">
        <f>'QTR Raw'!R11</f>
        <v>89.676000000000002</v>
      </c>
      <c r="AY35" s="23">
        <f>'QTR Raw'!S11</f>
        <v>95.552999999999997</v>
      </c>
      <c r="AZ35" s="23">
        <f>'QTR Raw'!T11</f>
        <v>97.917000000000002</v>
      </c>
      <c r="BA35" s="23">
        <f>'QTR Raw'!U11</f>
        <v>82.308999999999997</v>
      </c>
      <c r="BB35" s="23">
        <f>'QTR Raw'!V11</f>
        <v>91.313999999999993</v>
      </c>
      <c r="BC35" s="23">
        <f>'QTR Raw'!W11</f>
        <v>88.188000000000002</v>
      </c>
      <c r="BD35" s="23">
        <f>'QTR Raw'!X11</f>
        <v>80.302000000000007</v>
      </c>
      <c r="BE35" s="23">
        <f>'QTR Raw'!Y11</f>
        <v>100.815</v>
      </c>
      <c r="BF35" s="23">
        <f>'QTR Raw'!Z11</f>
        <v>117.712</v>
      </c>
      <c r="BG35" s="23">
        <f>'QTR Raw'!AA11</f>
        <v>111.001</v>
      </c>
      <c r="BH35" s="23">
        <f>'QTR Raw'!AB11</f>
        <v>114.512</v>
      </c>
      <c r="BI35" s="23">
        <f>'QTR Raw'!AC11</f>
        <v>110.498</v>
      </c>
      <c r="BJ35" s="23">
        <f>'QTR Raw'!AD11</f>
        <v>117.649</v>
      </c>
      <c r="BK35" s="23">
        <f>'QTR Raw'!AE11</f>
        <v>126.17700000000001</v>
      </c>
      <c r="BL35" s="23">
        <f>'QTR Raw'!AF11</f>
        <v>105.83</v>
      </c>
      <c r="BM35" s="23">
        <f>'QTR Raw'!AG11</f>
        <v>99.707999999999998</v>
      </c>
      <c r="BN35" s="23">
        <f>'QTR Raw'!AH11</f>
        <v>120.76600000000001</v>
      </c>
      <c r="BO35" s="23">
        <f>'QTR Raw'!AI11</f>
        <v>126.605</v>
      </c>
      <c r="BP35" s="23">
        <f>'QTR Raw'!AJ11</f>
        <v>152.07900000000001</v>
      </c>
      <c r="BQ35" s="23">
        <f>'QTR Raw'!AK11</f>
        <v>128.53800000000001</v>
      </c>
      <c r="BR35" s="23">
        <f>'QTR Raw'!AL11</f>
        <v>135.16800000000001</v>
      </c>
      <c r="BS35" s="23">
        <f>'QTR Raw'!AM11</f>
        <v>147.93</v>
      </c>
      <c r="BT35" s="23">
        <f>'QTR Raw'!AN11</f>
        <v>147.22</v>
      </c>
      <c r="BU35" s="23">
        <f>'QTR Raw'!AO11</f>
        <v>146.6</v>
      </c>
      <c r="BV35" s="23">
        <f>'QTR Raw'!AP11</f>
        <v>160.47</v>
      </c>
      <c r="BW35" s="23">
        <f>'QTR Raw'!AQ11</f>
        <v>185.88</v>
      </c>
      <c r="BX35" s="23">
        <f>'QTR Raw'!AR11</f>
        <v>210.18</v>
      </c>
      <c r="BY35" s="23">
        <f>'QTR Raw'!AS11</f>
        <v>198.04</v>
      </c>
      <c r="BZ35" s="23">
        <f>'QTR Raw'!AT11</f>
        <v>189.88</v>
      </c>
      <c r="CA35" s="23">
        <f>'QTR Raw'!AU11</f>
        <v>218.81</v>
      </c>
      <c r="CB35" s="23">
        <f>'QTR Raw'!AV11</f>
        <v>221.35</v>
      </c>
      <c r="CC35" s="23">
        <f>'QTR Raw'!AW11</f>
        <v>198.94</v>
      </c>
      <c r="CD35" s="23">
        <f>'QTR Raw'!AX11</f>
        <v>177.18</v>
      </c>
      <c r="CE35" s="23">
        <f>'QTR Raw'!AY11</f>
        <v>251.63</v>
      </c>
      <c r="CF35" s="23">
        <f>'QTR Raw'!AZ11</f>
        <v>179.2</v>
      </c>
      <c r="CG35" s="23">
        <f>'QTR Raw'!BA11</f>
        <v>200.23</v>
      </c>
      <c r="CH35" s="23">
        <f>'QTR Raw'!BB11</f>
        <v>188.97</v>
      </c>
      <c r="CI35" s="23">
        <f>'QTR Raw'!BC11</f>
        <v>241.38</v>
      </c>
      <c r="CJ35" s="23">
        <f>'QTR Raw'!BD11</f>
        <v>225.34</v>
      </c>
      <c r="CK35" s="23">
        <f>'QTR Raw'!BE11</f>
        <v>212.01</v>
      </c>
      <c r="CL35" s="23">
        <f>'QTR Raw'!BF11</f>
        <v>233.71</v>
      </c>
      <c r="CM35" s="24">
        <f t="shared" ref="CM35:DB35" si="143">+CM30-CM36</f>
        <v>378.29808404378957</v>
      </c>
      <c r="CN35" s="24">
        <f t="shared" si="143"/>
        <v>374.06438735728341</v>
      </c>
      <c r="CO35" s="24">
        <f t="shared" si="143"/>
        <v>364.81513826593618</v>
      </c>
      <c r="CP35" s="24">
        <f t="shared" si="143"/>
        <v>350.21264669243544</v>
      </c>
      <c r="CQ35" s="24">
        <f t="shared" si="143"/>
        <v>412.47736883923699</v>
      </c>
      <c r="CR35" s="24">
        <f t="shared" si="143"/>
        <v>409.20008204500436</v>
      </c>
      <c r="CS35" s="24">
        <f t="shared" si="143"/>
        <v>401.19935729019778</v>
      </c>
      <c r="CT35" s="24">
        <f t="shared" si="143"/>
        <v>385.54831628384318</v>
      </c>
      <c r="CU35" s="24">
        <f t="shared" si="143"/>
        <v>454.47290899911798</v>
      </c>
      <c r="CV35" s="24">
        <f t="shared" si="143"/>
        <v>451.60551423165452</v>
      </c>
      <c r="CW35" s="24">
        <f t="shared" si="143"/>
        <v>443.13169545705478</v>
      </c>
      <c r="CX35" s="24">
        <f t="shared" si="143"/>
        <v>425.70506420166521</v>
      </c>
      <c r="CY35" s="24">
        <f t="shared" si="143"/>
        <v>501.42457855286079</v>
      </c>
      <c r="CZ35" s="24">
        <f t="shared" si="143"/>
        <v>498.64679218992251</v>
      </c>
      <c r="DA35" s="24">
        <f t="shared" si="143"/>
        <v>489.32133442928193</v>
      </c>
      <c r="DB35" s="24">
        <f t="shared" si="143"/>
        <v>470.00798188406361</v>
      </c>
      <c r="DE35" s="123"/>
      <c r="DF35" s="23">
        <v>1390.3416</v>
      </c>
    </row>
    <row r="36" spans="1:110" s="31" customFormat="1" x14ac:dyDescent="0.2">
      <c r="A36" s="31" t="s">
        <v>5</v>
      </c>
      <c r="B36" s="31">
        <f t="shared" ref="B36:T36" si="144">B30-B33-B35-B34</f>
        <v>156.30930000000001</v>
      </c>
      <c r="C36" s="31">
        <f t="shared" si="144"/>
        <v>195.14550000000006</v>
      </c>
      <c r="D36" s="31">
        <f t="shared" si="144"/>
        <v>209.4135</v>
      </c>
      <c r="E36" s="31">
        <f t="shared" si="144"/>
        <v>231.25409999999999</v>
      </c>
      <c r="F36" s="31">
        <f t="shared" si="144"/>
        <v>280.34789999999998</v>
      </c>
      <c r="G36" s="31">
        <f t="shared" si="144"/>
        <v>353.1909</v>
      </c>
      <c r="H36" s="31">
        <f t="shared" si="144"/>
        <v>396.77460000000008</v>
      </c>
      <c r="I36" s="31">
        <f t="shared" si="144"/>
        <v>423.54089999999997</v>
      </c>
      <c r="J36" s="31">
        <f t="shared" si="144"/>
        <v>529.47550000000001</v>
      </c>
      <c r="K36" s="31">
        <f t="shared" si="144"/>
        <v>578.17060000000004</v>
      </c>
      <c r="L36" s="31">
        <f t="shared" si="144"/>
        <v>613.75259999999992</v>
      </c>
      <c r="M36" s="31">
        <f t="shared" si="144"/>
        <v>481.79970000000009</v>
      </c>
      <c r="N36" s="31">
        <f t="shared" si="144"/>
        <v>494.5997000000001</v>
      </c>
      <c r="O36" s="31">
        <f t="shared" si="144"/>
        <v>707.98029999999994</v>
      </c>
      <c r="P36" s="31">
        <f t="shared" si="144"/>
        <v>802.81450000000007</v>
      </c>
      <c r="Q36" s="31">
        <f t="shared" si="144"/>
        <v>740.17490000000009</v>
      </c>
      <c r="R36" s="31">
        <f t="shared" si="144"/>
        <v>816.31659999999999</v>
      </c>
      <c r="S36" s="31">
        <f t="shared" si="144"/>
        <v>871.35209999999995</v>
      </c>
      <c r="T36" s="31">
        <f t="shared" si="144"/>
        <v>1046.7413999999999</v>
      </c>
      <c r="U36" s="31">
        <f t="shared" ref="U36:Z36" si="145">U30-U33-U35-U34</f>
        <v>1143.9337</v>
      </c>
      <c r="V36" s="31">
        <f t="shared" si="145"/>
        <v>1341.0225</v>
      </c>
      <c r="W36" s="31">
        <f t="shared" si="145"/>
        <v>1581.3096999999998</v>
      </c>
      <c r="X36" s="31">
        <f t="shared" si="145"/>
        <v>1981.0811000000001</v>
      </c>
      <c r="Y36" s="31">
        <f t="shared" si="145"/>
        <v>2302.1274999999996</v>
      </c>
      <c r="Z36" s="31">
        <f t="shared" si="145"/>
        <v>2601.4388999999996</v>
      </c>
      <c r="AA36" s="31">
        <f t="shared" ref="AA36" si="146">AA30-AA33-AA35-AA34</f>
        <v>2851.5245000000004</v>
      </c>
      <c r="AB36" s="32">
        <f t="shared" ref="AB36:AD36" si="147">AB30-AB33-AB35-AB34</f>
        <v>3263.3090436405555</v>
      </c>
      <c r="AC36" s="32">
        <f t="shared" si="147"/>
        <v>3585.431511541718</v>
      </c>
      <c r="AD36" s="32">
        <f t="shared" si="147"/>
        <v>3958.4021852905084</v>
      </c>
      <c r="AE36" s="32">
        <f t="shared" ref="AE36" si="148">AE30-AE33-AE35-AE34</f>
        <v>4370.1750439592734</v>
      </c>
      <c r="AI36" s="31">
        <f t="shared" ref="AI36" si="149">AI30-AI33-AI35-AI34</f>
        <v>101.944</v>
      </c>
      <c r="AJ36" s="31">
        <f t="shared" ref="AJ36" si="150">AJ30-AJ33-AJ35-AJ34</f>
        <v>123.226</v>
      </c>
      <c r="AK36" s="31">
        <f t="shared" ref="AK36:AM36" si="151">AK30-AK33-AK35-AK34</f>
        <v>113.22</v>
      </c>
      <c r="AL36" s="31">
        <f t="shared" si="151"/>
        <v>123.053</v>
      </c>
      <c r="AM36" s="31">
        <f t="shared" si="151"/>
        <v>136.62199999999999</v>
      </c>
      <c r="AN36" s="31">
        <f t="shared" ref="AN36:AO36" si="152">AN30-AN33-AN35-AN34</f>
        <v>157.23900000000003</v>
      </c>
      <c r="AO36" s="31">
        <f t="shared" si="152"/>
        <v>143.87100000000001</v>
      </c>
      <c r="AP36" s="31">
        <f t="shared" ref="AP36:CD36" si="153">AP30-AP33-AP35-AP34</f>
        <v>137.20100000000002</v>
      </c>
      <c r="AQ36" s="31">
        <f t="shared" si="153"/>
        <v>150.822</v>
      </c>
      <c r="AR36" s="31">
        <f t="shared" si="153"/>
        <v>167.32499999999999</v>
      </c>
      <c r="AS36" s="31">
        <f t="shared" si="153"/>
        <v>157.44099999999997</v>
      </c>
      <c r="AT36" s="31">
        <f t="shared" si="153"/>
        <v>151.34400000000002</v>
      </c>
      <c r="AU36" s="31">
        <f t="shared" si="153"/>
        <v>163.70499999999998</v>
      </c>
      <c r="AV36" s="31">
        <f t="shared" si="153"/>
        <v>165.64800000000005</v>
      </c>
      <c r="AW36" s="31">
        <f t="shared" si="153"/>
        <v>176.60299999999998</v>
      </c>
      <c r="AX36" s="31">
        <f t="shared" si="153"/>
        <v>191.38000000000005</v>
      </c>
      <c r="AY36" s="31">
        <f t="shared" si="153"/>
        <v>199.126</v>
      </c>
      <c r="AZ36" s="31">
        <f t="shared" si="153"/>
        <v>187.36400000000003</v>
      </c>
      <c r="BA36" s="31">
        <f t="shared" si="153"/>
        <v>173.74000000000004</v>
      </c>
      <c r="BB36" s="31">
        <f t="shared" si="153"/>
        <v>193.00500000000002</v>
      </c>
      <c r="BC36" s="31">
        <f t="shared" si="153"/>
        <v>172.62300000000002</v>
      </c>
      <c r="BD36" s="31">
        <f t="shared" si="153"/>
        <v>209.09499999999997</v>
      </c>
      <c r="BE36" s="31">
        <f t="shared" si="153"/>
        <v>197.89800000000005</v>
      </c>
      <c r="BF36" s="31">
        <f t="shared" si="153"/>
        <v>195.083</v>
      </c>
      <c r="BG36" s="31">
        <f t="shared" si="153"/>
        <v>260.32799999999997</v>
      </c>
      <c r="BH36" s="31">
        <f t="shared" si="153"/>
        <v>275.82900000000001</v>
      </c>
      <c r="BI36" s="31">
        <f t="shared" si="153"/>
        <v>255.63800000000003</v>
      </c>
      <c r="BJ36" s="31">
        <f t="shared" si="153"/>
        <v>254.94400000000002</v>
      </c>
      <c r="BK36" s="31">
        <f t="shared" si="153"/>
        <v>279.36199999999997</v>
      </c>
      <c r="BL36" s="31">
        <f t="shared" si="153"/>
        <v>289.71099999999996</v>
      </c>
      <c r="BM36" s="31">
        <f t="shared" si="153"/>
        <v>278.28400000000005</v>
      </c>
      <c r="BN36" s="31">
        <f t="shared" si="153"/>
        <v>296.57599999999996</v>
      </c>
      <c r="BO36" s="31">
        <f t="shared" si="153"/>
        <v>336.03</v>
      </c>
      <c r="BP36" s="31">
        <f t="shared" si="153"/>
        <v>309.73500000000001</v>
      </c>
      <c r="BQ36" s="31">
        <f t="shared" si="153"/>
        <v>361.32600000000002</v>
      </c>
      <c r="BR36" s="31">
        <f t="shared" si="153"/>
        <v>333.93100000000004</v>
      </c>
      <c r="BS36" s="31">
        <f t="shared" si="153"/>
        <v>389.45000000000005</v>
      </c>
      <c r="BT36" s="31">
        <f t="shared" si="153"/>
        <v>385.47999999999996</v>
      </c>
      <c r="BU36" s="31">
        <f t="shared" si="153"/>
        <v>394.61999999999989</v>
      </c>
      <c r="BV36" s="31">
        <f t="shared" si="153"/>
        <v>411.76000000000005</v>
      </c>
      <c r="BW36" s="31">
        <f t="shared" si="153"/>
        <v>492.03</v>
      </c>
      <c r="BX36" s="31">
        <f t="shared" si="153"/>
        <v>507.89000000000004</v>
      </c>
      <c r="BY36" s="31">
        <f t="shared" si="153"/>
        <v>493.7000000000001</v>
      </c>
      <c r="BZ36" s="31">
        <f t="shared" si="153"/>
        <v>487.46000000000004</v>
      </c>
      <c r="CA36" s="31">
        <f t="shared" si="153"/>
        <v>586.23</v>
      </c>
      <c r="CB36" s="31">
        <f t="shared" si="153"/>
        <v>583.56999999999994</v>
      </c>
      <c r="CC36" s="31">
        <f t="shared" si="153"/>
        <v>570.88</v>
      </c>
      <c r="CD36" s="31">
        <f t="shared" si="153"/>
        <v>561.45000000000005</v>
      </c>
      <c r="CE36" s="31">
        <f t="shared" ref="CE36:CF36" si="154">CE30-CE33-CE35-CE34</f>
        <v>664.65</v>
      </c>
      <c r="CF36" s="31">
        <f t="shared" si="154"/>
        <v>662.19999999999993</v>
      </c>
      <c r="CG36" s="31">
        <f t="shared" ref="CG36:CH36" si="155">CG30-CG33-CG35-CG34</f>
        <v>646.75</v>
      </c>
      <c r="CH36" s="31">
        <f t="shared" si="155"/>
        <v>627.83999999999992</v>
      </c>
      <c r="CI36" s="31">
        <f t="shared" ref="CI36:CJ36" si="156">CI30-CI33-CI35-CI34</f>
        <v>746.84000000000015</v>
      </c>
      <c r="CJ36" s="31">
        <f t="shared" si="156"/>
        <v>739.41000000000008</v>
      </c>
      <c r="CK36" s="31">
        <f t="shared" ref="CK36:CL36" si="157">CK30-CK33-CK35-CK34</f>
        <v>735.29000000000008</v>
      </c>
      <c r="CL36" s="31">
        <f t="shared" si="157"/>
        <v>629.98</v>
      </c>
      <c r="CM36" s="32">
        <f t="shared" ref="CM36:DB36" si="158">+CM37*CM30</f>
        <v>833.75991595621042</v>
      </c>
      <c r="CN36" s="32">
        <f t="shared" si="158"/>
        <v>829.42361264271688</v>
      </c>
      <c r="CO36" s="32">
        <f t="shared" si="158"/>
        <v>816.16886173406374</v>
      </c>
      <c r="CP36" s="32">
        <f t="shared" si="158"/>
        <v>783.95665330756458</v>
      </c>
      <c r="CQ36" s="32">
        <f t="shared" si="158"/>
        <v>917.42957116076309</v>
      </c>
      <c r="CR36" s="32">
        <f t="shared" si="158"/>
        <v>912.22485795499574</v>
      </c>
      <c r="CS36" s="32">
        <f t="shared" si="158"/>
        <v>895.59406270980242</v>
      </c>
      <c r="CT36" s="32">
        <f t="shared" si="158"/>
        <v>860.1830197161571</v>
      </c>
      <c r="CU36" s="32">
        <f t="shared" si="158"/>
        <v>1013.1139592008823</v>
      </c>
      <c r="CV36" s="32">
        <f t="shared" si="158"/>
        <v>1007.2889939683457</v>
      </c>
      <c r="CW36" s="32">
        <f t="shared" si="158"/>
        <v>988.51858714294531</v>
      </c>
      <c r="CX36" s="32">
        <f t="shared" si="158"/>
        <v>949.48064497833502</v>
      </c>
      <c r="CY36" s="32">
        <f t="shared" si="158"/>
        <v>1118.2765848931397</v>
      </c>
      <c r="CZ36" s="32">
        <f t="shared" si="158"/>
        <v>1112.205341656078</v>
      </c>
      <c r="DA36" s="32">
        <f t="shared" si="158"/>
        <v>1091.4035750487187</v>
      </c>
      <c r="DB36" s="32">
        <f t="shared" si="158"/>
        <v>1048.2895423613368</v>
      </c>
      <c r="DE36" s="124"/>
      <c r="DF36" s="31">
        <v>2851.5245000000004</v>
      </c>
    </row>
    <row r="37" spans="1:110" s="41" customFormat="1" x14ac:dyDescent="0.2">
      <c r="A37" s="41" t="s">
        <v>6</v>
      </c>
      <c r="B37" s="41">
        <f>B36/B30</f>
        <v>0.69574450470211624</v>
      </c>
      <c r="C37" s="41">
        <f t="shared" ref="C37:U37" si="159">C36/C30</f>
        <v>0.74908161972723064</v>
      </c>
      <c r="D37" s="41">
        <f t="shared" si="159"/>
        <v>0.76212386662309173</v>
      </c>
      <c r="E37" s="41">
        <f t="shared" si="159"/>
        <v>0.76356916773922157</v>
      </c>
      <c r="F37" s="41">
        <f t="shared" si="159"/>
        <v>0.78847437853916136</v>
      </c>
      <c r="G37" s="41">
        <f t="shared" si="159"/>
        <v>0.76545734870991533</v>
      </c>
      <c r="H37" s="41">
        <f t="shared" si="159"/>
        <v>0.76600725591222485</v>
      </c>
      <c r="I37" s="41">
        <f t="shared" si="159"/>
        <v>0.75008885967927619</v>
      </c>
      <c r="J37" s="41">
        <f t="shared" si="159"/>
        <v>0.73836573902534841</v>
      </c>
      <c r="K37" s="41">
        <f t="shared" si="159"/>
        <v>0.7638828095035447</v>
      </c>
      <c r="L37" s="41">
        <f t="shared" si="159"/>
        <v>0.68899769362156416</v>
      </c>
      <c r="M37" s="41">
        <f t="shared" si="159"/>
        <v>0.60084634835342066</v>
      </c>
      <c r="N37" s="41">
        <f t="shared" si="159"/>
        <v>0.57104847149189453</v>
      </c>
      <c r="O37" s="41">
        <f t="shared" si="159"/>
        <v>0.69283174181474305</v>
      </c>
      <c r="P37" s="41">
        <f t="shared" si="159"/>
        <v>0.70162918710717614</v>
      </c>
      <c r="Q37" s="41">
        <f t="shared" si="159"/>
        <v>0.6009946872444093</v>
      </c>
      <c r="R37" s="41">
        <f t="shared" si="159"/>
        <v>0.59658441720741606</v>
      </c>
      <c r="S37" s="41">
        <f t="shared" si="159"/>
        <v>0.61633324793505684</v>
      </c>
      <c r="T37" s="41">
        <f t="shared" si="159"/>
        <v>0.63701384201220979</v>
      </c>
      <c r="U37" s="41">
        <f t="shared" si="159"/>
        <v>0.64456806393719468</v>
      </c>
      <c r="V37" s="41">
        <f t="shared" ref="V37:AA37" si="160">V36/V30</f>
        <v>0.65655245244664495</v>
      </c>
      <c r="W37" s="41">
        <f t="shared" si="160"/>
        <v>0.65228988107549246</v>
      </c>
      <c r="X37" s="41">
        <f t="shared" si="160"/>
        <v>0.62905786041190082</v>
      </c>
      <c r="Y37" s="41">
        <f t="shared" si="160"/>
        <v>0.66073652601220401</v>
      </c>
      <c r="Z37" s="41">
        <f t="shared" si="160"/>
        <v>0.66397306515899501</v>
      </c>
      <c r="AA37" s="41">
        <f t="shared" ref="AA37" si="161">AA36/AA30</f>
        <v>0.68748012647404044</v>
      </c>
      <c r="AB37" s="42">
        <f t="shared" ref="AB37:AD37" si="162">AB36/AB30</f>
        <v>0.68981536062555393</v>
      </c>
      <c r="AC37" s="42">
        <f t="shared" si="162"/>
        <v>0.69032161702156725</v>
      </c>
      <c r="AD37" s="42">
        <f t="shared" si="162"/>
        <v>0.69042090836619319</v>
      </c>
      <c r="AE37" s="42">
        <f t="shared" ref="AE37" si="163">AE36/AE30</f>
        <v>0.69043727884399642</v>
      </c>
      <c r="AI37" s="41">
        <f t="shared" ref="AI37" si="164">AI36/AI30</f>
        <v>0.56389322182027368</v>
      </c>
      <c r="AJ37" s="41">
        <f t="shared" ref="AJ37" si="165">AJ36/AJ30</f>
        <v>0.57081843280401723</v>
      </c>
      <c r="AK37" s="41">
        <f t="shared" ref="AK37:AM37" si="166">AK36/AK30</f>
        <v>0.57209845227207268</v>
      </c>
      <c r="AL37" s="41">
        <f t="shared" si="166"/>
        <v>0.59983718753655968</v>
      </c>
      <c r="AM37" s="41">
        <f t="shared" si="166"/>
        <v>0.58089560869417323</v>
      </c>
      <c r="AN37" s="41">
        <f t="shared" ref="AN37:AO37" si="167">AN36/AN30</f>
        <v>0.62428385959479271</v>
      </c>
      <c r="AO37" s="41">
        <f t="shared" si="167"/>
        <v>0.60941629955947141</v>
      </c>
      <c r="AP37" s="41">
        <f t="shared" ref="AP37:CD37" si="168">AP36/AP30</f>
        <v>0.6001846035398386</v>
      </c>
      <c r="AQ37" s="41">
        <f t="shared" si="168"/>
        <v>0.57433464202617635</v>
      </c>
      <c r="AR37" s="41">
        <f t="shared" si="168"/>
        <v>0.59759355423967309</v>
      </c>
      <c r="AS37" s="41">
        <f t="shared" si="168"/>
        <v>0.60406003729310376</v>
      </c>
      <c r="AT37" s="41">
        <f t="shared" si="168"/>
        <v>0.59422127816626302</v>
      </c>
      <c r="AU37" s="41">
        <f t="shared" si="168"/>
        <v>0.5784199759028481</v>
      </c>
      <c r="AV37" s="41">
        <f t="shared" si="168"/>
        <v>0.58742925230860898</v>
      </c>
      <c r="AW37" s="41">
        <f t="shared" si="168"/>
        <v>0.63445240789639135</v>
      </c>
      <c r="AX37" s="41">
        <f t="shared" si="168"/>
        <v>0.63211993697957791</v>
      </c>
      <c r="AY37" s="41">
        <f t="shared" si="168"/>
        <v>0.63357811943185871</v>
      </c>
      <c r="AZ37" s="41">
        <f t="shared" si="168"/>
        <v>0.62146420421376647</v>
      </c>
      <c r="BA37" s="41">
        <f t="shared" si="168"/>
        <v>0.62839533857538654</v>
      </c>
      <c r="BB37" s="41">
        <f t="shared" si="168"/>
        <v>0.63019571478015568</v>
      </c>
      <c r="BC37" s="41">
        <f t="shared" si="168"/>
        <v>0.60817438116108491</v>
      </c>
      <c r="BD37" s="41">
        <f t="shared" si="168"/>
        <v>0.60202580336808509</v>
      </c>
      <c r="BE37" s="41">
        <f t="shared" si="168"/>
        <v>0.64939522612570644</v>
      </c>
      <c r="BF37" s="41">
        <f t="shared" si="168"/>
        <v>0.61255549903602813</v>
      </c>
      <c r="BG37" s="41">
        <f t="shared" si="168"/>
        <v>0.63975857425119675</v>
      </c>
      <c r="BH37" s="41">
        <f t="shared" si="168"/>
        <v>0.63359006576423649</v>
      </c>
      <c r="BI37" s="41">
        <f t="shared" si="168"/>
        <v>0.66916387889829498</v>
      </c>
      <c r="BJ37" s="41">
        <f t="shared" si="168"/>
        <v>0.60858169318358135</v>
      </c>
      <c r="BK37" s="41">
        <f t="shared" si="168"/>
        <v>0.62621774898567606</v>
      </c>
      <c r="BL37" s="41">
        <f t="shared" si="168"/>
        <v>0.63475067756021353</v>
      </c>
      <c r="BM37" s="41">
        <f t="shared" si="168"/>
        <v>0.64923757442281504</v>
      </c>
      <c r="BN37" s="41">
        <f t="shared" si="168"/>
        <v>0.66861300045765137</v>
      </c>
      <c r="BO37" s="41">
        <f t="shared" si="168"/>
        <v>0.64338435911427672</v>
      </c>
      <c r="BP37" s="41">
        <f t="shared" si="168"/>
        <v>0.69828705665924196</v>
      </c>
      <c r="BQ37" s="41">
        <f t="shared" si="168"/>
        <v>0.65909302338307652</v>
      </c>
      <c r="BR37" s="41">
        <f t="shared" si="168"/>
        <v>0.63190054025413711</v>
      </c>
      <c r="BS37" s="41">
        <f t="shared" si="168"/>
        <v>0.64266737074869229</v>
      </c>
      <c r="BT37" s="41">
        <f t="shared" si="168"/>
        <v>0.65003962833679019</v>
      </c>
      <c r="BU37" s="41">
        <f t="shared" si="168"/>
        <v>0.65698826271539146</v>
      </c>
      <c r="BV37" s="41">
        <f t="shared" si="168"/>
        <v>0.65924846699434836</v>
      </c>
      <c r="BW37" s="41">
        <f t="shared" si="168"/>
        <v>0.62694155273250851</v>
      </c>
      <c r="BX37" s="41">
        <f t="shared" si="168"/>
        <v>0.62745848982012253</v>
      </c>
      <c r="BY37" s="41">
        <f t="shared" si="168"/>
        <v>0.62280026743701999</v>
      </c>
      <c r="BZ37" s="41">
        <f t="shared" si="168"/>
        <v>0.63944275369923387</v>
      </c>
      <c r="CA37" s="41">
        <f t="shared" si="168"/>
        <v>0.65412854273599641</v>
      </c>
      <c r="CB37" s="41">
        <f t="shared" si="168"/>
        <v>0.66183909088847048</v>
      </c>
      <c r="CC37" s="41">
        <f t="shared" si="168"/>
        <v>0.67598962712105248</v>
      </c>
      <c r="CD37" s="41">
        <f t="shared" si="168"/>
        <v>0.65153818481426906</v>
      </c>
      <c r="CE37" s="41">
        <f t="shared" ref="CE37:CF37" si="169">CE36/CE30</f>
        <v>0.66173835125448033</v>
      </c>
      <c r="CF37" s="41">
        <f t="shared" si="169"/>
        <v>0.6617896903919569</v>
      </c>
      <c r="CG37" s="41">
        <f t="shared" ref="CG37:CH37" si="170">CG36/CG30</f>
        <v>0.67125761554349295</v>
      </c>
      <c r="CH37" s="41">
        <f t="shared" si="170"/>
        <v>0.66124615579053792</v>
      </c>
      <c r="CI37" s="41">
        <f t="shared" ref="CI37:CJ37" si="171">CI36/CI30</f>
        <v>0.68270654697698241</v>
      </c>
      <c r="CJ37" s="41">
        <f t="shared" si="171"/>
        <v>0.68154668633053739</v>
      </c>
      <c r="CK37" s="41">
        <f t="shared" ref="CK37:CL37" si="172">CK36/CK30</f>
        <v>0.6905947103463822</v>
      </c>
      <c r="CL37" s="41">
        <f t="shared" si="172"/>
        <v>0.69670327239750951</v>
      </c>
      <c r="CM37" s="42">
        <f t="shared" ref="CM37:DB37" si="173">AVERAGE(CI37:CL37)</f>
        <v>0.68788780401285288</v>
      </c>
      <c r="CN37" s="42">
        <f t="shared" si="173"/>
        <v>0.68918311827182044</v>
      </c>
      <c r="CO37" s="42">
        <f t="shared" si="173"/>
        <v>0.69109222625714128</v>
      </c>
      <c r="CP37" s="42">
        <f t="shared" si="173"/>
        <v>0.69121660523483097</v>
      </c>
      <c r="CQ37" s="42">
        <f t="shared" si="173"/>
        <v>0.68984493844416139</v>
      </c>
      <c r="CR37" s="42">
        <f t="shared" si="173"/>
        <v>0.69033422205198858</v>
      </c>
      <c r="CS37" s="42">
        <f t="shared" si="173"/>
        <v>0.6906219979970305</v>
      </c>
      <c r="CT37" s="42">
        <f t="shared" si="173"/>
        <v>0.69050444093200281</v>
      </c>
      <c r="CU37" s="42">
        <f t="shared" si="173"/>
        <v>0.69032639985629585</v>
      </c>
      <c r="CV37" s="42">
        <f t="shared" si="173"/>
        <v>0.69044676520932946</v>
      </c>
      <c r="CW37" s="42">
        <f t="shared" si="173"/>
        <v>0.6904749009986646</v>
      </c>
      <c r="CX37" s="42">
        <f t="shared" si="173"/>
        <v>0.69043812674907312</v>
      </c>
      <c r="CY37" s="42">
        <f t="shared" si="173"/>
        <v>0.69042154820334067</v>
      </c>
      <c r="CZ37" s="42">
        <f t="shared" si="173"/>
        <v>0.69044533529010199</v>
      </c>
      <c r="DA37" s="42">
        <f t="shared" si="173"/>
        <v>0.69044497781029501</v>
      </c>
      <c r="DB37" s="42">
        <f t="shared" si="173"/>
        <v>0.69043749701320278</v>
      </c>
      <c r="DE37" s="125"/>
      <c r="DF37" s="41">
        <v>0.68748012647404044</v>
      </c>
    </row>
    <row r="38" spans="1:110" s="39" customFormat="1" x14ac:dyDescent="0.2">
      <c r="A38" s="39" t="s">
        <v>447</v>
      </c>
      <c r="C38" s="39">
        <f t="shared" ref="C38:AE38" si="174">+IF(B36&lt;0,1-C36/B36,C36/B36-1)</f>
        <v>0.24845738545307317</v>
      </c>
      <c r="D38" s="39">
        <f t="shared" si="174"/>
        <v>7.3114675972543175E-2</v>
      </c>
      <c r="E38" s="39">
        <f t="shared" si="174"/>
        <v>0.10429413576488611</v>
      </c>
      <c r="F38" s="39">
        <f t="shared" si="174"/>
        <v>0.21229374960270975</v>
      </c>
      <c r="G38" s="39">
        <f t="shared" si="174"/>
        <v>0.2598307317443791</v>
      </c>
      <c r="H38" s="39">
        <f t="shared" si="174"/>
        <v>0.12339983844430891</v>
      </c>
      <c r="I38" s="39">
        <f t="shared" si="174"/>
        <v>6.7459711382734433E-2</v>
      </c>
      <c r="J38" s="39">
        <f t="shared" si="174"/>
        <v>0.25011657669896836</v>
      </c>
      <c r="K38" s="39">
        <f t="shared" si="174"/>
        <v>9.1968561340420862E-2</v>
      </c>
      <c r="L38" s="39">
        <f t="shared" si="174"/>
        <v>6.1542389045724288E-2</v>
      </c>
      <c r="M38" s="39">
        <f t="shared" si="174"/>
        <v>-0.21499363098421065</v>
      </c>
      <c r="N38" s="39">
        <f t="shared" si="174"/>
        <v>2.656705680804694E-2</v>
      </c>
      <c r="O38" s="39">
        <f t="shared" si="174"/>
        <v>0.43142080353061241</v>
      </c>
      <c r="P38" s="39">
        <f t="shared" si="174"/>
        <v>0.13395033731870809</v>
      </c>
      <c r="Q38" s="39">
        <f t="shared" si="174"/>
        <v>-7.8024998302845816E-2</v>
      </c>
      <c r="R38" s="39">
        <f t="shared" si="174"/>
        <v>0.10286987575504103</v>
      </c>
      <c r="S38" s="39">
        <f t="shared" si="174"/>
        <v>6.7419307655877558E-2</v>
      </c>
      <c r="T38" s="39">
        <f t="shared" si="174"/>
        <v>0.20128407333843579</v>
      </c>
      <c r="U38" s="39">
        <f t="shared" si="174"/>
        <v>9.2852255580986975E-2</v>
      </c>
      <c r="V38" s="39">
        <f t="shared" si="174"/>
        <v>0.172290404592504</v>
      </c>
      <c r="W38" s="39">
        <f t="shared" si="174"/>
        <v>0.17918207934617048</v>
      </c>
      <c r="X38" s="39">
        <f t="shared" si="174"/>
        <v>0.25281031286913658</v>
      </c>
      <c r="Y38" s="39">
        <f t="shared" si="174"/>
        <v>0.1620561621631742</v>
      </c>
      <c r="Z38" s="39">
        <f t="shared" si="174"/>
        <v>0.1300151273115846</v>
      </c>
      <c r="AA38" s="39">
        <f t="shared" si="174"/>
        <v>9.6133566696492867E-2</v>
      </c>
      <c r="AB38" s="40">
        <f t="shared" si="174"/>
        <v>0.14440855887457915</v>
      </c>
      <c r="AC38" s="40">
        <f t="shared" si="174"/>
        <v>9.8710377593230314E-2</v>
      </c>
      <c r="AD38" s="40">
        <f t="shared" si="174"/>
        <v>0.10402392921135872</v>
      </c>
      <c r="AE38" s="40">
        <f t="shared" si="174"/>
        <v>0.10402501802341368</v>
      </c>
      <c r="AM38" s="39">
        <f>+IF(AI36&lt;0,1-AM36/AI36,AM36/AI36-1)</f>
        <v>0.34016715059248193</v>
      </c>
      <c r="AN38" s="39">
        <f t="shared" ref="AN38" si="175">+IF(AJ36&lt;0,1-AN36/AJ36,AN36/AJ36-1)</f>
        <v>0.27602129420739163</v>
      </c>
      <c r="AO38" s="39">
        <f t="shared" ref="AO38" si="176">+IF(AK36&lt;0,1-AO36/AK36,AO36/AK36-1)</f>
        <v>0.27072072072072073</v>
      </c>
      <c r="AP38" s="39">
        <f t="shared" ref="AP38" si="177">+IF(AL36&lt;0,1-AP36/AL36,AP36/AL36-1)</f>
        <v>0.11497484823612614</v>
      </c>
      <c r="AQ38" s="39">
        <f t="shared" ref="AQ38" si="178">+IF(AM36&lt;0,1-AQ36/AM36,AQ36/AM36-1)</f>
        <v>0.10393640848472452</v>
      </c>
      <c r="AR38" s="39">
        <f t="shared" ref="AR38" si="179">+IF(AN36&lt;0,1-AR36/AN36,AR36/AN36-1)</f>
        <v>6.4144391658557787E-2</v>
      </c>
      <c r="AS38" s="39">
        <f t="shared" ref="AS38" si="180">+IF(AO36&lt;0,1-AS36/AO36,AS36/AO36-1)</f>
        <v>9.4320606654572314E-2</v>
      </c>
      <c r="AT38" s="39">
        <f t="shared" ref="AT38" si="181">+IF(AP36&lt;0,1-AT36/AP36,AT36/AP36-1)</f>
        <v>0.10308233905000685</v>
      </c>
      <c r="AU38" s="39">
        <f t="shared" ref="AU38" si="182">+IF(AQ36&lt;0,1-AU36/AQ36,AU36/AQ36-1)</f>
        <v>8.5418572887244526E-2</v>
      </c>
      <c r="AV38" s="39">
        <f t="shared" ref="AV38" si="183">+IF(AR36&lt;0,1-AV36/AR36,AV36/AR36-1)</f>
        <v>-1.0022411474674642E-2</v>
      </c>
      <c r="AW38" s="39">
        <f t="shared" ref="AW38" si="184">+IF(AS36&lt;0,1-AW36/AS36,AW36/AS36-1)</f>
        <v>0.12170908467298869</v>
      </c>
      <c r="AX38" s="39">
        <f t="shared" ref="AX38" si="185">+IF(AT36&lt;0,1-AX36/AT36,AX36/AT36-1)</f>
        <v>0.2645364203404168</v>
      </c>
      <c r="AY38" s="39">
        <f t="shared" ref="AY38" si="186">+IF(AU36&lt;0,1-AY36/AU36,AY36/AU36-1)</f>
        <v>0.21637091109007067</v>
      </c>
      <c r="AZ38" s="39">
        <f t="shared" ref="AZ38" si="187">+IF(AV36&lt;0,1-AZ36/AV36,AZ36/AV36-1)</f>
        <v>0.13109726649280384</v>
      </c>
      <c r="BA38" s="39">
        <f t="shared" ref="BA38" si="188">+IF(AW36&lt;0,1-BA36/AW36,BA36/AW36-1)</f>
        <v>-1.6211502635855246E-2</v>
      </c>
      <c r="BB38" s="39">
        <f t="shared" ref="BB38" si="189">+IF(AX36&lt;0,1-BB36/AX36,BB36/AX36-1)</f>
        <v>8.4909603929352873E-3</v>
      </c>
      <c r="BC38" s="39">
        <f t="shared" ref="BC38" si="190">+IF(AY36&lt;0,1-BC36/AY36,BC36/AY36-1)</f>
        <v>-0.133096632283077</v>
      </c>
      <c r="BD38" s="39">
        <f t="shared" ref="BD38" si="191">+IF(AZ36&lt;0,1-BD36/AZ36,BD36/AZ36-1)</f>
        <v>0.11598279285241531</v>
      </c>
      <c r="BE38" s="39">
        <f t="shared" ref="BE38" si="192">+IF(BA36&lt;0,1-BE36/BA36,BE36/BA36-1)</f>
        <v>0.1390468516173593</v>
      </c>
      <c r="BF38" s="39">
        <f t="shared" ref="BF38" si="193">+IF(BB36&lt;0,1-BF36/BB36,BF36/BB36-1)</f>
        <v>1.0766560451801688E-2</v>
      </c>
      <c r="BG38" s="39">
        <f t="shared" ref="BG38" si="194">+IF(BC36&lt;0,1-BG36/BC36,BG36/BC36-1)</f>
        <v>0.50807250482264799</v>
      </c>
      <c r="BH38" s="39">
        <f t="shared" ref="BH38" si="195">+IF(BD36&lt;0,1-BH36/BD36,BH36/BD36-1)</f>
        <v>0.31915636433200234</v>
      </c>
      <c r="BI38" s="39">
        <f t="shared" ref="BI38" si="196">+IF(BE36&lt;0,1-BI36/BE36,BI36/BE36-1)</f>
        <v>0.29176646555296148</v>
      </c>
      <c r="BJ38" s="39">
        <f t="shared" ref="BJ38" si="197">+IF(BF36&lt;0,1-BJ36/BF36,BJ36/BF36-1)</f>
        <v>0.30684887970761165</v>
      </c>
      <c r="BK38" s="39">
        <f t="shared" ref="BK38" si="198">+IF(BG36&lt;0,1-BK36/BG36,BK36/BG36-1)</f>
        <v>7.311545434989708E-2</v>
      </c>
      <c r="BL38" s="39">
        <f t="shared" ref="BL38" si="199">+IF(BH36&lt;0,1-BL36/BH36,BL36/BH36-1)</f>
        <v>5.0328283102936799E-2</v>
      </c>
      <c r="BM38" s="39">
        <f t="shared" ref="BM38" si="200">+IF(BI36&lt;0,1-BM36/BI36,BM36/BI36-1)</f>
        <v>8.8586203928993301E-2</v>
      </c>
      <c r="BN38" s="39">
        <f t="shared" ref="BN38" si="201">+IF(BJ36&lt;0,1-BN36/BJ36,BN36/BJ36-1)</f>
        <v>0.16329860675285524</v>
      </c>
      <c r="BO38" s="39">
        <f t="shared" ref="BO38" si="202">+IF(BK36&lt;0,1-BO36/BK36,BO36/BK36-1)</f>
        <v>0.20284791775545719</v>
      </c>
      <c r="BP38" s="39">
        <f t="shared" ref="BP38" si="203">+IF(BL36&lt;0,1-BP36/BL36,BP36/BL36-1)</f>
        <v>6.9117154681734849E-2</v>
      </c>
      <c r="BQ38" s="39">
        <f t="shared" ref="BQ38" si="204">+IF(BM36&lt;0,1-BQ36/BM36,BQ36/BM36-1)</f>
        <v>0.2984073823863389</v>
      </c>
      <c r="BR38" s="39">
        <f t="shared" ref="BR38" si="205">+IF(BN36&lt;0,1-BR36/BN36,BR36/BN36-1)</f>
        <v>0.12595422421234392</v>
      </c>
      <c r="BS38" s="39">
        <f t="shared" ref="BS38" si="206">+IF(BO36&lt;0,1-BS36/BO36,BS36/BO36-1)</f>
        <v>0.15897390113977949</v>
      </c>
      <c r="BT38" s="39">
        <f t="shared" ref="BT38" si="207">+IF(BP36&lt;0,1-BT36/BP36,BT36/BP36-1)</f>
        <v>0.24454775856780775</v>
      </c>
      <c r="BU38" s="39">
        <f t="shared" ref="BU38" si="208">+IF(BQ36&lt;0,1-BU36/BQ36,BU36/BQ36-1)</f>
        <v>9.2143936500555856E-2</v>
      </c>
      <c r="BV38" s="39">
        <f t="shared" ref="BV38" si="209">+IF(BR36&lt;0,1-BV36/BR36,BV36/BR36-1)</f>
        <v>0.23306910709098583</v>
      </c>
      <c r="BW38" s="39">
        <f t="shared" ref="BW38" si="210">+IF(BS36&lt;0,1-BW36/BS36,BW36/BS36-1)</f>
        <v>0.26339709847220427</v>
      </c>
      <c r="BX38" s="39">
        <f t="shared" ref="BX38" si="211">+IF(BT36&lt;0,1-BX36/BT36,BX36/BT36-1)</f>
        <v>0.31755214278302391</v>
      </c>
      <c r="BY38" s="39">
        <f t="shared" ref="BY38" si="212">+IF(BU36&lt;0,1-BY36/BU36,BY36/BU36-1)</f>
        <v>0.25107698545436175</v>
      </c>
      <c r="BZ38" s="39">
        <f t="shared" ref="BZ38" si="213">+IF(BV36&lt;0,1-BZ36/BV36,BZ36/BV36-1)</f>
        <v>0.18384495822809388</v>
      </c>
      <c r="CA38" s="39">
        <f t="shared" ref="CA38" si="214">+IF(BW36&lt;0,1-CA36/BW36,CA36/BW36-1)</f>
        <v>0.19145174074751559</v>
      </c>
      <c r="CB38" s="39">
        <f t="shared" ref="CB38" si="215">+IF(BX36&lt;0,1-CB36/BX36,CB36/BX36-1)</f>
        <v>0.14900864360392974</v>
      </c>
      <c r="CC38" s="39">
        <f t="shared" ref="CC38" si="216">+IF(BY36&lt;0,1-CC36/BY36,CC36/BY36-1)</f>
        <v>0.15632975491188961</v>
      </c>
      <c r="CD38" s="39">
        <f t="shared" ref="CD38" si="217">+IF(BZ36&lt;0,1-CD36/BZ36,CD36/BZ36-1)</f>
        <v>0.15178681327698684</v>
      </c>
      <c r="CE38" s="39">
        <f t="shared" ref="CE38" si="218">+IF(CA36&lt;0,1-CE36/CA36,CE36/CA36-1)</f>
        <v>0.13377002200501509</v>
      </c>
      <c r="CF38" s="39">
        <f t="shared" ref="CF38" si="219">+IF(CB36&lt;0,1-CF36/CB36,CF36/CB36-1)</f>
        <v>0.13473961992563011</v>
      </c>
      <c r="CG38" s="39">
        <f t="shared" ref="CG38" si="220">+IF(CC36&lt;0,1-CG36/CC36,CG36/CC36-1)</f>
        <v>0.13290008408071752</v>
      </c>
      <c r="CH38" s="39">
        <f t="shared" ref="CH38:CL38" si="221">+IF(CD36&lt;0,1-CH36/CD36,CH36/CD36-1)</f>
        <v>0.11824739513758997</v>
      </c>
      <c r="CI38" s="39">
        <f t="shared" si="221"/>
        <v>0.12365906868276566</v>
      </c>
      <c r="CJ38" s="39">
        <f t="shared" si="221"/>
        <v>0.11659619450317149</v>
      </c>
      <c r="CK38" s="39">
        <f t="shared" si="221"/>
        <v>0.13689988403556264</v>
      </c>
      <c r="CL38" s="39">
        <f t="shared" si="221"/>
        <v>3.4085117227320438E-3</v>
      </c>
      <c r="CM38" s="40">
        <f t="shared" ref="CM38" si="222">+CM36/CI36-1</f>
        <v>0.1163835841093277</v>
      </c>
      <c r="CN38" s="40">
        <f t="shared" ref="CN38" si="223">+CN36/CJ36-1</f>
        <v>0.12173707772780573</v>
      </c>
      <c r="CO38" s="40">
        <f t="shared" ref="CO38" si="224">+CO36/CK36-1</f>
        <v>0.1099958679351869</v>
      </c>
      <c r="CP38" s="40">
        <f t="shared" ref="CP38" si="225">+CP36/CL36-1</f>
        <v>0.24441514541344889</v>
      </c>
      <c r="CQ38" s="40">
        <f t="shared" ref="CQ38" si="226">+CQ36/CM36-1</f>
        <v>0.10035221603163169</v>
      </c>
      <c r="CR38" s="40">
        <f t="shared" ref="CR38" si="227">+CR36/CN36-1</f>
        <v>9.982986263009419E-2</v>
      </c>
      <c r="CS38" s="40">
        <f t="shared" ref="CS38" si="228">+CS36/CO36-1</f>
        <v>9.7314666975886421E-2</v>
      </c>
      <c r="CT38" s="40">
        <f t="shared" ref="CT38" si="229">+CT36/CP36-1</f>
        <v>9.7232884097594452E-2</v>
      </c>
      <c r="CU38" s="40">
        <f t="shared" ref="CU38" si="230">+CU36/CQ36-1</f>
        <v>0.10429616730040214</v>
      </c>
      <c r="CV38" s="40">
        <f t="shared" ref="CV38" si="231">+CV36/CR36-1</f>
        <v>0.10421129744969071</v>
      </c>
      <c r="CW38" s="40">
        <f t="shared" ref="CW38" si="232">+CW36/CS36-1</f>
        <v>0.10375741455004817</v>
      </c>
      <c r="CX38" s="40">
        <f t="shared" ref="CX38" si="233">+CX36/CT36-1</f>
        <v>0.10381235529578836</v>
      </c>
      <c r="CY38" s="40">
        <f t="shared" ref="CY38" si="234">+CY36/CU36-1</f>
        <v>0.10380137864767636</v>
      </c>
      <c r="CZ38" s="40">
        <f t="shared" ref="CZ38" si="235">+CZ36/CV36-1</f>
        <v>0.10415714687241917</v>
      </c>
      <c r="DA38" s="40">
        <f t="shared" ref="DA38" si="236">+DA36/CW36-1</f>
        <v>0.10407997304647099</v>
      </c>
      <c r="DB38" s="40">
        <f t="shared" ref="DB38" si="237">+DB36/CX36-1</f>
        <v>0.10406625759628452</v>
      </c>
      <c r="DE38" s="122"/>
      <c r="DF38" s="39">
        <v>9.6133566696492867E-2</v>
      </c>
    </row>
    <row r="39" spans="1:110" s="39" customFormat="1" x14ac:dyDescent="0.2">
      <c r="A39" s="39" t="s">
        <v>448</v>
      </c>
      <c r="AB39" s="40"/>
      <c r="AC39" s="40"/>
      <c r="AD39" s="40"/>
      <c r="AE39" s="40"/>
      <c r="AJ39" s="39">
        <f>+IF(AI36&lt;0,1-AJ36/AI36,AJ36/AI36-1)</f>
        <v>0.20876167307541382</v>
      </c>
      <c r="AK39" s="39">
        <f t="shared" ref="AK39" si="238">+IF(AJ36&lt;0,1-AK36/AJ36,AK36/AJ36-1)</f>
        <v>-8.1200396020320365E-2</v>
      </c>
      <c r="AL39" s="39">
        <f t="shared" ref="AL39" si="239">+IF(AK36&lt;0,1-AL36/AK36,AL36/AK36-1)</f>
        <v>8.6848613319201462E-2</v>
      </c>
      <c r="AM39" s="39">
        <f t="shared" ref="AM39" si="240">+IF(AL36&lt;0,1-AM36/AL36,AM36/AL36-1)</f>
        <v>0.11026955864546162</v>
      </c>
      <c r="AN39" s="39">
        <f t="shared" ref="AN39" si="241">+IF(AM36&lt;0,1-AN36/AM36,AN36/AM36-1)</f>
        <v>0.15090541786827916</v>
      </c>
      <c r="AO39" s="39">
        <f t="shared" ref="AO39" si="242">+IF(AN36&lt;0,1-AO36/AN36,AO36/AN36-1)</f>
        <v>-8.5017075916280493E-2</v>
      </c>
      <c r="AP39" s="39">
        <f t="shared" ref="AP39" si="243">+IF(AO36&lt;0,1-AP36/AO36,AP36/AO36-1)</f>
        <v>-4.6360976152247435E-2</v>
      </c>
      <c r="AQ39" s="39">
        <f t="shared" ref="AQ39" si="244">+IF(AP36&lt;0,1-AQ36/AP36,AQ36/AP36-1)</f>
        <v>9.9277702057565032E-2</v>
      </c>
      <c r="AR39" s="39">
        <f t="shared" ref="AR39" si="245">+IF(AQ36&lt;0,1-AR36/AQ36,AR36/AQ36-1)</f>
        <v>0.10942037633766954</v>
      </c>
      <c r="AS39" s="39">
        <f t="shared" ref="AS39" si="246">+IF(AR36&lt;0,1-AS36/AR36,AS36/AR36-1)</f>
        <v>-5.907067085014206E-2</v>
      </c>
      <c r="AT39" s="39">
        <f t="shared" ref="AT39" si="247">+IF(AS36&lt;0,1-AT36/AS36,AT36/AS36-1)</f>
        <v>-3.8725617850496108E-2</v>
      </c>
      <c r="AU39" s="39">
        <f t="shared" ref="AU39" si="248">+IF(AT36&lt;0,1-AU36/AT36,AU36/AT36-1)</f>
        <v>8.1674859921767373E-2</v>
      </c>
      <c r="AV39" s="39">
        <f t="shared" ref="AV39" si="249">+IF(AU36&lt;0,1-AV36/AU36,AV36/AU36-1)</f>
        <v>1.1868910540301592E-2</v>
      </c>
      <c r="AW39" s="39">
        <f t="shared" ref="AW39" si="250">+IF(AV36&lt;0,1-AW36/AV36,AW36/AV36-1)</f>
        <v>6.6134212305611451E-2</v>
      </c>
      <c r="AX39" s="39">
        <f t="shared" ref="AX39" si="251">+IF(AW36&lt;0,1-AX36/AW36,AX36/AW36-1)</f>
        <v>8.3673550279440789E-2</v>
      </c>
      <c r="AY39" s="39">
        <f t="shared" ref="AY39" si="252">+IF(AX36&lt;0,1-AY36/AX36,AY36/AX36-1)</f>
        <v>4.0474448740724922E-2</v>
      </c>
      <c r="AZ39" s="39">
        <f t="shared" ref="AZ39" si="253">+IF(AY36&lt;0,1-AZ36/AY36,AZ36/AY36-1)</f>
        <v>-5.9068127718128083E-2</v>
      </c>
      <c r="BA39" s="39">
        <f t="shared" ref="BA39" si="254">+IF(AZ36&lt;0,1-BA36/AZ36,BA36/AZ36-1)</f>
        <v>-7.2714075275933432E-2</v>
      </c>
      <c r="BB39" s="39">
        <f t="shared" ref="BB39" si="255">+IF(BA36&lt;0,1-BB36/BA36,BB36/BA36-1)</f>
        <v>0.11088407965926095</v>
      </c>
      <c r="BC39" s="39">
        <f t="shared" ref="BC39" si="256">+IF(BB36&lt;0,1-BC36/BB36,BC36/BB36-1)</f>
        <v>-0.10560348177508361</v>
      </c>
      <c r="BD39" s="39">
        <f t="shared" ref="BD39" si="257">+IF(BC36&lt;0,1-BD36/BC36,BD36/BC36-1)</f>
        <v>0.211281231353875</v>
      </c>
      <c r="BE39" s="39">
        <f t="shared" ref="BE39" si="258">+IF(BD36&lt;0,1-BE36/BD36,BE36/BD36-1)</f>
        <v>-5.3549821851311186E-2</v>
      </c>
      <c r="BF39" s="39">
        <f t="shared" ref="BF39" si="259">+IF(BE36&lt;0,1-BF36/BE36,BF36/BE36-1)</f>
        <v>-1.4224499489636333E-2</v>
      </c>
      <c r="BG39" s="39">
        <f t="shared" ref="BG39" si="260">+IF(BF36&lt;0,1-BG36/BF36,BG36/BF36-1)</f>
        <v>0.33444738906004101</v>
      </c>
      <c r="BH39" s="39">
        <f t="shared" ref="BH39" si="261">+IF(BG36&lt;0,1-BH36/BG36,BH36/BG36-1)</f>
        <v>5.9544113579791835E-2</v>
      </c>
      <c r="BI39" s="39">
        <f t="shared" ref="BI39" si="262">+IF(BH36&lt;0,1-BI36/BH36,BI36/BH36-1)</f>
        <v>-7.3201149987854652E-2</v>
      </c>
      <c r="BJ39" s="39">
        <f t="shared" ref="BJ39" si="263">+IF(BI36&lt;0,1-BJ36/BI36,BJ36/BI36-1)</f>
        <v>-2.714776363451521E-3</v>
      </c>
      <c r="BK39" s="39">
        <f t="shared" ref="BK39" si="264">+IF(BJ36&lt;0,1-BK36/BJ36,BK36/BJ36-1)</f>
        <v>9.577789632232947E-2</v>
      </c>
      <c r="BL39" s="39">
        <f t="shared" ref="BL39" si="265">+IF(BK36&lt;0,1-BL36/BK36,BL36/BK36-1)</f>
        <v>3.7045124247392147E-2</v>
      </c>
      <c r="BM39" s="39">
        <f t="shared" ref="BM39" si="266">+IF(BL36&lt;0,1-BM36/BL36,BM36/BL36-1)</f>
        <v>-3.9442755021383058E-2</v>
      </c>
      <c r="BN39" s="39">
        <f t="shared" ref="BN39" si="267">+IF(BM36&lt;0,1-BN36/BM36,BN36/BM36-1)</f>
        <v>6.5731411076453972E-2</v>
      </c>
      <c r="BO39" s="39">
        <f t="shared" ref="BO39" si="268">+IF(BN36&lt;0,1-BO36/BN36,BO36/BN36-1)</f>
        <v>0.13303166810530853</v>
      </c>
      <c r="BP39" s="39">
        <f t="shared" ref="BP39" si="269">+IF(BO36&lt;0,1-BP36/BO36,BP36/BO36-1)</f>
        <v>-7.8251941790911439E-2</v>
      </c>
      <c r="BQ39" s="39">
        <f t="shared" ref="BQ39" si="270">+IF(BP36&lt;0,1-BQ36/BP36,BQ36/BP36-1)</f>
        <v>0.16656496682648081</v>
      </c>
      <c r="BR39" s="39">
        <f t="shared" ref="BR39" si="271">+IF(BQ36&lt;0,1-BR36/BQ36,BR36/BQ36-1)</f>
        <v>-7.5817959405080071E-2</v>
      </c>
      <c r="BS39" s="39">
        <f t="shared" ref="BS39" si="272">+IF(BR36&lt;0,1-BS36/BR36,BS36/BR36-1)</f>
        <v>0.16625889779625136</v>
      </c>
      <c r="BT39" s="39">
        <f t="shared" ref="BT39" si="273">+IF(BS36&lt;0,1-BT36/BS36,BT36/BS36-1)</f>
        <v>-1.0193863140326331E-2</v>
      </c>
      <c r="BU39" s="39">
        <f t="shared" ref="BU39" si="274">+IF(BT36&lt;0,1-BU36/BT36,BU36/BT36-1)</f>
        <v>2.371069835010875E-2</v>
      </c>
      <c r="BV39" s="39">
        <f t="shared" ref="BV39" si="275">+IF(BU36&lt;0,1-BV36/BU36,BV36/BU36-1)</f>
        <v>4.3434189853530425E-2</v>
      </c>
      <c r="BW39" s="39">
        <f t="shared" ref="BW39" si="276">+IF(BV36&lt;0,1-BW36/BV36,BW36/BV36-1)</f>
        <v>0.19494365649893131</v>
      </c>
      <c r="BX39" s="39">
        <f t="shared" ref="BX39" si="277">+IF(BW36&lt;0,1-BX36/BW36,BX36/BW36-1)</f>
        <v>3.2233806881694305E-2</v>
      </c>
      <c r="BY39" s="39">
        <f t="shared" ref="BY39" si="278">+IF(BX36&lt;0,1-BY36/BX36,BY36/BX36-1)</f>
        <v>-2.7939120675736784E-2</v>
      </c>
      <c r="BZ39" s="39">
        <f t="shared" ref="BZ39" si="279">+IF(BY36&lt;0,1-BZ36/BY36,BZ36/BY36-1)</f>
        <v>-1.2639254608061701E-2</v>
      </c>
      <c r="CA39" s="39">
        <f t="shared" ref="CA39" si="280">+IF(BZ36&lt;0,1-CA36/BZ36,CA36/BZ36-1)</f>
        <v>0.20262175357978096</v>
      </c>
      <c r="CB39" s="39">
        <f t="shared" ref="CB39" si="281">+IF(CA36&lt;0,1-CB36/CA36,CB36/CA36-1)</f>
        <v>-4.537468229193431E-3</v>
      </c>
      <c r="CC39" s="39">
        <f t="shared" ref="CC39" si="282">+IF(CB36&lt;0,1-CC36/CB36,CC36/CB36-1)</f>
        <v>-2.1745463269187804E-2</v>
      </c>
      <c r="CD39" s="39">
        <f t="shared" ref="CD39" si="283">+IF(CC36&lt;0,1-CD36/CC36,CD36/CC36-1)</f>
        <v>-1.6518357623318325E-2</v>
      </c>
      <c r="CE39" s="39">
        <f t="shared" ref="CE39" si="284">+IF(CD36&lt;0,1-CE36/CD36,CE36/CD36-1)</f>
        <v>0.18380977825273837</v>
      </c>
      <c r="CF39" s="39">
        <f t="shared" ref="CF39" si="285">+IF(CE36&lt;0,1-CF36/CE36,CF36/CE36-1)</f>
        <v>-3.6861506055819726E-3</v>
      </c>
      <c r="CG39" s="39">
        <f t="shared" ref="CG39" si="286">+IF(CF36&lt;0,1-CG36/CF36,CG36/CF36-1)</f>
        <v>-2.3331319842947673E-2</v>
      </c>
      <c r="CH39" s="39">
        <f t="shared" ref="CH39:CL39" si="287">+IF(CG36&lt;0,1-CH36/CG36,CH36/CG36-1)</f>
        <v>-2.9238500193274231E-2</v>
      </c>
      <c r="CI39" s="39">
        <f t="shared" si="287"/>
        <v>0.18953873598369042</v>
      </c>
      <c r="CJ39" s="39">
        <f t="shared" si="287"/>
        <v>-9.9485833645761579E-3</v>
      </c>
      <c r="CK39" s="39">
        <f t="shared" si="287"/>
        <v>-5.5720101161736979E-3</v>
      </c>
      <c r="CL39" s="39">
        <f t="shared" si="287"/>
        <v>-0.14322240204545156</v>
      </c>
      <c r="CM39" s="40">
        <f t="shared" ref="CM39" si="288">+CM36/CL36-1</f>
        <v>0.3234704529607455</v>
      </c>
      <c r="CN39" s="40">
        <f t="shared" ref="CN39" si="289">+CN36/CM36-1</f>
        <v>-5.2009016390772711E-3</v>
      </c>
      <c r="CO39" s="40">
        <f t="shared" ref="CO39" si="290">+CO36/CN36-1</f>
        <v>-1.5980677070936977E-2</v>
      </c>
      <c r="CP39" s="40">
        <f t="shared" ref="CP39" si="291">+CP36/CO36-1</f>
        <v>-3.9467578263228331E-2</v>
      </c>
      <c r="CQ39" s="40">
        <f t="shared" ref="CQ39" si="292">+CQ36/CP36-1</f>
        <v>0.17025548197093232</v>
      </c>
      <c r="CR39" s="40">
        <f t="shared" ref="CR39" si="293">+CR36/CQ36-1</f>
        <v>-5.6731474212043942E-3</v>
      </c>
      <c r="CS39" s="40">
        <f t="shared" ref="CS39" si="294">+CS36/CR36-1</f>
        <v>-1.8231026155629881E-2</v>
      </c>
      <c r="CT39" s="40">
        <f t="shared" ref="CT39" si="295">+CT36/CS36-1</f>
        <v>-3.9539166758767896E-2</v>
      </c>
      <c r="CU39" s="40">
        <f t="shared" ref="CU39" si="296">+CU36/CT36-1</f>
        <v>0.17778883793264044</v>
      </c>
      <c r="CV39" s="40">
        <f t="shared" ref="CV39" si="297">+CV36/CU36-1</f>
        <v>-5.7495656630091041E-3</v>
      </c>
      <c r="CW39" s="40">
        <f t="shared" ref="CW39" si="298">+CW36/CV36-1</f>
        <v>-1.8634579487910363E-2</v>
      </c>
      <c r="CX39" s="40">
        <f t="shared" ref="CX39" si="299">+CX36/CW36-1</f>
        <v>-3.9491358758806161E-2</v>
      </c>
      <c r="CY39" s="40">
        <f t="shared" ref="CY39" si="300">+CY36/CX36-1</f>
        <v>0.17777712563972936</v>
      </c>
      <c r="CZ39" s="40">
        <f t="shared" ref="CZ39" si="301">+CZ36/CY36-1</f>
        <v>-5.4291070018620546E-3</v>
      </c>
      <c r="DA39" s="40">
        <f t="shared" ref="DA39" si="302">+DA36/CZ36-1</f>
        <v>-1.8703170923802026E-2</v>
      </c>
      <c r="DB39" s="40">
        <f t="shared" ref="DB39" si="303">+DB36/DA36-1</f>
        <v>-3.9503290691949022E-2</v>
      </c>
      <c r="DE39" s="122"/>
    </row>
    <row r="40" spans="1:110" s="23" customFormat="1" outlineLevel="1" x14ac:dyDescent="0.2">
      <c r="A40" s="23" t="s">
        <v>8</v>
      </c>
      <c r="B40" s="23">
        <f>'Annual Raw'!C14</f>
        <v>23.301300000000001</v>
      </c>
      <c r="C40" s="23">
        <f>'Annual Raw'!D14</f>
        <v>24.450600000000001</v>
      </c>
      <c r="D40" s="23">
        <f>'Annual Raw'!E14</f>
        <v>28.279499999999999</v>
      </c>
      <c r="E40" s="23">
        <f>'Annual Raw'!F14</f>
        <v>33.0916</v>
      </c>
      <c r="F40" s="23">
        <f>'Annual Raw'!G14</f>
        <v>43.175400000000003</v>
      </c>
      <c r="G40" s="23">
        <f>'Annual Raw'!H14</f>
        <v>51.813699999999997</v>
      </c>
      <c r="H40" s="23">
        <f>'Annual Raw'!I14</f>
        <v>77.326300000000003</v>
      </c>
      <c r="I40" s="23">
        <f>'Annual Raw'!J14</f>
        <v>85.834699999999998</v>
      </c>
      <c r="J40" s="23">
        <f>'Annual Raw'!K14</f>
        <v>87.823999999999998</v>
      </c>
      <c r="K40" s="23">
        <f>'Annual Raw'!L14</f>
        <v>91.709299999999999</v>
      </c>
      <c r="L40" s="23">
        <f>'Annual Raw'!M14</f>
        <v>124.93300000000001</v>
      </c>
      <c r="M40" s="23">
        <f>'Annual Raw'!N14</f>
        <v>112.66330000000001</v>
      </c>
      <c r="N40" s="23">
        <f>'Annual Raw'!O14</f>
        <v>130.0453</v>
      </c>
      <c r="O40" s="23">
        <f>'Annual Raw'!P14</f>
        <v>143.666</v>
      </c>
      <c r="P40" s="23">
        <f>'Annual Raw'!Q14</f>
        <v>159.55629999999999</v>
      </c>
      <c r="Q40" s="23">
        <f>'Annual Raw'!R14</f>
        <v>175.30680000000001</v>
      </c>
      <c r="R40" s="23">
        <f>'Annual Raw'!S14</f>
        <v>217.3416</v>
      </c>
      <c r="S40" s="23">
        <f>'Annual Raw'!T14</f>
        <v>251.09870000000001</v>
      </c>
      <c r="T40" s="23">
        <f>'Annual Raw'!U14</f>
        <v>288.17590000000001</v>
      </c>
      <c r="U40" s="23">
        <f>'Annual Raw'!V14</f>
        <v>322.91669999999999</v>
      </c>
      <c r="V40" s="23">
        <f>'Annual Raw'!W14</f>
        <v>340.60090000000002</v>
      </c>
      <c r="W40" s="23">
        <f>'Annual Raw'!X14</f>
        <v>439.24220000000003</v>
      </c>
      <c r="X40" s="23">
        <f>'Annual Raw'!Y14</f>
        <v>543.45100000000002</v>
      </c>
      <c r="Y40" s="23">
        <f>'Annual Raw'!Z14</f>
        <v>601.41110000000003</v>
      </c>
      <c r="Z40" s="23">
        <f>'Annual Raw'!AA14</f>
        <v>687.6078</v>
      </c>
      <c r="AA40" s="23">
        <f>'Annual Raw'!AB14</f>
        <v>772.70249999999999</v>
      </c>
      <c r="AB40" s="76">
        <f t="shared" ref="AB40:AB45" si="304">+SUM(CM40:CP40)</f>
        <v>826.78899999999999</v>
      </c>
      <c r="AC40" s="76">
        <f t="shared" ref="AC40:AC45" si="305">+SUM(CQ40:CT40)</f>
        <v>884.66423000000009</v>
      </c>
      <c r="AD40" s="76">
        <f t="shared" ref="AD40:AD45" si="306">+SUM(CU40:CX40)</f>
        <v>946.5907261000001</v>
      </c>
      <c r="AE40" s="76">
        <f t="shared" ref="AE40:AE45" si="307">+SUM(CY40:DB40)</f>
        <v>1012.8520769270002</v>
      </c>
      <c r="AI40" s="23">
        <f>'QTR Raw'!C16</f>
        <v>30.795000000000002</v>
      </c>
      <c r="AJ40" s="23">
        <f>'QTR Raw'!D16</f>
        <v>28.928000000000001</v>
      </c>
      <c r="AK40" s="23">
        <f>'QTR Raw'!E16</f>
        <v>29.056000000000001</v>
      </c>
      <c r="AL40" s="23">
        <f>'QTR Raw'!F16</f>
        <v>31.349</v>
      </c>
      <c r="AM40" s="23">
        <f>'QTR Raw'!G16</f>
        <v>33.9</v>
      </c>
      <c r="AN40" s="23">
        <f>'QTR Raw'!H16</f>
        <v>33.067</v>
      </c>
      <c r="AO40" s="23">
        <f>'QTR Raw'!I16</f>
        <v>31.952999999999999</v>
      </c>
      <c r="AP40" s="23">
        <f>'QTR Raw'!J16</f>
        <v>32.926000000000002</v>
      </c>
      <c r="AQ40" s="23">
        <f>'QTR Raw'!K16</f>
        <v>37.183</v>
      </c>
      <c r="AR40" s="23">
        <f>'QTR Raw'!L16</f>
        <v>35.531999999999996</v>
      </c>
      <c r="AS40" s="23">
        <f>'QTR Raw'!M16</f>
        <v>35.514000000000003</v>
      </c>
      <c r="AT40" s="23">
        <f>'QTR Raw'!N16</f>
        <v>38.588999999999999</v>
      </c>
      <c r="AU40" s="23">
        <f>'QTR Raw'!O16</f>
        <v>40.584000000000003</v>
      </c>
      <c r="AV40" s="23">
        <f>'QTR Raw'!P16</f>
        <v>39.945</v>
      </c>
      <c r="AW40" s="23">
        <f>'QTR Raw'!Q16</f>
        <v>38.719000000000001</v>
      </c>
      <c r="AX40" s="23">
        <f>'QTR Raw'!R16</f>
        <v>46.710999999999999</v>
      </c>
      <c r="AY40" s="23">
        <f>'QTR Raw'!S16</f>
        <v>46.204999999999998</v>
      </c>
      <c r="AZ40" s="23">
        <f>'QTR Raw'!T16</f>
        <v>44.734000000000002</v>
      </c>
      <c r="BA40" s="23">
        <f>'QTR Raw'!U16</f>
        <v>47.026000000000003</v>
      </c>
      <c r="BB40" s="23">
        <f>'QTR Raw'!V16</f>
        <v>49.896000000000001</v>
      </c>
      <c r="BC40" s="23">
        <f>'QTR Raw'!W16</f>
        <v>55.822000000000003</v>
      </c>
      <c r="BD40" s="23">
        <f>'QTR Raw'!X16</f>
        <v>52.997999999999998</v>
      </c>
      <c r="BE40" s="23">
        <f>'QTR Raw'!Y16</f>
        <v>53.106999999999999</v>
      </c>
      <c r="BF40" s="23">
        <f>'QTR Raw'!Z16</f>
        <v>55.384</v>
      </c>
      <c r="BG40" s="23">
        <f>'QTR Raw'!AA16</f>
        <v>67.463999999999999</v>
      </c>
      <c r="BH40" s="23">
        <f>'QTR Raw'!AB16</f>
        <v>73.751000000000005</v>
      </c>
      <c r="BI40" s="23">
        <f>'QTR Raw'!AC16</f>
        <v>72.259</v>
      </c>
      <c r="BJ40" s="23">
        <f>'QTR Raw'!AD16</f>
        <v>74.701999999999998</v>
      </c>
      <c r="BK40" s="23">
        <f>'QTR Raw'!AE16</f>
        <v>78.054000000000002</v>
      </c>
      <c r="BL40" s="23">
        <f>'QTR Raw'!AF16</f>
        <v>77.022000000000006</v>
      </c>
      <c r="BM40" s="23">
        <f>'QTR Raw'!AG16</f>
        <v>82.316000000000003</v>
      </c>
      <c r="BN40" s="23">
        <f>'QTR Raw'!AH16</f>
        <v>85.525000000000006</v>
      </c>
      <c r="BO40" s="23">
        <f>'QTR Raw'!AI16</f>
        <v>88.665999999999997</v>
      </c>
      <c r="BP40" s="23">
        <f>'QTR Raw'!AJ16</f>
        <v>81.070999999999998</v>
      </c>
      <c r="BQ40" s="23">
        <f>'QTR Raw'!AK16</f>
        <v>84.697999999999993</v>
      </c>
      <c r="BR40" s="23">
        <f>'QTR Raw'!AL16</f>
        <v>86.165000000000006</v>
      </c>
      <c r="BS40" s="23">
        <f>'QTR Raw'!AM16</f>
        <v>98.14</v>
      </c>
      <c r="BT40" s="23">
        <f>'QTR Raw'!AN16</f>
        <v>105.4</v>
      </c>
      <c r="BU40" s="23">
        <f>'QTR Raw'!AO16</f>
        <v>119.47</v>
      </c>
      <c r="BV40" s="23">
        <f>'QTR Raw'!AP16</f>
        <v>116.23</v>
      </c>
      <c r="BW40" s="23">
        <f>'QTR Raw'!AQ16</f>
        <v>133.87</v>
      </c>
      <c r="BX40" s="23">
        <f>'QTR Raw'!AR16</f>
        <v>135.62</v>
      </c>
      <c r="BY40" s="23">
        <f>'QTR Raw'!AS16</f>
        <v>138.33000000000001</v>
      </c>
      <c r="BZ40" s="23">
        <f>'QTR Raw'!AT16</f>
        <v>135.63</v>
      </c>
      <c r="CA40" s="23">
        <f>'QTR Raw'!AU16</f>
        <v>148.75</v>
      </c>
      <c r="CB40" s="23">
        <f>'QTR Raw'!AV16</f>
        <v>148.28</v>
      </c>
      <c r="CC40" s="23">
        <f>'QTR Raw'!AW16</f>
        <v>151.68</v>
      </c>
      <c r="CD40" s="23">
        <f>'QTR Raw'!AX16</f>
        <v>152.69999999999999</v>
      </c>
      <c r="CE40" s="23">
        <f>'QTR Raw'!AY16</f>
        <v>166.91</v>
      </c>
      <c r="CF40" s="23">
        <f>'QTR Raw'!AZ16</f>
        <v>170.57</v>
      </c>
      <c r="CG40" s="23">
        <f>'QTR Raw'!BA16</f>
        <v>173.31</v>
      </c>
      <c r="CH40" s="23">
        <f>'QTR Raw'!BB16</f>
        <v>176.82</v>
      </c>
      <c r="CI40" s="23">
        <f>'QTR Raw'!BC16</f>
        <v>194.29</v>
      </c>
      <c r="CJ40" s="23">
        <f>'QTR Raw'!BD16</f>
        <v>188.26</v>
      </c>
      <c r="CK40" s="23">
        <f>'QTR Raw'!BE16</f>
        <v>191.42</v>
      </c>
      <c r="CL40" s="23">
        <f>'QTR Raw'!BF16</f>
        <v>198.73</v>
      </c>
      <c r="CM40" s="24">
        <f t="shared" ref="CM40:DB40" si="308">CI40*107%</f>
        <v>207.8903</v>
      </c>
      <c r="CN40" s="24">
        <f t="shared" si="308"/>
        <v>201.43819999999999</v>
      </c>
      <c r="CO40" s="24">
        <f t="shared" si="308"/>
        <v>204.8194</v>
      </c>
      <c r="CP40" s="24">
        <f t="shared" si="308"/>
        <v>212.64109999999999</v>
      </c>
      <c r="CQ40" s="24">
        <f t="shared" si="308"/>
        <v>222.442621</v>
      </c>
      <c r="CR40" s="24">
        <f t="shared" si="308"/>
        <v>215.53887400000002</v>
      </c>
      <c r="CS40" s="24">
        <f t="shared" si="308"/>
        <v>219.15675800000002</v>
      </c>
      <c r="CT40" s="24">
        <f t="shared" si="308"/>
        <v>227.52597700000001</v>
      </c>
      <c r="CU40" s="24">
        <f t="shared" si="308"/>
        <v>238.01360447000002</v>
      </c>
      <c r="CV40" s="24">
        <f t="shared" si="308"/>
        <v>230.62659518000004</v>
      </c>
      <c r="CW40" s="24">
        <f t="shared" si="308"/>
        <v>234.49773106000004</v>
      </c>
      <c r="CX40" s="24">
        <f t="shared" si="308"/>
        <v>243.45279539000003</v>
      </c>
      <c r="CY40" s="24">
        <f t="shared" si="308"/>
        <v>254.67455678290003</v>
      </c>
      <c r="CZ40" s="24">
        <f t="shared" si="308"/>
        <v>246.77045684260005</v>
      </c>
      <c r="DA40" s="24">
        <f t="shared" si="308"/>
        <v>250.91257223420004</v>
      </c>
      <c r="DB40" s="24">
        <f t="shared" si="308"/>
        <v>260.49449106730003</v>
      </c>
      <c r="DE40" s="123"/>
      <c r="DF40" s="23">
        <v>772.70249999999999</v>
      </c>
    </row>
    <row r="41" spans="1:110" s="23" customFormat="1" outlineLevel="1" x14ac:dyDescent="0.2">
      <c r="A41" s="23" t="s">
        <v>10</v>
      </c>
      <c r="B41" s="23">
        <f>'Annual Raw'!C17</f>
        <v>11.9254</v>
      </c>
      <c r="C41" s="23">
        <f>'Annual Raw'!D17</f>
        <v>15.146599999999999</v>
      </c>
      <c r="D41" s="23">
        <f>'Annual Raw'!E17</f>
        <v>17.2349</v>
      </c>
      <c r="E41" s="23">
        <f>'Annual Raw'!F17</f>
        <v>19.410499999999999</v>
      </c>
      <c r="F41" s="23">
        <f>'Annual Raw'!G17</f>
        <v>22.681100000000001</v>
      </c>
      <c r="G41" s="23">
        <f>'Annual Raw'!H17</f>
        <v>26.651499999999999</v>
      </c>
      <c r="H41" s="23">
        <f>'Annual Raw'!I17</f>
        <v>24.7089</v>
      </c>
      <c r="I41" s="23">
        <f>'Annual Raw'!J17</f>
        <v>34.947800000000001</v>
      </c>
      <c r="J41" s="23">
        <f>'Annual Raw'!K17</f>
        <v>33.676299999999998</v>
      </c>
      <c r="K41" s="23">
        <f>'Annual Raw'!L17</f>
        <v>41.946100000000001</v>
      </c>
      <c r="L41" s="23">
        <f>'Annual Raw'!M17</f>
        <v>30.252800000000001</v>
      </c>
      <c r="M41" s="23">
        <f>'Annual Raw'!N17</f>
        <v>31.305800000000001</v>
      </c>
      <c r="N41" s="23">
        <f>'Annual Raw'!O17</f>
        <v>27.936299999999999</v>
      </c>
      <c r="O41" s="23">
        <f>'Annual Raw'!P17</f>
        <v>31.6921</v>
      </c>
      <c r="P41" s="23">
        <f>'Annual Raw'!Q17</f>
        <v>32.455399999999997</v>
      </c>
      <c r="Q41" s="23">
        <f>'Annual Raw'!R17</f>
        <v>34.8232</v>
      </c>
      <c r="R41" s="23">
        <f>'Annual Raw'!S17</f>
        <v>42.258099999999999</v>
      </c>
      <c r="S41" s="23">
        <f>'Annual Raw'!T17</f>
        <v>53.9634</v>
      </c>
      <c r="T41" s="23">
        <f>'Annual Raw'!U17</f>
        <v>52.967599999999997</v>
      </c>
      <c r="U41" s="23">
        <f>'Annual Raw'!V17</f>
        <v>48.137599999999999</v>
      </c>
      <c r="V41" s="23">
        <f>'Annual Raw'!W17</f>
        <v>56.353499999999997</v>
      </c>
      <c r="W41" s="23">
        <f>'Annual Raw'!X17</f>
        <v>100.459</v>
      </c>
      <c r="X41" s="23">
        <f>'Annual Raw'!Y17</f>
        <v>110.09010000000001</v>
      </c>
      <c r="Y41" s="23">
        <f>'Annual Raw'!Z17</f>
        <v>119.6922</v>
      </c>
      <c r="Z41" s="23">
        <f>'Annual Raw'!AA17</f>
        <v>127.18340000000001</v>
      </c>
      <c r="AA41" s="23">
        <f>'Annual Raw'!AB17</f>
        <v>150.5847</v>
      </c>
      <c r="AB41" s="76">
        <f t="shared" si="304"/>
        <v>0</v>
      </c>
      <c r="AC41" s="76">
        <f t="shared" si="305"/>
        <v>0</v>
      </c>
      <c r="AD41" s="76">
        <f t="shared" si="306"/>
        <v>0</v>
      </c>
      <c r="AE41" s="76">
        <f t="shared" si="307"/>
        <v>0</v>
      </c>
      <c r="AI41" s="23">
        <f>'QTR Raw'!C17</f>
        <v>0</v>
      </c>
      <c r="AJ41" s="23">
        <f>'QTR Raw'!D17</f>
        <v>0</v>
      </c>
      <c r="AK41" s="23">
        <f>'QTR Raw'!E17</f>
        <v>0</v>
      </c>
      <c r="AL41" s="23">
        <f>'QTR Raw'!F17</f>
        <v>0</v>
      </c>
      <c r="AM41" s="23">
        <f>'QTR Raw'!G17</f>
        <v>0</v>
      </c>
      <c r="AN41" s="23">
        <f>'QTR Raw'!H17</f>
        <v>0</v>
      </c>
      <c r="AO41" s="23">
        <f>'QTR Raw'!I17</f>
        <v>0</v>
      </c>
      <c r="AP41" s="23">
        <f>'QTR Raw'!J17</f>
        <v>0</v>
      </c>
      <c r="AQ41" s="23">
        <f>'QTR Raw'!K17</f>
        <v>0</v>
      </c>
      <c r="AR41" s="23">
        <f>'QTR Raw'!L17</f>
        <v>0</v>
      </c>
      <c r="AS41" s="23">
        <f>'QTR Raw'!M17</f>
        <v>0</v>
      </c>
      <c r="AT41" s="23">
        <f>'QTR Raw'!N17</f>
        <v>0</v>
      </c>
      <c r="AU41" s="23">
        <f>'QTR Raw'!O17</f>
        <v>0</v>
      </c>
      <c r="AV41" s="23">
        <f>'QTR Raw'!P17</f>
        <v>0</v>
      </c>
      <c r="AW41" s="23">
        <f>'QTR Raw'!Q17</f>
        <v>0</v>
      </c>
      <c r="AX41" s="23">
        <f>'QTR Raw'!R17</f>
        <v>0</v>
      </c>
      <c r="AY41" s="23">
        <f>'QTR Raw'!S17</f>
        <v>0</v>
      </c>
      <c r="AZ41" s="23">
        <f>'QTR Raw'!T17</f>
        <v>0</v>
      </c>
      <c r="BA41" s="23">
        <f>'QTR Raw'!U17</f>
        <v>0</v>
      </c>
      <c r="BB41" s="23">
        <f>'QTR Raw'!V17</f>
        <v>0</v>
      </c>
      <c r="BC41" s="23">
        <f>'QTR Raw'!W17</f>
        <v>0</v>
      </c>
      <c r="BD41" s="23">
        <f>'QTR Raw'!X17</f>
        <v>0</v>
      </c>
      <c r="BE41" s="23">
        <f>'QTR Raw'!Y17</f>
        <v>0</v>
      </c>
      <c r="BF41" s="23">
        <f>'QTR Raw'!Z17</f>
        <v>0</v>
      </c>
      <c r="BG41" s="23">
        <f>'QTR Raw'!AA17</f>
        <v>0</v>
      </c>
      <c r="BH41" s="23">
        <f>'QTR Raw'!AB17</f>
        <v>0</v>
      </c>
      <c r="BI41" s="23">
        <f>'QTR Raw'!AC17</f>
        <v>0</v>
      </c>
      <c r="BJ41" s="23">
        <f>'QTR Raw'!AD17</f>
        <v>0</v>
      </c>
      <c r="BK41" s="23">
        <f>'QTR Raw'!AE17</f>
        <v>0</v>
      </c>
      <c r="BL41" s="23">
        <f>'QTR Raw'!AF17</f>
        <v>0</v>
      </c>
      <c r="BM41" s="23">
        <f>'QTR Raw'!AG17</f>
        <v>0</v>
      </c>
      <c r="BN41" s="23">
        <f>'QTR Raw'!AH17</f>
        <v>0</v>
      </c>
      <c r="BO41" s="23">
        <f>'QTR Raw'!AI17</f>
        <v>0</v>
      </c>
      <c r="BP41" s="23">
        <f>'QTR Raw'!AJ17</f>
        <v>0</v>
      </c>
      <c r="BQ41" s="23">
        <f>'QTR Raw'!AK17</f>
        <v>0</v>
      </c>
      <c r="BR41" s="23">
        <f>'QTR Raw'!AL17</f>
        <v>0</v>
      </c>
      <c r="BS41" s="23">
        <f>'QTR Raw'!AM17</f>
        <v>0</v>
      </c>
      <c r="BT41" s="23">
        <f>'QTR Raw'!AN17</f>
        <v>0</v>
      </c>
      <c r="BU41" s="23">
        <f>'QTR Raw'!AO17</f>
        <v>0</v>
      </c>
      <c r="BV41" s="23">
        <f>'QTR Raw'!AP17</f>
        <v>0</v>
      </c>
      <c r="BW41" s="23">
        <f>'QTR Raw'!AQ17</f>
        <v>0</v>
      </c>
      <c r="BX41" s="23">
        <f>'QTR Raw'!AR17</f>
        <v>0</v>
      </c>
      <c r="BY41" s="23">
        <f>'QTR Raw'!AS17</f>
        <v>0</v>
      </c>
      <c r="BZ41" s="23">
        <f>'QTR Raw'!AT17</f>
        <v>0</v>
      </c>
      <c r="CA41" s="23">
        <f>'QTR Raw'!AU17</f>
        <v>0</v>
      </c>
      <c r="CB41" s="23">
        <f>'QTR Raw'!AV17</f>
        <v>0</v>
      </c>
      <c r="CC41" s="23">
        <f>'QTR Raw'!AW17</f>
        <v>0</v>
      </c>
      <c r="CD41" s="23">
        <f>'QTR Raw'!AX17</f>
        <v>0</v>
      </c>
      <c r="CE41" s="23">
        <f>'QTR Raw'!AY17</f>
        <v>0</v>
      </c>
      <c r="CF41" s="23">
        <f>'QTR Raw'!AZ17</f>
        <v>0</v>
      </c>
      <c r="CG41" s="23">
        <f>'QTR Raw'!BA17</f>
        <v>0</v>
      </c>
      <c r="CH41" s="23">
        <f>'QTR Raw'!BB17</f>
        <v>0</v>
      </c>
      <c r="CI41" s="23">
        <f>'QTR Raw'!BC17</f>
        <v>0</v>
      </c>
      <c r="CJ41" s="23">
        <f>'QTR Raw'!BD17</f>
        <v>0</v>
      </c>
      <c r="CK41" s="23">
        <f>'QTR Raw'!BE17</f>
        <v>0</v>
      </c>
      <c r="CL41" s="23">
        <f>'QTR Raw'!BF17</f>
        <v>0</v>
      </c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E41" s="123"/>
      <c r="DF41" s="23">
        <v>150.5847</v>
      </c>
    </row>
    <row r="42" spans="1:110" s="23" customFormat="1" outlineLevel="1" x14ac:dyDescent="0.2">
      <c r="A42" s="23" t="s">
        <v>12</v>
      </c>
      <c r="B42" s="23">
        <f>'Annual Raw'!C19-'Annual Raw'!C20</f>
        <v>18.214500000000001</v>
      </c>
      <c r="C42" s="23">
        <f>'Annual Raw'!D19-'Annual Raw'!D20</f>
        <v>24.398700000000002</v>
      </c>
      <c r="D42" s="23">
        <f>'Annual Raw'!E19-'Annual Raw'!E20</f>
        <v>16.8003</v>
      </c>
      <c r="E42" s="23">
        <f>'Annual Raw'!F19-'Annual Raw'!F20</f>
        <v>19.103000000000002</v>
      </c>
      <c r="F42" s="23">
        <f>'Annual Raw'!G19-'Annual Raw'!G20</f>
        <v>19.936299999999999</v>
      </c>
      <c r="G42" s="23">
        <f>'Annual Raw'!H19-'Annual Raw'!H20</f>
        <v>24.283100000000001</v>
      </c>
      <c r="H42" s="23">
        <f>'Annual Raw'!I19-'Annual Raw'!I20</f>
        <v>29.853400000000001</v>
      </c>
      <c r="I42" s="23">
        <f>'Annual Raw'!J19-'Annual Raw'!J20</f>
        <v>42.782499999999999</v>
      </c>
      <c r="J42" s="23">
        <f>'Annual Raw'!K19-'Annual Raw'!K20</f>
        <v>123.3271</v>
      </c>
      <c r="K42" s="23">
        <f>'Annual Raw'!L19-'Annual Raw'!L20</f>
        <v>46.720500000000001</v>
      </c>
      <c r="L42" s="23">
        <f>'Annual Raw'!M19-'Annual Raw'!M20</f>
        <v>50.420400000000001</v>
      </c>
      <c r="M42" s="23">
        <f>'Annual Raw'!N19-'Annual Raw'!N20</f>
        <v>86.004499999999993</v>
      </c>
      <c r="N42" s="23">
        <f>'Annual Raw'!O19-'Annual Raw'!O20</f>
        <v>73.444400000000002</v>
      </c>
      <c r="O42" s="23">
        <f>'Annual Raw'!P19-'Annual Raw'!P20</f>
        <v>61.721299999999999</v>
      </c>
      <c r="P42" s="23">
        <f>'Annual Raw'!Q19-'Annual Raw'!Q20</f>
        <v>79.009299999999996</v>
      </c>
      <c r="Q42" s="23">
        <f>'Annual Raw'!R19-'Annual Raw'!R20</f>
        <v>76.653800000000004</v>
      </c>
      <c r="R42" s="23">
        <f>'Annual Raw'!S19-'Annual Raw'!S20</f>
        <v>63.339399999999998</v>
      </c>
      <c r="S42" s="23">
        <f>'Annual Raw'!T19-'Annual Raw'!T20</f>
        <v>81.613900000000001</v>
      </c>
      <c r="T42" s="23">
        <f>'Annual Raw'!U19-'Annual Raw'!U20</f>
        <v>72.384600000000006</v>
      </c>
      <c r="U42" s="23">
        <f>'Annual Raw'!V19-'Annual Raw'!V20</f>
        <v>76.11</v>
      </c>
      <c r="V42" s="23">
        <f>'Annual Raw'!W19-'Annual Raw'!W20</f>
        <v>63.3795</v>
      </c>
      <c r="W42" s="23">
        <f>'Annual Raw'!X19-'Annual Raw'!X20</f>
        <v>71.720699999999994</v>
      </c>
      <c r="X42" s="23">
        <f>'Annual Raw'!Y19-'Annual Raw'!Y20</f>
        <v>95.375200000000007</v>
      </c>
      <c r="Y42" s="23">
        <f>'Annual Raw'!Z19-'Annual Raw'!Z20</f>
        <v>97.241500000000002</v>
      </c>
      <c r="Z42" s="23">
        <f>'Annual Raw'!AA19-'Annual Raw'!AA20</f>
        <v>95.980800000000002</v>
      </c>
      <c r="AA42" s="23">
        <f>'Annual Raw'!AB19-'Annual Raw'!AB20</f>
        <v>122.8038</v>
      </c>
      <c r="AB42" s="76">
        <f t="shared" si="304"/>
        <v>0</v>
      </c>
      <c r="AC42" s="76">
        <f t="shared" si="305"/>
        <v>0</v>
      </c>
      <c r="AD42" s="76">
        <f t="shared" si="306"/>
        <v>0</v>
      </c>
      <c r="AE42" s="76">
        <f t="shared" si="307"/>
        <v>0</v>
      </c>
      <c r="AI42" s="23">
        <f>+'QTR Raw'!C21</f>
        <v>0</v>
      </c>
      <c r="AJ42" s="23">
        <f>+'QTR Raw'!D21</f>
        <v>0</v>
      </c>
      <c r="AK42" s="23">
        <f>+'QTR Raw'!E21</f>
        <v>0</v>
      </c>
      <c r="AL42" s="23">
        <f>+'QTR Raw'!F21</f>
        <v>0</v>
      </c>
      <c r="AM42" s="23">
        <f>+'QTR Raw'!G21</f>
        <v>0</v>
      </c>
      <c r="AN42" s="23">
        <f>+'QTR Raw'!H21</f>
        <v>0</v>
      </c>
      <c r="AO42" s="23">
        <f>+'QTR Raw'!I21</f>
        <v>0</v>
      </c>
      <c r="AP42" s="23">
        <f>+'QTR Raw'!J21</f>
        <v>0</v>
      </c>
      <c r="AQ42" s="23">
        <f>+'QTR Raw'!K21</f>
        <v>0</v>
      </c>
      <c r="AR42" s="23">
        <f>+'QTR Raw'!L21</f>
        <v>0</v>
      </c>
      <c r="AS42" s="23">
        <f>+'QTR Raw'!M21</f>
        <v>0</v>
      </c>
      <c r="AT42" s="23">
        <f>+'QTR Raw'!N21</f>
        <v>0</v>
      </c>
      <c r="AU42" s="23">
        <f>+'QTR Raw'!O21</f>
        <v>0</v>
      </c>
      <c r="AV42" s="23">
        <f>+'QTR Raw'!P21</f>
        <v>0</v>
      </c>
      <c r="AW42" s="23">
        <f>+'QTR Raw'!Q21</f>
        <v>0</v>
      </c>
      <c r="AX42" s="23">
        <f>+'QTR Raw'!R21</f>
        <v>0</v>
      </c>
      <c r="AY42" s="23">
        <f>+'QTR Raw'!S21</f>
        <v>0</v>
      </c>
      <c r="AZ42" s="23">
        <f>+'QTR Raw'!T21</f>
        <v>0</v>
      </c>
      <c r="BA42" s="23">
        <f>+'QTR Raw'!U21</f>
        <v>0</v>
      </c>
      <c r="BB42" s="23">
        <f>+'QTR Raw'!V21</f>
        <v>0</v>
      </c>
      <c r="BC42" s="23">
        <f>+'QTR Raw'!W21</f>
        <v>0</v>
      </c>
      <c r="BD42" s="23">
        <f>+'QTR Raw'!X21</f>
        <v>0</v>
      </c>
      <c r="BE42" s="23">
        <f>+'QTR Raw'!Y21</f>
        <v>0</v>
      </c>
      <c r="BF42" s="23">
        <f>+'QTR Raw'!Z21</f>
        <v>0</v>
      </c>
      <c r="BG42" s="23">
        <f>+'QTR Raw'!AA21</f>
        <v>0</v>
      </c>
      <c r="BH42" s="23">
        <f>+'QTR Raw'!AB21</f>
        <v>0</v>
      </c>
      <c r="BI42" s="23">
        <f>+'QTR Raw'!AC21</f>
        <v>0</v>
      </c>
      <c r="BJ42" s="23">
        <f>+'QTR Raw'!AD21</f>
        <v>0</v>
      </c>
      <c r="BK42" s="23">
        <f>+'QTR Raw'!AE21</f>
        <v>0</v>
      </c>
      <c r="BL42" s="23">
        <f>+'QTR Raw'!AF21</f>
        <v>0</v>
      </c>
      <c r="BM42" s="23">
        <f>+'QTR Raw'!AG21</f>
        <v>0</v>
      </c>
      <c r="BN42" s="23">
        <f>+'QTR Raw'!AH21</f>
        <v>0</v>
      </c>
      <c r="BO42" s="23">
        <f>+'QTR Raw'!AI21</f>
        <v>0</v>
      </c>
      <c r="BP42" s="23">
        <f>+'QTR Raw'!AJ21</f>
        <v>0</v>
      </c>
      <c r="BQ42" s="23">
        <f>+'QTR Raw'!AK21</f>
        <v>0</v>
      </c>
      <c r="BR42" s="23">
        <f>+'QTR Raw'!AL21</f>
        <v>0</v>
      </c>
      <c r="BS42" s="23">
        <f>+'QTR Raw'!AM21</f>
        <v>0</v>
      </c>
      <c r="BT42" s="23">
        <f>+'QTR Raw'!AN21</f>
        <v>0</v>
      </c>
      <c r="BU42" s="23">
        <f>+'QTR Raw'!AO21</f>
        <v>0</v>
      </c>
      <c r="BV42" s="23">
        <f>+'QTR Raw'!AP21</f>
        <v>0</v>
      </c>
      <c r="BW42" s="23">
        <f>+'QTR Raw'!AQ21</f>
        <v>0</v>
      </c>
      <c r="BX42" s="23">
        <f>+'QTR Raw'!AR21</f>
        <v>0</v>
      </c>
      <c r="BY42" s="23">
        <f>+'QTR Raw'!AS21</f>
        <v>0</v>
      </c>
      <c r="BZ42" s="23">
        <f>+'QTR Raw'!AT21</f>
        <v>0</v>
      </c>
      <c r="CA42" s="23">
        <f>+'QTR Raw'!AU21</f>
        <v>0</v>
      </c>
      <c r="CB42" s="23">
        <f>+'QTR Raw'!AV21</f>
        <v>0</v>
      </c>
      <c r="CC42" s="23">
        <f>+'QTR Raw'!AW21</f>
        <v>0</v>
      </c>
      <c r="CD42" s="23">
        <f>+'QTR Raw'!AX21</f>
        <v>0</v>
      </c>
      <c r="CE42" s="23">
        <f>+'QTR Raw'!AY21</f>
        <v>0</v>
      </c>
      <c r="CF42" s="23">
        <f>+'QTR Raw'!AZ21</f>
        <v>0</v>
      </c>
      <c r="CG42" s="23">
        <f>+'QTR Raw'!BA21</f>
        <v>0</v>
      </c>
      <c r="CH42" s="23">
        <f>+'QTR Raw'!BB21</f>
        <v>0</v>
      </c>
      <c r="CI42" s="23">
        <f>+'QTR Raw'!BC21</f>
        <v>0</v>
      </c>
      <c r="CJ42" s="23">
        <f>+'QTR Raw'!BD21</f>
        <v>0</v>
      </c>
      <c r="CK42" s="23">
        <f>+'QTR Raw'!BE21</f>
        <v>0</v>
      </c>
      <c r="CL42" s="23">
        <f>+'QTR Raw'!BF21</f>
        <v>0</v>
      </c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E42" s="123"/>
      <c r="DF42" s="23">
        <v>122.8038</v>
      </c>
    </row>
    <row r="43" spans="1:110" s="23" customFormat="1" outlineLevel="1" x14ac:dyDescent="0.2">
      <c r="A43" s="23" t="s">
        <v>9</v>
      </c>
      <c r="B43" s="23">
        <f>'Annual Raw'!C15+'Annual Raw'!C16</f>
        <v>40.666200000000003</v>
      </c>
      <c r="C43" s="23">
        <f>'Annual Raw'!D15+'Annual Raw'!D16</f>
        <v>50.709800000000001</v>
      </c>
      <c r="D43" s="23">
        <f>'Annual Raw'!E15+'Annual Raw'!E16</f>
        <v>51.692500000000003</v>
      </c>
      <c r="E43" s="23">
        <f>'Annual Raw'!F15+'Annual Raw'!F16</f>
        <v>43.416899999999998</v>
      </c>
      <c r="F43" s="23">
        <f>'Annual Raw'!G15+'Annual Raw'!G16</f>
        <v>50.185699999999997</v>
      </c>
      <c r="G43" s="23">
        <f>'Annual Raw'!H15+'Annual Raw'!H16</f>
        <v>66.058700000000002</v>
      </c>
      <c r="H43" s="23">
        <f>'Annual Raw'!I15+'Annual Raw'!I16</f>
        <v>78.402600000000007</v>
      </c>
      <c r="I43" s="23">
        <f>'Annual Raw'!J15+'Annual Raw'!J16</f>
        <v>77.488799999999998</v>
      </c>
      <c r="J43" s="23">
        <f>'Annual Raw'!K15+'Annual Raw'!K16</f>
        <v>107.99509999999999</v>
      </c>
      <c r="K43" s="23">
        <f>'Annual Raw'!L15+'Annual Raw'!L16</f>
        <v>102.7394</v>
      </c>
      <c r="L43" s="23">
        <f>'Annual Raw'!M15+'Annual Raw'!M16</f>
        <v>60.847000000000001</v>
      </c>
      <c r="M43" s="23">
        <f>'Annual Raw'!N15+'Annual Raw'!N16</f>
        <v>52.974699999999999</v>
      </c>
      <c r="N43" s="23">
        <f>'Annual Raw'!O15+'Annual Raw'!O16</f>
        <v>61.748100000000001</v>
      </c>
      <c r="O43" s="23">
        <f>'Annual Raw'!P15+'Annual Raw'!P16</f>
        <v>202.50659999999999</v>
      </c>
      <c r="P43" s="23">
        <f>'Annual Raw'!Q15+'Annual Raw'!Q16</f>
        <v>223.52969999999999</v>
      </c>
      <c r="Q43" s="23">
        <f>'Annual Raw'!R15+'Annual Raw'!R16</f>
        <v>119.35469999999999</v>
      </c>
      <c r="R43" s="23">
        <f>'Annual Raw'!S15+'Annual Raw'!S16</f>
        <v>131.447</v>
      </c>
      <c r="S43" s="23">
        <f>'Annual Raw'!T15+'Annual Raw'!T16</f>
        <v>139.82929999999999</v>
      </c>
      <c r="T43" s="23">
        <f>'Annual Raw'!U15+'Annual Raw'!U16</f>
        <v>150.49100000000001</v>
      </c>
      <c r="U43" s="23">
        <f>'Annual Raw'!V15+'Annual Raw'!V16</f>
        <v>140.7013</v>
      </c>
      <c r="V43" s="23">
        <f>'Annual Raw'!W15+'Annual Raw'!W16</f>
        <v>148.68350000000001</v>
      </c>
      <c r="W43" s="23">
        <f>'Annual Raw'!X15+'Annual Raw'!X16</f>
        <v>194.0034</v>
      </c>
      <c r="X43" s="23">
        <f>'Annual Raw'!Y15+'Annual Raw'!Y16</f>
        <v>210.91059999999999</v>
      </c>
      <c r="Y43" s="23">
        <f>'Annual Raw'!Z15+'Annual Raw'!Z16</f>
        <v>234.81780000000001</v>
      </c>
      <c r="Z43" s="23">
        <f>'Annual Raw'!AA15+'Annual Raw'!AA16</f>
        <v>286.9486</v>
      </c>
      <c r="AA43" s="23">
        <f>'Annual Raw'!AB15+'Annual Raw'!AB16</f>
        <v>291.35149999999999</v>
      </c>
      <c r="AB43" s="76">
        <f t="shared" si="304"/>
        <v>1209.7816267826138</v>
      </c>
      <c r="AC43" s="76">
        <f t="shared" si="305"/>
        <v>1331.6726114599116</v>
      </c>
      <c r="AD43" s="76">
        <f t="shared" si="306"/>
        <v>1464.7786439767706</v>
      </c>
      <c r="AE43" s="76">
        <f t="shared" si="307"/>
        <v>1607.6400618477296</v>
      </c>
      <c r="AI43" s="23">
        <f>'QTR Raw'!C14</f>
        <v>51.167999999999999</v>
      </c>
      <c r="AJ43" s="23">
        <f>'QTR Raw'!D14</f>
        <v>62.46</v>
      </c>
      <c r="AK43" s="23">
        <f>'QTR Raw'!E14</f>
        <v>58.554000000000002</v>
      </c>
      <c r="AL43" s="23">
        <f>'QTR Raw'!F14</f>
        <v>65.284999999999997</v>
      </c>
      <c r="AM43" s="23">
        <f>'QTR Raw'!G14</f>
        <v>62.332999999999998</v>
      </c>
      <c r="AN43" s="23">
        <f>'QTR Raw'!H14</f>
        <v>75.141000000000005</v>
      </c>
      <c r="AO43" s="23">
        <f>'QTR Raw'!I14</f>
        <v>69.007000000000005</v>
      </c>
      <c r="AP43" s="23">
        <f>'QTR Raw'!J14</f>
        <v>86.513999999999996</v>
      </c>
      <c r="AQ43" s="23">
        <f>'QTR Raw'!K14</f>
        <v>65.78</v>
      </c>
      <c r="AR43" s="23">
        <f>'QTR Raw'!L14</f>
        <v>74.227999999999994</v>
      </c>
      <c r="AS43" s="23">
        <f>'QTR Raw'!M14</f>
        <v>75.789000000000001</v>
      </c>
      <c r="AT43" s="23">
        <f>'QTR Raw'!N14</f>
        <v>70.539000000000001</v>
      </c>
      <c r="AU43" s="23">
        <f>'QTR Raw'!O14</f>
        <v>73.224999999999994</v>
      </c>
      <c r="AV43" s="23">
        <f>'QTR Raw'!P14</f>
        <v>75.581999999999994</v>
      </c>
      <c r="AW43" s="23">
        <f>'QTR Raw'!Q14</f>
        <v>72.245000000000005</v>
      </c>
      <c r="AX43" s="23">
        <f>'QTR Raw'!R14</f>
        <v>88.965000000000003</v>
      </c>
      <c r="AY43" s="23">
        <f>'QTR Raw'!S14</f>
        <v>83.709000000000003</v>
      </c>
      <c r="AZ43" s="23">
        <f>'QTR Raw'!T14</f>
        <v>82.47</v>
      </c>
      <c r="BA43" s="23">
        <f>'QTR Raw'!U14</f>
        <v>80.975999999999999</v>
      </c>
      <c r="BB43" s="23">
        <f>'QTR Raw'!V14</f>
        <v>96.233999999999995</v>
      </c>
      <c r="BC43" s="23">
        <f>'QTR Raw'!W14</f>
        <v>85.733000000000004</v>
      </c>
      <c r="BD43" s="23">
        <f>'QTR Raw'!X14</f>
        <v>82.331000000000003</v>
      </c>
      <c r="BE43" s="23">
        <f>'QTR Raw'!Y14</f>
        <v>86.176000000000002</v>
      </c>
      <c r="BF43" s="23">
        <f>'QTR Raw'!Z14</f>
        <v>100.36199999999999</v>
      </c>
      <c r="BG43" s="23">
        <f>'QTR Raw'!AA14</f>
        <v>112.04300000000001</v>
      </c>
      <c r="BH43" s="23">
        <f>'QTR Raw'!AB14</f>
        <v>120.57599999999999</v>
      </c>
      <c r="BI43" s="23">
        <f>'QTR Raw'!AC14</f>
        <v>105.402</v>
      </c>
      <c r="BJ43" s="23">
        <f>'QTR Raw'!AD14</f>
        <v>114.702</v>
      </c>
      <c r="BK43" s="23">
        <f>'QTR Raw'!AE14</f>
        <v>105.328</v>
      </c>
      <c r="BL43" s="23">
        <f>'QTR Raw'!AF14</f>
        <v>112.429</v>
      </c>
      <c r="BM43" s="23">
        <f>'QTR Raw'!AG14</f>
        <v>106.373</v>
      </c>
      <c r="BN43" s="23">
        <f>'QTR Raw'!AH14</f>
        <v>119.313</v>
      </c>
      <c r="BO43" s="23">
        <f>'QTR Raw'!AI14</f>
        <v>91.941999999999993</v>
      </c>
      <c r="BP43" s="23">
        <f>'QTR Raw'!AJ14</f>
        <v>118.565</v>
      </c>
      <c r="BQ43" s="23">
        <f>'QTR Raw'!AK14</f>
        <v>105.63500000000001</v>
      </c>
      <c r="BR43" s="23">
        <f>'QTR Raw'!AL14</f>
        <v>123.871</v>
      </c>
      <c r="BS43" s="23">
        <f>'QTR Raw'!AM14</f>
        <v>127.62</v>
      </c>
      <c r="BT43" s="23">
        <f>'QTR Raw'!AN14</f>
        <v>153.33000000000001</v>
      </c>
      <c r="BU43" s="23">
        <f>'QTR Raw'!AO14</f>
        <v>147.05000000000001</v>
      </c>
      <c r="BV43" s="23">
        <f>'QTR Raw'!AP14</f>
        <v>170.61</v>
      </c>
      <c r="BW43" s="23">
        <f>'QTR Raw'!AQ14</f>
        <v>185.4</v>
      </c>
      <c r="BX43" s="23">
        <f>'QTR Raw'!AR14</f>
        <v>187.69</v>
      </c>
      <c r="BY43" s="23">
        <f>'QTR Raw'!AS14</f>
        <v>180.6</v>
      </c>
      <c r="BZ43" s="23">
        <f>'QTR Raw'!AT14</f>
        <v>188.19</v>
      </c>
      <c r="CA43" s="23">
        <f>'QTR Raw'!AU14</f>
        <v>205.37</v>
      </c>
      <c r="CB43" s="23">
        <f>'QTR Raw'!AV14</f>
        <v>191.75</v>
      </c>
      <c r="CC43" s="23">
        <f>'QTR Raw'!AW14</f>
        <v>196.08</v>
      </c>
      <c r="CD43" s="23">
        <f>'QTR Raw'!AX14</f>
        <v>210.63</v>
      </c>
      <c r="CE43" s="23">
        <f>'QTR Raw'!AY14</f>
        <v>217.37</v>
      </c>
      <c r="CF43" s="23">
        <f>'QTR Raw'!AZ14</f>
        <v>221.11</v>
      </c>
      <c r="CG43" s="23">
        <f>'QTR Raw'!BA14</f>
        <v>218.93</v>
      </c>
      <c r="CH43" s="23">
        <f>'QTR Raw'!BB14</f>
        <v>224.58</v>
      </c>
      <c r="CI43" s="23">
        <f>'QTR Raw'!BC14</f>
        <v>251.68</v>
      </c>
      <c r="CJ43" s="23">
        <f>'QTR Raw'!BD14</f>
        <v>241.55</v>
      </c>
      <c r="CK43" s="23">
        <f>'QTR Raw'!BE14</f>
        <v>248.05</v>
      </c>
      <c r="CL43" s="23">
        <f>'QTR Raw'!BF14</f>
        <v>230.12</v>
      </c>
      <c r="CM43" s="24">
        <f t="shared" ref="CM43:DB43" si="309">CM46-CM40-CM41-CM42-CM44-CM45</f>
        <v>304.46942634378274</v>
      </c>
      <c r="CN43" s="24">
        <f t="shared" si="309"/>
        <v>311.82563716349472</v>
      </c>
      <c r="CO43" s="24">
        <f t="shared" si="309"/>
        <v>307.79449365474352</v>
      </c>
      <c r="CP43" s="24">
        <f t="shared" si="309"/>
        <v>285.69206962059275</v>
      </c>
      <c r="CQ43" s="24">
        <f t="shared" si="309"/>
        <v>344.56683077079822</v>
      </c>
      <c r="CR43" s="24">
        <f t="shared" si="309"/>
        <v>349.04273355576566</v>
      </c>
      <c r="CS43" s="24">
        <f t="shared" si="309"/>
        <v>335.14872404812564</v>
      </c>
      <c r="CT43" s="24">
        <f t="shared" si="309"/>
        <v>302.91432308522212</v>
      </c>
      <c r="CU43" s="24">
        <f t="shared" si="309"/>
        <v>381.96326096251687</v>
      </c>
      <c r="CV43" s="24">
        <f t="shared" si="309"/>
        <v>384.26774958474658</v>
      </c>
      <c r="CW43" s="24">
        <f t="shared" si="309"/>
        <v>366.86834727942158</v>
      </c>
      <c r="CX43" s="24">
        <f t="shared" si="309"/>
        <v>331.67928615008566</v>
      </c>
      <c r="CY43" s="24">
        <f t="shared" si="309"/>
        <v>419.67849472979958</v>
      </c>
      <c r="CZ43" s="24">
        <f t="shared" si="309"/>
        <v>421.46543852118191</v>
      </c>
      <c r="DA43" s="24">
        <f t="shared" si="309"/>
        <v>402.22547696132608</v>
      </c>
      <c r="DB43" s="24">
        <f t="shared" si="309"/>
        <v>364.27065163542204</v>
      </c>
      <c r="DE43" s="123"/>
      <c r="DF43" s="23">
        <v>291.35149999999999</v>
      </c>
    </row>
    <row r="44" spans="1:110" s="23" customFormat="1" outlineLevel="1" x14ac:dyDescent="0.2">
      <c r="A44" s="23" t="s">
        <v>7</v>
      </c>
      <c r="B44" s="23">
        <f>'Annual Raw'!C13</f>
        <v>8.1624999999999996</v>
      </c>
      <c r="C44" s="23">
        <f>'Annual Raw'!D13</f>
        <v>8.1155000000000008</v>
      </c>
      <c r="D44" s="23">
        <f>'Annual Raw'!E13</f>
        <v>8.6542999999999992</v>
      </c>
      <c r="E44" s="23">
        <f>'Annual Raw'!F13</f>
        <v>9.6753</v>
      </c>
      <c r="F44" s="23">
        <f>'Annual Raw'!G13</f>
        <v>10.859299999999999</v>
      </c>
      <c r="G44" s="23">
        <f>'Annual Raw'!H13</f>
        <v>12.4643</v>
      </c>
      <c r="H44" s="23">
        <f>'Annual Raw'!I13</f>
        <v>13.523999999999999</v>
      </c>
      <c r="I44" s="23">
        <f>'Annual Raw'!J13</f>
        <v>16.5884</v>
      </c>
      <c r="J44" s="23">
        <f>'Annual Raw'!K13</f>
        <v>15.9688</v>
      </c>
      <c r="K44" s="23">
        <f>'Annual Raw'!L13</f>
        <v>18.035</v>
      </c>
      <c r="L44" s="23">
        <f>'Annual Raw'!M13</f>
        <v>23.341699999999999</v>
      </c>
      <c r="M44" s="23">
        <f>'Annual Raw'!N13</f>
        <v>29.885000000000002</v>
      </c>
      <c r="N44" s="23">
        <f>'Annual Raw'!O13</f>
        <v>39.747700000000002</v>
      </c>
      <c r="O44" s="23">
        <f>'Annual Raw'!P13</f>
        <v>46.6051</v>
      </c>
      <c r="P44" s="23">
        <f>'Annual Raw'!Q13</f>
        <v>53.016399999999997</v>
      </c>
      <c r="Q44" s="23">
        <f>'Annual Raw'!R13</f>
        <v>55.2834</v>
      </c>
      <c r="R44" s="23">
        <f>'Annual Raw'!S13</f>
        <v>54.891399999999997</v>
      </c>
      <c r="S44" s="23">
        <f>'Annual Raw'!T13</f>
        <v>58.280299999999997</v>
      </c>
      <c r="T44" s="23">
        <f>'Annual Raw'!U13</f>
        <v>63.286000000000001</v>
      </c>
      <c r="U44" s="23">
        <f>'Annual Raw'!V13</f>
        <v>61.5396</v>
      </c>
      <c r="V44" s="23">
        <f>'Annual Raw'!W13</f>
        <v>62.604900000000001</v>
      </c>
      <c r="W44" s="23">
        <f>'Annual Raw'!X13</f>
        <v>71.472899999999996</v>
      </c>
      <c r="X44" s="23">
        <f>'Annual Raw'!Y13</f>
        <v>91.543899999999994</v>
      </c>
      <c r="Y44" s="23">
        <f>'Annual Raw'!Z13</f>
        <v>88.0839</v>
      </c>
      <c r="Z44" s="23">
        <f>'Annual Raw'!AA13</f>
        <v>83.950800000000001</v>
      </c>
      <c r="AA44" s="23">
        <f>'Annual Raw'!AB13</f>
        <v>84.011200000000002</v>
      </c>
      <c r="AB44" s="76">
        <f t="shared" si="304"/>
        <v>0</v>
      </c>
      <c r="AC44" s="76">
        <f t="shared" si="305"/>
        <v>0</v>
      </c>
      <c r="AD44" s="76">
        <f t="shared" si="306"/>
        <v>0</v>
      </c>
      <c r="AE44" s="76">
        <f t="shared" si="307"/>
        <v>0</v>
      </c>
      <c r="AI44" s="23">
        <f>'QTR Raw'!C15</f>
        <v>0</v>
      </c>
      <c r="AJ44" s="23">
        <f>'QTR Raw'!D15</f>
        <v>0</v>
      </c>
      <c r="AK44" s="23">
        <f>'QTR Raw'!E15</f>
        <v>0</v>
      </c>
      <c r="AL44" s="23">
        <f>'QTR Raw'!F15</f>
        <v>0</v>
      </c>
      <c r="AM44" s="23">
        <f>'QTR Raw'!G15</f>
        <v>0</v>
      </c>
      <c r="AN44" s="23">
        <f>'QTR Raw'!H15</f>
        <v>0</v>
      </c>
      <c r="AO44" s="23">
        <f>'QTR Raw'!I15</f>
        <v>0</v>
      </c>
      <c r="AP44" s="23">
        <f>'QTR Raw'!J15</f>
        <v>0</v>
      </c>
      <c r="AQ44" s="23">
        <f>'QTR Raw'!K15</f>
        <v>0</v>
      </c>
      <c r="AR44" s="23">
        <f>'QTR Raw'!L15</f>
        <v>0</v>
      </c>
      <c r="AS44" s="23">
        <f>'QTR Raw'!M15</f>
        <v>0</v>
      </c>
      <c r="AT44" s="23">
        <f>'QTR Raw'!N15</f>
        <v>0</v>
      </c>
      <c r="AU44" s="23">
        <f>'QTR Raw'!O15</f>
        <v>0</v>
      </c>
      <c r="AV44" s="23">
        <f>'QTR Raw'!P15</f>
        <v>0</v>
      </c>
      <c r="AW44" s="23">
        <f>'QTR Raw'!Q15</f>
        <v>0</v>
      </c>
      <c r="AX44" s="23">
        <f>'QTR Raw'!R15</f>
        <v>0</v>
      </c>
      <c r="AY44" s="23">
        <f>'QTR Raw'!S15</f>
        <v>0</v>
      </c>
      <c r="AZ44" s="23">
        <f>'QTR Raw'!T15</f>
        <v>0</v>
      </c>
      <c r="BA44" s="23">
        <f>'QTR Raw'!U15</f>
        <v>0</v>
      </c>
      <c r="BB44" s="23">
        <f>'QTR Raw'!V15</f>
        <v>0</v>
      </c>
      <c r="BC44" s="23">
        <f>'QTR Raw'!W15</f>
        <v>0</v>
      </c>
      <c r="BD44" s="23">
        <f>'QTR Raw'!X15</f>
        <v>0</v>
      </c>
      <c r="BE44" s="23">
        <f>'QTR Raw'!Y15</f>
        <v>0</v>
      </c>
      <c r="BF44" s="23">
        <f>'QTR Raw'!Z15</f>
        <v>0</v>
      </c>
      <c r="BG44" s="23">
        <f>'QTR Raw'!AA15</f>
        <v>0</v>
      </c>
      <c r="BH44" s="23">
        <f>'QTR Raw'!AB15</f>
        <v>0</v>
      </c>
      <c r="BI44" s="23">
        <f>'QTR Raw'!AC15</f>
        <v>0</v>
      </c>
      <c r="BJ44" s="23">
        <f>'QTR Raw'!AD15</f>
        <v>0</v>
      </c>
      <c r="BK44" s="23">
        <f>'QTR Raw'!AE15</f>
        <v>0</v>
      </c>
      <c r="BL44" s="23">
        <f>'QTR Raw'!AF15</f>
        <v>0</v>
      </c>
      <c r="BM44" s="23">
        <f>'QTR Raw'!AG15</f>
        <v>0</v>
      </c>
      <c r="BN44" s="23">
        <f>'QTR Raw'!AH15</f>
        <v>0</v>
      </c>
      <c r="BO44" s="23">
        <f>'QTR Raw'!AI15</f>
        <v>0</v>
      </c>
      <c r="BP44" s="23">
        <f>'QTR Raw'!AJ15</f>
        <v>0</v>
      </c>
      <c r="BQ44" s="23">
        <f>'QTR Raw'!AK15</f>
        <v>0</v>
      </c>
      <c r="BR44" s="23">
        <f>'QTR Raw'!AL15</f>
        <v>0</v>
      </c>
      <c r="BS44" s="23">
        <f>'QTR Raw'!AM15</f>
        <v>0</v>
      </c>
      <c r="BT44" s="23">
        <f>'QTR Raw'!AN15</f>
        <v>0</v>
      </c>
      <c r="BU44" s="23">
        <f>'QTR Raw'!AO15</f>
        <v>0</v>
      </c>
      <c r="BV44" s="23">
        <f>'QTR Raw'!AP15</f>
        <v>0</v>
      </c>
      <c r="BW44" s="23">
        <f>'QTR Raw'!AQ15</f>
        <v>0</v>
      </c>
      <c r="BX44" s="23">
        <f>'QTR Raw'!AR15</f>
        <v>0</v>
      </c>
      <c r="BY44" s="23">
        <f>'QTR Raw'!AS15</f>
        <v>0</v>
      </c>
      <c r="BZ44" s="23">
        <f>'QTR Raw'!AT15</f>
        <v>0</v>
      </c>
      <c r="CA44" s="23">
        <f>'QTR Raw'!AU15</f>
        <v>0</v>
      </c>
      <c r="CB44" s="23">
        <f>'QTR Raw'!AV15</f>
        <v>0</v>
      </c>
      <c r="CC44" s="23">
        <f>'QTR Raw'!AW15</f>
        <v>0</v>
      </c>
      <c r="CD44" s="23">
        <f>'QTR Raw'!AX15</f>
        <v>0</v>
      </c>
      <c r="CE44" s="23">
        <f>'QTR Raw'!AY15</f>
        <v>0</v>
      </c>
      <c r="CF44" s="23">
        <f>'QTR Raw'!AZ15</f>
        <v>0</v>
      </c>
      <c r="CG44" s="23">
        <f>'QTR Raw'!BA15</f>
        <v>0</v>
      </c>
      <c r="CH44" s="23">
        <f>'QTR Raw'!BB15</f>
        <v>0</v>
      </c>
      <c r="CI44" s="23">
        <f>'QTR Raw'!BC15</f>
        <v>0</v>
      </c>
      <c r="CJ44" s="23">
        <f>'QTR Raw'!BD15</f>
        <v>0</v>
      </c>
      <c r="CK44" s="23">
        <f>'QTR Raw'!BE15</f>
        <v>0</v>
      </c>
      <c r="CL44" s="23">
        <f>'QTR Raw'!BF15</f>
        <v>0</v>
      </c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E44" s="123"/>
      <c r="DF44" s="23">
        <v>84.011200000000002</v>
      </c>
    </row>
    <row r="45" spans="1:110" s="23" customFormat="1" outlineLevel="1" x14ac:dyDescent="0.2">
      <c r="A45" s="23" t="s">
        <v>11</v>
      </c>
      <c r="B45" s="23">
        <f>'Annual Raw'!C18</f>
        <v>16.214600000000001</v>
      </c>
      <c r="C45" s="23">
        <f>'Annual Raw'!D18</f>
        <v>22.3245</v>
      </c>
      <c r="D45" s="23">
        <f>'Annual Raw'!E18</f>
        <v>25.501799999999999</v>
      </c>
      <c r="E45" s="23">
        <f>'Annual Raw'!F18</f>
        <v>41.7288</v>
      </c>
      <c r="F45" s="23">
        <f>'Annual Raw'!G18</f>
        <v>66.215999999999994</v>
      </c>
      <c r="G45" s="23">
        <f>'Annual Raw'!H18</f>
        <v>84.509200000000007</v>
      </c>
      <c r="H45" s="23">
        <f>'Annual Raw'!I18</f>
        <v>90.107200000000006</v>
      </c>
      <c r="I45" s="23">
        <f>'Annual Raw'!J18</f>
        <v>102.2924</v>
      </c>
      <c r="J45" s="23">
        <f>'Annual Raw'!K18</f>
        <v>103.831</v>
      </c>
      <c r="K45" s="23">
        <f>'Annual Raw'!L18</f>
        <v>110.0274</v>
      </c>
      <c r="L45" s="23">
        <f>'Annual Raw'!M18</f>
        <v>131.59819999999999</v>
      </c>
      <c r="M45" s="23">
        <f>'Annual Raw'!N18</f>
        <v>68.648399999999995</v>
      </c>
      <c r="N45" s="23">
        <f>'Annual Raw'!O18</f>
        <v>56.036799999999999</v>
      </c>
      <c r="O45" s="23">
        <f>'Annual Raw'!P18</f>
        <v>73.594800000000006</v>
      </c>
      <c r="P45" s="23">
        <f>'Annual Raw'!Q18</f>
        <v>75.127300000000005</v>
      </c>
      <c r="Q45" s="23">
        <f>'Annual Raw'!R18</f>
        <v>72.722099999999998</v>
      </c>
      <c r="R45" s="23">
        <f>'Annual Raw'!S18</f>
        <v>78.272499999999994</v>
      </c>
      <c r="S45" s="23">
        <f>'Annual Raw'!T18</f>
        <v>87.437100000000001</v>
      </c>
      <c r="T45" s="23">
        <f>'Annual Raw'!U18</f>
        <v>113.59310000000001</v>
      </c>
      <c r="U45" s="23">
        <f>'Annual Raw'!V18</f>
        <v>116.9542</v>
      </c>
      <c r="V45" s="23">
        <f>'Annual Raw'!W18</f>
        <v>113.2248</v>
      </c>
      <c r="W45" s="23">
        <f>'Annual Raw'!X18</f>
        <v>161.80250000000001</v>
      </c>
      <c r="X45" s="23">
        <f>'Annual Raw'!Y18</f>
        <v>233.95779999999999</v>
      </c>
      <c r="Y45" s="23">
        <f>'Annual Raw'!Z18</f>
        <v>268.39789999999999</v>
      </c>
      <c r="Z45" s="23">
        <f>'Annual Raw'!AA18</f>
        <v>288.6474</v>
      </c>
      <c r="AA45" s="23">
        <f>'Annual Raw'!AB18</f>
        <v>324.31240000000003</v>
      </c>
      <c r="AB45" s="76">
        <f t="shared" si="304"/>
        <v>0</v>
      </c>
      <c r="AC45" s="76">
        <f t="shared" si="305"/>
        <v>0</v>
      </c>
      <c r="AD45" s="76">
        <f t="shared" si="306"/>
        <v>0</v>
      </c>
      <c r="AE45" s="76">
        <f t="shared" si="307"/>
        <v>0</v>
      </c>
      <c r="AI45" s="23">
        <f>'QTR Raw'!C18</f>
        <v>0</v>
      </c>
      <c r="AJ45" s="23">
        <f>'QTR Raw'!D18</f>
        <v>0</v>
      </c>
      <c r="AK45" s="23">
        <f>'QTR Raw'!E18</f>
        <v>0</v>
      </c>
      <c r="AL45" s="23">
        <f>'QTR Raw'!F18</f>
        <v>0</v>
      </c>
      <c r="AM45" s="23">
        <f>'QTR Raw'!G18</f>
        <v>0</v>
      </c>
      <c r="AN45" s="23">
        <f>'QTR Raw'!H18</f>
        <v>0</v>
      </c>
      <c r="AO45" s="23">
        <f>'QTR Raw'!I18</f>
        <v>0</v>
      </c>
      <c r="AP45" s="23">
        <f>'QTR Raw'!J18</f>
        <v>0</v>
      </c>
      <c r="AQ45" s="23">
        <f>'QTR Raw'!K18</f>
        <v>0</v>
      </c>
      <c r="AR45" s="23">
        <f>'QTR Raw'!L18</f>
        <v>0</v>
      </c>
      <c r="AS45" s="23">
        <f>'QTR Raw'!M18</f>
        <v>0</v>
      </c>
      <c r="AT45" s="23">
        <f>'QTR Raw'!N18</f>
        <v>0</v>
      </c>
      <c r="AU45" s="23">
        <f>'QTR Raw'!O18</f>
        <v>0</v>
      </c>
      <c r="AV45" s="23">
        <f>'QTR Raw'!P18</f>
        <v>0</v>
      </c>
      <c r="AW45" s="23">
        <f>'QTR Raw'!Q18</f>
        <v>0</v>
      </c>
      <c r="AX45" s="23">
        <f>'QTR Raw'!R18</f>
        <v>0</v>
      </c>
      <c r="AY45" s="23">
        <f>'QTR Raw'!S18</f>
        <v>0</v>
      </c>
      <c r="AZ45" s="23">
        <f>'QTR Raw'!T18</f>
        <v>0</v>
      </c>
      <c r="BA45" s="23">
        <f>'QTR Raw'!U18</f>
        <v>0</v>
      </c>
      <c r="BB45" s="23">
        <f>'QTR Raw'!V18</f>
        <v>0</v>
      </c>
      <c r="BC45" s="23">
        <f>'QTR Raw'!W18</f>
        <v>0</v>
      </c>
      <c r="BD45" s="23">
        <f>'QTR Raw'!X18</f>
        <v>0</v>
      </c>
      <c r="BE45" s="23">
        <f>'QTR Raw'!Y18</f>
        <v>0</v>
      </c>
      <c r="BF45" s="23">
        <f>'QTR Raw'!Z18</f>
        <v>0</v>
      </c>
      <c r="BG45" s="23">
        <f>'QTR Raw'!AA18</f>
        <v>0</v>
      </c>
      <c r="BH45" s="23">
        <f>'QTR Raw'!AB18</f>
        <v>0</v>
      </c>
      <c r="BI45" s="23">
        <f>'QTR Raw'!AC18</f>
        <v>0</v>
      </c>
      <c r="BJ45" s="23">
        <f>'QTR Raw'!AD18</f>
        <v>0</v>
      </c>
      <c r="BK45" s="23">
        <f>'QTR Raw'!AE18</f>
        <v>0</v>
      </c>
      <c r="BL45" s="23">
        <f>'QTR Raw'!AF18</f>
        <v>0</v>
      </c>
      <c r="BM45" s="23">
        <f>'QTR Raw'!AG18</f>
        <v>0</v>
      </c>
      <c r="BN45" s="23">
        <f>'QTR Raw'!AH18</f>
        <v>0</v>
      </c>
      <c r="BO45" s="23">
        <f>'QTR Raw'!AI18</f>
        <v>0</v>
      </c>
      <c r="BP45" s="23">
        <f>'QTR Raw'!AJ18</f>
        <v>0</v>
      </c>
      <c r="BQ45" s="23">
        <f>'QTR Raw'!AK18</f>
        <v>0</v>
      </c>
      <c r="BR45" s="23">
        <f>'QTR Raw'!AL18</f>
        <v>0</v>
      </c>
      <c r="BS45" s="23">
        <f>'QTR Raw'!AM18</f>
        <v>0</v>
      </c>
      <c r="BT45" s="23">
        <f>'QTR Raw'!AN18</f>
        <v>0</v>
      </c>
      <c r="BU45" s="23">
        <f>'QTR Raw'!AO18</f>
        <v>0</v>
      </c>
      <c r="BV45" s="23">
        <f>'QTR Raw'!AP18</f>
        <v>0</v>
      </c>
      <c r="BW45" s="23">
        <f>'QTR Raw'!AQ18</f>
        <v>0</v>
      </c>
      <c r="BX45" s="23">
        <f>'QTR Raw'!AR18</f>
        <v>0</v>
      </c>
      <c r="BY45" s="23">
        <f>'QTR Raw'!AS18</f>
        <v>0</v>
      </c>
      <c r="BZ45" s="23">
        <f>'QTR Raw'!AT18</f>
        <v>0</v>
      </c>
      <c r="CA45" s="23">
        <f>'QTR Raw'!AU18</f>
        <v>0</v>
      </c>
      <c r="CB45" s="23">
        <f>'QTR Raw'!AV18</f>
        <v>0</v>
      </c>
      <c r="CC45" s="23">
        <f>'QTR Raw'!AW18</f>
        <v>0</v>
      </c>
      <c r="CD45" s="23">
        <f>'QTR Raw'!AX18</f>
        <v>0</v>
      </c>
      <c r="CE45" s="23">
        <f>'QTR Raw'!AY18</f>
        <v>0</v>
      </c>
      <c r="CF45" s="23">
        <f>'QTR Raw'!AZ18</f>
        <v>0</v>
      </c>
      <c r="CG45" s="23">
        <f>'QTR Raw'!BA18</f>
        <v>0</v>
      </c>
      <c r="CH45" s="23">
        <f>'QTR Raw'!BB18</f>
        <v>0</v>
      </c>
      <c r="CI45" s="23">
        <f>'QTR Raw'!BC18</f>
        <v>0</v>
      </c>
      <c r="CJ45" s="23">
        <f>'QTR Raw'!BD18</f>
        <v>0</v>
      </c>
      <c r="CK45" s="23">
        <f>'QTR Raw'!BE18</f>
        <v>0</v>
      </c>
      <c r="CL45" s="23">
        <f>'QTR Raw'!BF18</f>
        <v>0</v>
      </c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E45" s="123"/>
      <c r="DF45" s="23">
        <v>324.31240000000003</v>
      </c>
    </row>
    <row r="46" spans="1:110" s="22" customFormat="1" x14ac:dyDescent="0.2">
      <c r="A46" s="33" t="s">
        <v>348</v>
      </c>
      <c r="B46" s="22">
        <f t="shared" ref="B46:E46" si="310">+SUM(B40:B45)</f>
        <v>118.48450000000001</v>
      </c>
      <c r="C46" s="22">
        <f t="shared" si="310"/>
        <v>145.14570000000001</v>
      </c>
      <c r="D46" s="22">
        <f t="shared" si="310"/>
        <v>148.16329999999999</v>
      </c>
      <c r="E46" s="22">
        <f t="shared" si="310"/>
        <v>166.42609999999999</v>
      </c>
      <c r="F46" s="22">
        <f t="shared" ref="F46:AE46" si="311">+SUM(F40:F45)</f>
        <v>213.05379999999997</v>
      </c>
      <c r="G46" s="22">
        <f t="shared" si="311"/>
        <v>265.78050000000002</v>
      </c>
      <c r="H46" s="22">
        <f t="shared" si="311"/>
        <v>313.92240000000004</v>
      </c>
      <c r="I46" s="22">
        <f t="shared" si="311"/>
        <v>359.93459999999999</v>
      </c>
      <c r="J46" s="22">
        <f t="shared" si="311"/>
        <v>472.6223</v>
      </c>
      <c r="K46" s="22">
        <f t="shared" si="311"/>
        <v>411.17770000000002</v>
      </c>
      <c r="L46" s="22">
        <f t="shared" si="311"/>
        <v>421.3931</v>
      </c>
      <c r="M46" s="22">
        <f t="shared" si="311"/>
        <v>381.48169999999993</v>
      </c>
      <c r="N46" s="22">
        <f t="shared" si="311"/>
        <v>388.95860000000005</v>
      </c>
      <c r="O46" s="22">
        <f t="shared" si="311"/>
        <v>559.78589999999997</v>
      </c>
      <c r="P46" s="22">
        <f t="shared" si="311"/>
        <v>622.69439999999997</v>
      </c>
      <c r="Q46" s="22">
        <f t="shared" si="311"/>
        <v>534.14399999999989</v>
      </c>
      <c r="R46" s="22">
        <f t="shared" si="311"/>
        <v>587.54999999999995</v>
      </c>
      <c r="S46" s="22">
        <f t="shared" si="311"/>
        <v>672.22270000000003</v>
      </c>
      <c r="T46" s="22">
        <f t="shared" si="311"/>
        <v>740.89820000000009</v>
      </c>
      <c r="U46" s="22">
        <f t="shared" si="311"/>
        <v>766.35940000000005</v>
      </c>
      <c r="V46" s="22">
        <f t="shared" si="311"/>
        <v>784.84710000000007</v>
      </c>
      <c r="W46" s="22">
        <f t="shared" si="311"/>
        <v>1038.7006999999999</v>
      </c>
      <c r="X46" s="22">
        <f t="shared" si="311"/>
        <v>1285.3285999999998</v>
      </c>
      <c r="Y46" s="22">
        <f t="shared" si="311"/>
        <v>1409.6443999999999</v>
      </c>
      <c r="Z46" s="22">
        <f t="shared" ref="Z46:AA46" si="312">+SUM(Z40:Z45)</f>
        <v>1570.3188000000002</v>
      </c>
      <c r="AA46" s="22">
        <f t="shared" si="312"/>
        <v>1745.7660999999998</v>
      </c>
      <c r="AB46" s="21">
        <f t="shared" si="311"/>
        <v>2036.5706267826138</v>
      </c>
      <c r="AC46" s="21">
        <f t="shared" si="311"/>
        <v>2216.3368414599117</v>
      </c>
      <c r="AD46" s="21">
        <f t="shared" si="311"/>
        <v>2411.3693700767708</v>
      </c>
      <c r="AE46" s="21">
        <f t="shared" si="311"/>
        <v>2620.4921387747299</v>
      </c>
      <c r="AI46" s="22">
        <f t="shared" ref="AI46:BN46" si="313">+SUM(AI40:AI45)</f>
        <v>81.962999999999994</v>
      </c>
      <c r="AJ46" s="22">
        <f t="shared" si="313"/>
        <v>91.388000000000005</v>
      </c>
      <c r="AK46" s="22">
        <f t="shared" si="313"/>
        <v>87.61</v>
      </c>
      <c r="AL46" s="22">
        <f t="shared" si="313"/>
        <v>96.634</v>
      </c>
      <c r="AM46" s="22">
        <f t="shared" si="313"/>
        <v>96.233000000000004</v>
      </c>
      <c r="AN46" s="22">
        <f t="shared" si="313"/>
        <v>108.208</v>
      </c>
      <c r="AO46" s="22">
        <f t="shared" si="313"/>
        <v>100.96000000000001</v>
      </c>
      <c r="AP46" s="22">
        <f t="shared" si="313"/>
        <v>119.44</v>
      </c>
      <c r="AQ46" s="22">
        <f t="shared" si="313"/>
        <v>102.96299999999999</v>
      </c>
      <c r="AR46" s="22">
        <f t="shared" si="313"/>
        <v>109.75999999999999</v>
      </c>
      <c r="AS46" s="22">
        <f t="shared" si="313"/>
        <v>111.303</v>
      </c>
      <c r="AT46" s="22">
        <f t="shared" si="313"/>
        <v>109.128</v>
      </c>
      <c r="AU46" s="22">
        <f t="shared" si="313"/>
        <v>113.809</v>
      </c>
      <c r="AV46" s="22">
        <f t="shared" si="313"/>
        <v>115.52699999999999</v>
      </c>
      <c r="AW46" s="22">
        <f t="shared" si="313"/>
        <v>110.964</v>
      </c>
      <c r="AX46" s="22">
        <f t="shared" si="313"/>
        <v>135.67599999999999</v>
      </c>
      <c r="AY46" s="22">
        <f t="shared" si="313"/>
        <v>129.91399999999999</v>
      </c>
      <c r="AZ46" s="22">
        <f t="shared" si="313"/>
        <v>127.20400000000001</v>
      </c>
      <c r="BA46" s="22">
        <f t="shared" si="313"/>
        <v>128.00200000000001</v>
      </c>
      <c r="BB46" s="22">
        <f t="shared" si="313"/>
        <v>146.13</v>
      </c>
      <c r="BC46" s="22">
        <f t="shared" si="313"/>
        <v>141.55500000000001</v>
      </c>
      <c r="BD46" s="22">
        <f t="shared" si="313"/>
        <v>135.32900000000001</v>
      </c>
      <c r="BE46" s="22">
        <f t="shared" si="313"/>
        <v>139.28300000000002</v>
      </c>
      <c r="BF46" s="22">
        <f t="shared" si="313"/>
        <v>155.74599999999998</v>
      </c>
      <c r="BG46" s="22">
        <f t="shared" si="313"/>
        <v>179.50700000000001</v>
      </c>
      <c r="BH46" s="22">
        <f t="shared" si="313"/>
        <v>194.327</v>
      </c>
      <c r="BI46" s="22">
        <f t="shared" si="313"/>
        <v>177.661</v>
      </c>
      <c r="BJ46" s="22">
        <f t="shared" si="313"/>
        <v>189.404</v>
      </c>
      <c r="BK46" s="22">
        <f t="shared" si="313"/>
        <v>183.38200000000001</v>
      </c>
      <c r="BL46" s="22">
        <f t="shared" si="313"/>
        <v>189.45100000000002</v>
      </c>
      <c r="BM46" s="22">
        <f t="shared" si="313"/>
        <v>188.68900000000002</v>
      </c>
      <c r="BN46" s="22">
        <f t="shared" si="313"/>
        <v>204.83800000000002</v>
      </c>
      <c r="BO46" s="22">
        <f t="shared" ref="BO46:CH46" si="314">+SUM(BO40:BO45)</f>
        <v>180.608</v>
      </c>
      <c r="BP46" s="22">
        <f t="shared" si="314"/>
        <v>199.636</v>
      </c>
      <c r="BQ46" s="22">
        <f t="shared" si="314"/>
        <v>190.333</v>
      </c>
      <c r="BR46" s="22">
        <f t="shared" si="314"/>
        <v>210.036</v>
      </c>
      <c r="BS46" s="22">
        <f t="shared" si="314"/>
        <v>225.76</v>
      </c>
      <c r="BT46" s="22">
        <f t="shared" si="314"/>
        <v>258.73</v>
      </c>
      <c r="BU46" s="22">
        <f t="shared" si="314"/>
        <v>266.52</v>
      </c>
      <c r="BV46" s="22">
        <f t="shared" si="314"/>
        <v>286.84000000000003</v>
      </c>
      <c r="BW46" s="22">
        <f t="shared" si="314"/>
        <v>319.27</v>
      </c>
      <c r="BX46" s="22">
        <f t="shared" si="314"/>
        <v>323.31</v>
      </c>
      <c r="BY46" s="22">
        <f t="shared" si="314"/>
        <v>318.93</v>
      </c>
      <c r="BZ46" s="22">
        <f t="shared" si="314"/>
        <v>323.82</v>
      </c>
      <c r="CA46" s="22">
        <f t="shared" si="314"/>
        <v>354.12</v>
      </c>
      <c r="CB46" s="22">
        <f t="shared" si="314"/>
        <v>340.03</v>
      </c>
      <c r="CC46" s="22">
        <f t="shared" si="314"/>
        <v>347.76</v>
      </c>
      <c r="CD46" s="22">
        <f t="shared" si="314"/>
        <v>363.33</v>
      </c>
      <c r="CE46" s="22">
        <f t="shared" si="314"/>
        <v>384.28</v>
      </c>
      <c r="CF46" s="22">
        <f t="shared" si="314"/>
        <v>391.68</v>
      </c>
      <c r="CG46" s="22">
        <f t="shared" si="314"/>
        <v>392.24</v>
      </c>
      <c r="CH46" s="22">
        <f t="shared" si="314"/>
        <v>401.4</v>
      </c>
      <c r="CI46" s="22">
        <f t="shared" ref="CI46:CJ46" si="315">+SUM(CI40:CI45)</f>
        <v>445.97</v>
      </c>
      <c r="CJ46" s="22">
        <f t="shared" si="315"/>
        <v>429.81</v>
      </c>
      <c r="CK46" s="22">
        <f t="shared" ref="CK46:CL46" si="316">+SUM(CK40:CK45)</f>
        <v>439.47</v>
      </c>
      <c r="CL46" s="22">
        <f t="shared" si="316"/>
        <v>428.85</v>
      </c>
      <c r="CM46" s="21">
        <f t="shared" ref="CM46:DB46" si="317">CM47*CM30</f>
        <v>512.35972634378277</v>
      </c>
      <c r="CN46" s="21">
        <f t="shared" si="317"/>
        <v>513.26383716349471</v>
      </c>
      <c r="CO46" s="21">
        <f t="shared" si="317"/>
        <v>512.61389365474349</v>
      </c>
      <c r="CP46" s="21">
        <f t="shared" si="317"/>
        <v>498.33316962059274</v>
      </c>
      <c r="CQ46" s="21">
        <f t="shared" si="317"/>
        <v>567.00945177079825</v>
      </c>
      <c r="CR46" s="21">
        <f t="shared" si="317"/>
        <v>564.58160755576569</v>
      </c>
      <c r="CS46" s="21">
        <f t="shared" si="317"/>
        <v>554.30548204812567</v>
      </c>
      <c r="CT46" s="21">
        <f t="shared" si="317"/>
        <v>530.44030008522213</v>
      </c>
      <c r="CU46" s="21">
        <f t="shared" si="317"/>
        <v>619.97686543251689</v>
      </c>
      <c r="CV46" s="21">
        <f t="shared" si="317"/>
        <v>614.89434476474662</v>
      </c>
      <c r="CW46" s="21">
        <f t="shared" si="317"/>
        <v>601.36607833942162</v>
      </c>
      <c r="CX46" s="21">
        <f t="shared" si="317"/>
        <v>575.13208154008566</v>
      </c>
      <c r="CY46" s="21">
        <f t="shared" si="317"/>
        <v>674.35305151269961</v>
      </c>
      <c r="CZ46" s="21">
        <f t="shared" si="317"/>
        <v>668.23589536378199</v>
      </c>
      <c r="DA46" s="21">
        <f t="shared" si="317"/>
        <v>653.13804919552615</v>
      </c>
      <c r="DB46" s="21">
        <f t="shared" si="317"/>
        <v>624.76514270272207</v>
      </c>
      <c r="DE46" s="126"/>
      <c r="DF46" s="22">
        <v>1745.7660999999998</v>
      </c>
    </row>
    <row r="47" spans="1:110" s="44" customFormat="1" x14ac:dyDescent="0.2">
      <c r="A47" s="43" t="s">
        <v>349</v>
      </c>
      <c r="B47" s="44">
        <f t="shared" ref="B47:E47" si="318">B46/B30</f>
        <v>0.52738346193974317</v>
      </c>
      <c r="C47" s="44">
        <f t="shared" si="318"/>
        <v>0.55715338581951757</v>
      </c>
      <c r="D47" s="44">
        <f t="shared" si="318"/>
        <v>0.53921445889418362</v>
      </c>
      <c r="E47" s="44">
        <f t="shared" si="318"/>
        <v>0.54951604605965676</v>
      </c>
      <c r="F47" s="44">
        <f t="shared" ref="F47:AE47" si="319">F46/F30</f>
        <v>0.59921070409447241</v>
      </c>
      <c r="G47" s="44">
        <f t="shared" si="319"/>
        <v>0.57601607761920159</v>
      </c>
      <c r="H47" s="44">
        <f t="shared" si="319"/>
        <v>0.60605400696864109</v>
      </c>
      <c r="I47" s="44">
        <f t="shared" si="319"/>
        <v>0.63744241388049283</v>
      </c>
      <c r="J47" s="44">
        <f t="shared" si="319"/>
        <v>0.6590826465423989</v>
      </c>
      <c r="K47" s="44">
        <f t="shared" si="319"/>
        <v>0.54325068877802796</v>
      </c>
      <c r="L47" s="44">
        <f t="shared" si="319"/>
        <v>0.47305522454494076</v>
      </c>
      <c r="M47" s="44">
        <f t="shared" si="319"/>
        <v>0.47574103182018385</v>
      </c>
      <c r="N47" s="44">
        <f t="shared" si="319"/>
        <v>0.44907874793217056</v>
      </c>
      <c r="O47" s="44">
        <f t="shared" si="319"/>
        <v>0.54780823723532079</v>
      </c>
      <c r="P47" s="44">
        <f t="shared" si="319"/>
        <v>0.54421110441850606</v>
      </c>
      <c r="Q47" s="44">
        <f t="shared" si="319"/>
        <v>0.4337052043016828</v>
      </c>
      <c r="R47" s="44">
        <f t="shared" si="319"/>
        <v>0.4293961121582206</v>
      </c>
      <c r="S47" s="44">
        <f t="shared" si="319"/>
        <v>0.47548310267074972</v>
      </c>
      <c r="T47" s="44">
        <f t="shared" si="319"/>
        <v>0.45088730504203878</v>
      </c>
      <c r="U47" s="44">
        <f t="shared" si="319"/>
        <v>0.43181767854034742</v>
      </c>
      <c r="V47" s="44">
        <f t="shared" si="319"/>
        <v>0.38425402131629949</v>
      </c>
      <c r="W47" s="44">
        <f t="shared" si="319"/>
        <v>0.42846379559679598</v>
      </c>
      <c r="X47" s="44">
        <f t="shared" si="319"/>
        <v>0.40813375032562965</v>
      </c>
      <c r="Y47" s="44">
        <f t="shared" si="319"/>
        <v>0.40458382247228175</v>
      </c>
      <c r="Z47" s="44">
        <f t="shared" ref="Z47:AA47" si="320">Z46/Z30</f>
        <v>0.40079718455536095</v>
      </c>
      <c r="AA47" s="44">
        <f t="shared" si="320"/>
        <v>0.42089047427861553</v>
      </c>
      <c r="AB47" s="52">
        <f t="shared" si="319"/>
        <v>0.43050096774965463</v>
      </c>
      <c r="AC47" s="52">
        <f t="shared" si="319"/>
        <v>0.42672276052016767</v>
      </c>
      <c r="AD47" s="52">
        <f t="shared" si="319"/>
        <v>0.42058885200737495</v>
      </c>
      <c r="AE47" s="52">
        <f t="shared" si="319"/>
        <v>0.41400754965836323</v>
      </c>
      <c r="AI47" s="44">
        <f t="shared" ref="AI47:BN47" si="321">AI46/AI30</f>
        <v>0.45337028309714245</v>
      </c>
      <c r="AJ47" s="44">
        <f t="shared" si="321"/>
        <v>0.42333561859586066</v>
      </c>
      <c r="AK47" s="44">
        <f t="shared" si="321"/>
        <v>0.44269162165303205</v>
      </c>
      <c r="AL47" s="44">
        <f t="shared" si="321"/>
        <v>0.47105447880513202</v>
      </c>
      <c r="AM47" s="44">
        <f t="shared" si="321"/>
        <v>0.40916782883771557</v>
      </c>
      <c r="AN47" s="44">
        <f t="shared" si="321"/>
        <v>0.42961674825605167</v>
      </c>
      <c r="AO47" s="44">
        <f t="shared" si="321"/>
        <v>0.42765164351067442</v>
      </c>
      <c r="AP47" s="44">
        <f t="shared" si="321"/>
        <v>0.52248926062345247</v>
      </c>
      <c r="AQ47" s="44">
        <f t="shared" si="321"/>
        <v>0.39208615286192461</v>
      </c>
      <c r="AR47" s="44">
        <f t="shared" si="321"/>
        <v>0.3920028000200001</v>
      </c>
      <c r="AS47" s="44">
        <f t="shared" si="321"/>
        <v>0.42704056967901843</v>
      </c>
      <c r="AT47" s="44">
        <f t="shared" si="321"/>
        <v>0.42846878398699612</v>
      </c>
      <c r="AU47" s="44">
        <f t="shared" si="321"/>
        <v>0.40212210401348308</v>
      </c>
      <c r="AV47" s="44">
        <f t="shared" si="321"/>
        <v>0.40968764628282039</v>
      </c>
      <c r="AW47" s="44">
        <f t="shared" si="321"/>
        <v>0.39864202187853648</v>
      </c>
      <c r="AX47" s="44">
        <f t="shared" si="321"/>
        <v>0.44813201259087254</v>
      </c>
      <c r="AY47" s="44">
        <f t="shared" si="321"/>
        <v>0.41335972102021068</v>
      </c>
      <c r="AZ47" s="44">
        <f t="shared" si="321"/>
        <v>0.42192060712200818</v>
      </c>
      <c r="BA47" s="44">
        <f t="shared" si="321"/>
        <v>0.46296684775139069</v>
      </c>
      <c r="BB47" s="44">
        <f t="shared" si="321"/>
        <v>0.47714048755640592</v>
      </c>
      <c r="BC47" s="44">
        <f t="shared" si="321"/>
        <v>0.49871757833693864</v>
      </c>
      <c r="BD47" s="44">
        <f t="shared" si="321"/>
        <v>0.38963891984026211</v>
      </c>
      <c r="BE47" s="44">
        <f t="shared" si="321"/>
        <v>0.45705219497148408</v>
      </c>
      <c r="BF47" s="44">
        <f t="shared" si="321"/>
        <v>0.48903835163938025</v>
      </c>
      <c r="BG47" s="44">
        <f t="shared" si="321"/>
        <v>0.4411401861809317</v>
      </c>
      <c r="BH47" s="44">
        <f t="shared" si="321"/>
        <v>0.44637676498760748</v>
      </c>
      <c r="BI47" s="44">
        <f t="shared" si="321"/>
        <v>0.46504949924874223</v>
      </c>
      <c r="BJ47" s="44">
        <f t="shared" si="321"/>
        <v>0.4521299070217108</v>
      </c>
      <c r="BK47" s="44">
        <f t="shared" si="321"/>
        <v>0.41106901885185271</v>
      </c>
      <c r="BL47" s="44">
        <f t="shared" si="321"/>
        <v>0.41508313669298041</v>
      </c>
      <c r="BM47" s="44">
        <f t="shared" si="321"/>
        <v>0.4402121166875082</v>
      </c>
      <c r="BN47" s="44">
        <f t="shared" si="321"/>
        <v>0.46179512093947056</v>
      </c>
      <c r="BO47" s="44">
        <f t="shared" ref="BO47:CH47" si="322">BO46/BO30</f>
        <v>0.34580353638339223</v>
      </c>
      <c r="BP47" s="44">
        <f t="shared" si="322"/>
        <v>0.45007259380833425</v>
      </c>
      <c r="BQ47" s="44">
        <f t="shared" si="322"/>
        <v>0.34718551230625827</v>
      </c>
      <c r="BR47" s="44">
        <f t="shared" si="322"/>
        <v>0.39745295247466667</v>
      </c>
      <c r="BS47" s="44">
        <f t="shared" si="322"/>
        <v>0.37254740177230644</v>
      </c>
      <c r="BT47" s="44">
        <f t="shared" si="322"/>
        <v>0.43629955649989044</v>
      </c>
      <c r="BU47" s="44">
        <f t="shared" si="322"/>
        <v>0.44371930408723881</v>
      </c>
      <c r="BV47" s="44">
        <f t="shared" si="322"/>
        <v>0.45924526489377032</v>
      </c>
      <c r="BW47" s="44">
        <f t="shared" si="322"/>
        <v>0.40681183980836128</v>
      </c>
      <c r="BX47" s="44">
        <f t="shared" si="322"/>
        <v>0.39942429333860446</v>
      </c>
      <c r="BY47" s="44">
        <f t="shared" si="322"/>
        <v>0.40232872046523949</v>
      </c>
      <c r="BZ47" s="44">
        <f t="shared" si="322"/>
        <v>0.42478224367719591</v>
      </c>
      <c r="CA47" s="44">
        <f t="shared" si="322"/>
        <v>0.39513501450569066</v>
      </c>
      <c r="CB47" s="44">
        <f t="shared" si="322"/>
        <v>0.38563522126704014</v>
      </c>
      <c r="CC47" s="44">
        <f t="shared" si="322"/>
        <v>0.41178908479473303</v>
      </c>
      <c r="CD47" s="44">
        <f t="shared" si="322"/>
        <v>0.42162858435937006</v>
      </c>
      <c r="CE47" s="44">
        <f t="shared" si="322"/>
        <v>0.38259657506969336</v>
      </c>
      <c r="CF47" s="44">
        <f t="shared" si="322"/>
        <v>0.39143730886850153</v>
      </c>
      <c r="CG47" s="44">
        <f t="shared" si="322"/>
        <v>0.40710334305493573</v>
      </c>
      <c r="CH47" s="44">
        <f t="shared" si="322"/>
        <v>0.42275772001516615</v>
      </c>
      <c r="CI47" s="44">
        <f t="shared" ref="CI47:CJ47" si="323">CI46/CI30</f>
        <v>0.40767318134449787</v>
      </c>
      <c r="CJ47" s="44">
        <f t="shared" si="323"/>
        <v>0.39617476265093554</v>
      </c>
      <c r="CK47" s="44">
        <f t="shared" ref="CK47:CL47" si="324">CK46/CK30</f>
        <v>0.41275640543992786</v>
      </c>
      <c r="CL47" s="44">
        <f t="shared" si="324"/>
        <v>0.47427092664476961</v>
      </c>
      <c r="CM47" s="52">
        <f t="shared" ref="CM47:CP47" si="325">AVERAGE(CI47:CL47)</f>
        <v>0.42271881902003272</v>
      </c>
      <c r="CN47" s="52">
        <f t="shared" si="325"/>
        <v>0.42648022843891642</v>
      </c>
      <c r="CO47" s="52">
        <f t="shared" si="325"/>
        <v>0.43405659488591164</v>
      </c>
      <c r="CP47" s="52">
        <f t="shared" si="325"/>
        <v>0.43938164224740761</v>
      </c>
      <c r="CQ47" s="52">
        <f>AVERAGE(CM47:CP47)*0.99</f>
        <v>0.42635272793658646</v>
      </c>
      <c r="CR47" s="52">
        <f t="shared" ref="CR47:CT47" si="326">AVERAGE(CN47:CQ47)*0.99</f>
        <v>0.42725212039343347</v>
      </c>
      <c r="CS47" s="52">
        <f t="shared" si="326"/>
        <v>0.42744316365217644</v>
      </c>
      <c r="CT47" s="52">
        <f t="shared" si="326"/>
        <v>0.425806339421827</v>
      </c>
      <c r="CU47" s="52">
        <f t="shared" ref="CU47:DB47" si="327">AVERAGE(CQ47:CT47)*0.99</f>
        <v>0.42244645197249575</v>
      </c>
      <c r="CV47" s="52">
        <f t="shared" si="327"/>
        <v>0.42147964867138332</v>
      </c>
      <c r="CW47" s="52">
        <f t="shared" si="327"/>
        <v>0.42005096192017588</v>
      </c>
      <c r="CX47" s="52">
        <f t="shared" si="327"/>
        <v>0.41822139199150571</v>
      </c>
      <c r="CY47" s="52">
        <f t="shared" si="327"/>
        <v>0.41634411750250122</v>
      </c>
      <c r="CZ47" s="52">
        <f t="shared" si="327"/>
        <v>0.41483378972117763</v>
      </c>
      <c r="DA47" s="52">
        <f t="shared" si="327"/>
        <v>0.41318893963100167</v>
      </c>
      <c r="DB47" s="52">
        <f t="shared" si="327"/>
        <v>0.41149058911443109</v>
      </c>
      <c r="DE47" s="128"/>
      <c r="DF47" s="44">
        <v>0.42089047427861553</v>
      </c>
    </row>
    <row r="48" spans="1:110" s="26" customFormat="1" x14ac:dyDescent="0.2">
      <c r="A48" s="34" t="s">
        <v>13</v>
      </c>
      <c r="B48" s="26">
        <f t="shared" ref="B48:E48" si="328">B36-B46</f>
        <v>37.824799999999996</v>
      </c>
      <c r="C48" s="26">
        <f t="shared" si="328"/>
        <v>49.99980000000005</v>
      </c>
      <c r="D48" s="26">
        <f t="shared" si="328"/>
        <v>61.250200000000007</v>
      </c>
      <c r="E48" s="26">
        <f t="shared" si="328"/>
        <v>64.828000000000003</v>
      </c>
      <c r="F48" s="26">
        <f t="shared" ref="F48:AE48" si="329">F36-F46</f>
        <v>67.294100000000014</v>
      </c>
      <c r="G48" s="26">
        <f t="shared" si="329"/>
        <v>87.410399999999981</v>
      </c>
      <c r="H48" s="26">
        <f t="shared" si="329"/>
        <v>82.852200000000039</v>
      </c>
      <c r="I48" s="26">
        <f t="shared" si="329"/>
        <v>63.606299999999976</v>
      </c>
      <c r="J48" s="26">
        <f t="shared" si="329"/>
        <v>56.853200000000015</v>
      </c>
      <c r="K48" s="26">
        <f t="shared" si="329"/>
        <v>166.99290000000002</v>
      </c>
      <c r="L48" s="26">
        <f t="shared" si="329"/>
        <v>192.35949999999991</v>
      </c>
      <c r="M48" s="26">
        <f t="shared" si="329"/>
        <v>100.31800000000015</v>
      </c>
      <c r="N48" s="26">
        <f t="shared" si="329"/>
        <v>105.64110000000005</v>
      </c>
      <c r="O48" s="26">
        <f t="shared" si="329"/>
        <v>148.19439999999997</v>
      </c>
      <c r="P48" s="26">
        <f t="shared" si="329"/>
        <v>180.12010000000009</v>
      </c>
      <c r="Q48" s="26">
        <f t="shared" si="329"/>
        <v>206.0309000000002</v>
      </c>
      <c r="R48" s="26">
        <f t="shared" si="329"/>
        <v>228.76660000000004</v>
      </c>
      <c r="S48" s="26">
        <f t="shared" si="329"/>
        <v>199.12939999999992</v>
      </c>
      <c r="T48" s="26">
        <f t="shared" si="329"/>
        <v>305.8431999999998</v>
      </c>
      <c r="U48" s="26">
        <f t="shared" si="329"/>
        <v>377.57429999999999</v>
      </c>
      <c r="V48" s="26">
        <f t="shared" si="329"/>
        <v>556.17539999999997</v>
      </c>
      <c r="W48" s="26">
        <f t="shared" si="329"/>
        <v>542.60899999999992</v>
      </c>
      <c r="X48" s="26">
        <f t="shared" si="329"/>
        <v>695.75250000000028</v>
      </c>
      <c r="Y48" s="26">
        <f t="shared" si="329"/>
        <v>892.48309999999969</v>
      </c>
      <c r="Z48" s="26">
        <f t="shared" ref="Z48:AA48" si="330">Z36-Z46</f>
        <v>1031.1200999999994</v>
      </c>
      <c r="AA48" s="26">
        <f t="shared" si="330"/>
        <v>1105.7584000000006</v>
      </c>
      <c r="AB48" s="27">
        <f t="shared" si="329"/>
        <v>1226.7384168579417</v>
      </c>
      <c r="AC48" s="27">
        <f t="shared" si="329"/>
        <v>1369.0946700818063</v>
      </c>
      <c r="AD48" s="27">
        <f t="shared" si="329"/>
        <v>1547.0328152137376</v>
      </c>
      <c r="AE48" s="27">
        <f t="shared" si="329"/>
        <v>1749.6829051845434</v>
      </c>
      <c r="AI48" s="26">
        <f t="shared" ref="AI48:BN48" si="331">AI36-AI46</f>
        <v>19.981000000000009</v>
      </c>
      <c r="AJ48" s="26">
        <f t="shared" si="331"/>
        <v>31.837999999999994</v>
      </c>
      <c r="AK48" s="26">
        <f t="shared" si="331"/>
        <v>25.61</v>
      </c>
      <c r="AL48" s="26">
        <f t="shared" si="331"/>
        <v>26.418999999999997</v>
      </c>
      <c r="AM48" s="26">
        <f t="shared" si="331"/>
        <v>40.388999999999982</v>
      </c>
      <c r="AN48" s="26">
        <f t="shared" si="331"/>
        <v>49.031000000000034</v>
      </c>
      <c r="AO48" s="26">
        <f t="shared" si="331"/>
        <v>42.911000000000001</v>
      </c>
      <c r="AP48" s="26">
        <f t="shared" si="331"/>
        <v>17.761000000000024</v>
      </c>
      <c r="AQ48" s="26">
        <f t="shared" si="331"/>
        <v>47.859000000000009</v>
      </c>
      <c r="AR48" s="26">
        <f t="shared" si="331"/>
        <v>57.564999999999998</v>
      </c>
      <c r="AS48" s="26">
        <f t="shared" si="331"/>
        <v>46.137999999999977</v>
      </c>
      <c r="AT48" s="26">
        <f t="shared" si="331"/>
        <v>42.216000000000022</v>
      </c>
      <c r="AU48" s="26">
        <f t="shared" si="331"/>
        <v>49.895999999999987</v>
      </c>
      <c r="AV48" s="26">
        <f t="shared" si="331"/>
        <v>50.121000000000066</v>
      </c>
      <c r="AW48" s="26">
        <f t="shared" si="331"/>
        <v>65.638999999999982</v>
      </c>
      <c r="AX48" s="26">
        <f t="shared" si="331"/>
        <v>55.704000000000065</v>
      </c>
      <c r="AY48" s="26">
        <f t="shared" si="331"/>
        <v>69.212000000000018</v>
      </c>
      <c r="AZ48" s="26">
        <f t="shared" si="331"/>
        <v>60.160000000000025</v>
      </c>
      <c r="BA48" s="26">
        <f t="shared" si="331"/>
        <v>45.738000000000028</v>
      </c>
      <c r="BB48" s="26">
        <f t="shared" si="331"/>
        <v>46.875000000000028</v>
      </c>
      <c r="BC48" s="26">
        <f t="shared" si="331"/>
        <v>31.068000000000012</v>
      </c>
      <c r="BD48" s="26">
        <f t="shared" si="331"/>
        <v>73.765999999999963</v>
      </c>
      <c r="BE48" s="26">
        <f t="shared" si="331"/>
        <v>58.615000000000038</v>
      </c>
      <c r="BF48" s="26">
        <f t="shared" si="331"/>
        <v>39.337000000000018</v>
      </c>
      <c r="BG48" s="26">
        <f t="shared" si="331"/>
        <v>80.82099999999997</v>
      </c>
      <c r="BH48" s="26">
        <f t="shared" si="331"/>
        <v>81.50200000000001</v>
      </c>
      <c r="BI48" s="26">
        <f t="shared" si="331"/>
        <v>77.977000000000032</v>
      </c>
      <c r="BJ48" s="26">
        <f t="shared" si="331"/>
        <v>65.54000000000002</v>
      </c>
      <c r="BK48" s="26">
        <f t="shared" si="331"/>
        <v>95.979999999999961</v>
      </c>
      <c r="BL48" s="26">
        <f t="shared" si="331"/>
        <v>100.25999999999993</v>
      </c>
      <c r="BM48" s="26">
        <f t="shared" si="331"/>
        <v>89.595000000000027</v>
      </c>
      <c r="BN48" s="26">
        <f t="shared" si="331"/>
        <v>91.737999999999943</v>
      </c>
      <c r="BO48" s="26">
        <f t="shared" ref="BO48:CT48" si="332">BO36-BO46</f>
        <v>155.42199999999997</v>
      </c>
      <c r="BP48" s="26">
        <f t="shared" si="332"/>
        <v>110.09900000000002</v>
      </c>
      <c r="BQ48" s="26">
        <f t="shared" si="332"/>
        <v>170.99300000000002</v>
      </c>
      <c r="BR48" s="26">
        <f t="shared" si="332"/>
        <v>123.89500000000004</v>
      </c>
      <c r="BS48" s="26">
        <f t="shared" si="332"/>
        <v>163.69000000000005</v>
      </c>
      <c r="BT48" s="26">
        <f t="shared" si="332"/>
        <v>126.74999999999994</v>
      </c>
      <c r="BU48" s="26">
        <f t="shared" si="332"/>
        <v>128.09999999999991</v>
      </c>
      <c r="BV48" s="26">
        <f t="shared" si="332"/>
        <v>124.92000000000002</v>
      </c>
      <c r="BW48" s="26">
        <f t="shared" si="332"/>
        <v>172.76</v>
      </c>
      <c r="BX48" s="26">
        <f t="shared" si="332"/>
        <v>184.58000000000004</v>
      </c>
      <c r="BY48" s="26">
        <f t="shared" si="332"/>
        <v>174.7700000000001</v>
      </c>
      <c r="BZ48" s="26">
        <f t="shared" si="332"/>
        <v>163.64000000000004</v>
      </c>
      <c r="CA48" s="26">
        <f t="shared" si="332"/>
        <v>232.11</v>
      </c>
      <c r="CB48" s="26">
        <f t="shared" si="332"/>
        <v>243.53999999999996</v>
      </c>
      <c r="CC48" s="26">
        <f t="shared" si="332"/>
        <v>223.12</v>
      </c>
      <c r="CD48" s="26">
        <f t="shared" si="332"/>
        <v>198.12000000000006</v>
      </c>
      <c r="CE48" s="26">
        <f t="shared" si="332"/>
        <v>280.37</v>
      </c>
      <c r="CF48" s="26">
        <f t="shared" si="332"/>
        <v>270.51999999999992</v>
      </c>
      <c r="CG48" s="26">
        <f t="shared" si="332"/>
        <v>254.51</v>
      </c>
      <c r="CH48" s="26">
        <f t="shared" si="332"/>
        <v>226.43999999999994</v>
      </c>
      <c r="CI48" s="26">
        <f t="shared" ref="CI48:CJ48" si="333">CI36-CI46</f>
        <v>300.87000000000012</v>
      </c>
      <c r="CJ48" s="26">
        <f t="shared" si="333"/>
        <v>309.60000000000008</v>
      </c>
      <c r="CK48" s="26">
        <f t="shared" ref="CK48:CL48" si="334">CK36-CK46</f>
        <v>295.82000000000005</v>
      </c>
      <c r="CL48" s="26">
        <f t="shared" si="334"/>
        <v>201.13</v>
      </c>
      <c r="CM48" s="27">
        <f t="shared" si="332"/>
        <v>321.40018961242765</v>
      </c>
      <c r="CN48" s="27">
        <f t="shared" si="332"/>
        <v>316.15977547922216</v>
      </c>
      <c r="CO48" s="27">
        <f t="shared" si="332"/>
        <v>303.55496807932025</v>
      </c>
      <c r="CP48" s="27">
        <f t="shared" si="332"/>
        <v>285.62348368697184</v>
      </c>
      <c r="CQ48" s="27">
        <f t="shared" si="332"/>
        <v>350.42011938996484</v>
      </c>
      <c r="CR48" s="27">
        <f t="shared" si="332"/>
        <v>347.64325039923006</v>
      </c>
      <c r="CS48" s="27">
        <f t="shared" si="332"/>
        <v>341.28858066167675</v>
      </c>
      <c r="CT48" s="27">
        <f t="shared" si="332"/>
        <v>329.74271963093497</v>
      </c>
      <c r="CU48" s="27">
        <f t="shared" ref="CU48:DB48" si="335">CU36-CU46</f>
        <v>393.13709376836539</v>
      </c>
      <c r="CV48" s="27">
        <f t="shared" si="335"/>
        <v>392.3946492035991</v>
      </c>
      <c r="CW48" s="27">
        <f t="shared" si="335"/>
        <v>387.15250880352369</v>
      </c>
      <c r="CX48" s="27">
        <f t="shared" si="335"/>
        <v>374.34856343824936</v>
      </c>
      <c r="CY48" s="27">
        <f t="shared" si="335"/>
        <v>443.92353338044006</v>
      </c>
      <c r="CZ48" s="27">
        <f t="shared" si="335"/>
        <v>443.96944629229597</v>
      </c>
      <c r="DA48" s="27">
        <f t="shared" si="335"/>
        <v>438.26552585319257</v>
      </c>
      <c r="DB48" s="27">
        <f t="shared" si="335"/>
        <v>423.5243996586147</v>
      </c>
      <c r="DE48" s="121"/>
      <c r="DF48" s="26">
        <v>1105.7584000000006</v>
      </c>
    </row>
    <row r="49" spans="1:110" s="168" customFormat="1" x14ac:dyDescent="0.2">
      <c r="A49" s="165" t="s">
        <v>14</v>
      </c>
      <c r="B49" s="166">
        <f t="shared" ref="B49:E49" si="336">B48/B30</f>
        <v>0.16836104276237307</v>
      </c>
      <c r="C49" s="166">
        <f t="shared" si="336"/>
        <v>0.19192823390771302</v>
      </c>
      <c r="D49" s="166">
        <f t="shared" si="336"/>
        <v>0.2229094077289081</v>
      </c>
      <c r="E49" s="166">
        <f t="shared" si="336"/>
        <v>0.21405312167956486</v>
      </c>
      <c r="F49" s="166">
        <f t="shared" ref="F49:AE49" si="337">F48/F30</f>
        <v>0.18926367444468886</v>
      </c>
      <c r="G49" s="166">
        <f t="shared" si="337"/>
        <v>0.18944127109071376</v>
      </c>
      <c r="H49" s="166">
        <f t="shared" si="337"/>
        <v>0.15995324894358373</v>
      </c>
      <c r="I49" s="166">
        <f t="shared" si="337"/>
        <v>0.11264644579878338</v>
      </c>
      <c r="J49" s="166">
        <f t="shared" si="337"/>
        <v>7.9283092482949541E-2</v>
      </c>
      <c r="K49" s="166">
        <f t="shared" si="337"/>
        <v>0.22063212072551683</v>
      </c>
      <c r="L49" s="166">
        <f t="shared" si="337"/>
        <v>0.21594246907662343</v>
      </c>
      <c r="M49" s="166">
        <f t="shared" si="337"/>
        <v>0.12510531653323681</v>
      </c>
      <c r="N49" s="166">
        <f t="shared" si="337"/>
        <v>0.12196972355972395</v>
      </c>
      <c r="O49" s="166">
        <f t="shared" si="337"/>
        <v>0.14502350457942226</v>
      </c>
      <c r="P49" s="166">
        <f t="shared" si="337"/>
        <v>0.15741808268867008</v>
      </c>
      <c r="Q49" s="166">
        <f t="shared" si="337"/>
        <v>0.16728948294272647</v>
      </c>
      <c r="R49" s="166">
        <f t="shared" si="337"/>
        <v>0.16718830504919549</v>
      </c>
      <c r="S49" s="166">
        <f t="shared" si="337"/>
        <v>0.14085014526430714</v>
      </c>
      <c r="T49" s="166">
        <f t="shared" si="337"/>
        <v>0.18612653697017101</v>
      </c>
      <c r="U49" s="166">
        <f t="shared" si="337"/>
        <v>0.21275038539684732</v>
      </c>
      <c r="V49" s="166">
        <f t="shared" si="337"/>
        <v>0.27229843113034546</v>
      </c>
      <c r="W49" s="166">
        <f t="shared" si="337"/>
        <v>0.22382608547869648</v>
      </c>
      <c r="X49" s="166">
        <f t="shared" si="337"/>
        <v>0.22092411008627116</v>
      </c>
      <c r="Y49" s="166">
        <f t="shared" si="337"/>
        <v>0.25615270353992226</v>
      </c>
      <c r="Z49" s="166">
        <f t="shared" ref="Z49:AA49" si="338">Z48/Z30</f>
        <v>0.26317588060363412</v>
      </c>
      <c r="AA49" s="166">
        <f t="shared" si="338"/>
        <v>0.26658965219542491</v>
      </c>
      <c r="AB49" s="167">
        <f t="shared" si="337"/>
        <v>0.25931439287589925</v>
      </c>
      <c r="AC49" s="167">
        <f t="shared" si="337"/>
        <v>0.26359885650139964</v>
      </c>
      <c r="AD49" s="167">
        <f t="shared" si="337"/>
        <v>0.2698320563588183</v>
      </c>
      <c r="AE49" s="167">
        <f t="shared" si="337"/>
        <v>0.27642972918563313</v>
      </c>
      <c r="AI49" s="166">
        <f t="shared" ref="AI49:BN49" si="339">AI48/AI30</f>
        <v>0.11052293872313126</v>
      </c>
      <c r="AJ49" s="166">
        <f t="shared" si="339"/>
        <v>0.14748281420815651</v>
      </c>
      <c r="AK49" s="166">
        <f t="shared" si="339"/>
        <v>0.12940683061904065</v>
      </c>
      <c r="AL49" s="166">
        <f t="shared" si="339"/>
        <v>0.12878270873142766</v>
      </c>
      <c r="AM49" s="166">
        <f t="shared" si="339"/>
        <v>0.17172777985645762</v>
      </c>
      <c r="AN49" s="166">
        <f t="shared" si="339"/>
        <v>0.19466711133874098</v>
      </c>
      <c r="AO49" s="166">
        <f t="shared" si="339"/>
        <v>0.18176465604879705</v>
      </c>
      <c r="AP49" s="166">
        <f t="shared" si="339"/>
        <v>7.7695342916386065E-2</v>
      </c>
      <c r="AQ49" s="166">
        <f t="shared" si="339"/>
        <v>0.18224848916425176</v>
      </c>
      <c r="AR49" s="166">
        <f t="shared" si="339"/>
        <v>0.20559075421967299</v>
      </c>
      <c r="AS49" s="166">
        <f t="shared" si="339"/>
        <v>0.17701946761408535</v>
      </c>
      <c r="AT49" s="166">
        <f t="shared" si="339"/>
        <v>0.16575249417926688</v>
      </c>
      <c r="AU49" s="166">
        <f t="shared" si="339"/>
        <v>0.17629787188936505</v>
      </c>
      <c r="AV49" s="166">
        <f t="shared" si="339"/>
        <v>0.17774160602578853</v>
      </c>
      <c r="AW49" s="166">
        <f t="shared" si="339"/>
        <v>0.23581038601785487</v>
      </c>
      <c r="AX49" s="166">
        <f t="shared" si="339"/>
        <v>0.18398792438870543</v>
      </c>
      <c r="AY49" s="166">
        <f t="shared" si="339"/>
        <v>0.22021839841164798</v>
      </c>
      <c r="AZ49" s="166">
        <f t="shared" si="339"/>
        <v>0.19954359709175828</v>
      </c>
      <c r="BA49" s="166">
        <f t="shared" si="339"/>
        <v>0.16542849082399586</v>
      </c>
      <c r="BB49" s="166">
        <f t="shared" si="339"/>
        <v>0.1530552272237497</v>
      </c>
      <c r="BC49" s="166">
        <f t="shared" si="339"/>
        <v>0.1094568028241462</v>
      </c>
      <c r="BD49" s="166">
        <f t="shared" si="339"/>
        <v>0.21238688352782301</v>
      </c>
      <c r="BE49" s="166">
        <f t="shared" si="339"/>
        <v>0.19234303115422238</v>
      </c>
      <c r="BF49" s="166">
        <f t="shared" si="339"/>
        <v>0.12351714739664782</v>
      </c>
      <c r="BG49" s="166">
        <f t="shared" si="339"/>
        <v>0.19861838807026505</v>
      </c>
      <c r="BH49" s="166">
        <f t="shared" si="339"/>
        <v>0.18721330077662901</v>
      </c>
      <c r="BI49" s="166">
        <f t="shared" si="339"/>
        <v>0.20411437964955273</v>
      </c>
      <c r="BJ49" s="166">
        <f t="shared" si="339"/>
        <v>0.15645178616187058</v>
      </c>
      <c r="BK49" s="166">
        <f t="shared" si="339"/>
        <v>0.21514873013382341</v>
      </c>
      <c r="BL49" s="166">
        <f t="shared" si="339"/>
        <v>0.21966754086723311</v>
      </c>
      <c r="BM49" s="166">
        <f t="shared" si="339"/>
        <v>0.20902545773530681</v>
      </c>
      <c r="BN49" s="166">
        <f t="shared" si="339"/>
        <v>0.20681787951818079</v>
      </c>
      <c r="BO49" s="166">
        <f t="shared" ref="BO49:CT49" si="340">BO48/BO30</f>
        <v>0.29758082273088443</v>
      </c>
      <c r="BP49" s="166">
        <f t="shared" si="340"/>
        <v>0.24821446285090767</v>
      </c>
      <c r="BQ49" s="166">
        <f t="shared" si="340"/>
        <v>0.31190751107681819</v>
      </c>
      <c r="BR49" s="166">
        <f t="shared" si="340"/>
        <v>0.23444758777947039</v>
      </c>
      <c r="BS49" s="166">
        <f t="shared" si="340"/>
        <v>0.27011996897638585</v>
      </c>
      <c r="BT49" s="166">
        <f t="shared" si="340"/>
        <v>0.2137400718368998</v>
      </c>
      <c r="BU49" s="166">
        <f t="shared" si="340"/>
        <v>0.21326895862815268</v>
      </c>
      <c r="BV49" s="166">
        <f t="shared" si="340"/>
        <v>0.20000320210057798</v>
      </c>
      <c r="BW49" s="166">
        <f t="shared" si="340"/>
        <v>0.22012971292414724</v>
      </c>
      <c r="BX49" s="166">
        <f t="shared" si="340"/>
        <v>0.22803419648151813</v>
      </c>
      <c r="BY49" s="166">
        <f t="shared" si="340"/>
        <v>0.22047154697178045</v>
      </c>
      <c r="BZ49" s="166">
        <f t="shared" si="340"/>
        <v>0.21466051002203804</v>
      </c>
      <c r="CA49" s="166">
        <f t="shared" si="340"/>
        <v>0.25899352823030575</v>
      </c>
      <c r="CB49" s="166">
        <f t="shared" si="340"/>
        <v>0.27620386962143029</v>
      </c>
      <c r="CC49" s="166">
        <f t="shared" si="340"/>
        <v>0.2642005423263194</v>
      </c>
      <c r="CD49" s="166">
        <f t="shared" si="340"/>
        <v>0.22990960045489894</v>
      </c>
      <c r="CE49" s="166">
        <f t="shared" si="340"/>
        <v>0.27914177618478697</v>
      </c>
      <c r="CF49" s="166">
        <f t="shared" si="340"/>
        <v>0.27035238152345537</v>
      </c>
      <c r="CG49" s="166">
        <f t="shared" si="340"/>
        <v>0.26415427248855722</v>
      </c>
      <c r="CH49" s="166">
        <f t="shared" si="340"/>
        <v>0.23848843577537171</v>
      </c>
      <c r="CI49" s="166">
        <f t="shared" ref="CI49:CJ49" si="341">CI48/CI30</f>
        <v>0.27503336563248448</v>
      </c>
      <c r="CJ49" s="166">
        <f t="shared" si="341"/>
        <v>0.28537192367960185</v>
      </c>
      <c r="CK49" s="166">
        <f t="shared" ref="CK49:CL49" si="342">CK48/CK30</f>
        <v>0.27783830490645434</v>
      </c>
      <c r="CL49" s="166">
        <f t="shared" si="342"/>
        <v>0.2224323457527399</v>
      </c>
      <c r="CM49" s="167">
        <f t="shared" si="340"/>
        <v>0.26516898499282021</v>
      </c>
      <c r="CN49" s="167">
        <f t="shared" si="340"/>
        <v>0.26270288983290407</v>
      </c>
      <c r="CO49" s="167">
        <f t="shared" si="340"/>
        <v>0.25703563137122964</v>
      </c>
      <c r="CP49" s="167">
        <f t="shared" si="340"/>
        <v>0.25183496298742336</v>
      </c>
      <c r="CQ49" s="167">
        <f t="shared" si="340"/>
        <v>0.26349221050757493</v>
      </c>
      <c r="CR49" s="167">
        <f t="shared" si="340"/>
        <v>0.26308210165855506</v>
      </c>
      <c r="CS49" s="167">
        <f t="shared" si="340"/>
        <v>0.26317883434485401</v>
      </c>
      <c r="CT49" s="167">
        <f t="shared" si="340"/>
        <v>0.26469810151017581</v>
      </c>
      <c r="CU49" s="167">
        <f t="shared" ref="CU49:DB49" si="343">CU48/CU30</f>
        <v>0.26787994788380004</v>
      </c>
      <c r="CV49" s="167">
        <f t="shared" si="343"/>
        <v>0.26896711653794614</v>
      </c>
      <c r="CW49" s="167">
        <f t="shared" si="343"/>
        <v>0.27042393907848877</v>
      </c>
      <c r="CX49" s="167">
        <f t="shared" si="343"/>
        <v>0.27221673475756741</v>
      </c>
      <c r="CY49" s="167">
        <f t="shared" si="343"/>
        <v>0.27407743070083934</v>
      </c>
      <c r="CZ49" s="167">
        <f t="shared" si="343"/>
        <v>0.27561154556892437</v>
      </c>
      <c r="DA49" s="167">
        <f t="shared" si="343"/>
        <v>0.27725603817929334</v>
      </c>
      <c r="DB49" s="167">
        <f t="shared" si="343"/>
        <v>0.27894690789877163</v>
      </c>
      <c r="DE49" s="169"/>
      <c r="DF49" s="168">
        <v>0.26658965219542491</v>
      </c>
    </row>
    <row r="50" spans="1:110" s="38" customFormat="1" x14ac:dyDescent="0.2">
      <c r="A50" s="39" t="s">
        <v>449</v>
      </c>
      <c r="B50" s="39"/>
      <c r="C50" s="39">
        <f t="shared" ref="C50:E50" si="344">+IF(B48&lt;0,1-C48/B48,C48/B48-1)</f>
        <v>0.32187876736955801</v>
      </c>
      <c r="D50" s="39">
        <f t="shared" si="344"/>
        <v>0.22500890003559904</v>
      </c>
      <c r="E50" s="39">
        <f t="shared" si="344"/>
        <v>5.8412870488586011E-2</v>
      </c>
      <c r="F50" s="39">
        <f t="shared" ref="F50:Y50" si="345">+IF(E48&lt;0,1-F48/E48,F48/E48-1)</f>
        <v>3.8040661442586776E-2</v>
      </c>
      <c r="G50" s="39">
        <f t="shared" si="345"/>
        <v>0.29893110985955618</v>
      </c>
      <c r="H50" s="39">
        <f t="shared" si="345"/>
        <v>-5.2147112929353256E-2</v>
      </c>
      <c r="I50" s="39">
        <f t="shared" si="345"/>
        <v>-0.23229196086525228</v>
      </c>
      <c r="J50" s="39">
        <f t="shared" si="345"/>
        <v>-0.10617030074064937</v>
      </c>
      <c r="K50" s="39">
        <f t="shared" si="345"/>
        <v>1.9372647449923659</v>
      </c>
      <c r="L50" s="39">
        <f t="shared" si="345"/>
        <v>0.15190226650354521</v>
      </c>
      <c r="M50" s="39">
        <f t="shared" si="345"/>
        <v>-0.4784868956303161</v>
      </c>
      <c r="N50" s="39">
        <f t="shared" si="345"/>
        <v>5.3062262006817296E-2</v>
      </c>
      <c r="O50" s="39">
        <f t="shared" si="345"/>
        <v>0.40281008054630152</v>
      </c>
      <c r="P50" s="39">
        <f t="shared" si="345"/>
        <v>0.21543121737393678</v>
      </c>
      <c r="Q50" s="39">
        <f t="shared" si="345"/>
        <v>0.14385290703258602</v>
      </c>
      <c r="R50" s="39">
        <f t="shared" si="345"/>
        <v>0.11035092308969108</v>
      </c>
      <c r="S50" s="39">
        <f t="shared" si="345"/>
        <v>-0.1295521286761272</v>
      </c>
      <c r="T50" s="39">
        <f t="shared" si="345"/>
        <v>0.53590178045029968</v>
      </c>
      <c r="U50" s="39">
        <f t="shared" si="345"/>
        <v>0.23453553977986186</v>
      </c>
      <c r="V50" s="39">
        <f t="shared" si="345"/>
        <v>0.4730223958569213</v>
      </c>
      <c r="W50" s="39">
        <f t="shared" si="345"/>
        <v>-2.4392305017446048E-2</v>
      </c>
      <c r="X50" s="39">
        <f t="shared" si="345"/>
        <v>0.28223545868203503</v>
      </c>
      <c r="Y50" s="39">
        <f t="shared" si="345"/>
        <v>0.28275945828437465</v>
      </c>
      <c r="Z50" s="39">
        <f t="shared" ref="Z50:AE50" si="346">+IF(Y48&lt;0,1-Z48/Y48,Z48/Y48-1)</f>
        <v>0.1553385156536855</v>
      </c>
      <c r="AA50" s="39">
        <f t="shared" si="346"/>
        <v>7.2385651293191966E-2</v>
      </c>
      <c r="AB50" s="40">
        <f t="shared" si="346"/>
        <v>0.10940908688366369</v>
      </c>
      <c r="AC50" s="40">
        <f t="shared" si="346"/>
        <v>0.11604450571335589</v>
      </c>
      <c r="AD50" s="40">
        <f t="shared" si="346"/>
        <v>0.12996774366326269</v>
      </c>
      <c r="AE50" s="40">
        <f t="shared" si="346"/>
        <v>0.13099275463190985</v>
      </c>
      <c r="AI50" s="39"/>
      <c r="AJ50" s="39"/>
      <c r="AK50" s="39"/>
      <c r="AL50" s="39"/>
      <c r="AM50" s="39">
        <f>+IF(AI48&lt;0,1-AM48/AI48,AM48/AI48-1)</f>
        <v>1.0213703017866957</v>
      </c>
      <c r="AN50" s="39">
        <f t="shared" ref="AN50" si="347">+IF(AJ48&lt;0,1-AN48/AJ48,AN48/AJ48-1)</f>
        <v>0.54001507632389112</v>
      </c>
      <c r="AO50" s="39">
        <f t="shared" ref="AO50" si="348">+IF(AK48&lt;0,1-AO48/AK48,AO48/AK48-1)</f>
        <v>0.67555642327215937</v>
      </c>
      <c r="AP50" s="39">
        <f t="shared" ref="AP50" si="349">+IF(AL48&lt;0,1-AP48/AL48,AP48/AL48-1)</f>
        <v>-0.32771868730837561</v>
      </c>
      <c r="AQ50" s="39">
        <f t="shared" ref="AQ50" si="350">+IF(AM48&lt;0,1-AQ48/AM48,AQ48/AM48-1)</f>
        <v>0.18495134813934566</v>
      </c>
      <c r="AR50" s="39">
        <f t="shared" ref="AR50" si="351">+IF(AN48&lt;0,1-AR48/AN48,AR48/AN48-1)</f>
        <v>0.1740531500479281</v>
      </c>
      <c r="AS50" s="39">
        <f t="shared" ref="AS50" si="352">+IF(AO48&lt;0,1-AS48/AO48,AS48/AO48-1)</f>
        <v>7.5202162615645829E-2</v>
      </c>
      <c r="AT50" s="39">
        <f t="shared" ref="AT50" si="353">+IF(AP48&lt;0,1-AT48/AP48,AT48/AP48-1)</f>
        <v>1.3768931929508454</v>
      </c>
      <c r="AU50" s="39">
        <f t="shared" ref="AU50" si="354">+IF(AQ48&lt;0,1-AU48/AQ48,AU48/AQ48-1)</f>
        <v>4.2562527424308438E-2</v>
      </c>
      <c r="AV50" s="39">
        <f t="shared" ref="AV50" si="355">+IF(AR48&lt;0,1-AV48/AR48,AV48/AR48-1)</f>
        <v>-0.12931468774428789</v>
      </c>
      <c r="AW50" s="39">
        <f t="shared" ref="AW50" si="356">+IF(AS48&lt;0,1-AW48/AS48,AW48/AS48-1)</f>
        <v>0.42266678226191035</v>
      </c>
      <c r="AX50" s="39">
        <f t="shared" ref="AX50" si="357">+IF(AT48&lt;0,1-AX48/AT48,AX48/AT48-1)</f>
        <v>0.31949971574758473</v>
      </c>
      <c r="AY50" s="39">
        <f t="shared" ref="AY50" si="358">+IF(AU48&lt;0,1-AY48/AU48,AY48/AU48-1)</f>
        <v>0.38712522045855446</v>
      </c>
      <c r="AZ50" s="39">
        <f t="shared" ref="AZ50" si="359">+IF(AV48&lt;0,1-AZ48/AV48,AZ48/AV48-1)</f>
        <v>0.2002952854093083</v>
      </c>
      <c r="BA50" s="39">
        <f t="shared" ref="BA50" si="360">+IF(AW48&lt;0,1-BA48/AW48,BA48/AW48-1)</f>
        <v>-0.30318865308734078</v>
      </c>
      <c r="BB50" s="39">
        <f t="shared" ref="BB50" si="361">+IF(AX48&lt;0,1-BB48/AX48,BB48/AX48-1)</f>
        <v>-0.15849849202929822</v>
      </c>
      <c r="BC50" s="39">
        <f t="shared" ref="BC50" si="362">+IF(AY48&lt;0,1-BC48/AY48,BC48/AY48-1)</f>
        <v>-0.5511183031844189</v>
      </c>
      <c r="BD50" s="39">
        <f t="shared" ref="BD50" si="363">+IF(AZ48&lt;0,1-BD48/AZ48,BD48/AZ48-1)</f>
        <v>0.22616356382978609</v>
      </c>
      <c r="BE50" s="39">
        <f t="shared" ref="BE50" si="364">+IF(BA48&lt;0,1-BE48/BA48,BE48/BA48-1)</f>
        <v>0.2815383269928724</v>
      </c>
      <c r="BF50" s="39">
        <f t="shared" ref="BF50" si="365">+IF(BB48&lt;0,1-BF48/BB48,BF48/BB48-1)</f>
        <v>-0.16081066666666677</v>
      </c>
      <c r="BG50" s="39">
        <f t="shared" ref="BG50" si="366">+IF(BC48&lt;0,1-BG48/BC48,BG48/BC48-1)</f>
        <v>1.6014226857216407</v>
      </c>
      <c r="BH50" s="39">
        <f t="shared" ref="BH50" si="367">+IF(BD48&lt;0,1-BH48/BD48,BH48/BD48-1)</f>
        <v>0.10487216332727889</v>
      </c>
      <c r="BI50" s="39">
        <f t="shared" ref="BI50" si="368">+IF(BE48&lt;0,1-BI48/BE48,BI48/BE48-1)</f>
        <v>0.33032500213255966</v>
      </c>
      <c r="BJ50" s="39">
        <f t="shared" ref="BJ50" si="369">+IF(BF48&lt;0,1-BJ48/BF48,BJ48/BF48-1)</f>
        <v>0.66611587055443966</v>
      </c>
      <c r="BK50" s="39">
        <f t="shared" ref="BK50" si="370">+IF(BG48&lt;0,1-BK48/BG48,BK48/BG48-1)</f>
        <v>0.1875626384231821</v>
      </c>
      <c r="BL50" s="39">
        <f t="shared" ref="BL50" si="371">+IF(BH48&lt;0,1-BL48/BH48,BL48/BH48-1)</f>
        <v>0.23015386125493764</v>
      </c>
      <c r="BM50" s="39">
        <f t="shared" ref="BM50" si="372">+IF(BI48&lt;0,1-BM48/BI48,BM48/BI48-1)</f>
        <v>0.14899265167934117</v>
      </c>
      <c r="BN50" s="39">
        <f t="shared" ref="BN50" si="373">+IF(BJ48&lt;0,1-BN48/BJ48,BN48/BJ48-1)</f>
        <v>0.39972535855965696</v>
      </c>
      <c r="BO50" s="39">
        <f t="shared" ref="BO50" si="374">+IF(BK48&lt;0,1-BO48/BK48,BO48/BK48-1)</f>
        <v>0.61931652427589112</v>
      </c>
      <c r="BP50" s="39">
        <f t="shared" ref="BP50" si="375">+IF(BL48&lt;0,1-BP48/BL48,BP48/BL48-1)</f>
        <v>9.813484939158279E-2</v>
      </c>
      <c r="BQ50" s="39">
        <f t="shared" ref="BQ50" si="376">+IF(BM48&lt;0,1-BQ48/BM48,BQ48/BM48-1)</f>
        <v>0.90851051956024298</v>
      </c>
      <c r="BR50" s="39">
        <f t="shared" ref="BR50" si="377">+IF(BN48&lt;0,1-BR48/BN48,BR48/BN48-1)</f>
        <v>0.35053085962196806</v>
      </c>
      <c r="BS50" s="39">
        <f t="shared" ref="BS50" si="378">+IF(BO48&lt;0,1-BS48/BO48,BS48/BO48-1)</f>
        <v>5.3197102083360814E-2</v>
      </c>
      <c r="BT50" s="39">
        <f t="shared" ref="BT50" si="379">+IF(BP48&lt;0,1-BT48/BP48,BT48/BP48-1)</f>
        <v>0.1512366143198387</v>
      </c>
      <c r="BU50" s="39">
        <f t="shared" ref="BU50" si="380">+IF(BQ48&lt;0,1-BU48/BQ48,BU48/BQ48-1)</f>
        <v>-0.25084652588117706</v>
      </c>
      <c r="BV50" s="39">
        <f t="shared" ref="BV50" si="381">+IF(BR48&lt;0,1-BV48/BR48,BV48/BR48-1)</f>
        <v>8.2731345090598651E-3</v>
      </c>
      <c r="BW50" s="39">
        <f t="shared" ref="BW50" si="382">+IF(BS48&lt;0,1-BW48/BS48,BW48/BS48-1)</f>
        <v>5.54096157370636E-2</v>
      </c>
      <c r="BX50" s="39">
        <f t="shared" ref="BX50" si="383">+IF(BT48&lt;0,1-BX48/BT48,BX48/BT48-1)</f>
        <v>0.45625246548323561</v>
      </c>
      <c r="BY50" s="39">
        <f t="shared" ref="BY50" si="384">+IF(BU48&lt;0,1-BY48/BU48,BY48/BU48-1)</f>
        <v>0.36432474629196121</v>
      </c>
      <c r="BZ50" s="39">
        <f t="shared" ref="BZ50" si="385">+IF(BV48&lt;0,1-BZ48/BV48,BZ48/BV48-1)</f>
        <v>0.30995837335894993</v>
      </c>
      <c r="CA50" s="39">
        <f t="shared" ref="CA50" si="386">+IF(BW48&lt;0,1-CA48/BW48,CA48/BW48-1)</f>
        <v>0.3435401713359576</v>
      </c>
      <c r="CB50" s="39">
        <f t="shared" ref="CB50" si="387">+IF(BX48&lt;0,1-CB48/BX48,CB48/BX48-1)</f>
        <v>0.31942789034564911</v>
      </c>
      <c r="CC50" s="39">
        <f t="shared" ref="CC50" si="388">+IF(BY48&lt;0,1-CC48/BY48,CC48/BY48-1)</f>
        <v>0.27664931052240016</v>
      </c>
      <c r="CD50" s="39">
        <f t="shared" ref="CD50" si="389">+IF(BZ48&lt;0,1-CD48/BZ48,CD48/BZ48-1)</f>
        <v>0.21070642874602785</v>
      </c>
      <c r="CE50" s="39">
        <f t="shared" ref="CE50" si="390">+IF(CA48&lt;0,1-CE48/CA48,CE48/CA48-1)</f>
        <v>0.20791865925638708</v>
      </c>
      <c r="CF50" s="39">
        <f t="shared" ref="CF50" si="391">+IF(CB48&lt;0,1-CF48/CB48,CF48/CB48-1)</f>
        <v>0.11078262297774488</v>
      </c>
      <c r="CG50" s="39">
        <f t="shared" ref="CG50" si="392">+IF(CC48&lt;0,1-CG48/CC48,CG48/CC48-1)</f>
        <v>0.14068662603083526</v>
      </c>
      <c r="CH50" s="39">
        <f t="shared" ref="CH50:CL50" si="393">+IF(CD48&lt;0,1-CH48/CD48,CH48/CD48-1)</f>
        <v>0.14294367050272494</v>
      </c>
      <c r="CI50" s="39">
        <f t="shared" si="393"/>
        <v>7.3117665941434984E-2</v>
      </c>
      <c r="CJ50" s="39">
        <f t="shared" si="393"/>
        <v>0.14446251663463028</v>
      </c>
      <c r="CK50" s="39">
        <f t="shared" si="393"/>
        <v>0.16231189344230113</v>
      </c>
      <c r="CL50" s="39">
        <f t="shared" si="393"/>
        <v>-0.11177353824412628</v>
      </c>
      <c r="CM50" s="40">
        <f t="shared" ref="CM50" si="394">+CM48/CI48-1</f>
        <v>6.8236080740610605E-2</v>
      </c>
      <c r="CN50" s="40">
        <f t="shared" ref="CN50" si="395">+CN48/CJ48-1</f>
        <v>2.1187905294644871E-2</v>
      </c>
      <c r="CO50" s="40">
        <f t="shared" ref="CO50" si="396">+CO48/CK48-1</f>
        <v>2.614754945345199E-2</v>
      </c>
      <c r="CP50" s="40">
        <f t="shared" ref="CP50" si="397">+CP48/CL48-1</f>
        <v>0.42009388796784086</v>
      </c>
      <c r="CQ50" s="40">
        <f t="shared" ref="CQ50" si="398">+CQ48/CM48-1</f>
        <v>9.0292198683927127E-2</v>
      </c>
      <c r="CR50" s="40">
        <f t="shared" ref="CR50" si="399">+CR48/CN48-1</f>
        <v>9.9580899791209987E-2</v>
      </c>
      <c r="CS50" s="40">
        <f t="shared" ref="CS50" si="400">+CS48/CO48-1</f>
        <v>0.12430569929758661</v>
      </c>
      <c r="CT50" s="40">
        <f t="shared" ref="CT50" si="401">+CT48/CP48-1</f>
        <v>0.1544664163270113</v>
      </c>
      <c r="CU50" s="40">
        <f t="shared" ref="CU50" si="402">+CU48/CQ48-1</f>
        <v>0.12190217403260162</v>
      </c>
      <c r="CV50" s="40">
        <f t="shared" ref="CV50" si="403">+CV48/CR48-1</f>
        <v>0.12872793805999971</v>
      </c>
      <c r="CW50" s="40">
        <f t="shared" ref="CW50" si="404">+CW48/CS48-1</f>
        <v>0.13438459632293531</v>
      </c>
      <c r="CX50" s="40">
        <f t="shared" ref="CX50" si="405">+CX48/CT48-1</f>
        <v>0.13527468887634431</v>
      </c>
      <c r="CY50" s="40">
        <f t="shared" ref="CY50" si="406">+CY48/CU48-1</f>
        <v>0.12918251779619094</v>
      </c>
      <c r="CZ50" s="40">
        <f t="shared" ref="CZ50" si="407">+CZ48/CV48-1</f>
        <v>0.13143603561713357</v>
      </c>
      <c r="DA50" s="40">
        <f t="shared" ref="DA50" si="408">+DA48/CW48-1</f>
        <v>0.13202295190500313</v>
      </c>
      <c r="DB50" s="40">
        <f t="shared" ref="DB50" si="409">+DB48/CX48-1</f>
        <v>0.13136376367710345</v>
      </c>
      <c r="DE50" s="122"/>
      <c r="DF50" s="38">
        <v>7.2385651293191966E-2</v>
      </c>
    </row>
    <row r="51" spans="1:110" s="38" customFormat="1" x14ac:dyDescent="0.2">
      <c r="A51" s="39" t="s">
        <v>450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40"/>
      <c r="AC51" s="40"/>
      <c r="AD51" s="40"/>
      <c r="AE51" s="40"/>
      <c r="AI51" s="39"/>
      <c r="AJ51" s="39">
        <f>+IF(AI48&lt;0,1-AJ48/AI48,AJ48/AI48-1)</f>
        <v>0.59341374305590211</v>
      </c>
      <c r="AK51" s="39">
        <f t="shared" ref="AK51:AM51" si="410">+IF(AJ48&lt;0,1-AK48/AJ48,AK48/AJ48-1)</f>
        <v>-0.19561530246874792</v>
      </c>
      <c r="AL51" s="39">
        <f t="shared" si="410"/>
        <v>3.1589222959781171E-2</v>
      </c>
      <c r="AM51" s="39">
        <f t="shared" si="410"/>
        <v>0.52878610091222167</v>
      </c>
      <c r="AN51" s="39">
        <f t="shared" ref="AN51" si="411">+IF(AM48&lt;0,1-AN48/AM48,AN48/AM48-1)</f>
        <v>0.21396915001609496</v>
      </c>
      <c r="AO51" s="39">
        <f t="shared" ref="AO51" si="412">+IF(AN48&lt;0,1-AO48/AN48,AO48/AN48-1)</f>
        <v>-0.12481899206624436</v>
      </c>
      <c r="AP51" s="39">
        <f t="shared" ref="AP51" si="413">+IF(AO48&lt;0,1-AP48/AO48,AP48/AO48-1)</f>
        <v>-0.58609680501503059</v>
      </c>
      <c r="AQ51" s="39">
        <f t="shared" ref="AQ51" si="414">+IF(AP48&lt;0,1-AQ48/AP48,AQ48/AP48-1)</f>
        <v>1.694611789876693</v>
      </c>
      <c r="AR51" s="39">
        <f t="shared" ref="AR51" si="415">+IF(AQ48&lt;0,1-AR48/AQ48,AR48/AQ48-1)</f>
        <v>0.20280407028980929</v>
      </c>
      <c r="AS51" s="39">
        <f t="shared" ref="AS51" si="416">+IF(AR48&lt;0,1-AS48/AR48,AS48/AR48-1)</f>
        <v>-0.19850603665421729</v>
      </c>
      <c r="AT51" s="39">
        <f t="shared" ref="AT51" si="417">+IF(AS48&lt;0,1-AT48/AS48,AT48/AS48-1)</f>
        <v>-8.5005852009188865E-2</v>
      </c>
      <c r="AU51" s="39">
        <f t="shared" ref="AU51" si="418">+IF(AT48&lt;0,1-AU48/AT48,AU48/AT48-1)</f>
        <v>0.18192154633314295</v>
      </c>
      <c r="AV51" s="39">
        <f t="shared" ref="AV51" si="419">+IF(AU48&lt;0,1-AV48/AU48,AV48/AU48-1)</f>
        <v>4.5093795093811284E-3</v>
      </c>
      <c r="AW51" s="39">
        <f t="shared" ref="AW51" si="420">+IF(AV48&lt;0,1-AW48/AV48,AW48/AV48-1)</f>
        <v>0.30961074200434746</v>
      </c>
      <c r="AX51" s="39">
        <f t="shared" ref="AX51" si="421">+IF(AW48&lt;0,1-AX48/AW48,AX48/AW48-1)</f>
        <v>-0.15135818644403354</v>
      </c>
      <c r="AY51" s="39">
        <f t="shared" ref="AY51" si="422">+IF(AX48&lt;0,1-AY48/AX48,AY48/AX48-1)</f>
        <v>0.24249605055292145</v>
      </c>
      <c r="AZ51" s="39">
        <f t="shared" ref="AZ51" si="423">+IF(AY48&lt;0,1-AZ48/AY48,AZ48/AY48-1)</f>
        <v>-0.13078656880309758</v>
      </c>
      <c r="BA51" s="39">
        <f t="shared" ref="BA51" si="424">+IF(AZ48&lt;0,1-BA48/AZ48,BA48/AZ48-1)</f>
        <v>-0.23972739361702111</v>
      </c>
      <c r="BB51" s="39">
        <f t="shared" ref="BB51" si="425">+IF(BA48&lt;0,1-BB48/BA48,BB48/BA48-1)</f>
        <v>2.4858979404434045E-2</v>
      </c>
      <c r="BC51" s="39">
        <f t="shared" ref="BC51" si="426">+IF(BB48&lt;0,1-BC48/BB48,BC48/BB48-1)</f>
        <v>-0.33721600000000018</v>
      </c>
      <c r="BD51" s="39">
        <f t="shared" ref="BD51" si="427">+IF(BC48&lt;0,1-BD48/BC48,BD48/BC48-1)</f>
        <v>1.3743401570748017</v>
      </c>
      <c r="BE51" s="39">
        <f t="shared" ref="BE51" si="428">+IF(BD48&lt;0,1-BE48/BD48,BE48/BD48-1)</f>
        <v>-0.20539272835723688</v>
      </c>
      <c r="BF51" s="39">
        <f t="shared" ref="BF51" si="429">+IF(BE48&lt;0,1-BF48/BE48,BF48/BE48-1)</f>
        <v>-0.32889192186300453</v>
      </c>
      <c r="BG51" s="39">
        <f t="shared" ref="BG51" si="430">+IF(BF48&lt;0,1-BG48/BF48,BG48/BF48-1)</f>
        <v>1.0545796578285058</v>
      </c>
      <c r="BH51" s="39">
        <f t="shared" ref="BH51" si="431">+IF(BG48&lt;0,1-BH48/BG48,BH48/BG48-1)</f>
        <v>8.426027888791765E-3</v>
      </c>
      <c r="BI51" s="39">
        <f t="shared" ref="BI51" si="432">+IF(BH48&lt;0,1-BI48/BH48,BI48/BH48-1)</f>
        <v>-4.3250472381045624E-2</v>
      </c>
      <c r="BJ51" s="39">
        <f t="shared" ref="BJ51" si="433">+IF(BI48&lt;0,1-BJ48/BI48,BJ48/BI48-1)</f>
        <v>-0.15949574874642536</v>
      </c>
      <c r="BK51" s="39">
        <f t="shared" ref="BK51" si="434">+IF(BJ48&lt;0,1-BK48/BJ48,BK48/BJ48-1)</f>
        <v>0.46444919133353579</v>
      </c>
      <c r="BL51" s="39">
        <f t="shared" ref="BL51" si="435">+IF(BK48&lt;0,1-BL48/BK48,BL48/BK48-1)</f>
        <v>4.4592623463221237E-2</v>
      </c>
      <c r="BM51" s="39">
        <f t="shared" ref="BM51" si="436">+IF(BL48&lt;0,1-BM48/BL48,BM48/BL48-1)</f>
        <v>-0.10637342908437974</v>
      </c>
      <c r="BN51" s="39">
        <f t="shared" ref="BN51" si="437">+IF(BM48&lt;0,1-BN48/BM48,BN48/BM48-1)</f>
        <v>2.3918745465705937E-2</v>
      </c>
      <c r="BO51" s="39">
        <f t="shared" ref="BO51" si="438">+IF(BN48&lt;0,1-BO48/BN48,BO48/BN48-1)</f>
        <v>0.69419433604395198</v>
      </c>
      <c r="BP51" s="39">
        <f t="shared" ref="BP51" si="439">+IF(BO48&lt;0,1-BP48/BO48,BP48/BO48-1)</f>
        <v>-0.29161251302904323</v>
      </c>
      <c r="BQ51" s="39">
        <f t="shared" ref="BQ51" si="440">+IF(BP48&lt;0,1-BQ48/BP48,BQ48/BP48-1)</f>
        <v>0.55308404254352905</v>
      </c>
      <c r="BR51" s="39">
        <f t="shared" ref="BR51" si="441">+IF(BQ48&lt;0,1-BR48/BQ48,BR48/BQ48-1)</f>
        <v>-0.27543817583175911</v>
      </c>
      <c r="BS51" s="39">
        <f t="shared" ref="BS51" si="442">+IF(BR48&lt;0,1-BS48/BR48,BS48/BR48-1)</f>
        <v>0.32119940272004532</v>
      </c>
      <c r="BT51" s="39">
        <f t="shared" ref="BT51" si="443">+IF(BS48&lt;0,1-BT48/BS48,BT48/BS48-1)</f>
        <v>-0.22567047467774515</v>
      </c>
      <c r="BU51" s="39">
        <f t="shared" ref="BU51" si="444">+IF(BT48&lt;0,1-BU48/BT48,BU48/BT48-1)</f>
        <v>1.0650887573964152E-2</v>
      </c>
      <c r="BV51" s="39">
        <f t="shared" ref="BV51" si="445">+IF(BU48&lt;0,1-BV48/BU48,BV48/BU48-1)</f>
        <v>-2.4824355971896139E-2</v>
      </c>
      <c r="BW51" s="39">
        <f t="shared" ref="BW51" si="446">+IF(BV48&lt;0,1-BW48/BV48,BW48/BV48-1)</f>
        <v>0.38296509766250386</v>
      </c>
      <c r="BX51" s="39">
        <f t="shared" ref="BX51" si="447">+IF(BW48&lt;0,1-BX48/BW48,BX48/BW48-1)</f>
        <v>6.8418615420236417E-2</v>
      </c>
      <c r="BY51" s="39">
        <f t="shared" ref="BY51" si="448">+IF(BX48&lt;0,1-BY48/BX48,BY48/BX48-1)</f>
        <v>-5.3147686639938962E-2</v>
      </c>
      <c r="BZ51" s="39">
        <f t="shared" ref="BZ51" si="449">+IF(BY48&lt;0,1-BZ48/BY48,BZ48/BY48-1)</f>
        <v>-6.3683698575270675E-2</v>
      </c>
      <c r="CA51" s="39">
        <f t="shared" ref="CA51" si="450">+IF(BZ48&lt;0,1-CA48/BZ48,CA48/BZ48-1)</f>
        <v>0.4184184795893422</v>
      </c>
      <c r="CB51" s="39">
        <f t="shared" ref="CB51" si="451">+IF(CA48&lt;0,1-CB48/CA48,CB48/CA48-1)</f>
        <v>4.9243892981775561E-2</v>
      </c>
      <c r="CC51" s="39">
        <f t="shared" ref="CC51" si="452">+IF(CB48&lt;0,1-CC48/CB48,CC48/CB48-1)</f>
        <v>-8.3846596041717847E-2</v>
      </c>
      <c r="CD51" s="39">
        <f t="shared" ref="CD51" si="453">+IF(CC48&lt;0,1-CD48/CC48,CD48/CC48-1)</f>
        <v>-0.11204732879168133</v>
      </c>
      <c r="CE51" s="39">
        <f t="shared" ref="CE51" si="454">+IF(CD48&lt;0,1-CE48/CD48,CE48/CD48-1)</f>
        <v>0.41515243286896797</v>
      </c>
      <c r="CF51" s="39">
        <f t="shared" ref="CF51" si="455">+IF(CE48&lt;0,1-CF48/CE48,CF48/CE48-1)</f>
        <v>-3.5132146806006626E-2</v>
      </c>
      <c r="CG51" s="39">
        <f t="shared" ref="CG51" si="456">+IF(CF48&lt;0,1-CG48/CF48,CG48/CF48-1)</f>
        <v>-5.91823155404404E-2</v>
      </c>
      <c r="CH51" s="39">
        <f t="shared" ref="CH51:CI51" si="457">+IF(CG48&lt;0,1-CH48/CG48,CH48/CG48-1)</f>
        <v>-0.11029036187183239</v>
      </c>
      <c r="CI51" s="39">
        <f t="shared" si="457"/>
        <v>0.32869634340222653</v>
      </c>
      <c r="CJ51" s="39">
        <f>+IF(CI48&gt;1,CJ48/CI48-1,1-CJ48/CI48)</f>
        <v>2.9015854023332288E-2</v>
      </c>
      <c r="CK51" s="39">
        <f>+IF(CJ48&gt;1,CK48/CJ48-1,1-CK48/CJ48)</f>
        <v>-4.450904392764865E-2</v>
      </c>
      <c r="CL51" s="39">
        <f>+IF(CK48&gt;1,CL48/CK48-1,1-CL48/CK48)</f>
        <v>-0.32009329997971747</v>
      </c>
      <c r="CM51" s="40">
        <f t="shared" ref="CM51" si="458">+CM48/CL48-1</f>
        <v>0.59797240397965323</v>
      </c>
      <c r="CN51" s="40">
        <f t="shared" ref="CN51" si="459">+CN48/CM48-1</f>
        <v>-1.6304950347181935E-2</v>
      </c>
      <c r="CO51" s="40">
        <f t="shared" ref="CO51" si="460">+CO48/CN48-1</f>
        <v>-3.9868472770756669E-2</v>
      </c>
      <c r="CP51" s="40">
        <f t="shared" ref="CP51" si="461">+CP48/CO48-1</f>
        <v>-5.9071622203405449E-2</v>
      </c>
      <c r="CQ51" s="40">
        <f t="shared" ref="CQ51" si="462">+CQ48/CP48-1</f>
        <v>0.22686032278076507</v>
      </c>
      <c r="CR51" s="40">
        <f t="shared" ref="CR51" si="463">+CR48/CQ48-1</f>
        <v>-7.9243994196707135E-3</v>
      </c>
      <c r="CS51" s="40">
        <f t="shared" ref="CS51" si="464">+CS48/CR48-1</f>
        <v>-1.8279284094414816E-2</v>
      </c>
      <c r="CT51" s="40">
        <f t="shared" ref="CT51" si="465">+CT48/CS48-1</f>
        <v>-3.3830200261482868E-2</v>
      </c>
      <c r="CU51" s="40">
        <f t="shared" ref="CU51" si="466">+CU48/CT48-1</f>
        <v>0.19225405251823191</v>
      </c>
      <c r="CV51" s="40">
        <f t="shared" ref="CV51" si="467">+CV48/CU48-1</f>
        <v>-1.8885131332931904E-3</v>
      </c>
      <c r="CW51" s="40">
        <f t="shared" ref="CW51" si="468">+CW48/CV48-1</f>
        <v>-1.3359357500707048E-2</v>
      </c>
      <c r="CX51" s="40">
        <f t="shared" ref="CX51" si="469">+CX48/CW48-1</f>
        <v>-3.3072097104173026E-2</v>
      </c>
      <c r="CY51" s="40">
        <f t="shared" ref="CY51" si="470">+CY48/CX48-1</f>
        <v>0.18585611576326366</v>
      </c>
      <c r="CZ51" s="40">
        <f t="shared" ref="CZ51" si="471">+CZ48/CY48-1</f>
        <v>1.0342527125395407E-4</v>
      </c>
      <c r="DA51" s="40">
        <f t="shared" ref="DA51" si="472">+DA48/CZ48-1</f>
        <v>-1.284755175550556E-2</v>
      </c>
      <c r="DB51" s="40">
        <f t="shared" ref="DB51" si="473">+DB48/DA48-1</f>
        <v>-3.3635148842429796E-2</v>
      </c>
      <c r="DE51" s="122"/>
    </row>
    <row r="52" spans="1:110" s="23" customFormat="1" x14ac:dyDescent="0.2">
      <c r="A52" s="23" t="s">
        <v>15</v>
      </c>
      <c r="B52" s="23">
        <f>'Annual Raw'!C27</f>
        <v>5.0183</v>
      </c>
      <c r="C52" s="23">
        <f>'Annual Raw'!D27</f>
        <v>5.9066999999999998</v>
      </c>
      <c r="D52" s="23">
        <f>'Annual Raw'!E27</f>
        <v>7.3320999999999996</v>
      </c>
      <c r="E52" s="23">
        <f>'Annual Raw'!F27</f>
        <v>9.4491999999999994</v>
      </c>
      <c r="F52" s="23">
        <f>'Annual Raw'!G27</f>
        <v>10.4892</v>
      </c>
      <c r="G52" s="23">
        <f>'Annual Raw'!H27</f>
        <v>10.730700000000001</v>
      </c>
      <c r="H52" s="23">
        <f>'Annual Raw'!I27</f>
        <v>11.336399999999999</v>
      </c>
      <c r="I52" s="23">
        <f>'Annual Raw'!J27</f>
        <v>16.900200000000002</v>
      </c>
      <c r="J52" s="23">
        <f>'Annual Raw'!K27</f>
        <v>20.428699999999999</v>
      </c>
      <c r="K52" s="23">
        <f>'Annual Raw'!L27</f>
        <v>21.5686</v>
      </c>
      <c r="L52" s="23">
        <f>'Annual Raw'!M27</f>
        <v>22.787800000000001</v>
      </c>
      <c r="M52" s="23">
        <f>'Annual Raw'!N27</f>
        <v>22.424600000000002</v>
      </c>
      <c r="N52" s="23">
        <f>'Annual Raw'!O27</f>
        <v>24.658200000000001</v>
      </c>
      <c r="O52" s="23">
        <f>'Annual Raw'!P27</f>
        <v>28.020700000000001</v>
      </c>
      <c r="P52" s="23">
        <f>'Annual Raw'!Q27</f>
        <v>38.641199999999998</v>
      </c>
      <c r="Q52" s="23">
        <f>'Annual Raw'!R27</f>
        <v>41.222299999999997</v>
      </c>
      <c r="R52" s="23">
        <f>'Annual Raw'!S27</f>
        <v>47.224400000000003</v>
      </c>
      <c r="S52" s="23">
        <f>'Annual Raw'!T27</f>
        <v>56.973700000000001</v>
      </c>
      <c r="T52" s="23">
        <f>'Annual Raw'!U27</f>
        <v>55.642000000000003</v>
      </c>
      <c r="U52" s="23">
        <f>'Annual Raw'!V27</f>
        <v>66.322299999999998</v>
      </c>
      <c r="V52" s="23">
        <f>'Annual Raw'!W27</f>
        <v>68.665499999999994</v>
      </c>
      <c r="W52" s="23">
        <f>'Annual Raw'!X27</f>
        <v>72.659899999999993</v>
      </c>
      <c r="X52" s="23">
        <f>'Annual Raw'!Y27</f>
        <v>114.40689999999999</v>
      </c>
      <c r="Y52" s="23">
        <f>'Annual Raw'!Z27</f>
        <v>138.32040000000001</v>
      </c>
      <c r="Z52" s="23">
        <f>'Annual Raw'!AA27</f>
        <v>171.0369</v>
      </c>
      <c r="AA52" s="23">
        <f>'Annual Raw'!AB27</f>
        <v>182.4991</v>
      </c>
      <c r="AB52" s="76">
        <f>+SUM(CM52:CP52)</f>
        <v>195.44109052185476</v>
      </c>
      <c r="AC52" s="76">
        <f>+SUM(CQ52:CT52)</f>
        <v>187.54802685746193</v>
      </c>
      <c r="AD52" s="76">
        <f>+SUM(CU52:CX52)</f>
        <v>180.48077911883587</v>
      </c>
      <c r="AE52" s="76">
        <f>+SUM(CY52:DB52)</f>
        <v>174.15294588160612</v>
      </c>
      <c r="AI52" s="23">
        <f>'QTR Raw'!C28</f>
        <v>6.0129999999999999</v>
      </c>
      <c r="AJ52" s="23">
        <f>'QTR Raw'!D28</f>
        <v>6.1269999999999998</v>
      </c>
      <c r="AK52" s="23">
        <f>'QTR Raw'!E28</f>
        <v>6.25</v>
      </c>
      <c r="AL52" s="23">
        <f>'QTR Raw'!F28</f>
        <v>6.0060000000000002</v>
      </c>
      <c r="AM52" s="23">
        <f>'QTR Raw'!G28</f>
        <v>7.5</v>
      </c>
      <c r="AN52" s="23">
        <f>'QTR Raw'!H28</f>
        <v>7.5</v>
      </c>
      <c r="AO52" s="23">
        <f>'QTR Raw'!I28</f>
        <v>6</v>
      </c>
      <c r="AP52" s="23">
        <f>'QTR Raw'!J28</f>
        <v>6.165</v>
      </c>
      <c r="AQ52" s="23">
        <f>'QTR Raw'!K28</f>
        <v>9.9</v>
      </c>
      <c r="AR52" s="23">
        <f>'QTR Raw'!L28</f>
        <v>10.01</v>
      </c>
      <c r="AS52" s="23">
        <f>'QTR Raw'!M28</f>
        <v>10.11</v>
      </c>
      <c r="AT52" s="23">
        <f>'QTR Raw'!N28</f>
        <v>7.58</v>
      </c>
      <c r="AU52" s="23">
        <f>'QTR Raw'!O28</f>
        <v>9.77</v>
      </c>
      <c r="AV52" s="23">
        <f>'QTR Raw'!P28</f>
        <v>10.039999999999999</v>
      </c>
      <c r="AW52" s="23">
        <f>'QTR Raw'!Q28</f>
        <v>10.226000000000001</v>
      </c>
      <c r="AX52" s="23">
        <f>'QTR Raw'!R28</f>
        <v>10.372999999999999</v>
      </c>
      <c r="AY52" s="23">
        <f>'QTR Raw'!S28</f>
        <v>11.317</v>
      </c>
      <c r="AZ52" s="23">
        <f>'QTR Raw'!T28</f>
        <v>11.183</v>
      </c>
      <c r="BA52" s="23">
        <f>'QTR Raw'!U28</f>
        <v>11.36</v>
      </c>
      <c r="BB52" s="23">
        <f>'QTR Raw'!V28</f>
        <v>12.406000000000001</v>
      </c>
      <c r="BC52" s="23">
        <f>'QTR Raw'!W28</f>
        <v>14.327999999999999</v>
      </c>
      <c r="BD52" s="23">
        <f>'QTR Raw'!X28</f>
        <v>14.327</v>
      </c>
      <c r="BE52" s="23">
        <f>'QTR Raw'!Y28</f>
        <v>14.25</v>
      </c>
      <c r="BF52" s="23">
        <f>'QTR Raw'!Z28</f>
        <v>13.042999999999999</v>
      </c>
      <c r="BG52" s="23">
        <f>'QTR Raw'!AA28</f>
        <v>14.69</v>
      </c>
      <c r="BH52" s="23">
        <f>'QTR Raw'!AB28</f>
        <v>14.692</v>
      </c>
      <c r="BI52" s="23">
        <f>'QTR Raw'!AC28</f>
        <v>14.66</v>
      </c>
      <c r="BJ52" s="23">
        <f>'QTR Raw'!AD28</f>
        <v>11.6</v>
      </c>
      <c r="BK52" s="23">
        <f>'QTR Raw'!AE28</f>
        <v>15.798</v>
      </c>
      <c r="BL52" s="23">
        <f>'QTR Raw'!AF28</f>
        <v>16.387</v>
      </c>
      <c r="BM52" s="23">
        <f>'QTR Raw'!AG28</f>
        <v>16.748999999999999</v>
      </c>
      <c r="BN52" s="23">
        <f>'QTR Raw'!AH28</f>
        <v>17.388999999999999</v>
      </c>
      <c r="BO52" s="23">
        <f>'QTR Raw'!AI28</f>
        <v>17.294</v>
      </c>
      <c r="BP52" s="23">
        <f>'QTR Raw'!AJ28</f>
        <v>17.446000000000002</v>
      </c>
      <c r="BQ52" s="23">
        <f>'QTR Raw'!AK28</f>
        <v>17.393000000000001</v>
      </c>
      <c r="BR52" s="23">
        <f>'QTR Raw'!AL28</f>
        <v>16.532</v>
      </c>
      <c r="BS52" s="23">
        <f>'QTR Raw'!AM28</f>
        <v>17.850000000000001</v>
      </c>
      <c r="BT52" s="23">
        <f>'QTR Raw'!AN28</f>
        <v>15.74</v>
      </c>
      <c r="BU52" s="23">
        <f>'QTR Raw'!AO28</f>
        <v>16.97</v>
      </c>
      <c r="BV52" s="23">
        <f>'QTR Raw'!AP28</f>
        <v>22.11</v>
      </c>
      <c r="BW52" s="23">
        <f>'QTR Raw'!AQ28</f>
        <v>26.08</v>
      </c>
      <c r="BX52" s="23">
        <f>'QTR Raw'!AR28</f>
        <v>28.13</v>
      </c>
      <c r="BY52" s="23">
        <f>'QTR Raw'!AS28</f>
        <v>28.4</v>
      </c>
      <c r="BZ52" s="23">
        <f>'QTR Raw'!AT28</f>
        <v>31.8</v>
      </c>
      <c r="CA52" s="23">
        <f>'QTR Raw'!AU28</f>
        <v>31.38</v>
      </c>
      <c r="CB52" s="23">
        <f>'QTR Raw'!AV28</f>
        <v>32.17</v>
      </c>
      <c r="CC52" s="23">
        <f>'QTR Raw'!AW28</f>
        <v>34.03</v>
      </c>
      <c r="CD52" s="23">
        <f>'QTR Raw'!AX28</f>
        <v>40.74</v>
      </c>
      <c r="CE52" s="23">
        <f>'QTR Raw'!AY28</f>
        <v>40.78</v>
      </c>
      <c r="CF52" s="23">
        <f>'QTR Raw'!AZ28</f>
        <v>41.88</v>
      </c>
      <c r="CG52" s="23">
        <f>'QTR Raw'!BA28</f>
        <v>41.94</v>
      </c>
      <c r="CH52" s="23">
        <f>'QTR Raw'!BB28</f>
        <v>46.44</v>
      </c>
      <c r="CI52" s="23">
        <f>'QTR Raw'!BC28</f>
        <v>42.7</v>
      </c>
      <c r="CJ52" s="23">
        <f>'QTR Raw'!BD28</f>
        <v>44.44</v>
      </c>
      <c r="CK52" s="23">
        <f>'QTR Raw'!BE28</f>
        <v>45.35</v>
      </c>
      <c r="CL52" s="23">
        <f>'QTR Raw'!BF28</f>
        <v>50.01</v>
      </c>
      <c r="CM52" s="24">
        <f t="shared" ref="CM52:DB52" si="474">CM53*CL154</f>
        <v>49.648935658940061</v>
      </c>
      <c r="CN52" s="24">
        <f t="shared" si="474"/>
        <v>49.113499432055228</v>
      </c>
      <c r="CO52" s="24">
        <f t="shared" si="474"/>
        <v>48.592653916750749</v>
      </c>
      <c r="CP52" s="24">
        <f t="shared" si="474"/>
        <v>48.086001514108716</v>
      </c>
      <c r="CQ52" s="24">
        <f t="shared" si="474"/>
        <v>47.593155459836979</v>
      </c>
      <c r="CR52" s="24">
        <f t="shared" si="474"/>
        <v>47.11373952902408</v>
      </c>
      <c r="CS52" s="24">
        <f t="shared" si="474"/>
        <v>46.647387748939686</v>
      </c>
      <c r="CT52" s="24">
        <f t="shared" si="474"/>
        <v>46.19374411966119</v>
      </c>
      <c r="CU52" s="24">
        <f t="shared" si="474"/>
        <v>45.752462342313372</v>
      </c>
      <c r="CV52" s="24">
        <f t="shared" si="474"/>
        <v>45.323205554713475</v>
      </c>
      <c r="CW52" s="24">
        <f t="shared" si="474"/>
        <v>44.905646074220009</v>
      </c>
      <c r="CX52" s="24">
        <f t="shared" si="474"/>
        <v>44.499465147589007</v>
      </c>
      <c r="CY52" s="24">
        <f t="shared" si="474"/>
        <v>44.104352707646697</v>
      </c>
      <c r="CZ52" s="24">
        <f t="shared" si="474"/>
        <v>43.720007136592869</v>
      </c>
      <c r="DA52" s="24">
        <f t="shared" si="474"/>
        <v>43.346135035754273</v>
      </c>
      <c r="DB52" s="24">
        <f t="shared" si="474"/>
        <v>42.982451001612276</v>
      </c>
      <c r="DE52" s="123"/>
      <c r="DF52" s="23">
        <v>182.4991</v>
      </c>
    </row>
    <row r="53" spans="1:110" s="46" customFormat="1" x14ac:dyDescent="0.2">
      <c r="A53" s="46" t="s">
        <v>483</v>
      </c>
      <c r="B53" s="46">
        <f t="shared" ref="B53:D53" si="475">+B52/B154</f>
        <v>8.9437139323255463E-2</v>
      </c>
      <c r="C53" s="46">
        <f t="shared" si="475"/>
        <v>7.5889404237277247E-2</v>
      </c>
      <c r="D53" s="46">
        <f t="shared" si="475"/>
        <v>8.1700169370654302E-2</v>
      </c>
      <c r="E53" s="46">
        <f t="shared" ref="E53:AE53" si="476">+E52/E154</f>
        <v>7.3750371709928111E-2</v>
      </c>
      <c r="F53" s="46">
        <f t="shared" si="476"/>
        <v>7.8081940927139298E-2</v>
      </c>
      <c r="G53" s="46">
        <f t="shared" si="476"/>
        <v>7.9780139386811041E-2</v>
      </c>
      <c r="H53" s="46">
        <f t="shared" si="476"/>
        <v>5.3715227416922265E-2</v>
      </c>
      <c r="I53" s="46">
        <f t="shared" si="476"/>
        <v>6.9723317222899511E-2</v>
      </c>
      <c r="J53" s="46">
        <f t="shared" si="476"/>
        <v>8.8894294346302541E-2</v>
      </c>
      <c r="K53" s="46">
        <f t="shared" si="476"/>
        <v>9.3828127209095447E-2</v>
      </c>
      <c r="L53" s="46">
        <f t="shared" si="476"/>
        <v>9.4362350797643824E-2</v>
      </c>
      <c r="M53" s="46">
        <f t="shared" si="476"/>
        <v>8.6443857904964436E-2</v>
      </c>
      <c r="N53" s="46">
        <f t="shared" si="476"/>
        <v>7.766215441597954E-2</v>
      </c>
      <c r="O53" s="46">
        <f t="shared" si="476"/>
        <v>9.5422653562101348E-2</v>
      </c>
      <c r="P53" s="46">
        <f t="shared" si="476"/>
        <v>0.12398483350643821</v>
      </c>
      <c r="Q53" s="46">
        <f t="shared" si="476"/>
        <v>0.1064956114992309</v>
      </c>
      <c r="R53" s="46">
        <f t="shared" si="476"/>
        <v>7.5401685730083587E-2</v>
      </c>
      <c r="S53" s="46">
        <f t="shared" si="476"/>
        <v>9.716448877948386E-2</v>
      </c>
      <c r="T53" s="46">
        <f t="shared" si="476"/>
        <v>9.7996774183322075E-2</v>
      </c>
      <c r="U53" s="46">
        <f t="shared" si="476"/>
        <v>0.11088419724263704</v>
      </c>
      <c r="V53" s="46">
        <f t="shared" si="476"/>
        <v>0.11917092420704577</v>
      </c>
      <c r="W53" s="46">
        <f t="shared" si="476"/>
        <v>5.9579994082991625E-2</v>
      </c>
      <c r="X53" s="46">
        <f t="shared" si="476"/>
        <v>6.2057894679458568E-2</v>
      </c>
      <c r="Y53" s="46">
        <f t="shared" si="476"/>
        <v>7.1045101130344221E-2</v>
      </c>
      <c r="Z53" s="46">
        <f t="shared" si="476"/>
        <v>8.9513837476057595E-2</v>
      </c>
      <c r="AA53" s="46">
        <f t="shared" ref="AA53" si="477">+AA52/AA154</f>
        <v>9.9837725968763044E-2</v>
      </c>
      <c r="AB53" s="110">
        <f t="shared" si="476"/>
        <v>0.11190257971753337</v>
      </c>
      <c r="AC53" s="110">
        <f t="shared" si="476"/>
        <v>0.1117034915637172</v>
      </c>
      <c r="AD53" s="110">
        <f t="shared" si="476"/>
        <v>0.11151113226890805</v>
      </c>
      <c r="AE53" s="110">
        <f t="shared" si="476"/>
        <v>0.11132627756778475</v>
      </c>
      <c r="AI53" s="46" t="e">
        <f t="shared" ref="AI53:BN53" si="478">+AI52/AH154</f>
        <v>#DIV/0!</v>
      </c>
      <c r="AJ53" s="46" t="e">
        <f t="shared" si="478"/>
        <v>#DIV/0!</v>
      </c>
      <c r="AK53" s="46">
        <f t="shared" si="478"/>
        <v>2.1523446781986425E-2</v>
      </c>
      <c r="AL53" s="46">
        <f t="shared" si="478"/>
        <v>2.0683171419617678E-2</v>
      </c>
      <c r="AM53" s="46">
        <f t="shared" si="478"/>
        <v>2.3269306543639259E-2</v>
      </c>
      <c r="AN53" s="46">
        <f t="shared" si="478"/>
        <v>2.3269306543639259E-2</v>
      </c>
      <c r="AO53" s="46">
        <f t="shared" si="478"/>
        <v>2.0100906550885443E-2</v>
      </c>
      <c r="AP53" s="46">
        <f t="shared" si="478"/>
        <v>2.0653681481034792E-2</v>
      </c>
      <c r="AQ53" s="46">
        <f t="shared" si="478"/>
        <v>2.9117133227060703E-2</v>
      </c>
      <c r="AR53" s="46">
        <f t="shared" si="478"/>
        <v>2.9440656929583597E-2</v>
      </c>
      <c r="AS53" s="46">
        <f t="shared" si="478"/>
        <v>3.0656429663052178E-2</v>
      </c>
      <c r="AT53" s="46">
        <f t="shared" si="478"/>
        <v>2.2984741527787886E-2</v>
      </c>
      <c r="AU53" s="46">
        <f t="shared" si="478"/>
        <v>2.5460344926433415E-2</v>
      </c>
      <c r="AV53" s="46">
        <f t="shared" si="478"/>
        <v>2.6163957324605063E-2</v>
      </c>
      <c r="AW53" s="46">
        <f t="shared" si="478"/>
        <v>2.2741525857199411E-2</v>
      </c>
      <c r="AX53" s="46">
        <f t="shared" si="478"/>
        <v>2.3068438071262416E-2</v>
      </c>
      <c r="AY53" s="46">
        <f t="shared" si="478"/>
        <v>2.9183697151772242E-2</v>
      </c>
      <c r="AZ53" s="46">
        <f t="shared" si="478"/>
        <v>2.8838144848305117E-2</v>
      </c>
      <c r="BA53" s="46">
        <f t="shared" si="478"/>
        <v>2.9040784919243098E-2</v>
      </c>
      <c r="BB53" s="46">
        <f t="shared" si="478"/>
        <v>3.1714786770081861E-2</v>
      </c>
      <c r="BC53" s="46">
        <f t="shared" si="478"/>
        <v>2.2877069282648682E-2</v>
      </c>
      <c r="BD53" s="46">
        <f t="shared" si="478"/>
        <v>2.287547261393828E-2</v>
      </c>
      <c r="BE53" s="46">
        <f t="shared" si="478"/>
        <v>2.4341872633073178E-2</v>
      </c>
      <c r="BF53" s="46">
        <f t="shared" si="478"/>
        <v>2.2280073316012169E-2</v>
      </c>
      <c r="BG53" s="46">
        <f t="shared" si="478"/>
        <v>2.5052740367315123E-2</v>
      </c>
      <c r="BH53" s="46">
        <f t="shared" si="478"/>
        <v>2.5056151223730009E-2</v>
      </c>
      <c r="BI53" s="46">
        <f t="shared" si="478"/>
        <v>2.5591252190792738E-2</v>
      </c>
      <c r="BJ53" s="46">
        <f t="shared" si="478"/>
        <v>2.0249558350149778E-2</v>
      </c>
      <c r="BK53" s="46">
        <f t="shared" si="478"/>
        <v>2.782342218582411E-2</v>
      </c>
      <c r="BL53" s="46">
        <f t="shared" si="478"/>
        <v>2.8860768411134302E-2</v>
      </c>
      <c r="BM53" s="46">
        <f t="shared" si="478"/>
        <v>2.861233017354628E-2</v>
      </c>
      <c r="BN53" s="46">
        <f t="shared" si="478"/>
        <v>2.9705642688387143E-2</v>
      </c>
      <c r="BO53" s="46">
        <f t="shared" ref="BO53:CL53" si="479">+BO52/BN154</f>
        <v>2.8913833632603386E-2</v>
      </c>
      <c r="BP53" s="46">
        <f t="shared" si="479"/>
        <v>2.9167962388944067E-2</v>
      </c>
      <c r="BQ53" s="46">
        <f t="shared" si="479"/>
        <v>2.9366326904472061E-2</v>
      </c>
      <c r="BR53" s="46">
        <f t="shared" si="479"/>
        <v>2.7912615212138912E-2</v>
      </c>
      <c r="BS53" s="46">
        <f t="shared" si="479"/>
        <v>3.2365334822561813E-2</v>
      </c>
      <c r="BT53" s="46">
        <f t="shared" si="479"/>
        <v>2.8539516532611931E-2</v>
      </c>
      <c r="BU53" s="46">
        <f t="shared" si="479"/>
        <v>2.8250186447901129E-2</v>
      </c>
      <c r="BV53" s="46">
        <f t="shared" si="479"/>
        <v>3.6806813339015559E-2</v>
      </c>
      <c r="BW53" s="46">
        <f t="shared" si="479"/>
        <v>2.1900139395059033E-2</v>
      </c>
      <c r="BX53" s="46">
        <f t="shared" si="479"/>
        <v>2.3621584401189059E-2</v>
      </c>
      <c r="BY53" s="46">
        <f t="shared" si="479"/>
        <v>1.8622218142237027E-2</v>
      </c>
      <c r="BZ53" s="46">
        <f t="shared" si="479"/>
        <v>2.0851638624054137E-2</v>
      </c>
      <c r="CA53" s="46">
        <f t="shared" si="479"/>
        <v>1.7188210355650255E-2</v>
      </c>
      <c r="CB53" s="46">
        <f t="shared" si="479"/>
        <v>1.7620928207178733E-2</v>
      </c>
      <c r="CC53" s="46">
        <f t="shared" si="479"/>
        <v>1.8573299858094094E-2</v>
      </c>
      <c r="CD53" s="46">
        <f t="shared" si="479"/>
        <v>2.2235563803078267E-2</v>
      </c>
      <c r="CE53" s="46">
        <f t="shared" si="479"/>
        <v>2.1071777356365198E-2</v>
      </c>
      <c r="CF53" s="46">
        <f t="shared" si="479"/>
        <v>2.1640167623456951E-2</v>
      </c>
      <c r="CG53" s="46">
        <f t="shared" si="479"/>
        <v>2.1672402567203049E-2</v>
      </c>
      <c r="CH53" s="46">
        <f t="shared" si="479"/>
        <v>2.3997767649520971E-2</v>
      </c>
      <c r="CI53" s="46">
        <f t="shared" si="479"/>
        <v>2.2347463384963476E-2</v>
      </c>
      <c r="CJ53" s="46">
        <f t="shared" si="479"/>
        <v>2.3789750000990342E-2</v>
      </c>
      <c r="CK53" s="46">
        <f t="shared" si="479"/>
        <v>2.4115028953987358E-2</v>
      </c>
      <c r="CL53" s="46">
        <f t="shared" si="479"/>
        <v>2.7250138947919045E-2</v>
      </c>
      <c r="CM53" s="47">
        <f t="shared" ref="CM53" si="480">CL53</f>
        <v>2.7250138947919045E-2</v>
      </c>
      <c r="CN53" s="47">
        <f t="shared" ref="CN53" si="481">CM53</f>
        <v>2.7250138947919045E-2</v>
      </c>
      <c r="CO53" s="47">
        <f t="shared" ref="CO53" si="482">CN53</f>
        <v>2.7250138947919045E-2</v>
      </c>
      <c r="CP53" s="47">
        <f t="shared" ref="CP53" si="483">CO53</f>
        <v>2.7250138947919045E-2</v>
      </c>
      <c r="CQ53" s="47">
        <f t="shared" ref="CQ53" si="484">CP53</f>
        <v>2.7250138947919045E-2</v>
      </c>
      <c r="CR53" s="47">
        <f t="shared" ref="CR53" si="485">CQ53</f>
        <v>2.7250138947919045E-2</v>
      </c>
      <c r="CS53" s="47">
        <f t="shared" ref="CS53" si="486">CR53</f>
        <v>2.7250138947919045E-2</v>
      </c>
      <c r="CT53" s="47">
        <f t="shared" ref="CT53" si="487">CS53</f>
        <v>2.7250138947919045E-2</v>
      </c>
      <c r="CU53" s="47">
        <f t="shared" ref="CU53" si="488">CT53</f>
        <v>2.7250138947919045E-2</v>
      </c>
      <c r="CV53" s="47">
        <f t="shared" ref="CV53" si="489">CU53</f>
        <v>2.7250138947919045E-2</v>
      </c>
      <c r="CW53" s="47">
        <f t="shared" ref="CW53" si="490">CV53</f>
        <v>2.7250138947919045E-2</v>
      </c>
      <c r="CX53" s="47">
        <f t="shared" ref="CX53" si="491">CW53</f>
        <v>2.7250138947919045E-2</v>
      </c>
      <c r="CY53" s="47">
        <f t="shared" ref="CY53" si="492">CX53</f>
        <v>2.7250138947919045E-2</v>
      </c>
      <c r="CZ53" s="47">
        <f t="shared" ref="CZ53" si="493">CY53</f>
        <v>2.7250138947919045E-2</v>
      </c>
      <c r="DA53" s="47">
        <f t="shared" ref="DA53" si="494">CZ53</f>
        <v>2.7250138947919045E-2</v>
      </c>
      <c r="DB53" s="47">
        <f t="shared" ref="DB53" si="495">DA53</f>
        <v>2.7250138947919045E-2</v>
      </c>
      <c r="DE53" s="130"/>
      <c r="DF53" s="46">
        <v>9.9837725968763044E-2</v>
      </c>
    </row>
    <row r="54" spans="1:110" s="26" customFormat="1" x14ac:dyDescent="0.2">
      <c r="A54" s="34" t="s">
        <v>16</v>
      </c>
      <c r="B54" s="26">
        <f>B48-B52</f>
        <v>32.8065</v>
      </c>
      <c r="C54" s="26">
        <f t="shared" ref="C54:T54" si="496">C48-C52</f>
        <v>44.093100000000049</v>
      </c>
      <c r="D54" s="26">
        <f>D48-D52</f>
        <v>53.91810000000001</v>
      </c>
      <c r="E54" s="26">
        <f t="shared" si="496"/>
        <v>55.378800000000005</v>
      </c>
      <c r="F54" s="26">
        <f t="shared" si="496"/>
        <v>56.804900000000018</v>
      </c>
      <c r="G54" s="26">
        <f t="shared" si="496"/>
        <v>76.679699999999983</v>
      </c>
      <c r="H54" s="26">
        <f t="shared" si="496"/>
        <v>71.515800000000041</v>
      </c>
      <c r="I54" s="26">
        <f t="shared" si="496"/>
        <v>46.706099999999978</v>
      </c>
      <c r="J54" s="26">
        <f t="shared" si="496"/>
        <v>36.424500000000016</v>
      </c>
      <c r="K54" s="26">
        <f t="shared" si="496"/>
        <v>145.42430000000002</v>
      </c>
      <c r="L54" s="26">
        <f t="shared" si="496"/>
        <v>169.57169999999991</v>
      </c>
      <c r="M54" s="26">
        <f t="shared" si="496"/>
        <v>77.893400000000156</v>
      </c>
      <c r="N54" s="26">
        <f t="shared" si="496"/>
        <v>80.982900000000058</v>
      </c>
      <c r="O54" s="26">
        <f t="shared" si="496"/>
        <v>120.17369999999997</v>
      </c>
      <c r="P54" s="26">
        <f t="shared" si="496"/>
        <v>141.4789000000001</v>
      </c>
      <c r="Q54" s="26">
        <f t="shared" si="496"/>
        <v>164.80860000000021</v>
      </c>
      <c r="R54" s="26">
        <f t="shared" si="496"/>
        <v>181.54220000000004</v>
      </c>
      <c r="S54" s="26">
        <f t="shared" si="496"/>
        <v>142.15569999999991</v>
      </c>
      <c r="T54" s="26">
        <f t="shared" si="496"/>
        <v>250.2011999999998</v>
      </c>
      <c r="U54" s="26">
        <f t="shared" ref="U54:Z54" si="497">U48-U52</f>
        <v>311.25200000000001</v>
      </c>
      <c r="V54" s="26">
        <f t="shared" si="497"/>
        <v>487.50989999999996</v>
      </c>
      <c r="W54" s="26">
        <f t="shared" si="497"/>
        <v>469.94909999999993</v>
      </c>
      <c r="X54" s="26">
        <f t="shared" si="497"/>
        <v>581.34560000000033</v>
      </c>
      <c r="Y54" s="26">
        <f t="shared" si="497"/>
        <v>754.16269999999963</v>
      </c>
      <c r="Z54" s="26">
        <f t="shared" si="497"/>
        <v>860.08319999999935</v>
      </c>
      <c r="AA54" s="26">
        <f t="shared" ref="AA54" si="498">AA48-AA52</f>
        <v>923.25930000000062</v>
      </c>
      <c r="AB54" s="27">
        <f t="shared" ref="AB54:AD54" si="499">AB48-AB52</f>
        <v>1031.2973263360871</v>
      </c>
      <c r="AC54" s="27">
        <f t="shared" si="499"/>
        <v>1181.5466432243443</v>
      </c>
      <c r="AD54" s="27">
        <f t="shared" si="499"/>
        <v>1366.5520360949017</v>
      </c>
      <c r="AE54" s="27">
        <f t="shared" ref="AE54" si="500">AE48-AE52</f>
        <v>1575.5299593029372</v>
      </c>
      <c r="AI54" s="26">
        <f t="shared" ref="AI54" si="501">AI48-AI52</f>
        <v>13.968000000000009</v>
      </c>
      <c r="AJ54" s="26">
        <f t="shared" ref="AJ54" si="502">AJ48-AJ52</f>
        <v>25.710999999999995</v>
      </c>
      <c r="AK54" s="26">
        <f t="shared" ref="AK54:AM54" si="503">AK48-AK52</f>
        <v>19.36</v>
      </c>
      <c r="AL54" s="26">
        <f t="shared" si="503"/>
        <v>20.412999999999997</v>
      </c>
      <c r="AM54" s="26">
        <f t="shared" si="503"/>
        <v>32.888999999999982</v>
      </c>
      <c r="AN54" s="26">
        <f t="shared" ref="AN54:AO54" si="504">AN48-AN52</f>
        <v>41.531000000000034</v>
      </c>
      <c r="AO54" s="26">
        <f t="shared" si="504"/>
        <v>36.911000000000001</v>
      </c>
      <c r="AP54" s="26">
        <f t="shared" ref="AP54:CD54" si="505">AP48-AP52</f>
        <v>11.596000000000025</v>
      </c>
      <c r="AQ54" s="26">
        <f t="shared" si="505"/>
        <v>37.95900000000001</v>
      </c>
      <c r="AR54" s="26">
        <f t="shared" si="505"/>
        <v>47.555</v>
      </c>
      <c r="AS54" s="26">
        <f t="shared" si="505"/>
        <v>36.027999999999977</v>
      </c>
      <c r="AT54" s="26">
        <f t="shared" si="505"/>
        <v>34.636000000000024</v>
      </c>
      <c r="AU54" s="26">
        <f t="shared" si="505"/>
        <v>40.125999999999991</v>
      </c>
      <c r="AV54" s="26">
        <f t="shared" si="505"/>
        <v>40.081000000000067</v>
      </c>
      <c r="AW54" s="26">
        <f t="shared" si="505"/>
        <v>55.412999999999982</v>
      </c>
      <c r="AX54" s="26">
        <f t="shared" si="505"/>
        <v>45.331000000000067</v>
      </c>
      <c r="AY54" s="26">
        <f t="shared" si="505"/>
        <v>57.895000000000017</v>
      </c>
      <c r="AZ54" s="26">
        <f t="shared" si="505"/>
        <v>48.977000000000025</v>
      </c>
      <c r="BA54" s="26">
        <f t="shared" si="505"/>
        <v>34.378000000000029</v>
      </c>
      <c r="BB54" s="26">
        <f t="shared" si="505"/>
        <v>34.46900000000003</v>
      </c>
      <c r="BC54" s="26">
        <f t="shared" si="505"/>
        <v>16.740000000000013</v>
      </c>
      <c r="BD54" s="26">
        <f t="shared" si="505"/>
        <v>59.438999999999965</v>
      </c>
      <c r="BE54" s="26">
        <f t="shared" si="505"/>
        <v>44.365000000000038</v>
      </c>
      <c r="BF54" s="26">
        <f t="shared" si="505"/>
        <v>26.294000000000018</v>
      </c>
      <c r="BG54" s="26">
        <f t="shared" si="505"/>
        <v>66.130999999999972</v>
      </c>
      <c r="BH54" s="26">
        <f t="shared" si="505"/>
        <v>66.81</v>
      </c>
      <c r="BI54" s="26">
        <f t="shared" si="505"/>
        <v>63.317000000000036</v>
      </c>
      <c r="BJ54" s="26">
        <f t="shared" si="505"/>
        <v>53.940000000000019</v>
      </c>
      <c r="BK54" s="26">
        <f t="shared" si="505"/>
        <v>80.18199999999996</v>
      </c>
      <c r="BL54" s="26">
        <f t="shared" si="505"/>
        <v>83.872999999999934</v>
      </c>
      <c r="BM54" s="26">
        <f t="shared" si="505"/>
        <v>72.846000000000032</v>
      </c>
      <c r="BN54" s="26">
        <f t="shared" si="505"/>
        <v>74.348999999999947</v>
      </c>
      <c r="BO54" s="26">
        <f t="shared" si="505"/>
        <v>138.12799999999996</v>
      </c>
      <c r="BP54" s="26">
        <f t="shared" si="505"/>
        <v>92.65300000000002</v>
      </c>
      <c r="BQ54" s="26">
        <f t="shared" si="505"/>
        <v>153.60000000000002</v>
      </c>
      <c r="BR54" s="26">
        <f t="shared" si="505"/>
        <v>107.36300000000004</v>
      </c>
      <c r="BS54" s="26">
        <f t="shared" si="505"/>
        <v>145.84000000000006</v>
      </c>
      <c r="BT54" s="26">
        <f t="shared" si="505"/>
        <v>111.00999999999995</v>
      </c>
      <c r="BU54" s="26">
        <f t="shared" si="505"/>
        <v>111.12999999999991</v>
      </c>
      <c r="BV54" s="26">
        <f t="shared" si="505"/>
        <v>102.81000000000002</v>
      </c>
      <c r="BW54" s="26">
        <f t="shared" si="505"/>
        <v>146.68</v>
      </c>
      <c r="BX54" s="26">
        <f t="shared" si="505"/>
        <v>156.45000000000005</v>
      </c>
      <c r="BY54" s="26">
        <f t="shared" si="505"/>
        <v>146.37000000000009</v>
      </c>
      <c r="BZ54" s="26">
        <f t="shared" si="505"/>
        <v>131.84000000000003</v>
      </c>
      <c r="CA54" s="26">
        <f t="shared" si="505"/>
        <v>200.73000000000002</v>
      </c>
      <c r="CB54" s="26">
        <f t="shared" si="505"/>
        <v>211.36999999999995</v>
      </c>
      <c r="CC54" s="26">
        <f t="shared" si="505"/>
        <v>189.09</v>
      </c>
      <c r="CD54" s="26">
        <f t="shared" si="505"/>
        <v>157.38000000000005</v>
      </c>
      <c r="CE54" s="26">
        <f t="shared" ref="CE54:CF54" si="506">CE48-CE52</f>
        <v>239.59</v>
      </c>
      <c r="CF54" s="26">
        <f t="shared" si="506"/>
        <v>228.63999999999993</v>
      </c>
      <c r="CG54" s="26">
        <f t="shared" ref="CG54:CH54" si="507">CG48-CG52</f>
        <v>212.57</v>
      </c>
      <c r="CH54" s="26">
        <f t="shared" si="507"/>
        <v>179.99999999999994</v>
      </c>
      <c r="CI54" s="26">
        <f t="shared" ref="CI54:CJ54" si="508">CI48-CI52</f>
        <v>258.17000000000013</v>
      </c>
      <c r="CJ54" s="26">
        <f t="shared" si="508"/>
        <v>265.16000000000008</v>
      </c>
      <c r="CK54" s="26">
        <f t="shared" ref="CK54:CL54" si="509">CK48-CK52</f>
        <v>250.47000000000006</v>
      </c>
      <c r="CL54" s="26">
        <f t="shared" si="509"/>
        <v>151.12</v>
      </c>
      <c r="CM54" s="27">
        <f t="shared" ref="CM54:DB54" si="510">CM48-CM52</f>
        <v>271.75125395348761</v>
      </c>
      <c r="CN54" s="27">
        <f t="shared" si="510"/>
        <v>267.04627604716694</v>
      </c>
      <c r="CO54" s="27">
        <f t="shared" si="510"/>
        <v>254.9623141625695</v>
      </c>
      <c r="CP54" s="27">
        <f t="shared" si="510"/>
        <v>237.53748217286312</v>
      </c>
      <c r="CQ54" s="27">
        <f t="shared" si="510"/>
        <v>302.82696393012787</v>
      </c>
      <c r="CR54" s="27">
        <f t="shared" si="510"/>
        <v>300.52951087020597</v>
      </c>
      <c r="CS54" s="27">
        <f t="shared" si="510"/>
        <v>294.64119291273704</v>
      </c>
      <c r="CT54" s="27">
        <f t="shared" si="510"/>
        <v>283.5489755112738</v>
      </c>
      <c r="CU54" s="27">
        <f t="shared" si="510"/>
        <v>347.38463142605201</v>
      </c>
      <c r="CV54" s="27">
        <f t="shared" si="510"/>
        <v>347.07144364888563</v>
      </c>
      <c r="CW54" s="27">
        <f t="shared" si="510"/>
        <v>342.2468627293037</v>
      </c>
      <c r="CX54" s="27">
        <f t="shared" si="510"/>
        <v>329.84909829066032</v>
      </c>
      <c r="CY54" s="27">
        <f t="shared" si="510"/>
        <v>399.81918067279338</v>
      </c>
      <c r="CZ54" s="27">
        <f t="shared" si="510"/>
        <v>400.2494391557031</v>
      </c>
      <c r="DA54" s="27">
        <f t="shared" si="510"/>
        <v>394.91939081743828</v>
      </c>
      <c r="DB54" s="27">
        <f t="shared" si="510"/>
        <v>380.54194865700242</v>
      </c>
      <c r="DE54" s="121"/>
      <c r="DF54" s="26">
        <v>923.25930000000062</v>
      </c>
    </row>
    <row r="55" spans="1:110" s="23" customFormat="1" x14ac:dyDescent="0.2">
      <c r="A55" s="23" t="s">
        <v>17</v>
      </c>
      <c r="B55" s="23">
        <f>'Annual Raw'!C23</f>
        <v>8.5408000000000008</v>
      </c>
      <c r="C55" s="23">
        <f>'Annual Raw'!D23</f>
        <v>11.2112</v>
      </c>
      <c r="D55" s="23">
        <f>'Annual Raw'!E23</f>
        <v>9.4276</v>
      </c>
      <c r="E55" s="23">
        <f>'Annual Raw'!F23</f>
        <v>11.7537</v>
      </c>
      <c r="F55" s="23">
        <f>'Annual Raw'!G23</f>
        <v>12.889799999999999</v>
      </c>
      <c r="G55" s="23">
        <f>'Annual Raw'!H23</f>
        <v>11.418799999999999</v>
      </c>
      <c r="H55" s="23">
        <f>'Annual Raw'!I23</f>
        <v>10.886799999999999</v>
      </c>
      <c r="I55" s="23">
        <f>'Annual Raw'!J23</f>
        <v>15.0138</v>
      </c>
      <c r="J55" s="23">
        <f>'Annual Raw'!K23</f>
        <v>15.797700000000001</v>
      </c>
      <c r="K55" s="23">
        <f>'Annual Raw'!L23</f>
        <v>14.213800000000001</v>
      </c>
      <c r="L55" s="23">
        <f>'Annual Raw'!M23</f>
        <v>6.1627999999999998</v>
      </c>
      <c r="M55" s="23">
        <f>'Annual Raw'!N23</f>
        <v>28.9834</v>
      </c>
      <c r="N55" s="23">
        <f>'Annual Raw'!O23</f>
        <v>27.872599999999998</v>
      </c>
      <c r="O55" s="23">
        <f>'Annual Raw'!P23</f>
        <v>37.704099999999997</v>
      </c>
      <c r="P55" s="23">
        <f>'Annual Raw'!Q23</f>
        <v>10.8934</v>
      </c>
      <c r="Q55" s="23">
        <f>'Annual Raw'!R23</f>
        <v>56.653599999999997</v>
      </c>
      <c r="R55" s="23">
        <f>'Annual Raw'!S23</f>
        <v>53.773499999999999</v>
      </c>
      <c r="S55" s="23">
        <f>'Annual Raw'!T23</f>
        <v>55.286999999999999</v>
      </c>
      <c r="T55" s="23">
        <f>'Annual Raw'!U23</f>
        <v>41.439900000000002</v>
      </c>
      <c r="U55" s="23">
        <f>'Annual Raw'!V23</f>
        <v>50.898200000000003</v>
      </c>
      <c r="V55" s="23">
        <f>'Annual Raw'!W23</f>
        <v>116.61669999999999</v>
      </c>
      <c r="W55" s="23">
        <f>'Annual Raw'!X23</f>
        <v>40.073399999999999</v>
      </c>
      <c r="X55" s="23">
        <f>'Annual Raw'!Y23</f>
        <v>9.9400999999999993</v>
      </c>
      <c r="Y55" s="23">
        <f>'Annual Raw'!Z23</f>
        <v>41.673200000000001</v>
      </c>
      <c r="Z55" s="23">
        <f>'Annual Raw'!AA23</f>
        <v>39.037399999999998</v>
      </c>
      <c r="AA55" s="23">
        <f>'Annual Raw'!AB23</f>
        <v>61.823300000000003</v>
      </c>
      <c r="AB55" s="76">
        <f t="shared" ref="AB55:AB56" si="511">+SUM(CM55:CP55)</f>
        <v>0</v>
      </c>
      <c r="AC55" s="76">
        <f t="shared" ref="AC55:AC56" si="512">+SUM(CQ55:CT55)</f>
        <v>0</v>
      </c>
      <c r="AD55" s="76">
        <f t="shared" ref="AD55:AD56" si="513">+SUM(CU55:CX55)</f>
        <v>0</v>
      </c>
      <c r="AE55" s="76">
        <f t="shared" ref="AE55:AE56" si="514">+SUM(CY55:DB55)</f>
        <v>0</v>
      </c>
      <c r="AI55" s="23">
        <f>'QTR Raw'!C23</f>
        <v>2.7</v>
      </c>
      <c r="AJ55" s="23">
        <f>'QTR Raw'!D23</f>
        <v>13.683999999999999</v>
      </c>
      <c r="AK55" s="23">
        <f>'QTR Raw'!E23</f>
        <v>13.757999999999999</v>
      </c>
      <c r="AL55" s="23">
        <f>'QTR Raw'!F23</f>
        <v>3.5840000000000001</v>
      </c>
      <c r="AM55" s="23">
        <f>'QTR Raw'!G23</f>
        <v>1.5149999999999999</v>
      </c>
      <c r="AN55" s="23">
        <f>'QTR Raw'!H23</f>
        <v>6.8090000000000002</v>
      </c>
      <c r="AO55" s="23">
        <f>'QTR Raw'!I23</f>
        <v>30.760999999999999</v>
      </c>
      <c r="AP55" s="23">
        <f>'QTR Raw'!J23</f>
        <v>14.218999999999999</v>
      </c>
      <c r="AQ55" s="23">
        <f>'QTR Raw'!K23</f>
        <v>2.2349999999999999</v>
      </c>
      <c r="AR55" s="23">
        <f>'QTR Raw'!L23</f>
        <v>5.2050000000000001</v>
      </c>
      <c r="AS55" s="23">
        <f>'QTR Raw'!M23</f>
        <v>1.9590000000000001</v>
      </c>
      <c r="AT55" s="23">
        <f>'QTR Raw'!N23</f>
        <v>4.3140000000000001</v>
      </c>
      <c r="AU55" s="23">
        <f>'QTR Raw'!O23</f>
        <v>15.099</v>
      </c>
      <c r="AV55" s="23">
        <f>'QTR Raw'!P23</f>
        <v>16.32</v>
      </c>
      <c r="AW55" s="23">
        <f>'QTR Raw'!Q23</f>
        <v>8.5649999999999995</v>
      </c>
      <c r="AX55" s="23">
        <f>'QTR Raw'!R23</f>
        <v>20.050999999999998</v>
      </c>
      <c r="AY55" s="23">
        <f>'QTR Raw'!S23</f>
        <v>10.967000000000001</v>
      </c>
      <c r="AZ55" s="23">
        <f>'QTR Raw'!T23</f>
        <v>14.645</v>
      </c>
      <c r="BA55" s="23">
        <f>'QTR Raw'!U23</f>
        <v>7.6909999999999998</v>
      </c>
      <c r="BB55" s="23">
        <f>'QTR Raw'!V23</f>
        <v>12.763</v>
      </c>
      <c r="BC55" s="23">
        <f>'QTR Raw'!W23</f>
        <v>9.2720000000000002</v>
      </c>
      <c r="BD55" s="23">
        <f>'QTR Raw'!X23</f>
        <v>9.5690000000000008</v>
      </c>
      <c r="BE55" s="23">
        <f>'QTR Raw'!Y23</f>
        <v>5.32</v>
      </c>
      <c r="BF55" s="23">
        <f>'QTR Raw'!Z23</f>
        <v>11.455</v>
      </c>
      <c r="BG55" s="23">
        <f>'QTR Raw'!AA23</f>
        <v>1.4159999999999999</v>
      </c>
      <c r="BH55" s="23">
        <f>'QTR Raw'!AB23</f>
        <v>8.5519999999999996</v>
      </c>
      <c r="BI55" s="23">
        <f>'QTR Raw'!AC23</f>
        <v>15.82</v>
      </c>
      <c r="BJ55" s="23">
        <f>'QTR Raw'!AD23</f>
        <v>15.651</v>
      </c>
      <c r="BK55" s="23">
        <f>'QTR Raw'!AE23</f>
        <v>12.608000000000001</v>
      </c>
      <c r="BL55" s="23">
        <f>'QTR Raw'!AF23</f>
        <v>18.509</v>
      </c>
      <c r="BM55" s="23">
        <f>'QTR Raw'!AG23</f>
        <v>16.38</v>
      </c>
      <c r="BN55" s="23">
        <f>'QTR Raw'!AH23</f>
        <v>3.1739999999999999</v>
      </c>
      <c r="BO55" s="23">
        <f>'QTR Raw'!AI23</f>
        <v>22.69</v>
      </c>
      <c r="BP55" s="23">
        <f>'QTR Raw'!AJ23</f>
        <v>8.3930000000000007</v>
      </c>
      <c r="BQ55" s="23">
        <f>'QTR Raw'!AK23</f>
        <v>55.953000000000003</v>
      </c>
      <c r="BR55" s="23">
        <f>'QTR Raw'!AL23</f>
        <v>25.347999999999999</v>
      </c>
      <c r="BS55" s="23">
        <f>'QTR Raw'!AM23</f>
        <v>12.97</v>
      </c>
      <c r="BT55" s="23">
        <f>'QTR Raw'!AN23</f>
        <v>19.649999999999999</v>
      </c>
      <c r="BU55" s="23">
        <f>'QTR Raw'!AO23</f>
        <v>4.53</v>
      </c>
      <c r="BV55" s="23">
        <f>'QTR Raw'!AP23</f>
        <v>2.08</v>
      </c>
      <c r="BW55" s="23">
        <f>'QTR Raw'!AQ23</f>
        <v>0.89</v>
      </c>
      <c r="BX55" s="23">
        <f>'QTR Raw'!AR23</f>
        <v>1.34</v>
      </c>
      <c r="BY55" s="23">
        <f>'QTR Raw'!AS23</f>
        <v>3.13</v>
      </c>
      <c r="BZ55" s="23">
        <f>'QTR Raw'!AT23</f>
        <v>4.58</v>
      </c>
      <c r="CA55" s="23">
        <f>'QTR Raw'!AU23</f>
        <v>5.63</v>
      </c>
      <c r="CB55" s="23">
        <f>'QTR Raw'!AV23</f>
        <v>7.66</v>
      </c>
      <c r="CC55" s="23">
        <f>'QTR Raw'!AW23</f>
        <v>7.35</v>
      </c>
      <c r="CD55" s="23">
        <f>'QTR Raw'!AX23</f>
        <v>16.63</v>
      </c>
      <c r="CE55" s="23">
        <f>'QTR Raw'!AY23</f>
        <v>5.89</v>
      </c>
      <c r="CF55" s="23">
        <f>'QTR Raw'!AZ23</f>
        <v>9.9499999999999993</v>
      </c>
      <c r="CG55" s="23">
        <f>'QTR Raw'!BA23</f>
        <v>8</v>
      </c>
      <c r="CH55" s="23">
        <f>'QTR Raw'!BB23</f>
        <v>14.48</v>
      </c>
      <c r="CI55" s="23">
        <f>'QTR Raw'!BC23</f>
        <v>14.55</v>
      </c>
      <c r="CJ55" s="23">
        <f>'QTR Raw'!BD23</f>
        <v>15.34</v>
      </c>
      <c r="CK55" s="23">
        <f>'QTR Raw'!BE23</f>
        <v>18.28</v>
      </c>
      <c r="CL55" s="23">
        <f>'QTR Raw'!BF23</f>
        <v>11.98</v>
      </c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E55" s="123"/>
      <c r="DF55" s="23">
        <v>61.823300000000003</v>
      </c>
    </row>
    <row r="56" spans="1:110" s="23" customFormat="1" x14ac:dyDescent="0.2">
      <c r="A56" s="23" t="s">
        <v>18</v>
      </c>
      <c r="B56" s="23">
        <f>'Annual Raw'!C25</f>
        <v>1.8547</v>
      </c>
      <c r="C56" s="23">
        <f>'Annual Raw'!D25</f>
        <v>1.4140999999999999</v>
      </c>
      <c r="D56" s="23">
        <f>'Annual Raw'!E25</f>
        <v>1.5397000000000001</v>
      </c>
      <c r="E56" s="23">
        <f>'Annual Raw'!F25</f>
        <v>2.1934999999999998</v>
      </c>
      <c r="F56" s="23">
        <f>'Annual Raw'!G25</f>
        <v>3.4811000000000001</v>
      </c>
      <c r="G56" s="23">
        <f>'Annual Raw'!H25</f>
        <v>5.3977000000000004</v>
      </c>
      <c r="H56" s="23">
        <f>'Annual Raw'!I25</f>
        <v>11.248799999999999</v>
      </c>
      <c r="I56" s="23">
        <f>'Annual Raw'!J25</f>
        <v>18.0321</v>
      </c>
      <c r="J56" s="23">
        <f>'Annual Raw'!K25</f>
        <v>15.165900000000001</v>
      </c>
      <c r="K56" s="23">
        <f>'Annual Raw'!L25</f>
        <v>11.5654</v>
      </c>
      <c r="L56" s="23">
        <f>'Annual Raw'!M25</f>
        <v>10.4946</v>
      </c>
      <c r="M56" s="23">
        <f>'Annual Raw'!N25</f>
        <v>24.028099999999998</v>
      </c>
      <c r="N56" s="23">
        <f>'Annual Raw'!O25</f>
        <v>5.2805999999999997</v>
      </c>
      <c r="O56" s="23">
        <f>'Annual Raw'!P25</f>
        <v>5.9328000000000003</v>
      </c>
      <c r="P56" s="23">
        <f>'Annual Raw'!Q25</f>
        <v>6.8242000000000003</v>
      </c>
      <c r="Q56" s="23">
        <f>'Annual Raw'!R25</f>
        <v>10.645899999999999</v>
      </c>
      <c r="R56" s="23">
        <f>'Annual Raw'!S25</f>
        <v>5.3715999999999999</v>
      </c>
      <c r="S56" s="23">
        <f>'Annual Raw'!T25</f>
        <v>3.4921000000000002</v>
      </c>
      <c r="T56" s="23">
        <f>'Annual Raw'!U25</f>
        <v>4.6485000000000003</v>
      </c>
      <c r="U56" s="23">
        <f>'Annual Raw'!V25</f>
        <v>3.2578999999999998</v>
      </c>
      <c r="V56" s="23">
        <f>'Annual Raw'!W25</f>
        <v>7.2412000000000001</v>
      </c>
      <c r="W56" s="23">
        <f>'Annual Raw'!X25</f>
        <v>5.1204999999999998</v>
      </c>
      <c r="X56" s="23">
        <f>'Annual Raw'!Y25</f>
        <v>36.053100000000001</v>
      </c>
      <c r="Y56" s="23">
        <f>'Annual Raw'!Z25</f>
        <v>44.326700000000002</v>
      </c>
      <c r="Z56" s="23">
        <f>'Annual Raw'!AA25</f>
        <v>11.728999999999999</v>
      </c>
      <c r="AA56" s="23">
        <f>'Annual Raw'!AB25</f>
        <v>5.5682</v>
      </c>
      <c r="AB56" s="76">
        <f t="shared" si="511"/>
        <v>-43.511974941266715</v>
      </c>
      <c r="AC56" s="76">
        <f t="shared" si="512"/>
        <v>-78.647019972109263</v>
      </c>
      <c r="AD56" s="76">
        <f t="shared" si="513"/>
        <v>-122.4654324770338</v>
      </c>
      <c r="AE56" s="76">
        <f t="shared" si="514"/>
        <v>-173.9214643691399</v>
      </c>
      <c r="AI56" s="23">
        <f>'QTR Raw'!C25</f>
        <v>1.2410000000000001</v>
      </c>
      <c r="AJ56" s="23">
        <f>'QTR Raw'!D25</f>
        <v>0.95699999999999996</v>
      </c>
      <c r="AK56" s="23">
        <f>'QTR Raw'!E25</f>
        <v>1.88</v>
      </c>
      <c r="AL56" s="23">
        <f>'QTR Raw'!F25</f>
        <v>1.1639999999999999</v>
      </c>
      <c r="AM56" s="23">
        <f>'QTR Raw'!G25</f>
        <v>1.4690000000000001</v>
      </c>
      <c r="AN56" s="23">
        <f>'QTR Raw'!H25</f>
        <v>1.899</v>
      </c>
      <c r="AO56" s="23">
        <f>'QTR Raw'!I25</f>
        <v>1.897</v>
      </c>
      <c r="AP56" s="23">
        <f>'QTR Raw'!J25</f>
        <v>0.86199999999999999</v>
      </c>
      <c r="AQ56" s="23">
        <f>'QTR Raw'!K25</f>
        <v>1.3260000000000001</v>
      </c>
      <c r="AR56" s="23">
        <f>'QTR Raw'!L25</f>
        <v>2.254</v>
      </c>
      <c r="AS56" s="23">
        <f>'QTR Raw'!M25</f>
        <v>2.847</v>
      </c>
      <c r="AT56" s="23">
        <f>'QTR Raw'!N25</f>
        <v>0.223</v>
      </c>
      <c r="AU56" s="23">
        <f>'QTR Raw'!O25</f>
        <v>1.978</v>
      </c>
      <c r="AV56" s="23">
        <f>'QTR Raw'!P25</f>
        <v>3.3519999999999999</v>
      </c>
      <c r="AW56" s="23">
        <f>'QTR Raw'!Q25</f>
        <v>2.8660000000000001</v>
      </c>
      <c r="AX56" s="23">
        <f>'QTR Raw'!R25</f>
        <v>2.0979999999999999</v>
      </c>
      <c r="AY56" s="23">
        <f>'QTR Raw'!S25</f>
        <v>0.77900000000000003</v>
      </c>
      <c r="AZ56" s="23">
        <f>'QTR Raw'!T25</f>
        <v>2.0329999999999999</v>
      </c>
      <c r="BA56" s="23">
        <f>'QTR Raw'!U25</f>
        <v>2.4300000000000002</v>
      </c>
      <c r="BB56" s="23">
        <f>'QTR Raw'!V25</f>
        <v>-0.24099999999999999</v>
      </c>
      <c r="BC56" s="23">
        <f>'QTR Raw'!W25</f>
        <v>0.79100000000000004</v>
      </c>
      <c r="BD56" s="23">
        <f>'QTR Raw'!X25</f>
        <v>1.0609999999999999</v>
      </c>
      <c r="BE56" s="23">
        <f>'QTR Raw'!Y25</f>
        <v>0.61099999999999999</v>
      </c>
      <c r="BF56" s="23">
        <f>'QTR Raw'!Z25</f>
        <v>0.95099999999999996</v>
      </c>
      <c r="BG56" s="23">
        <f>'QTR Raw'!AA25</f>
        <v>1.2789999999999999</v>
      </c>
      <c r="BH56" s="23">
        <f>'QTR Raw'!AB25</f>
        <v>0.76400000000000001</v>
      </c>
      <c r="BI56" s="23">
        <f>'QTR Raw'!AC25</f>
        <v>1.2969999999999999</v>
      </c>
      <c r="BJ56" s="23">
        <f>'QTR Raw'!AD25</f>
        <v>1.3080000000000001</v>
      </c>
      <c r="BK56" s="23">
        <f>'QTR Raw'!AE25</f>
        <v>0.80400000000000005</v>
      </c>
      <c r="BL56" s="23">
        <f>'QTR Raw'!AF25</f>
        <v>0.874</v>
      </c>
      <c r="BM56" s="23">
        <f>'QTR Raw'!AG25</f>
        <v>0.85299999999999998</v>
      </c>
      <c r="BN56" s="23">
        <f>'QTR Raw'!AH25</f>
        <v>0.499</v>
      </c>
      <c r="BO56" s="23">
        <f>'QTR Raw'!AI25</f>
        <v>3.7450000000000001</v>
      </c>
      <c r="BP56" s="23">
        <f>'QTR Raw'!AJ25</f>
        <v>1.716</v>
      </c>
      <c r="BQ56" s="23">
        <f>'QTR Raw'!AK25</f>
        <v>1.091</v>
      </c>
      <c r="BR56" s="23">
        <f>'QTR Raw'!AL25</f>
        <v>0.68899999999999995</v>
      </c>
      <c r="BS56" s="23">
        <f>'QTR Raw'!AM25</f>
        <v>0.94</v>
      </c>
      <c r="BT56" s="23">
        <f>'QTR Raw'!AN25</f>
        <v>1.23</v>
      </c>
      <c r="BU56" s="23">
        <f>'QTR Raw'!AO25</f>
        <v>1.34</v>
      </c>
      <c r="BV56" s="23">
        <f>'QTR Raw'!AP25</f>
        <v>1.61</v>
      </c>
      <c r="BW56" s="23">
        <f>'QTR Raw'!AQ25</f>
        <v>5.83</v>
      </c>
      <c r="BX56" s="23">
        <f>'QTR Raw'!AR25</f>
        <v>7.96</v>
      </c>
      <c r="BY56" s="23">
        <f>'QTR Raw'!AS25</f>
        <v>8.3000000000000007</v>
      </c>
      <c r="BZ56" s="23">
        <f>'QTR Raw'!AT25</f>
        <v>13.96</v>
      </c>
      <c r="CA56" s="23">
        <f>'QTR Raw'!AU25</f>
        <v>12.06</v>
      </c>
      <c r="CB56" s="23">
        <f>'QTR Raw'!AV25</f>
        <v>10.37</v>
      </c>
      <c r="CC56" s="23">
        <f>'QTR Raw'!AW25</f>
        <v>12.49</v>
      </c>
      <c r="CD56" s="23">
        <f>'QTR Raw'!AX25</f>
        <v>9.41</v>
      </c>
      <c r="CE56" s="23">
        <f>'QTR Raw'!AY25</f>
        <v>5.64</v>
      </c>
      <c r="CF56" s="23">
        <f>'QTR Raw'!AZ25</f>
        <v>2.06</v>
      </c>
      <c r="CG56" s="23">
        <f>'QTR Raw'!BA25</f>
        <v>2.58</v>
      </c>
      <c r="CH56" s="23">
        <f>'QTR Raw'!BB25</f>
        <v>1.45</v>
      </c>
      <c r="CI56" s="23">
        <f>'QTR Raw'!BC25</f>
        <v>1.1100000000000001</v>
      </c>
      <c r="CJ56" s="23">
        <f>'QTR Raw'!BD25</f>
        <v>1.35</v>
      </c>
      <c r="CK56" s="23">
        <f>'QTR Raw'!BE25</f>
        <v>1.88</v>
      </c>
      <c r="CL56" s="23">
        <f>'QTR Raw'!BF25</f>
        <v>1.23</v>
      </c>
      <c r="CM56" s="24">
        <f t="shared" ref="CM56:DB56" si="515">CM57*CL188</f>
        <v>-11.111220198644428</v>
      </c>
      <c r="CN56" s="24">
        <f t="shared" si="515"/>
        <v>-7.6953718160298239</v>
      </c>
      <c r="CO56" s="24">
        <f t="shared" si="515"/>
        <v>-10.731312145256064</v>
      </c>
      <c r="CP56" s="24">
        <f t="shared" si="515"/>
        <v>-13.974070781336399</v>
      </c>
      <c r="CQ56" s="24">
        <f t="shared" si="515"/>
        <v>-17.592828561023648</v>
      </c>
      <c r="CR56" s="24">
        <f t="shared" si="515"/>
        <v>-16.83141044573097</v>
      </c>
      <c r="CS56" s="24">
        <f t="shared" si="515"/>
        <v>-20.249907003145776</v>
      </c>
      <c r="CT56" s="24">
        <f t="shared" si="515"/>
        <v>-23.972873962208869</v>
      </c>
      <c r="CU56" s="24">
        <f t="shared" si="515"/>
        <v>-28.162360151229443</v>
      </c>
      <c r="CV56" s="24">
        <f t="shared" si="515"/>
        <v>-27.366961406892177</v>
      </c>
      <c r="CW56" s="24">
        <f t="shared" si="515"/>
        <v>-31.311405641693153</v>
      </c>
      <c r="CX56" s="24">
        <f t="shared" si="515"/>
        <v>-35.624705277219022</v>
      </c>
      <c r="CY56" s="24">
        <f t="shared" si="515"/>
        <v>-40.45804699777451</v>
      </c>
      <c r="CZ56" s="24">
        <f t="shared" si="515"/>
        <v>-39.792381600066776</v>
      </c>
      <c r="DA56" s="24">
        <f t="shared" si="515"/>
        <v>-44.345573518268296</v>
      </c>
      <c r="DB56" s="24">
        <f t="shared" si="515"/>
        <v>-49.325462253030331</v>
      </c>
      <c r="DE56" s="123"/>
      <c r="DF56" s="23">
        <v>5.5682</v>
      </c>
    </row>
    <row r="57" spans="1:110" s="46" customFormat="1" x14ac:dyDescent="0.2">
      <c r="A57" s="46" t="s">
        <v>482</v>
      </c>
      <c r="B57" s="46">
        <f t="shared" ref="B57:D57" si="516">+B56/B148</f>
        <v>0.15385700183330986</v>
      </c>
      <c r="C57" s="46">
        <f t="shared" si="516"/>
        <v>8.0608568757552956E-2</v>
      </c>
      <c r="D57" s="46">
        <f t="shared" si="516"/>
        <v>9.41781659816011E-2</v>
      </c>
      <c r="E57" s="46">
        <f t="shared" ref="E57:AE57" si="517">+E56/E148</f>
        <v>5.11833898407913E-2</v>
      </c>
      <c r="F57" s="46">
        <f t="shared" si="517"/>
        <v>5.3519238545044187E-2</v>
      </c>
      <c r="G57" s="46">
        <f t="shared" si="517"/>
        <v>5.6446122747336756E-2</v>
      </c>
      <c r="H57" s="46">
        <f t="shared" si="517"/>
        <v>6.4512096018003368E-2</v>
      </c>
      <c r="I57" s="46">
        <f t="shared" si="517"/>
        <v>9.1834739129061926E-2</v>
      </c>
      <c r="J57" s="46">
        <f t="shared" si="517"/>
        <v>8.4836364755141488E-2</v>
      </c>
      <c r="K57" s="46">
        <f t="shared" si="517"/>
        <v>8.455500674077128E-2</v>
      </c>
      <c r="L57" s="46">
        <f t="shared" si="517"/>
        <v>6.2088636015384613E-2</v>
      </c>
      <c r="M57" s="46">
        <f t="shared" si="517"/>
        <v>0.33847495326760507</v>
      </c>
      <c r="N57" s="46">
        <f t="shared" si="517"/>
        <v>0.10538415944727499</v>
      </c>
      <c r="O57" s="46">
        <f t="shared" si="517"/>
        <v>6.3654466799423201E-2</v>
      </c>
      <c r="P57" s="46">
        <f t="shared" si="517"/>
        <v>5.3578691003534649E-2</v>
      </c>
      <c r="Q57" s="46">
        <f t="shared" si="517"/>
        <v>5.503927388422411E-2</v>
      </c>
      <c r="R57" s="46">
        <f t="shared" si="517"/>
        <v>0.10993792506390668</v>
      </c>
      <c r="S57" s="46">
        <f t="shared" si="517"/>
        <v>0.11921359514966136</v>
      </c>
      <c r="T57" s="46">
        <f t="shared" si="517"/>
        <v>0.18019048209724126</v>
      </c>
      <c r="U57" s="46">
        <f t="shared" si="517"/>
        <v>0.11046125261073587</v>
      </c>
      <c r="V57" s="46">
        <f t="shared" si="517"/>
        <v>0.22181922890769074</v>
      </c>
      <c r="W57" s="46">
        <f t="shared" si="517"/>
        <v>0.19458483754512634</v>
      </c>
      <c r="X57" s="46">
        <f t="shared" si="517"/>
        <v>6.5761731714110455E-2</v>
      </c>
      <c r="Y57" s="46">
        <f t="shared" si="517"/>
        <v>0.1241154054001081</v>
      </c>
      <c r="Z57" s="46">
        <f t="shared" si="517"/>
        <v>0.84969356264217089</v>
      </c>
      <c r="AA57" s="46" t="e">
        <f t="shared" ref="AA57" si="518">+AA56/AA148</f>
        <v>#DIV/0!</v>
      </c>
      <c r="AB57" s="110" t="e">
        <f t="shared" si="517"/>
        <v>#DIV/0!</v>
      </c>
      <c r="AC57" s="110" t="e">
        <f t="shared" si="517"/>
        <v>#DIV/0!</v>
      </c>
      <c r="AD57" s="110" t="e">
        <f t="shared" si="517"/>
        <v>#DIV/0!</v>
      </c>
      <c r="AE57" s="110" t="e">
        <f t="shared" si="517"/>
        <v>#DIV/0!</v>
      </c>
      <c r="AI57" s="46" t="e">
        <f t="shared" ref="AI57:BN57" si="519">(AI56-AI55)/AH188</f>
        <v>#DIV/0!</v>
      </c>
      <c r="AJ57" s="46" t="e">
        <f t="shared" si="519"/>
        <v>#DIV/0!</v>
      </c>
      <c r="AK57" s="46">
        <f t="shared" si="519"/>
        <v>2.5310737352622164E-2</v>
      </c>
      <c r="AL57" s="46">
        <f t="shared" si="519"/>
        <v>4.6966326863117852E-3</v>
      </c>
      <c r="AM57" s="46">
        <f t="shared" si="519"/>
        <v>9.0838717831245007E-5</v>
      </c>
      <c r="AN57" s="46">
        <f t="shared" si="519"/>
        <v>9.9745694768733021E-3</v>
      </c>
      <c r="AO57" s="46">
        <f t="shared" si="519"/>
        <v>7.2204044467124959E-2</v>
      </c>
      <c r="AP57" s="46">
        <f t="shared" si="519"/>
        <v>3.2235440389115418E-2</v>
      </c>
      <c r="AQ57" s="46">
        <f t="shared" si="519"/>
        <v>2.1294788750541734E-3</v>
      </c>
      <c r="AR57" s="46">
        <f t="shared" si="519"/>
        <v>7.151026397898076E-3</v>
      </c>
      <c r="AS57" s="46">
        <f t="shared" si="519"/>
        <v>-1.9991985195124476E-3</v>
      </c>
      <c r="AT57" s="46">
        <f t="shared" si="519"/>
        <v>8.3335782758956044E-3</v>
      </c>
      <c r="AU57" s="46">
        <f t="shared" si="519"/>
        <v>4.9571196494011878E-2</v>
      </c>
      <c r="AV57" s="46">
        <f t="shared" si="519"/>
        <v>4.8453421457707271E-2</v>
      </c>
      <c r="AW57" s="46">
        <f t="shared" si="519"/>
        <v>5.4894141671001165E-2</v>
      </c>
      <c r="AX57" s="46">
        <f t="shared" si="519"/>
        <v>0.10825266326847013</v>
      </c>
      <c r="AY57" s="46">
        <f t="shared" si="519"/>
        <v>0.15169518023853129</v>
      </c>
      <c r="AZ57" s="46">
        <f t="shared" si="519"/>
        <v>0.12252377911978736</v>
      </c>
      <c r="BA57" s="46">
        <f t="shared" si="519"/>
        <v>3.3766567183338141E-2</v>
      </c>
      <c r="BB57" s="46">
        <f t="shared" si="519"/>
        <v>5.9845502573901449E-2</v>
      </c>
      <c r="BC57" s="46">
        <f t="shared" si="519"/>
        <v>4.475745165920797E-2</v>
      </c>
      <c r="BD57" s="46">
        <f t="shared" si="519"/>
        <v>3.5938356597783133E-2</v>
      </c>
      <c r="BE57" s="46">
        <f t="shared" si="519"/>
        <v>1.3500070238207864E-2</v>
      </c>
      <c r="BF57" s="46">
        <f t="shared" si="519"/>
        <v>2.468527665954872E-2</v>
      </c>
      <c r="BG57" s="46">
        <f t="shared" si="519"/>
        <v>3.5640329243800663E-4</v>
      </c>
      <c r="BH57" s="46">
        <f t="shared" si="519"/>
        <v>2.450531347046923E-2</v>
      </c>
      <c r="BI57" s="46">
        <f t="shared" si="519"/>
        <v>3.7879005229457106E-2</v>
      </c>
      <c r="BJ57" s="46">
        <f t="shared" si="519"/>
        <v>2.9514455651524597E-2</v>
      </c>
      <c r="BK57" s="46">
        <f t="shared" si="519"/>
        <v>3.1761150978477003E-2</v>
      </c>
      <c r="BL57" s="46">
        <f t="shared" si="519"/>
        <v>4.3495707045568988E-2</v>
      </c>
      <c r="BM57" s="46">
        <f t="shared" si="519"/>
        <v>3.0335651766176922E-2</v>
      </c>
      <c r="BN57" s="46">
        <f t="shared" si="519"/>
        <v>4.4098824751236483E-3</v>
      </c>
      <c r="BO57" s="46">
        <f t="shared" ref="BO57:CL57" si="520">(BO56-BO55)/BN188</f>
        <v>5.6507201722806016E-2</v>
      </c>
      <c r="BP57" s="46">
        <f t="shared" si="520"/>
        <v>1.7831267949874632E-2</v>
      </c>
      <c r="BQ57" s="46">
        <f t="shared" si="520"/>
        <v>0.12106300298564113</v>
      </c>
      <c r="BR57" s="46">
        <f t="shared" si="520"/>
        <v>5.41290108920486E-2</v>
      </c>
      <c r="BS57" s="46">
        <f t="shared" si="520"/>
        <v>1.8139844175270401E-2</v>
      </c>
      <c r="BT57" s="46">
        <f t="shared" si="520"/>
        <v>2.6260934297591177E-2</v>
      </c>
      <c r="BU57" s="46">
        <f t="shared" si="520"/>
        <v>4.3057718939727299E-3</v>
      </c>
      <c r="BV57" s="46">
        <f t="shared" si="520"/>
        <v>5.7566406522878172E-4</v>
      </c>
      <c r="BW57" s="46">
        <f t="shared" si="520"/>
        <v>-0.15341614906832299</v>
      </c>
      <c r="BX57" s="46">
        <f t="shared" si="520"/>
        <v>0.12515328931823844</v>
      </c>
      <c r="BY57" s="46">
        <f t="shared" si="520"/>
        <v>3.373792743409032E-2</v>
      </c>
      <c r="BZ57" s="46">
        <f t="shared" si="520"/>
        <v>0.31428916480714303</v>
      </c>
      <c r="CA57" s="46">
        <f t="shared" si="520"/>
        <v>2.3192064923354374E-2</v>
      </c>
      <c r="CB57" s="46">
        <f t="shared" si="520"/>
        <v>1.0046485789664283E-2</v>
      </c>
      <c r="CC57" s="46">
        <f t="shared" si="520"/>
        <v>0.15202602780242508</v>
      </c>
      <c r="CD57" s="46">
        <f t="shared" si="520"/>
        <v>5.3780716855306443E-2</v>
      </c>
      <c r="CE57" s="46">
        <f t="shared" si="520"/>
        <v>2.4260067928190197E-3</v>
      </c>
      <c r="CF57" s="46">
        <f t="shared" si="520"/>
        <v>5.5584229308752155E-2</v>
      </c>
      <c r="CG57" s="46">
        <f t="shared" si="520"/>
        <v>1.6168486367161866E-2</v>
      </c>
      <c r="CH57" s="46">
        <f t="shared" si="520"/>
        <v>2.4333573885193513E-2</v>
      </c>
      <c r="CI57" s="46">
        <f t="shared" si="520"/>
        <v>3.1056934015106983E-2</v>
      </c>
      <c r="CJ57" s="46">
        <f t="shared" si="520"/>
        <v>2.7490057489850658E-2</v>
      </c>
      <c r="CK57" s="46">
        <f t="shared" si="520"/>
        <v>2.7946764821157752E-2</v>
      </c>
      <c r="CL57" s="46">
        <f t="shared" si="520"/>
        <v>1.2558172877601696E-2</v>
      </c>
      <c r="CM57" s="47">
        <f t="shared" ref="CM57" si="521">+CL57</f>
        <v>1.2558172877601696E-2</v>
      </c>
      <c r="CN57" s="47">
        <f t="shared" ref="CN57" si="522">+CM57</f>
        <v>1.2558172877601696E-2</v>
      </c>
      <c r="CO57" s="47">
        <f t="shared" ref="CO57" si="523">+CN57</f>
        <v>1.2558172877601696E-2</v>
      </c>
      <c r="CP57" s="47">
        <f t="shared" ref="CP57" si="524">+CO57</f>
        <v>1.2558172877601696E-2</v>
      </c>
      <c r="CQ57" s="47">
        <f t="shared" ref="CQ57" si="525">+CP57</f>
        <v>1.2558172877601696E-2</v>
      </c>
      <c r="CR57" s="47">
        <f t="shared" ref="CR57" si="526">+CQ57</f>
        <v>1.2558172877601696E-2</v>
      </c>
      <c r="CS57" s="47">
        <f t="shared" ref="CS57" si="527">+CR57</f>
        <v>1.2558172877601696E-2</v>
      </c>
      <c r="CT57" s="47">
        <f t="shared" ref="CT57" si="528">+CS57</f>
        <v>1.2558172877601696E-2</v>
      </c>
      <c r="CU57" s="47">
        <f t="shared" ref="CU57" si="529">+CT57</f>
        <v>1.2558172877601696E-2</v>
      </c>
      <c r="CV57" s="47">
        <f t="shared" ref="CV57" si="530">+CU57</f>
        <v>1.2558172877601696E-2</v>
      </c>
      <c r="CW57" s="47">
        <f t="shared" ref="CW57" si="531">+CV57</f>
        <v>1.2558172877601696E-2</v>
      </c>
      <c r="CX57" s="47">
        <f t="shared" ref="CX57" si="532">+CW57</f>
        <v>1.2558172877601696E-2</v>
      </c>
      <c r="CY57" s="47">
        <f t="shared" ref="CY57" si="533">+CX57</f>
        <v>1.2558172877601696E-2</v>
      </c>
      <c r="CZ57" s="47">
        <f t="shared" ref="CZ57" si="534">+CY57</f>
        <v>1.2558172877601696E-2</v>
      </c>
      <c r="DA57" s="47">
        <f t="shared" ref="DA57" si="535">+CZ57</f>
        <v>1.2558172877601696E-2</v>
      </c>
      <c r="DB57" s="47">
        <f t="shared" ref="DB57" si="536">+DA57</f>
        <v>1.2558172877601696E-2</v>
      </c>
      <c r="DE57" s="130"/>
    </row>
    <row r="58" spans="1:110" s="26" customFormat="1" x14ac:dyDescent="0.2">
      <c r="A58" s="26" t="s">
        <v>20</v>
      </c>
      <c r="B58" s="26">
        <f>B54+B55-B56</f>
        <v>39.492600000000003</v>
      </c>
      <c r="C58" s="26">
        <f t="shared" ref="C58:T58" si="537">C54+C55-C56</f>
        <v>53.89020000000005</v>
      </c>
      <c r="D58" s="26">
        <f>D54+D55-D56</f>
        <v>61.806000000000004</v>
      </c>
      <c r="E58" s="26">
        <f t="shared" si="537"/>
        <v>64.939000000000007</v>
      </c>
      <c r="F58" s="26">
        <f t="shared" si="537"/>
        <v>66.213600000000014</v>
      </c>
      <c r="G58" s="26">
        <f t="shared" si="537"/>
        <v>82.700799999999987</v>
      </c>
      <c r="H58" s="26">
        <f t="shared" si="537"/>
        <v>71.153800000000032</v>
      </c>
      <c r="I58" s="26">
        <f t="shared" si="537"/>
        <v>43.687799999999982</v>
      </c>
      <c r="J58" s="26">
        <f t="shared" si="537"/>
        <v>37.056300000000014</v>
      </c>
      <c r="K58" s="26">
        <f t="shared" si="537"/>
        <v>148.0727</v>
      </c>
      <c r="L58" s="26">
        <f t="shared" si="537"/>
        <v>165.23989999999992</v>
      </c>
      <c r="M58" s="26">
        <f t="shared" si="537"/>
        <v>82.848700000000164</v>
      </c>
      <c r="N58" s="26">
        <f t="shared" si="537"/>
        <v>103.57490000000007</v>
      </c>
      <c r="O58" s="26">
        <f t="shared" si="537"/>
        <v>151.94499999999999</v>
      </c>
      <c r="P58" s="26">
        <f t="shared" si="537"/>
        <v>145.54810000000012</v>
      </c>
      <c r="Q58" s="26">
        <f t="shared" si="537"/>
        <v>210.81630000000021</v>
      </c>
      <c r="R58" s="26">
        <f t="shared" si="537"/>
        <v>229.94410000000005</v>
      </c>
      <c r="S58" s="26">
        <f t="shared" si="537"/>
        <v>193.95059999999992</v>
      </c>
      <c r="T58" s="26">
        <f t="shared" si="537"/>
        <v>286.99259999999981</v>
      </c>
      <c r="U58" s="26">
        <f t="shared" ref="U58:Z58" si="538">U54+U55-U56</f>
        <v>358.89230000000003</v>
      </c>
      <c r="V58" s="26">
        <f t="shared" si="538"/>
        <v>596.88539999999989</v>
      </c>
      <c r="W58" s="26">
        <f t="shared" si="538"/>
        <v>504.90199999999993</v>
      </c>
      <c r="X58" s="26">
        <f t="shared" si="538"/>
        <v>555.23260000000039</v>
      </c>
      <c r="Y58" s="26">
        <f t="shared" si="538"/>
        <v>751.50919999999962</v>
      </c>
      <c r="Z58" s="26">
        <f t="shared" si="538"/>
        <v>887.39159999999936</v>
      </c>
      <c r="AA58" s="26">
        <f t="shared" ref="AA58" si="539">AA54+AA55-AA56</f>
        <v>979.51440000000059</v>
      </c>
      <c r="AB58" s="27">
        <f t="shared" ref="AB58:AD58" si="540">AB54+AB55-AB56</f>
        <v>1074.8093012773538</v>
      </c>
      <c r="AC58" s="27">
        <f t="shared" si="540"/>
        <v>1260.1936631964536</v>
      </c>
      <c r="AD58" s="27">
        <f t="shared" si="540"/>
        <v>1489.0174685719355</v>
      </c>
      <c r="AE58" s="27">
        <f t="shared" ref="AE58" si="541">AE54+AE55-AE56</f>
        <v>1749.451423672077</v>
      </c>
      <c r="AI58" s="26">
        <f>AI54+AI55-AI56</f>
        <v>15.42700000000001</v>
      </c>
      <c r="AJ58" s="26">
        <f t="shared" ref="AJ58" si="542">AJ54+AJ55-AJ56</f>
        <v>38.437999999999995</v>
      </c>
      <c r="AK58" s="26">
        <f t="shared" ref="AK58:AM58" si="543">AK54+AK55-AK56</f>
        <v>31.237999999999996</v>
      </c>
      <c r="AL58" s="26">
        <f t="shared" si="543"/>
        <v>22.832999999999995</v>
      </c>
      <c r="AM58" s="26">
        <f t="shared" si="543"/>
        <v>32.934999999999981</v>
      </c>
      <c r="AN58" s="26">
        <f t="shared" ref="AN58:AO58" si="544">AN54+AN55-AN56</f>
        <v>46.441000000000031</v>
      </c>
      <c r="AO58" s="26">
        <f t="shared" si="544"/>
        <v>65.774999999999991</v>
      </c>
      <c r="AP58" s="26">
        <f t="shared" ref="AP58:CD58" si="545">AP54+AP55-AP56</f>
        <v>24.953000000000028</v>
      </c>
      <c r="AQ58" s="26">
        <f t="shared" si="545"/>
        <v>38.868000000000009</v>
      </c>
      <c r="AR58" s="26">
        <f t="shared" si="545"/>
        <v>50.506</v>
      </c>
      <c r="AS58" s="26">
        <f t="shared" si="545"/>
        <v>35.139999999999979</v>
      </c>
      <c r="AT58" s="26">
        <f t="shared" si="545"/>
        <v>38.727000000000025</v>
      </c>
      <c r="AU58" s="26">
        <f t="shared" si="545"/>
        <v>53.246999999999993</v>
      </c>
      <c r="AV58" s="26">
        <f t="shared" si="545"/>
        <v>53.049000000000071</v>
      </c>
      <c r="AW58" s="26">
        <f t="shared" si="545"/>
        <v>61.111999999999981</v>
      </c>
      <c r="AX58" s="26">
        <f t="shared" si="545"/>
        <v>63.284000000000063</v>
      </c>
      <c r="AY58" s="26">
        <f t="shared" si="545"/>
        <v>68.083000000000027</v>
      </c>
      <c r="AZ58" s="26">
        <f t="shared" si="545"/>
        <v>61.589000000000027</v>
      </c>
      <c r="BA58" s="26">
        <f t="shared" si="545"/>
        <v>39.639000000000031</v>
      </c>
      <c r="BB58" s="26">
        <f t="shared" si="545"/>
        <v>47.473000000000027</v>
      </c>
      <c r="BC58" s="26">
        <f t="shared" si="545"/>
        <v>25.221000000000014</v>
      </c>
      <c r="BD58" s="26">
        <f t="shared" si="545"/>
        <v>67.946999999999974</v>
      </c>
      <c r="BE58" s="26">
        <f t="shared" si="545"/>
        <v>49.074000000000041</v>
      </c>
      <c r="BF58" s="26">
        <f t="shared" si="545"/>
        <v>36.798000000000016</v>
      </c>
      <c r="BG58" s="26">
        <f t="shared" si="545"/>
        <v>66.267999999999972</v>
      </c>
      <c r="BH58" s="26">
        <f t="shared" si="545"/>
        <v>74.597999999999999</v>
      </c>
      <c r="BI58" s="26">
        <f t="shared" si="545"/>
        <v>77.840000000000032</v>
      </c>
      <c r="BJ58" s="26">
        <f t="shared" si="545"/>
        <v>68.283000000000015</v>
      </c>
      <c r="BK58" s="26">
        <f t="shared" si="545"/>
        <v>91.985999999999962</v>
      </c>
      <c r="BL58" s="26">
        <f t="shared" si="545"/>
        <v>101.50799999999994</v>
      </c>
      <c r="BM58" s="26">
        <f t="shared" si="545"/>
        <v>88.373000000000033</v>
      </c>
      <c r="BN58" s="26">
        <f t="shared" si="545"/>
        <v>77.023999999999958</v>
      </c>
      <c r="BO58" s="26">
        <f t="shared" si="545"/>
        <v>157.07299999999995</v>
      </c>
      <c r="BP58" s="26">
        <f t="shared" si="545"/>
        <v>99.330000000000027</v>
      </c>
      <c r="BQ58" s="26">
        <f t="shared" si="545"/>
        <v>208.46200000000002</v>
      </c>
      <c r="BR58" s="26">
        <f t="shared" si="545"/>
        <v>132.02200000000005</v>
      </c>
      <c r="BS58" s="26">
        <f t="shared" si="545"/>
        <v>157.87000000000006</v>
      </c>
      <c r="BT58" s="26">
        <f t="shared" si="545"/>
        <v>129.42999999999995</v>
      </c>
      <c r="BU58" s="26">
        <f t="shared" si="545"/>
        <v>114.31999999999991</v>
      </c>
      <c r="BV58" s="26">
        <f t="shared" si="545"/>
        <v>103.28000000000002</v>
      </c>
      <c r="BW58" s="26">
        <f t="shared" si="545"/>
        <v>141.73999999999998</v>
      </c>
      <c r="BX58" s="26">
        <f t="shared" si="545"/>
        <v>149.83000000000004</v>
      </c>
      <c r="BY58" s="26">
        <f t="shared" si="545"/>
        <v>141.20000000000007</v>
      </c>
      <c r="BZ58" s="26">
        <f t="shared" si="545"/>
        <v>122.46000000000004</v>
      </c>
      <c r="CA58" s="26">
        <f t="shared" si="545"/>
        <v>194.3</v>
      </c>
      <c r="CB58" s="26">
        <f t="shared" si="545"/>
        <v>208.65999999999994</v>
      </c>
      <c r="CC58" s="26">
        <f t="shared" si="545"/>
        <v>183.95</v>
      </c>
      <c r="CD58" s="26">
        <f t="shared" si="545"/>
        <v>164.60000000000005</v>
      </c>
      <c r="CE58" s="26">
        <f t="shared" ref="CE58:CF58" si="546">CE54+CE55-CE56</f>
        <v>239.84</v>
      </c>
      <c r="CF58" s="26">
        <f t="shared" si="546"/>
        <v>236.52999999999992</v>
      </c>
      <c r="CG58" s="26">
        <f t="shared" ref="CG58:CH58" si="547">CG54+CG55-CG56</f>
        <v>217.98999999999998</v>
      </c>
      <c r="CH58" s="26">
        <f t="shared" si="547"/>
        <v>193.02999999999994</v>
      </c>
      <c r="CI58" s="26">
        <f t="shared" ref="CI58:CJ58" si="548">CI54+CI55-CI56</f>
        <v>271.61000000000013</v>
      </c>
      <c r="CJ58" s="26">
        <f t="shared" si="548"/>
        <v>279.15000000000003</v>
      </c>
      <c r="CK58" s="26">
        <f t="shared" ref="CK58:CL58" si="549">CK54+CK55-CK56</f>
        <v>266.87000000000006</v>
      </c>
      <c r="CL58" s="26">
        <f t="shared" si="549"/>
        <v>161.87</v>
      </c>
      <c r="CM58" s="27">
        <f t="shared" ref="CM58:DB58" si="550">CM54+CM55-CM56</f>
        <v>282.86247415213205</v>
      </c>
      <c r="CN58" s="27">
        <f t="shared" si="550"/>
        <v>274.74164786319676</v>
      </c>
      <c r="CO58" s="27">
        <f t="shared" si="550"/>
        <v>265.69362630782558</v>
      </c>
      <c r="CP58" s="27">
        <f t="shared" si="550"/>
        <v>251.51155295419952</v>
      </c>
      <c r="CQ58" s="27">
        <f t="shared" si="550"/>
        <v>320.4197924911515</v>
      </c>
      <c r="CR58" s="27">
        <f t="shared" si="550"/>
        <v>317.36092131593693</v>
      </c>
      <c r="CS58" s="27">
        <f t="shared" si="550"/>
        <v>314.89109991588282</v>
      </c>
      <c r="CT58" s="27">
        <f t="shared" si="550"/>
        <v>307.52184947348269</v>
      </c>
      <c r="CU58" s="27">
        <f t="shared" si="550"/>
        <v>375.54699157728146</v>
      </c>
      <c r="CV58" s="27">
        <f t="shared" si="550"/>
        <v>374.43840505577782</v>
      </c>
      <c r="CW58" s="27">
        <f t="shared" si="550"/>
        <v>373.55826837099687</v>
      </c>
      <c r="CX58" s="27">
        <f t="shared" si="550"/>
        <v>365.47380356787937</v>
      </c>
      <c r="CY58" s="27">
        <f t="shared" si="550"/>
        <v>440.27722767056787</v>
      </c>
      <c r="CZ58" s="27">
        <f t="shared" si="550"/>
        <v>440.04182075576989</v>
      </c>
      <c r="DA58" s="27">
        <f t="shared" si="550"/>
        <v>439.26496433570657</v>
      </c>
      <c r="DB58" s="27">
        <f t="shared" si="550"/>
        <v>429.86741091003273</v>
      </c>
      <c r="DE58" s="121"/>
      <c r="DF58" s="26">
        <v>979.51440000000059</v>
      </c>
    </row>
    <row r="59" spans="1:110" s="23" customFormat="1" x14ac:dyDescent="0.2">
      <c r="A59" s="23" t="s">
        <v>21</v>
      </c>
      <c r="B59" s="23">
        <f>'Annual Raw'!C30</f>
        <v>8.2622999999999998</v>
      </c>
      <c r="C59" s="23">
        <f>'Annual Raw'!D30</f>
        <v>11.519</v>
      </c>
      <c r="D59" s="23">
        <f>'Annual Raw'!E30</f>
        <v>13.837899999999999</v>
      </c>
      <c r="E59" s="23">
        <f>'Annual Raw'!F30</f>
        <v>14.1524</v>
      </c>
      <c r="F59" s="23">
        <f>'Annual Raw'!G30</f>
        <v>7.8688000000000002</v>
      </c>
      <c r="G59" s="23">
        <f>'Annual Raw'!H30</f>
        <v>12.463699999999999</v>
      </c>
      <c r="H59" s="23">
        <f>'Annual Raw'!I30</f>
        <v>8.9765999999999995</v>
      </c>
      <c r="I59" s="23">
        <f>'Annual Raw'!J30</f>
        <v>-1.6326000000000001</v>
      </c>
      <c r="J59" s="23">
        <f>'Annual Raw'!K30</f>
        <v>11.3466</v>
      </c>
      <c r="K59" s="23">
        <f>'Annual Raw'!L30</f>
        <v>29.3201</v>
      </c>
      <c r="L59" s="23">
        <f>'Annual Raw'!M30</f>
        <v>25.9162</v>
      </c>
      <c r="M59" s="23">
        <f>'Annual Raw'!N30</f>
        <v>165.53319999999999</v>
      </c>
      <c r="N59" s="23">
        <f>'Annual Raw'!O30</f>
        <v>24.130800000000001</v>
      </c>
      <c r="O59" s="23">
        <f>'Annual Raw'!P30</f>
        <v>25.949200000000001</v>
      </c>
      <c r="P59" s="23">
        <f>'Annual Raw'!Q30</f>
        <v>45.143000000000001</v>
      </c>
      <c r="Q59" s="23">
        <f>'Annual Raw'!R30</f>
        <v>49.580500000000001</v>
      </c>
      <c r="R59" s="23">
        <f>'Annual Raw'!S30</f>
        <v>45.545900000000003</v>
      </c>
      <c r="S59" s="23">
        <f>'Annual Raw'!T30</f>
        <v>55.231200000000001</v>
      </c>
      <c r="T59" s="23">
        <f>'Annual Raw'!U30</f>
        <v>93.022900000000007</v>
      </c>
      <c r="U59" s="23">
        <f>'Annual Raw'!V30</f>
        <v>76.500200000000007</v>
      </c>
      <c r="V59" s="23">
        <f>'Annual Raw'!W30</f>
        <v>148.36240000000001</v>
      </c>
      <c r="W59" s="23">
        <f>'Annual Raw'!X30</f>
        <v>118.8631</v>
      </c>
      <c r="X59" s="23">
        <f>'Annual Raw'!Y30</f>
        <v>145.22730000000001</v>
      </c>
      <c r="Y59" s="23">
        <f>'Annual Raw'!Z30</f>
        <v>198.88140000000001</v>
      </c>
      <c r="Z59" s="23">
        <f>'Annual Raw'!AA30</f>
        <v>227.8098</v>
      </c>
      <c r="AA59" s="23">
        <f>'Annual Raw'!AB30</f>
        <v>242.86150000000001</v>
      </c>
      <c r="AB59" s="24">
        <f>+SUM(CM59:CP59)</f>
        <v>256.46562330390378</v>
      </c>
      <c r="AC59" s="24">
        <f>+SUM(CQ59:CT59)</f>
        <v>302.86375660381424</v>
      </c>
      <c r="AD59" s="24">
        <f>+SUM(CU59:CX59)</f>
        <v>357.78075271266459</v>
      </c>
      <c r="AE59" s="24">
        <f>+SUM(CY59:DB59)</f>
        <v>420.35782378785956</v>
      </c>
      <c r="AI59" s="23">
        <f>'QTR Raw'!C29</f>
        <v>1.5009999999999999</v>
      </c>
      <c r="AJ59" s="23">
        <f>'QTR Raw'!D29</f>
        <v>8.8610000000000007</v>
      </c>
      <c r="AK59" s="23">
        <f>'QTR Raw'!E29</f>
        <v>9.3640000000000008</v>
      </c>
      <c r="AL59" s="23">
        <f>'QTR Raw'!F29</f>
        <v>3.081</v>
      </c>
      <c r="AM59" s="23">
        <f>'QTR Raw'!G29</f>
        <v>7.1680000000000001</v>
      </c>
      <c r="AN59" s="23">
        <f>'QTR Raw'!H29</f>
        <v>7.1230000000000002</v>
      </c>
      <c r="AO59" s="23">
        <f>'QTR Raw'!I29</f>
        <v>7.75</v>
      </c>
      <c r="AP59" s="23">
        <f>'QTR Raw'!J29</f>
        <v>3.5219999999999998</v>
      </c>
      <c r="AQ59" s="23">
        <f>'QTR Raw'!K29</f>
        <v>10.763999999999999</v>
      </c>
      <c r="AR59" s="23">
        <f>'QTR Raw'!L29</f>
        <v>10.795999999999999</v>
      </c>
      <c r="AS59" s="23">
        <f>'QTR Raw'!M29</f>
        <v>10.973000000000001</v>
      </c>
      <c r="AT59" s="23">
        <f>'QTR Raw'!N29</f>
        <v>12.99</v>
      </c>
      <c r="AU59" s="23">
        <f>'QTR Raw'!O29</f>
        <v>13.609</v>
      </c>
      <c r="AV59" s="23">
        <f>'QTR Raw'!P29</f>
        <v>10.901999999999999</v>
      </c>
      <c r="AW59" s="23">
        <f>'QTR Raw'!Q29</f>
        <v>14.231</v>
      </c>
      <c r="AX59" s="23">
        <f>'QTR Raw'!R29</f>
        <v>12.747999999999999</v>
      </c>
      <c r="AY59" s="23">
        <f>'QTR Raw'!S29</f>
        <v>18.228000000000002</v>
      </c>
      <c r="AZ59" s="23">
        <f>'QTR Raw'!T29</f>
        <v>16.388999999999999</v>
      </c>
      <c r="BA59" s="23">
        <f>'QTR Raw'!U29</f>
        <v>3.8769999999999998</v>
      </c>
      <c r="BB59" s="23">
        <f>'QTR Raw'!V29</f>
        <v>5.3239999999999998</v>
      </c>
      <c r="BC59" s="23">
        <f>'QTR Raw'!W29</f>
        <v>4.8529999999999998</v>
      </c>
      <c r="BD59" s="23">
        <f>'QTR Raw'!X29</f>
        <v>16.225000000000001</v>
      </c>
      <c r="BE59" s="23">
        <f>'QTR Raw'!Y29</f>
        <v>15.224</v>
      </c>
      <c r="BF59" s="23">
        <f>'QTR Raw'!Z29</f>
        <v>14.741</v>
      </c>
      <c r="BG59" s="23">
        <f>'QTR Raw'!AA29</f>
        <v>20.513000000000002</v>
      </c>
      <c r="BH59" s="23">
        <f>'QTR Raw'!AB29</f>
        <v>23.128</v>
      </c>
      <c r="BI59" s="23">
        <f>'QTR Raw'!AC29</f>
        <v>27.888999999999999</v>
      </c>
      <c r="BJ59" s="23">
        <f>'QTR Raw'!AD29</f>
        <v>21.492999999999999</v>
      </c>
      <c r="BK59" s="23">
        <f>'QTR Raw'!AE29</f>
        <v>29.873999999999999</v>
      </c>
      <c r="BL59" s="23">
        <f>'QTR Raw'!AF29</f>
        <v>7.7460000000000004</v>
      </c>
      <c r="BM59" s="23">
        <f>'QTR Raw'!AG29</f>
        <v>21.927</v>
      </c>
      <c r="BN59" s="23">
        <f>'QTR Raw'!AH29</f>
        <v>16.952000000000002</v>
      </c>
      <c r="BO59" s="23">
        <f>'QTR Raw'!AI29</f>
        <v>37.566000000000003</v>
      </c>
      <c r="BP59" s="23">
        <f>'QTR Raw'!AJ29</f>
        <v>25.405999999999999</v>
      </c>
      <c r="BQ59" s="23">
        <f>'QTR Raw'!AK29</f>
        <v>54.177999999999997</v>
      </c>
      <c r="BR59" s="23">
        <f>'QTR Raw'!AL29</f>
        <v>31.212</v>
      </c>
      <c r="BS59" s="23">
        <f>'QTR Raw'!AM29</f>
        <v>38.81</v>
      </c>
      <c r="BT59" s="23">
        <f>'QTR Raw'!AN29</f>
        <v>31.54</v>
      </c>
      <c r="BU59" s="23">
        <f>'QTR Raw'!AO29</f>
        <v>30.21</v>
      </c>
      <c r="BV59" s="23">
        <f>'QTR Raw'!AP29</f>
        <v>18.309999999999999</v>
      </c>
      <c r="BW59" s="23">
        <f>'QTR Raw'!AQ29</f>
        <v>36.54</v>
      </c>
      <c r="BX59" s="23">
        <f>'QTR Raw'!AR29</f>
        <v>38.75</v>
      </c>
      <c r="BY59" s="23">
        <f>'QTR Raw'!AS29</f>
        <v>35.1</v>
      </c>
      <c r="BZ59" s="23">
        <f>'QTR Raw'!AT29</f>
        <v>34.83</v>
      </c>
      <c r="CA59" s="23">
        <f>'QTR Raw'!AU29</f>
        <v>51.98</v>
      </c>
      <c r="CB59" s="23">
        <f>'QTR Raw'!AV29</f>
        <v>58.07</v>
      </c>
      <c r="CC59" s="23">
        <f>'QTR Raw'!AW29</f>
        <v>50.38</v>
      </c>
      <c r="CD59" s="23">
        <f>'QTR Raw'!AX29</f>
        <v>38.44</v>
      </c>
      <c r="CE59" s="23">
        <f>'QTR Raw'!AY29</f>
        <v>63.01</v>
      </c>
      <c r="CF59" s="23">
        <f>'QTR Raw'!AZ29</f>
        <v>61.96</v>
      </c>
      <c r="CG59" s="23">
        <f>'QTR Raw'!BA29</f>
        <v>55.5</v>
      </c>
      <c r="CH59" s="23">
        <f>'QTR Raw'!BB29</f>
        <v>47.34</v>
      </c>
      <c r="CI59" s="23">
        <f>'QTR Raw'!BC29</f>
        <v>69.23</v>
      </c>
      <c r="CJ59" s="23">
        <f>'QTR Raw'!BD29</f>
        <v>71.33</v>
      </c>
      <c r="CK59" s="23">
        <f>'QTR Raw'!BE29</f>
        <v>68.98</v>
      </c>
      <c r="CL59" s="23">
        <f>'QTR Raw'!BF29</f>
        <v>33.32</v>
      </c>
      <c r="CM59" s="24">
        <f t="shared" ref="CM59:DB59" si="551">+CM58*CM60</f>
        <v>68.929011922494368</v>
      </c>
      <c r="CN59" s="24">
        <f t="shared" si="551"/>
        <v>66.180567814929887</v>
      </c>
      <c r="CO59" s="24">
        <f t="shared" si="551"/>
        <v>63.028429895746406</v>
      </c>
      <c r="CP59" s="24">
        <f t="shared" si="551"/>
        <v>58.327613670733101</v>
      </c>
      <c r="CQ59" s="24">
        <f t="shared" si="551"/>
        <v>77.159826962032938</v>
      </c>
      <c r="CR59" s="24">
        <f t="shared" si="551"/>
        <v>76.192818077992726</v>
      </c>
      <c r="CS59" s="24">
        <f t="shared" si="551"/>
        <v>75.536220093601088</v>
      </c>
      <c r="CT59" s="24">
        <f t="shared" si="551"/>
        <v>73.974891470187472</v>
      </c>
      <c r="CU59" s="24">
        <f t="shared" si="551"/>
        <v>90.255510334865264</v>
      </c>
      <c r="CV59" s="24">
        <f t="shared" si="551"/>
        <v>89.944360818196259</v>
      </c>
      <c r="CW59" s="24">
        <f t="shared" si="551"/>
        <v>89.74497241520038</v>
      </c>
      <c r="CX59" s="24">
        <f t="shared" si="551"/>
        <v>87.83590914440272</v>
      </c>
      <c r="CY59" s="24">
        <f t="shared" si="551"/>
        <v>105.78982232115479</v>
      </c>
      <c r="CZ59" s="24">
        <f t="shared" si="551"/>
        <v>105.72767231046259</v>
      </c>
      <c r="DA59" s="24">
        <f t="shared" si="551"/>
        <v>105.54716457165563</v>
      </c>
      <c r="DB59" s="24">
        <f t="shared" si="551"/>
        <v>103.29316458458656</v>
      </c>
      <c r="DE59" s="123"/>
      <c r="DF59" s="23">
        <v>242.86150000000001</v>
      </c>
    </row>
    <row r="60" spans="1:110" s="90" customFormat="1" x14ac:dyDescent="0.2">
      <c r="A60" s="90" t="s">
        <v>106</v>
      </c>
      <c r="B60" s="90">
        <f t="shared" ref="B60:E60" si="552">B59/B58</f>
        <v>0.20921134592303367</v>
      </c>
      <c r="C60" s="90">
        <f t="shared" si="552"/>
        <v>0.21374943867345064</v>
      </c>
      <c r="D60" s="90">
        <f t="shared" si="552"/>
        <v>0.22389250234605051</v>
      </c>
      <c r="E60" s="90">
        <f t="shared" si="552"/>
        <v>0.21793375321455519</v>
      </c>
      <c r="F60" s="90">
        <f t="shared" ref="F60:T60" si="553">F59/F58</f>
        <v>0.11883963415370859</v>
      </c>
      <c r="G60" s="90">
        <f t="shared" si="553"/>
        <v>0.15070833655780841</v>
      </c>
      <c r="H60" s="90">
        <f t="shared" si="553"/>
        <v>0.12615770345364541</v>
      </c>
      <c r="I60" s="90">
        <f t="shared" si="553"/>
        <v>-3.7369700465576222E-2</v>
      </c>
      <c r="J60" s="90">
        <f t="shared" si="553"/>
        <v>0.30619894592822261</v>
      </c>
      <c r="K60" s="90">
        <f t="shared" si="553"/>
        <v>0.19801151731548083</v>
      </c>
      <c r="L60" s="90">
        <f t="shared" si="553"/>
        <v>0.15683984316136729</v>
      </c>
      <c r="M60" s="90">
        <f t="shared" si="553"/>
        <v>1.9980180739106306</v>
      </c>
      <c r="N60" s="90">
        <f t="shared" si="553"/>
        <v>0.23297922566181559</v>
      </c>
      <c r="O60" s="90">
        <f t="shared" si="553"/>
        <v>0.17078021652571657</v>
      </c>
      <c r="P60" s="90">
        <f t="shared" si="553"/>
        <v>0.31015863484305162</v>
      </c>
      <c r="Q60" s="90">
        <f t="shared" si="553"/>
        <v>0.23518342746742046</v>
      </c>
      <c r="R60" s="90">
        <f t="shared" si="553"/>
        <v>0.19807379271744738</v>
      </c>
      <c r="S60" s="90">
        <f t="shared" si="553"/>
        <v>0.28476942066691219</v>
      </c>
      <c r="T60" s="90">
        <f t="shared" si="553"/>
        <v>0.32412996014531409</v>
      </c>
      <c r="U60" s="90">
        <f t="shared" ref="U60:Z60" si="554">U59/U58</f>
        <v>0.21315642603644602</v>
      </c>
      <c r="V60" s="90">
        <f t="shared" si="554"/>
        <v>0.24856094654015667</v>
      </c>
      <c r="W60" s="90">
        <f t="shared" si="554"/>
        <v>0.23541816035587107</v>
      </c>
      <c r="X60" s="90">
        <f t="shared" si="554"/>
        <v>0.26156119075140744</v>
      </c>
      <c r="Y60" s="90">
        <f t="shared" si="554"/>
        <v>0.26464266837984168</v>
      </c>
      <c r="Z60" s="90">
        <f t="shared" si="554"/>
        <v>0.25671845440051511</v>
      </c>
      <c r="AA60" s="90">
        <f t="shared" ref="AA60" si="555">AA59/AA58</f>
        <v>0.24794071429679834</v>
      </c>
      <c r="AB60" s="91">
        <f t="shared" ref="AB60:AD60" si="556">AB59/AB58</f>
        <v>0.23861500174878278</v>
      </c>
      <c r="AC60" s="91">
        <f t="shared" si="556"/>
        <v>0.24033112167506615</v>
      </c>
      <c r="AD60" s="91">
        <f t="shared" si="556"/>
        <v>0.24027975511650618</v>
      </c>
      <c r="AE60" s="91">
        <f t="shared" ref="AE60" si="557">AE59/AE58</f>
        <v>0.24027979176782951</v>
      </c>
      <c r="AI60" s="90">
        <f t="shared" ref="AI60" si="558">AI59/AI58</f>
        <v>9.729694691125941E-2</v>
      </c>
      <c r="AJ60" s="90">
        <f t="shared" ref="AJ60" si="559">AJ59/AJ58</f>
        <v>0.23052708257453566</v>
      </c>
      <c r="AK60" s="90">
        <f t="shared" ref="AK60:AM60" si="560">AK59/AK58</f>
        <v>0.29976310903386905</v>
      </c>
      <c r="AL60" s="90">
        <f t="shared" si="560"/>
        <v>0.13493627644199188</v>
      </c>
      <c r="AM60" s="90">
        <f t="shared" si="560"/>
        <v>0.21764080765143479</v>
      </c>
      <c r="AN60" s="90">
        <f t="shared" ref="AN60:AO60" si="561">AN59/AN58</f>
        <v>0.15337740358734728</v>
      </c>
      <c r="AO60" s="90">
        <f t="shared" si="561"/>
        <v>0.11782592170277463</v>
      </c>
      <c r="AP60" s="90">
        <f t="shared" ref="AP60:CD60" si="562">AP59/AP58</f>
        <v>0.14114535326413641</v>
      </c>
      <c r="AQ60" s="90">
        <f t="shared" si="562"/>
        <v>0.27693732633528861</v>
      </c>
      <c r="AR60" s="90">
        <f t="shared" si="562"/>
        <v>0.2137567813725102</v>
      </c>
      <c r="AS60" s="90">
        <f t="shared" si="562"/>
        <v>0.31226522481502583</v>
      </c>
      <c r="AT60" s="90">
        <f t="shared" si="562"/>
        <v>0.33542489735843189</v>
      </c>
      <c r="AU60" s="90">
        <f t="shared" si="562"/>
        <v>0.25558247412999796</v>
      </c>
      <c r="AV60" s="90">
        <f t="shared" si="562"/>
        <v>0.20550811513883363</v>
      </c>
      <c r="AW60" s="90">
        <f t="shared" si="562"/>
        <v>0.23286752192695387</v>
      </c>
      <c r="AX60" s="90">
        <f t="shared" si="562"/>
        <v>0.2014411225586244</v>
      </c>
      <c r="AY60" s="90">
        <f t="shared" si="562"/>
        <v>0.26773203295976961</v>
      </c>
      <c r="AZ60" s="90">
        <f t="shared" si="562"/>
        <v>0.26610271314682804</v>
      </c>
      <c r="BA60" s="90">
        <f t="shared" si="562"/>
        <v>9.7807714624485897E-2</v>
      </c>
      <c r="BB60" s="90">
        <f t="shared" si="562"/>
        <v>0.11214795778653122</v>
      </c>
      <c r="BC60" s="90">
        <f t="shared" si="562"/>
        <v>0.19241901589944876</v>
      </c>
      <c r="BD60" s="90">
        <f t="shared" si="562"/>
        <v>0.23878905617613738</v>
      </c>
      <c r="BE60" s="90">
        <f t="shared" si="562"/>
        <v>0.31022537392509247</v>
      </c>
      <c r="BF60" s="90">
        <f t="shared" si="562"/>
        <v>0.40059242350127705</v>
      </c>
      <c r="BG60" s="90">
        <f t="shared" si="562"/>
        <v>0.30954608559183933</v>
      </c>
      <c r="BH60" s="90">
        <f t="shared" si="562"/>
        <v>0.31003512158502911</v>
      </c>
      <c r="BI60" s="90">
        <f t="shared" si="562"/>
        <v>0.35828622816032873</v>
      </c>
      <c r="BJ60" s="90">
        <f t="shared" si="562"/>
        <v>0.31476355754726643</v>
      </c>
      <c r="BK60" s="90">
        <f t="shared" si="562"/>
        <v>0.32476681234100852</v>
      </c>
      <c r="BL60" s="90">
        <f t="shared" si="562"/>
        <v>7.6309256413287674E-2</v>
      </c>
      <c r="BM60" s="90">
        <f t="shared" si="562"/>
        <v>0.24811876930736754</v>
      </c>
      <c r="BN60" s="90">
        <f t="shared" si="562"/>
        <v>0.22008724553385972</v>
      </c>
      <c r="BO60" s="90">
        <f t="shared" si="562"/>
        <v>0.23916268231968585</v>
      </c>
      <c r="BP60" s="90">
        <f t="shared" si="562"/>
        <v>0.25577368368066034</v>
      </c>
      <c r="BQ60" s="90">
        <f t="shared" si="562"/>
        <v>0.25989388953382386</v>
      </c>
      <c r="BR60" s="90">
        <f t="shared" si="562"/>
        <v>0.23641514293072358</v>
      </c>
      <c r="BS60" s="90">
        <f t="shared" si="562"/>
        <v>0.24583518084499897</v>
      </c>
      <c r="BT60" s="90">
        <f t="shared" si="562"/>
        <v>0.24368384454917724</v>
      </c>
      <c r="BU60" s="90">
        <f t="shared" si="562"/>
        <v>0.26425822253324027</v>
      </c>
      <c r="BV60" s="90">
        <f t="shared" si="562"/>
        <v>0.17728505034856695</v>
      </c>
      <c r="BW60" s="90">
        <f t="shared" si="562"/>
        <v>0.25779596444193598</v>
      </c>
      <c r="BX60" s="90">
        <f t="shared" si="562"/>
        <v>0.2586264433024093</v>
      </c>
      <c r="BY60" s="90">
        <f t="shared" si="562"/>
        <v>0.24858356940509904</v>
      </c>
      <c r="BZ60" s="90">
        <f t="shared" si="562"/>
        <v>0.28441940225379708</v>
      </c>
      <c r="CA60" s="90">
        <f t="shared" si="562"/>
        <v>0.26752444673185793</v>
      </c>
      <c r="CB60" s="90">
        <f t="shared" si="562"/>
        <v>0.27829962618614024</v>
      </c>
      <c r="CC60" s="90">
        <f t="shared" si="562"/>
        <v>0.27387877140527322</v>
      </c>
      <c r="CD60" s="90">
        <f t="shared" si="562"/>
        <v>0.23353584447144585</v>
      </c>
      <c r="CE60" s="90">
        <f t="shared" ref="CE60:CF60" si="563">CE59/CE58</f>
        <v>0.26271681120747165</v>
      </c>
      <c r="CF60" s="90">
        <f t="shared" si="563"/>
        <v>0.26195408616243193</v>
      </c>
      <c r="CG60" s="90">
        <f t="shared" ref="CG60:CH60" si="564">CG59/CG58</f>
        <v>0.25459883480893619</v>
      </c>
      <c r="CH60" s="90">
        <f t="shared" si="564"/>
        <v>0.24524685282080513</v>
      </c>
      <c r="CI60" s="90">
        <f t="shared" ref="CI60:CJ60" si="565">CI59/CI58</f>
        <v>0.25488752255071601</v>
      </c>
      <c r="CJ60" s="90">
        <f t="shared" si="565"/>
        <v>0.25552570302704636</v>
      </c>
      <c r="CK60" s="90">
        <f t="shared" ref="CK60:CL60" si="566">CK59/CK58</f>
        <v>0.25847791059317266</v>
      </c>
      <c r="CL60" s="90">
        <f t="shared" si="566"/>
        <v>0.20584419595972075</v>
      </c>
      <c r="CM60" s="91">
        <f t="shared" ref="CM60:DB60" si="567">AVERAGE(CI60:CL60)</f>
        <v>0.24368383303266394</v>
      </c>
      <c r="CN60" s="91">
        <f t="shared" si="567"/>
        <v>0.24088291065315096</v>
      </c>
      <c r="CO60" s="91">
        <f t="shared" si="567"/>
        <v>0.23722221255967707</v>
      </c>
      <c r="CP60" s="91">
        <f t="shared" si="567"/>
        <v>0.2319082880513032</v>
      </c>
      <c r="CQ60" s="91">
        <f>AVERAGE(CM60:CP60)*1.01</f>
        <v>0.24080855418494079</v>
      </c>
      <c r="CR60" s="91">
        <f t="shared" ref="CR60:CT60" si="568">AVERAGE(CN60:CQ60)*1.01</f>
        <v>0.24008254627589068</v>
      </c>
      <c r="CS60" s="91">
        <f t="shared" si="568"/>
        <v>0.23988045427063245</v>
      </c>
      <c r="CT60" s="91">
        <f t="shared" si="568"/>
        <v>0.24055166030264868</v>
      </c>
      <c r="CU60" s="91">
        <f t="shared" si="567"/>
        <v>0.24033080375852817</v>
      </c>
      <c r="CV60" s="91">
        <f t="shared" si="567"/>
        <v>0.24021136615192501</v>
      </c>
      <c r="CW60" s="91">
        <f t="shared" si="567"/>
        <v>0.24024357112093359</v>
      </c>
      <c r="CX60" s="91">
        <f t="shared" si="567"/>
        <v>0.24033435033350886</v>
      </c>
      <c r="CY60" s="91">
        <f t="shared" si="567"/>
        <v>0.24028002284122391</v>
      </c>
      <c r="CZ60" s="91">
        <f t="shared" si="567"/>
        <v>0.24026732761189784</v>
      </c>
      <c r="DA60" s="91">
        <f t="shared" si="567"/>
        <v>0.24028131797689106</v>
      </c>
      <c r="DB60" s="91">
        <f t="shared" si="567"/>
        <v>0.2402907546908804</v>
      </c>
      <c r="DE60" s="127"/>
      <c r="DF60" s="90">
        <v>0.24794071429679834</v>
      </c>
    </row>
    <row r="61" spans="1:110" s="26" customFormat="1" x14ac:dyDescent="0.2">
      <c r="A61" s="26" t="s">
        <v>22</v>
      </c>
      <c r="B61" s="26">
        <f t="shared" ref="B61:E61" si="569">B58-B59</f>
        <v>31.230300000000003</v>
      </c>
      <c r="C61" s="26">
        <f t="shared" si="569"/>
        <v>42.371200000000051</v>
      </c>
      <c r="D61" s="26">
        <f t="shared" si="569"/>
        <v>47.968100000000007</v>
      </c>
      <c r="E61" s="26">
        <f t="shared" si="569"/>
        <v>50.786600000000007</v>
      </c>
      <c r="F61" s="26">
        <f t="shared" ref="F61:T61" si="570">F58-F59</f>
        <v>58.344800000000014</v>
      </c>
      <c r="G61" s="26">
        <f t="shared" si="570"/>
        <v>70.237099999999984</v>
      </c>
      <c r="H61" s="26">
        <f t="shared" si="570"/>
        <v>62.177200000000035</v>
      </c>
      <c r="I61" s="26">
        <f t="shared" si="570"/>
        <v>45.320399999999978</v>
      </c>
      <c r="J61" s="26">
        <f t="shared" si="570"/>
        <v>25.709700000000012</v>
      </c>
      <c r="K61" s="26">
        <f t="shared" si="570"/>
        <v>118.7526</v>
      </c>
      <c r="L61" s="26">
        <f t="shared" si="570"/>
        <v>139.32369999999992</v>
      </c>
      <c r="M61" s="26">
        <f t="shared" si="570"/>
        <v>-82.684499999999829</v>
      </c>
      <c r="N61" s="26">
        <f t="shared" si="570"/>
        <v>79.444100000000077</v>
      </c>
      <c r="O61" s="26">
        <f t="shared" si="570"/>
        <v>125.99579999999999</v>
      </c>
      <c r="P61" s="26">
        <f t="shared" si="570"/>
        <v>100.40510000000012</v>
      </c>
      <c r="Q61" s="26">
        <f t="shared" si="570"/>
        <v>161.23580000000021</v>
      </c>
      <c r="R61" s="26">
        <f t="shared" si="570"/>
        <v>184.39820000000003</v>
      </c>
      <c r="S61" s="26">
        <f t="shared" si="570"/>
        <v>138.71939999999992</v>
      </c>
      <c r="T61" s="26">
        <f t="shared" si="570"/>
        <v>193.96969999999982</v>
      </c>
      <c r="U61" s="26">
        <f t="shared" ref="U61:Z61" si="571">U58-U59</f>
        <v>282.39210000000003</v>
      </c>
      <c r="V61" s="26">
        <f t="shared" si="571"/>
        <v>448.52299999999991</v>
      </c>
      <c r="W61" s="26">
        <f t="shared" si="571"/>
        <v>386.0388999999999</v>
      </c>
      <c r="X61" s="26">
        <f t="shared" si="571"/>
        <v>410.00530000000037</v>
      </c>
      <c r="Y61" s="26">
        <f t="shared" si="571"/>
        <v>552.62779999999964</v>
      </c>
      <c r="Z61" s="26">
        <f t="shared" si="571"/>
        <v>659.58179999999936</v>
      </c>
      <c r="AA61" s="26">
        <f t="shared" ref="AA61" si="572">AA58-AA59</f>
        <v>736.65290000000061</v>
      </c>
      <c r="AB61" s="27">
        <f t="shared" ref="AB61:AD61" si="573">AB58-AB59</f>
        <v>818.34367797344999</v>
      </c>
      <c r="AC61" s="27">
        <f t="shared" si="573"/>
        <v>957.32990659263942</v>
      </c>
      <c r="AD61" s="27">
        <f t="shared" si="573"/>
        <v>1131.236715859271</v>
      </c>
      <c r="AE61" s="27">
        <f t="shared" ref="AE61" si="574">AE58-AE59</f>
        <v>1329.0935998842174</v>
      </c>
      <c r="AI61" s="26">
        <f>AI58-AI59</f>
        <v>13.926000000000011</v>
      </c>
      <c r="AJ61" s="26">
        <f t="shared" ref="AJ61" si="575">AJ58-AJ59</f>
        <v>29.576999999999995</v>
      </c>
      <c r="AK61" s="26">
        <f t="shared" ref="AK61:AM61" si="576">AK58-AK59</f>
        <v>21.873999999999995</v>
      </c>
      <c r="AL61" s="26">
        <f t="shared" si="576"/>
        <v>19.751999999999995</v>
      </c>
      <c r="AM61" s="26">
        <f t="shared" si="576"/>
        <v>25.766999999999982</v>
      </c>
      <c r="AN61" s="26">
        <f t="shared" ref="AN61:AO61" si="577">AN58-AN59</f>
        <v>39.318000000000033</v>
      </c>
      <c r="AO61" s="26">
        <f t="shared" si="577"/>
        <v>58.024999999999991</v>
      </c>
      <c r="AP61" s="26">
        <f t="shared" ref="AP61:CD61" si="578">AP58-AP59</f>
        <v>21.431000000000029</v>
      </c>
      <c r="AQ61" s="26">
        <f t="shared" si="578"/>
        <v>28.10400000000001</v>
      </c>
      <c r="AR61" s="26">
        <f t="shared" si="578"/>
        <v>39.71</v>
      </c>
      <c r="AS61" s="26">
        <f t="shared" si="578"/>
        <v>24.16699999999998</v>
      </c>
      <c r="AT61" s="26">
        <f t="shared" si="578"/>
        <v>25.737000000000023</v>
      </c>
      <c r="AU61" s="26">
        <f t="shared" si="578"/>
        <v>39.637999999999991</v>
      </c>
      <c r="AV61" s="26">
        <f t="shared" si="578"/>
        <v>42.14700000000007</v>
      </c>
      <c r="AW61" s="26">
        <f t="shared" si="578"/>
        <v>46.880999999999979</v>
      </c>
      <c r="AX61" s="26">
        <f t="shared" si="578"/>
        <v>50.536000000000065</v>
      </c>
      <c r="AY61" s="26">
        <f t="shared" si="578"/>
        <v>49.855000000000025</v>
      </c>
      <c r="AZ61" s="26">
        <f t="shared" si="578"/>
        <v>45.200000000000031</v>
      </c>
      <c r="BA61" s="26">
        <f t="shared" si="578"/>
        <v>35.762000000000029</v>
      </c>
      <c r="BB61" s="26">
        <f t="shared" si="578"/>
        <v>42.149000000000029</v>
      </c>
      <c r="BC61" s="26">
        <f t="shared" si="578"/>
        <v>20.368000000000016</v>
      </c>
      <c r="BD61" s="26">
        <f t="shared" si="578"/>
        <v>51.721999999999973</v>
      </c>
      <c r="BE61" s="26">
        <f t="shared" si="578"/>
        <v>33.850000000000037</v>
      </c>
      <c r="BF61" s="26">
        <f t="shared" si="578"/>
        <v>22.057000000000016</v>
      </c>
      <c r="BG61" s="26">
        <f t="shared" si="578"/>
        <v>45.754999999999967</v>
      </c>
      <c r="BH61" s="26">
        <f t="shared" si="578"/>
        <v>51.47</v>
      </c>
      <c r="BI61" s="26">
        <f t="shared" si="578"/>
        <v>49.951000000000036</v>
      </c>
      <c r="BJ61" s="26">
        <f t="shared" si="578"/>
        <v>46.79000000000002</v>
      </c>
      <c r="BK61" s="26">
        <f t="shared" si="578"/>
        <v>62.111999999999966</v>
      </c>
      <c r="BL61" s="26">
        <f t="shared" si="578"/>
        <v>93.761999999999944</v>
      </c>
      <c r="BM61" s="26">
        <f t="shared" si="578"/>
        <v>66.446000000000026</v>
      </c>
      <c r="BN61" s="26">
        <f t="shared" si="578"/>
        <v>60.07199999999996</v>
      </c>
      <c r="BO61" s="26">
        <f t="shared" si="578"/>
        <v>119.50699999999995</v>
      </c>
      <c r="BP61" s="26">
        <f t="shared" si="578"/>
        <v>73.924000000000035</v>
      </c>
      <c r="BQ61" s="26">
        <f t="shared" si="578"/>
        <v>154.28400000000002</v>
      </c>
      <c r="BR61" s="26">
        <f t="shared" si="578"/>
        <v>100.81000000000004</v>
      </c>
      <c r="BS61" s="26">
        <f t="shared" si="578"/>
        <v>119.06000000000006</v>
      </c>
      <c r="BT61" s="26">
        <f t="shared" si="578"/>
        <v>97.889999999999958</v>
      </c>
      <c r="BU61" s="26">
        <f t="shared" si="578"/>
        <v>84.1099999999999</v>
      </c>
      <c r="BV61" s="26">
        <f t="shared" si="578"/>
        <v>84.970000000000013</v>
      </c>
      <c r="BW61" s="26">
        <f t="shared" si="578"/>
        <v>105.19999999999999</v>
      </c>
      <c r="BX61" s="26">
        <f t="shared" si="578"/>
        <v>111.08000000000004</v>
      </c>
      <c r="BY61" s="26">
        <f t="shared" si="578"/>
        <v>106.10000000000008</v>
      </c>
      <c r="BZ61" s="26">
        <f t="shared" si="578"/>
        <v>87.630000000000038</v>
      </c>
      <c r="CA61" s="26">
        <f t="shared" si="578"/>
        <v>142.32000000000002</v>
      </c>
      <c r="CB61" s="26">
        <f t="shared" si="578"/>
        <v>150.58999999999995</v>
      </c>
      <c r="CC61" s="26">
        <f t="shared" si="578"/>
        <v>133.57</v>
      </c>
      <c r="CD61" s="26">
        <f t="shared" si="578"/>
        <v>126.16000000000005</v>
      </c>
      <c r="CE61" s="26">
        <f t="shared" ref="CE61:CF61" si="579">CE58-CE59</f>
        <v>176.83</v>
      </c>
      <c r="CF61" s="26">
        <f t="shared" si="579"/>
        <v>174.56999999999991</v>
      </c>
      <c r="CG61" s="26">
        <f t="shared" ref="CG61:CH61" si="580">CG58-CG59</f>
        <v>162.48999999999998</v>
      </c>
      <c r="CH61" s="26">
        <f t="shared" si="580"/>
        <v>145.68999999999994</v>
      </c>
      <c r="CI61" s="26">
        <f t="shared" ref="CI61:CJ61" si="581">CI58-CI59</f>
        <v>202.38000000000011</v>
      </c>
      <c r="CJ61" s="26">
        <f t="shared" si="581"/>
        <v>207.82000000000005</v>
      </c>
      <c r="CK61" s="26">
        <f t="shared" ref="CK61:CL61" si="582">CK58-CK59</f>
        <v>197.89000000000004</v>
      </c>
      <c r="CL61" s="26">
        <f t="shared" si="582"/>
        <v>128.55000000000001</v>
      </c>
      <c r="CM61" s="27">
        <f t="shared" ref="CM61:DB61" si="583">CM58-CM59</f>
        <v>213.93346222963768</v>
      </c>
      <c r="CN61" s="27">
        <f t="shared" si="583"/>
        <v>208.56108004826689</v>
      </c>
      <c r="CO61" s="27">
        <f t="shared" si="583"/>
        <v>202.66519641207918</v>
      </c>
      <c r="CP61" s="27">
        <f t="shared" si="583"/>
        <v>193.18393928346643</v>
      </c>
      <c r="CQ61" s="27">
        <f t="shared" si="583"/>
        <v>243.25996552911857</v>
      </c>
      <c r="CR61" s="27">
        <f t="shared" si="583"/>
        <v>241.16810323794419</v>
      </c>
      <c r="CS61" s="27">
        <f t="shared" si="583"/>
        <v>239.35487982228173</v>
      </c>
      <c r="CT61" s="27">
        <f t="shared" si="583"/>
        <v>233.54695800329523</v>
      </c>
      <c r="CU61" s="27">
        <f t="shared" si="583"/>
        <v>285.29148124241618</v>
      </c>
      <c r="CV61" s="27">
        <f t="shared" si="583"/>
        <v>284.49404423758153</v>
      </c>
      <c r="CW61" s="27">
        <f t="shared" si="583"/>
        <v>283.81329595579649</v>
      </c>
      <c r="CX61" s="27">
        <f t="shared" si="583"/>
        <v>277.63789442347667</v>
      </c>
      <c r="CY61" s="27">
        <f t="shared" si="583"/>
        <v>334.48740534941305</v>
      </c>
      <c r="CZ61" s="27">
        <f t="shared" si="583"/>
        <v>334.3141484453073</v>
      </c>
      <c r="DA61" s="27">
        <f t="shared" si="583"/>
        <v>333.71779976405094</v>
      </c>
      <c r="DB61" s="27">
        <f t="shared" si="583"/>
        <v>326.57424632544615</v>
      </c>
      <c r="DE61" s="121"/>
      <c r="DF61" s="26">
        <v>736.65290000000061</v>
      </c>
    </row>
    <row r="62" spans="1:110" s="45" customFormat="1" x14ac:dyDescent="0.2">
      <c r="A62" s="45" t="s">
        <v>107</v>
      </c>
      <c r="B62" s="45">
        <f t="shared" ref="B62:E62" si="584">+B61/B30</f>
        <v>0.139008424995816</v>
      </c>
      <c r="C62" s="45">
        <f t="shared" si="584"/>
        <v>0.16264524227197893</v>
      </c>
      <c r="D62" s="45">
        <f t="shared" si="584"/>
        <v>0.17457152402573442</v>
      </c>
      <c r="E62" s="45">
        <f t="shared" si="584"/>
        <v>0.16769035400585225</v>
      </c>
      <c r="F62" s="45">
        <f t="shared" ref="F62:AE62" si="585">+F61/F30</f>
        <v>0.16409389876290023</v>
      </c>
      <c r="G62" s="45">
        <f t="shared" si="585"/>
        <v>0.15222222414867762</v>
      </c>
      <c r="H62" s="45">
        <f t="shared" si="585"/>
        <v>0.12003839548273908</v>
      </c>
      <c r="I62" s="45">
        <f t="shared" si="585"/>
        <v>8.0262206450920456E-2</v>
      </c>
      <c r="J62" s="45">
        <f t="shared" si="585"/>
        <v>3.5852766824187352E-2</v>
      </c>
      <c r="K62" s="45">
        <f t="shared" si="585"/>
        <v>0.15689671824172768</v>
      </c>
      <c r="L62" s="45">
        <f t="shared" si="585"/>
        <v>0.1564045642606201</v>
      </c>
      <c r="M62" s="45">
        <f t="shared" si="585"/>
        <v>-0.10311480038370364</v>
      </c>
      <c r="N62" s="45">
        <f t="shared" si="585"/>
        <v>9.1723532937948105E-2</v>
      </c>
      <c r="O62" s="45">
        <f t="shared" si="585"/>
        <v>0.12329988500434547</v>
      </c>
      <c r="P62" s="45">
        <f t="shared" si="585"/>
        <v>8.7750219626594697E-2</v>
      </c>
      <c r="Q62" s="45">
        <f t="shared" si="585"/>
        <v>0.13091751583794889</v>
      </c>
      <c r="R62" s="45">
        <f t="shared" si="585"/>
        <v>0.13476277792353675</v>
      </c>
      <c r="S62" s="45">
        <f t="shared" si="585"/>
        <v>9.8120356115056456E-2</v>
      </c>
      <c r="T62" s="45">
        <f t="shared" si="585"/>
        <v>0.11804384906430149</v>
      </c>
      <c r="U62" s="45">
        <f t="shared" si="585"/>
        <v>0.15911842545434118</v>
      </c>
      <c r="V62" s="45">
        <f t="shared" si="585"/>
        <v>0.21959279253608832</v>
      </c>
      <c r="W62" s="45">
        <f t="shared" si="585"/>
        <v>0.15924095588075751</v>
      </c>
      <c r="X62" s="45">
        <f t="shared" si="585"/>
        <v>0.13019005470070849</v>
      </c>
      <c r="Y62" s="45">
        <f t="shared" si="585"/>
        <v>0.15861040396318921</v>
      </c>
      <c r="Z62" s="45">
        <f t="shared" ref="Z62:AA62" si="586">+Z61/Z30</f>
        <v>0.16834704419507485</v>
      </c>
      <c r="AA62" s="45">
        <f t="shared" si="586"/>
        <v>0.17760121957902483</v>
      </c>
      <c r="AB62" s="48">
        <f t="shared" si="585"/>
        <v>0.17298577357758713</v>
      </c>
      <c r="AC62" s="48">
        <f t="shared" si="585"/>
        <v>0.18431966334171249</v>
      </c>
      <c r="AD62" s="48">
        <f t="shared" si="585"/>
        <v>0.1973092789416564</v>
      </c>
      <c r="AE62" s="48">
        <f t="shared" si="585"/>
        <v>0.20998146737885728</v>
      </c>
      <c r="AI62" s="45">
        <f t="shared" ref="AI62:BN62" si="587">+AI61/AI30</f>
        <v>7.7030301018884265E-2</v>
      </c>
      <c r="AJ62" s="45">
        <f t="shared" si="587"/>
        <v>0.1370092089903463</v>
      </c>
      <c r="AK62" s="45">
        <f t="shared" si="587"/>
        <v>0.11052889546899236</v>
      </c>
      <c r="AL62" s="45">
        <f t="shared" si="587"/>
        <v>9.6283586163865356E-2</v>
      </c>
      <c r="AM62" s="45">
        <f t="shared" si="587"/>
        <v>0.10955729786727432</v>
      </c>
      <c r="AN62" s="45">
        <f t="shared" si="587"/>
        <v>0.15610371976130652</v>
      </c>
      <c r="AO62" s="45">
        <f t="shared" si="587"/>
        <v>0.24578532700779396</v>
      </c>
      <c r="AP62" s="45">
        <f t="shared" si="587"/>
        <v>9.3749726594283544E-2</v>
      </c>
      <c r="AQ62" s="45">
        <f t="shared" si="587"/>
        <v>0.10702086419424001</v>
      </c>
      <c r="AR62" s="45">
        <f t="shared" si="587"/>
        <v>0.1418224415888685</v>
      </c>
      <c r="AS62" s="45">
        <f t="shared" si="587"/>
        <v>9.2722473315479642E-2</v>
      </c>
      <c r="AT62" s="45">
        <f t="shared" si="587"/>
        <v>0.10105106932660113</v>
      </c>
      <c r="AU62" s="45">
        <f t="shared" si="587"/>
        <v>0.14005321159913925</v>
      </c>
      <c r="AV62" s="45">
        <f t="shared" si="587"/>
        <v>0.14946380697050959</v>
      </c>
      <c r="AW62" s="45">
        <f t="shared" si="587"/>
        <v>0.16842161987390197</v>
      </c>
      <c r="AX62" s="45">
        <f t="shared" si="587"/>
        <v>0.16691824190197505</v>
      </c>
      <c r="AY62" s="45">
        <f t="shared" si="587"/>
        <v>0.15862839179351432</v>
      </c>
      <c r="AZ62" s="45">
        <f t="shared" si="587"/>
        <v>0.14992304834686632</v>
      </c>
      <c r="BA62" s="45">
        <f t="shared" si="587"/>
        <v>0.12934657590729243</v>
      </c>
      <c r="BB62" s="45">
        <f t="shared" si="587"/>
        <v>0.13762399514141496</v>
      </c>
      <c r="BC62" s="45">
        <f t="shared" si="587"/>
        <v>7.1759242948442478E-2</v>
      </c>
      <c r="BD62" s="45">
        <f t="shared" si="587"/>
        <v>0.14891785361584012</v>
      </c>
      <c r="BE62" s="45">
        <f t="shared" si="587"/>
        <v>0.11107756725361137</v>
      </c>
      <c r="BF62" s="45">
        <f t="shared" si="587"/>
        <v>6.9258400999767697E-2</v>
      </c>
      <c r="BG62" s="45">
        <f t="shared" si="587"/>
        <v>0.11244335440238272</v>
      </c>
      <c r="BH62" s="45">
        <f t="shared" si="587"/>
        <v>0.11822861513794869</v>
      </c>
      <c r="BI62" s="45">
        <f t="shared" si="587"/>
        <v>0.13075288069398427</v>
      </c>
      <c r="BJ62" s="45">
        <f t="shared" si="587"/>
        <v>0.11169330293735011</v>
      </c>
      <c r="BK62" s="45">
        <f t="shared" si="587"/>
        <v>0.13923023469547863</v>
      </c>
      <c r="BL62" s="45">
        <f t="shared" si="587"/>
        <v>0.20543056021138553</v>
      </c>
      <c r="BM62" s="45">
        <f t="shared" si="587"/>
        <v>0.15501875734896139</v>
      </c>
      <c r="BN62" s="45">
        <f t="shared" si="587"/>
        <v>0.13542876080158883</v>
      </c>
      <c r="BO62" s="45">
        <f t="shared" ref="BO62:CT62" si="588">+BO61/BO30</f>
        <v>0.22881568492298257</v>
      </c>
      <c r="BP62" s="45">
        <f t="shared" si="588"/>
        <v>0.16665915177967561</v>
      </c>
      <c r="BQ62" s="45">
        <f t="shared" si="588"/>
        <v>0.28142870432693629</v>
      </c>
      <c r="BR62" s="45">
        <f t="shared" si="588"/>
        <v>0.19076364118042224</v>
      </c>
      <c r="BS62" s="45">
        <f t="shared" si="588"/>
        <v>0.19647188897506568</v>
      </c>
      <c r="BT62" s="45">
        <f t="shared" si="588"/>
        <v>0.16507310163403646</v>
      </c>
      <c r="BU62" s="45">
        <f t="shared" si="588"/>
        <v>0.14003163239823507</v>
      </c>
      <c r="BV62" s="45">
        <f t="shared" si="588"/>
        <v>0.13604124305544438</v>
      </c>
      <c r="BW62" s="45">
        <f t="shared" si="588"/>
        <v>0.13404518291051337</v>
      </c>
      <c r="BX62" s="45">
        <f t="shared" si="588"/>
        <v>0.1372306779996047</v>
      </c>
      <c r="BY62" s="45">
        <f t="shared" si="588"/>
        <v>0.13384465945932317</v>
      </c>
      <c r="BZ62" s="45">
        <f t="shared" si="588"/>
        <v>0.11495172630916155</v>
      </c>
      <c r="CA62" s="45">
        <f t="shared" si="588"/>
        <v>0.15880383842892212</v>
      </c>
      <c r="CB62" s="45">
        <f t="shared" si="588"/>
        <v>0.17078730691587082</v>
      </c>
      <c r="CC62" s="45">
        <f t="shared" si="588"/>
        <v>0.15816272157819328</v>
      </c>
      <c r="CD62" s="45">
        <f t="shared" si="588"/>
        <v>0.14640316572476303</v>
      </c>
      <c r="CE62" s="45">
        <f t="shared" si="588"/>
        <v>0.17605535643170053</v>
      </c>
      <c r="CF62" s="45">
        <f t="shared" si="588"/>
        <v>0.17446183366312876</v>
      </c>
      <c r="CG62" s="45">
        <f t="shared" si="588"/>
        <v>0.16864731341269756</v>
      </c>
      <c r="CH62" s="45">
        <f t="shared" si="588"/>
        <v>0.15344188397859876</v>
      </c>
      <c r="CI62" s="45">
        <f t="shared" ref="CI62:CJ62" si="589">+CI61/CI30</f>
        <v>0.18500100553960921</v>
      </c>
      <c r="CJ62" s="45">
        <f t="shared" si="589"/>
        <v>0.19155682551387226</v>
      </c>
      <c r="CK62" s="45">
        <f t="shared" ref="CK62:CL62" si="590">+CK61/CK30</f>
        <v>0.18586107145540615</v>
      </c>
      <c r="CL62" s="45">
        <f t="shared" si="590"/>
        <v>0.14216515709498689</v>
      </c>
      <c r="CM62" s="48">
        <f t="shared" si="588"/>
        <v>0.17650431103927178</v>
      </c>
      <c r="CN62" s="48">
        <f t="shared" si="588"/>
        <v>0.17329718289527343</v>
      </c>
      <c r="CO62" s="48">
        <f t="shared" si="588"/>
        <v>0.17160706361142844</v>
      </c>
      <c r="CP62" s="48">
        <f t="shared" si="588"/>
        <v>0.17033077802711327</v>
      </c>
      <c r="CQ62" s="48">
        <f t="shared" si="588"/>
        <v>0.18291502827191694</v>
      </c>
      <c r="CR62" s="48">
        <f t="shared" si="588"/>
        <v>0.18250609318599978</v>
      </c>
      <c r="CS62" s="48">
        <f t="shared" si="588"/>
        <v>0.1845744095634613</v>
      </c>
      <c r="CT62" s="48">
        <f t="shared" si="588"/>
        <v>0.18747779015755223</v>
      </c>
      <c r="CU62" s="48">
        <f t="shared" ref="CU62:DB62" si="591">+CU61/CU30</f>
        <v>0.19439495366453302</v>
      </c>
      <c r="CV62" s="48">
        <f t="shared" si="591"/>
        <v>0.19500659070174536</v>
      </c>
      <c r="CW62" s="48">
        <f t="shared" si="591"/>
        <v>0.19824205632144123</v>
      </c>
      <c r="CX62" s="48">
        <f t="shared" si="591"/>
        <v>0.20189120099933805</v>
      </c>
      <c r="CY62" s="48">
        <f t="shared" si="591"/>
        <v>0.2065118016201046</v>
      </c>
      <c r="CZ62" s="48">
        <f t="shared" si="591"/>
        <v>0.20753869422335705</v>
      </c>
      <c r="DA62" s="48">
        <f t="shared" si="591"/>
        <v>0.21111693613675883</v>
      </c>
      <c r="DB62" s="48">
        <f t="shared" si="591"/>
        <v>0.21509239204467173</v>
      </c>
      <c r="DE62" s="129"/>
      <c r="DF62" s="45">
        <v>0.17760121957902483</v>
      </c>
    </row>
    <row r="63" spans="1:110" s="39" customFormat="1" x14ac:dyDescent="0.2">
      <c r="A63" s="39" t="s">
        <v>451</v>
      </c>
      <c r="C63" s="39">
        <f t="shared" ref="C63:E63" si="592">+IF(B61&lt;0,1-C61/B61,C61/B61-1)</f>
        <v>0.35673368491497182</v>
      </c>
      <c r="D63" s="39">
        <f t="shared" si="592"/>
        <v>0.13209208141378936</v>
      </c>
      <c r="E63" s="39">
        <f t="shared" si="592"/>
        <v>5.875779945422055E-2</v>
      </c>
      <c r="F63" s="39">
        <f t="shared" ref="F63:AE63" si="593">+IF(E61&lt;0,1-F61/E61,F61/E61-1)</f>
        <v>0.14882272095395255</v>
      </c>
      <c r="G63" s="39">
        <f t="shared" si="593"/>
        <v>0.20382793325197723</v>
      </c>
      <c r="H63" s="39">
        <f t="shared" si="593"/>
        <v>-0.11475274463210972</v>
      </c>
      <c r="I63" s="39">
        <f t="shared" si="593"/>
        <v>-0.2711090238865701</v>
      </c>
      <c r="J63" s="39">
        <f t="shared" si="593"/>
        <v>-0.43271242089654938</v>
      </c>
      <c r="K63" s="39">
        <f t="shared" si="593"/>
        <v>3.6189803848352931</v>
      </c>
      <c r="L63" s="39">
        <f t="shared" si="593"/>
        <v>0.17322652304033692</v>
      </c>
      <c r="M63" s="39">
        <f t="shared" si="593"/>
        <v>-1.5934704576464727</v>
      </c>
      <c r="N63" s="39">
        <f t="shared" si="593"/>
        <v>1.9608100671830906</v>
      </c>
      <c r="O63" s="39">
        <f t="shared" si="593"/>
        <v>0.58596799510599107</v>
      </c>
      <c r="P63" s="39">
        <f t="shared" si="593"/>
        <v>-0.20310756390292273</v>
      </c>
      <c r="Q63" s="39">
        <f t="shared" si="593"/>
        <v>0.60585269074977277</v>
      </c>
      <c r="R63" s="39">
        <f t="shared" si="593"/>
        <v>0.14365544128537078</v>
      </c>
      <c r="S63" s="39">
        <f t="shared" si="593"/>
        <v>-0.24771825321505359</v>
      </c>
      <c r="T63" s="39">
        <f t="shared" si="593"/>
        <v>0.3982881990550704</v>
      </c>
      <c r="U63" s="39">
        <f t="shared" si="593"/>
        <v>0.45585676525766794</v>
      </c>
      <c r="V63" s="39">
        <f t="shared" si="593"/>
        <v>0.58829868115998951</v>
      </c>
      <c r="W63" s="39">
        <f t="shared" si="593"/>
        <v>-0.13931080457412448</v>
      </c>
      <c r="X63" s="39">
        <f t="shared" si="593"/>
        <v>6.2082862633792812E-2</v>
      </c>
      <c r="Y63" s="39">
        <f t="shared" si="593"/>
        <v>0.34785525943201012</v>
      </c>
      <c r="Z63" s="39">
        <f t="shared" ref="Z63:AA63" si="594">+IF(Y61&lt;0,1-Z61/Y61,Z61/Y61-1)</f>
        <v>0.19353713294915642</v>
      </c>
      <c r="AA63" s="39">
        <f t="shared" si="594"/>
        <v>0.11684843335580419</v>
      </c>
      <c r="AB63" s="40">
        <f t="shared" si="593"/>
        <v>0.11089453116040038</v>
      </c>
      <c r="AC63" s="40">
        <f t="shared" si="593"/>
        <v>0.16983845829099042</v>
      </c>
      <c r="AD63" s="40">
        <f t="shared" si="593"/>
        <v>0.18165818081000573</v>
      </c>
      <c r="AE63" s="40">
        <f t="shared" si="593"/>
        <v>0.17490316681832341</v>
      </c>
      <c r="AM63" s="39">
        <f>+IF(AI61&lt;0,1-AM61/AI61,AM61/AI61-1)</f>
        <v>0.85028005170184984</v>
      </c>
      <c r="AN63" s="39">
        <f t="shared" ref="AN63" si="595">+IF(AJ61&lt;0,1-AN61/AJ61,AN61/AJ61-1)</f>
        <v>0.32934374683030865</v>
      </c>
      <c r="AO63" s="39">
        <f t="shared" ref="AO63" si="596">+IF(AK61&lt;0,1-AO61/AK61,AO61/AK61-1)</f>
        <v>1.6526926945231786</v>
      </c>
      <c r="AP63" s="39">
        <f t="shared" ref="AP63" si="597">+IF(AL61&lt;0,1-AP61/AL61,AP61/AL61-1)</f>
        <v>8.5004050222764027E-2</v>
      </c>
      <c r="AQ63" s="39">
        <f t="shared" ref="AQ63" si="598">+IF(AM61&lt;0,1-AQ61/AM61,AQ61/AM61-1)</f>
        <v>9.0697403655840114E-2</v>
      </c>
      <c r="AR63" s="39">
        <f t="shared" ref="AR63" si="599">+IF(AN61&lt;0,1-AR61/AN61,AR61/AN61-1)</f>
        <v>9.9699883005230916E-3</v>
      </c>
      <c r="AS63" s="39">
        <f t="shared" ref="AS63" si="600">+IF(AO61&lt;0,1-AS61/AO61,AS61/AO61-1)</f>
        <v>-0.58350710900473968</v>
      </c>
      <c r="AT63" s="39">
        <f t="shared" ref="AT63" si="601">+IF(AP61&lt;0,1-AT61/AP61,AT61/AP61-1)</f>
        <v>0.20092389529186638</v>
      </c>
      <c r="AU63" s="39">
        <f t="shared" ref="AU63" si="602">+IF(AQ61&lt;0,1-AU61/AQ61,AU61/AQ61-1)</f>
        <v>0.41040421292342644</v>
      </c>
      <c r="AV63" s="39">
        <f t="shared" ref="AV63" si="603">+IF(AR61&lt;0,1-AV61/AR61,AV61/AR61-1)</f>
        <v>6.1369932007052874E-2</v>
      </c>
      <c r="AW63" s="39">
        <f t="shared" ref="AW63" si="604">+IF(AS61&lt;0,1-AW61/AS61,AW61/AS61-1)</f>
        <v>0.93987669135598195</v>
      </c>
      <c r="AX63" s="39">
        <f t="shared" ref="AX63" si="605">+IF(AT61&lt;0,1-AX61/AT61,AX61/AT61-1)</f>
        <v>0.96355441582158052</v>
      </c>
      <c r="AY63" s="39">
        <f t="shared" ref="AY63" si="606">+IF(AU61&lt;0,1-AY61/AU61,AY61/AU61-1)</f>
        <v>0.25775770725061897</v>
      </c>
      <c r="AZ63" s="39">
        <f t="shared" ref="AZ63" si="607">+IF(AV61&lt;0,1-AZ61/AV61,AZ61/AV61-1)</f>
        <v>7.2436946876407671E-2</v>
      </c>
      <c r="BA63" s="39">
        <f t="shared" ref="BA63" si="608">+IF(AW61&lt;0,1-BA61/AW61,BA61/AW61-1)</f>
        <v>-0.23717497493654049</v>
      </c>
      <c r="BB63" s="39">
        <f t="shared" ref="BB63" si="609">+IF(AX61&lt;0,1-BB61/AX61,BB61/AX61-1)</f>
        <v>-0.16596089916099466</v>
      </c>
      <c r="BC63" s="39">
        <f t="shared" ref="BC63" si="610">+IF(AY61&lt;0,1-BC61/AY61,BC61/AY61-1)</f>
        <v>-0.59145522013840124</v>
      </c>
      <c r="BD63" s="39">
        <f t="shared" ref="BD63" si="611">+IF(AZ61&lt;0,1-BD61/AZ61,BD61/AZ61-1)</f>
        <v>0.14429203539822866</v>
      </c>
      <c r="BE63" s="39">
        <f t="shared" ref="BE63" si="612">+IF(BA61&lt;0,1-BE61/BA61,BE61/BA61-1)</f>
        <v>-5.3464571332699218E-2</v>
      </c>
      <c r="BF63" s="39">
        <f t="shared" ref="BF63" si="613">+IF(BB61&lt;0,1-BF61/BB61,BF61/BB61-1)</f>
        <v>-0.47668983843033041</v>
      </c>
      <c r="BG63" s="39">
        <f t="shared" ref="BG63" si="614">+IF(BC61&lt;0,1-BG61/BC61,BG61/BC61-1)</f>
        <v>1.2464159465828715</v>
      </c>
      <c r="BH63" s="39">
        <f t="shared" ref="BH63" si="615">+IF(BD61&lt;0,1-BH61/BD61,BH61/BD61-1)</f>
        <v>-4.8722013843234269E-3</v>
      </c>
      <c r="BI63" s="39">
        <f t="shared" ref="BI63" si="616">+IF(BE61&lt;0,1-BI61/BE61,BI61/BE61-1)</f>
        <v>0.47565731166912806</v>
      </c>
      <c r="BJ63" s="39">
        <f t="shared" ref="BJ63" si="617">+IF(BF61&lt;0,1-BJ61/BF61,BJ61/BF61-1)</f>
        <v>1.1213220292877537</v>
      </c>
      <c r="BK63" s="39">
        <f t="shared" ref="BK63" si="618">+IF(BG61&lt;0,1-BK61/BG61,BK61/BG61-1)</f>
        <v>0.35749098459184814</v>
      </c>
      <c r="BL63" s="39">
        <f t="shared" ref="BL63" si="619">+IF(BH61&lt;0,1-BL61/BH61,BL61/BH61-1)</f>
        <v>0.82168253351466758</v>
      </c>
      <c r="BM63" s="39">
        <f t="shared" ref="BM63" si="620">+IF(BI61&lt;0,1-BM61/BI61,BM61/BI61-1)</f>
        <v>0.33022361914676335</v>
      </c>
      <c r="BN63" s="39">
        <f t="shared" ref="BN63" si="621">+IF(BJ61&lt;0,1-BN61/BJ61,BN61/BJ61-1)</f>
        <v>0.28386407351998155</v>
      </c>
      <c r="BO63" s="39">
        <f t="shared" ref="BO63" si="622">+IF(BK61&lt;0,1-BO61/BK61,BO61/BK61-1)</f>
        <v>0.92405654301906259</v>
      </c>
      <c r="BP63" s="39">
        <f t="shared" ref="BP63" si="623">+IF(BL61&lt;0,1-BP61/BL61,BP61/BL61-1)</f>
        <v>-0.2115782513171639</v>
      </c>
      <c r="BQ63" s="39">
        <f t="shared" ref="BQ63" si="624">+IF(BM61&lt;0,1-BQ61/BM61,BQ61/BM61-1)</f>
        <v>1.3219456400686265</v>
      </c>
      <c r="BR63" s="39">
        <f t="shared" ref="BR63" si="625">+IF(BN61&lt;0,1-BR61/BN61,BR61/BN61-1)</f>
        <v>0.67815288320682043</v>
      </c>
      <c r="BS63" s="39">
        <f t="shared" ref="BS63" si="626">+IF(BO61&lt;0,1-BS61/BO61,BS61/BO61-1)</f>
        <v>-3.7403666730809748E-3</v>
      </c>
      <c r="BT63" s="39">
        <f t="shared" ref="BT63" si="627">+IF(BP61&lt;0,1-BT61/BP61,BT61/BP61-1)</f>
        <v>0.3241978247930295</v>
      </c>
      <c r="BU63" s="39">
        <f t="shared" ref="BU63" si="628">+IF(BQ61&lt;0,1-BU61/BQ61,BU61/BQ61-1)</f>
        <v>-0.45483653522076239</v>
      </c>
      <c r="BV63" s="39">
        <f t="shared" ref="BV63" si="629">+IF(BR61&lt;0,1-BV61/BR61,BV61/BR61-1)</f>
        <v>-0.1571272691201272</v>
      </c>
      <c r="BW63" s="39">
        <f t="shared" ref="BW63" si="630">+IF(BS61&lt;0,1-BW61/BS61,BW61/BS61-1)</f>
        <v>-0.11641189316311162</v>
      </c>
      <c r="BX63" s="39">
        <f t="shared" ref="BX63" si="631">+IF(BT61&lt;0,1-BX61/BT61,BX61/BT61-1)</f>
        <v>0.13474307896618742</v>
      </c>
      <c r="BY63" s="39">
        <f t="shared" ref="BY63" si="632">+IF(BU61&lt;0,1-BY61/BU61,BY61/BU61-1)</f>
        <v>0.26144334799667357</v>
      </c>
      <c r="BZ63" s="39">
        <f t="shared" ref="BZ63" si="633">+IF(BV61&lt;0,1-BZ61/BV61,BZ61/BV61-1)</f>
        <v>3.1305166529363548E-2</v>
      </c>
      <c r="CA63" s="39">
        <f t="shared" ref="CA63" si="634">+IF(BW61&lt;0,1-CA61/BW61,CA61/BW61-1)</f>
        <v>0.35285171102661628</v>
      </c>
      <c r="CB63" s="39">
        <f t="shared" ref="CB63" si="635">+IF(BX61&lt;0,1-CB61/BX61,CB61/BX61-1)</f>
        <v>0.35568959308606307</v>
      </c>
      <c r="CC63" s="39">
        <f t="shared" ref="CC63" si="636">+IF(BY61&lt;0,1-CC61/BY61,CC61/BY61-1)</f>
        <v>0.25890669180018744</v>
      </c>
      <c r="CD63" s="39">
        <f t="shared" ref="CD63" si="637">+IF(BZ61&lt;0,1-CD61/BZ61,CD61/BZ61-1)</f>
        <v>0.43968960401688917</v>
      </c>
      <c r="CE63" s="39">
        <f t="shared" ref="CE63" si="638">+IF(CA61&lt;0,1-CE61/CA61,CE61/CA61-1)</f>
        <v>0.2424817313097245</v>
      </c>
      <c r="CF63" s="39">
        <f t="shared" ref="CF63" si="639">+IF(CB61&lt;0,1-CF61/CB61,CF61/CB61-1)</f>
        <v>0.15924032140248334</v>
      </c>
      <c r="CG63" s="39">
        <f t="shared" ref="CG63" si="640">+IF(CC61&lt;0,1-CG61/CC61,CG61/CC61-1)</f>
        <v>0.21651568465972892</v>
      </c>
      <c r="CH63" s="39">
        <f t="shared" ref="CH63:CL63" si="641">+IF(CD61&lt;0,1-CH61/CD61,CH61/CD61-1)</f>
        <v>0.1548034242232077</v>
      </c>
      <c r="CI63" s="39">
        <f t="shared" si="641"/>
        <v>0.14448905728665995</v>
      </c>
      <c r="CJ63" s="39">
        <f t="shared" si="641"/>
        <v>0.1904680071031688</v>
      </c>
      <c r="CK63" s="39">
        <f t="shared" si="641"/>
        <v>0.21785956058834421</v>
      </c>
      <c r="CL63" s="39">
        <f t="shared" si="641"/>
        <v>-0.11764705882352899</v>
      </c>
      <c r="CM63" s="40">
        <f t="shared" ref="CM63" si="642">+CM61/CI61-1</f>
        <v>5.7087964372159128E-2</v>
      </c>
      <c r="CN63" s="40">
        <f t="shared" ref="CN63" si="643">+CN61/CJ61-1</f>
        <v>3.5659707836919186E-3</v>
      </c>
      <c r="CO63" s="40">
        <f t="shared" ref="CO63" si="644">+CO61/CK61-1</f>
        <v>2.4130559462727463E-2</v>
      </c>
      <c r="CP63" s="40">
        <f t="shared" ref="CP63" si="645">+CP61/CL61-1</f>
        <v>0.5027922153517419</v>
      </c>
      <c r="CQ63" s="40">
        <f t="shared" ref="CQ63" si="646">+CQ61/CM61-1</f>
        <v>0.13708235726116391</v>
      </c>
      <c r="CR63" s="40">
        <f t="shared" ref="CR63" si="647">+CR61/CN61-1</f>
        <v>0.15634279982694332</v>
      </c>
      <c r="CS63" s="40">
        <f t="shared" ref="CS63" si="648">+CS61/CO61-1</f>
        <v>0.18103593542327512</v>
      </c>
      <c r="CT63" s="40">
        <f t="shared" ref="CT63" si="649">+CT61/CP61-1</f>
        <v>0.20893568517930761</v>
      </c>
      <c r="CU63" s="40">
        <f t="shared" ref="CU63" si="650">+CU61/CQ61-1</f>
        <v>0.17278435282959204</v>
      </c>
      <c r="CV63" s="40">
        <f t="shared" ref="CV63" si="651">+CV61/CR61-1</f>
        <v>0.1796503783789789</v>
      </c>
      <c r="CW63" s="40">
        <f t="shared" ref="CW63" si="652">+CW61/CS61-1</f>
        <v>0.18574267700965463</v>
      </c>
      <c r="CX63" s="40">
        <f t="shared" ref="CX63" si="653">+CX61/CT61-1</f>
        <v>0.1887883139096993</v>
      </c>
      <c r="CY63" s="40">
        <f t="shared" ref="CY63" si="654">+CY61/CU61-1</f>
        <v>0.1724409151396793</v>
      </c>
      <c r="CZ63" s="40">
        <f t="shared" ref="CZ63" si="655">+CZ61/CV61-1</f>
        <v>0.17511826773470474</v>
      </c>
      <c r="DA63" s="40">
        <f t="shared" ref="DA63" si="656">+DA61/CW61-1</f>
        <v>0.17583567972103387</v>
      </c>
      <c r="DB63" s="40">
        <f t="shared" ref="DB63" si="657">+DB61/CX61-1</f>
        <v>0.17625962768370385</v>
      </c>
      <c r="DE63" s="122"/>
      <c r="DF63" s="39">
        <v>0.11684843335580419</v>
      </c>
    </row>
    <row r="64" spans="1:110" s="39" customFormat="1" x14ac:dyDescent="0.2">
      <c r="A64" s="39" t="s">
        <v>452</v>
      </c>
      <c r="AB64" s="40"/>
      <c r="AC64" s="40"/>
      <c r="AD64" s="40"/>
      <c r="AE64" s="40"/>
      <c r="AJ64" s="39">
        <f>+IF(AI61&lt;0,1-AJ61/AI61,AJ61/AI61-1)</f>
        <v>1.1238690219732854</v>
      </c>
      <c r="AK64" s="39">
        <f t="shared" ref="AK64:AM64" si="658">+IF(AJ61&lt;0,1-AK61/AJ61,AK61/AJ61-1)</f>
        <v>-0.26043885451533288</v>
      </c>
      <c r="AL64" s="39">
        <f t="shared" si="658"/>
        <v>-9.7010149035384519E-2</v>
      </c>
      <c r="AM64" s="39">
        <f t="shared" si="658"/>
        <v>0.304526123936816</v>
      </c>
      <c r="AN64" s="39">
        <f t="shared" ref="AN64" si="659">+IF(AM61&lt;0,1-AN61/AM61,AN61/AM61-1)</f>
        <v>0.52590522761672154</v>
      </c>
      <c r="AO64" s="39">
        <f t="shared" ref="AO64" si="660">+IF(AN61&lt;0,1-AO61/AN61,AO61/AN61-1)</f>
        <v>0.47578717127015469</v>
      </c>
      <c r="AP64" s="39">
        <f t="shared" ref="AP64" si="661">+IF(AO61&lt;0,1-AP61/AO61,AP61/AO61-1)</f>
        <v>-0.63065919862128339</v>
      </c>
      <c r="AQ64" s="39">
        <f t="shared" ref="AQ64" si="662">+IF(AP61&lt;0,1-AQ61/AP61,AQ61/AP61-1)</f>
        <v>0.31137137791050207</v>
      </c>
      <c r="AR64" s="39">
        <f t="shared" ref="AR64" si="663">+IF(AQ61&lt;0,1-AR61/AQ61,AR61/AQ61-1)</f>
        <v>0.41296612581838832</v>
      </c>
      <c r="AS64" s="39">
        <f t="shared" ref="AS64" si="664">+IF(AR61&lt;0,1-AS61/AR61,AS61/AR61-1)</f>
        <v>-0.39141274238227197</v>
      </c>
      <c r="AT64" s="39">
        <f t="shared" ref="AT64" si="665">+IF(AS61&lt;0,1-AT61/AS61,AT61/AS61-1)</f>
        <v>6.496462117764068E-2</v>
      </c>
      <c r="AU64" s="39">
        <f t="shared" ref="AU64" si="666">+IF(AT61&lt;0,1-AU61/AT61,AU61/AT61-1)</f>
        <v>0.54011734079340856</v>
      </c>
      <c r="AV64" s="39">
        <f t="shared" ref="AV64" si="667">+IF(AU61&lt;0,1-AV61/AU61,AV61/AU61-1)</f>
        <v>6.3297845501793182E-2</v>
      </c>
      <c r="AW64" s="39">
        <f t="shared" ref="AW64" si="668">+IF(AV61&lt;0,1-AW61/AV61,AW61/AV61-1)</f>
        <v>0.11232116164851358</v>
      </c>
      <c r="AX64" s="39">
        <f t="shared" ref="AX64" si="669">+IF(AW61&lt;0,1-AX61/AW61,AX61/AW61-1)</f>
        <v>7.7963354024020104E-2</v>
      </c>
      <c r="AY64" s="39">
        <f t="shared" ref="AY64" si="670">+IF(AX61&lt;0,1-AY61/AX61,AY61/AX61-1)</f>
        <v>-1.3475542187748157E-2</v>
      </c>
      <c r="AZ64" s="39">
        <f t="shared" ref="AZ64" si="671">+IF(AY61&lt;0,1-AZ61/AY61,AZ61/AY61-1)</f>
        <v>-9.3370775248219684E-2</v>
      </c>
      <c r="BA64" s="39">
        <f t="shared" ref="BA64" si="672">+IF(AZ61&lt;0,1-BA61/AZ61,BA61/AZ61-1)</f>
        <v>-0.20880530973451317</v>
      </c>
      <c r="BB64" s="39">
        <f t="shared" ref="BB64" si="673">+IF(BA61&lt;0,1-BB61/BA61,BB61/BA61-1)</f>
        <v>0.17859739388177376</v>
      </c>
      <c r="BC64" s="39">
        <f t="shared" ref="BC64" si="674">+IF(BB61&lt;0,1-BC61/BB61,BC61/BB61-1)</f>
        <v>-0.51676196351040349</v>
      </c>
      <c r="BD64" s="39">
        <f t="shared" ref="BD64" si="675">+IF(BC61&lt;0,1-BD61/BC61,BD61/BC61-1)</f>
        <v>1.5393754909662181</v>
      </c>
      <c r="BE64" s="39">
        <f t="shared" ref="BE64" si="676">+IF(BD61&lt;0,1-BE61/BD61,BE61/BD61-1)</f>
        <v>-0.34553961563744529</v>
      </c>
      <c r="BF64" s="39">
        <f t="shared" ref="BF64" si="677">+IF(BE61&lt;0,1-BF61/BE61,BF61/BE61-1)</f>
        <v>-0.34838995568685405</v>
      </c>
      <c r="BG64" s="39">
        <f t="shared" ref="BG64" si="678">+IF(BF61&lt;0,1-BG61/BF61,BG61/BF61-1)</f>
        <v>1.0743981502470841</v>
      </c>
      <c r="BH64" s="39">
        <f t="shared" ref="BH64" si="679">+IF(BG61&lt;0,1-BH61/BG61,BH61/BG61-1)</f>
        <v>0.12490438203475107</v>
      </c>
      <c r="BI64" s="39">
        <f t="shared" ref="BI64" si="680">+IF(BH61&lt;0,1-BI61/BH61,BI61/BH61-1)</f>
        <v>-2.951233728385394E-2</v>
      </c>
      <c r="BJ64" s="39">
        <f t="shared" ref="BJ64" si="681">+IF(BI61&lt;0,1-BJ61/BI61,BJ61/BI61-1)</f>
        <v>-6.32820163760488E-2</v>
      </c>
      <c r="BK64" s="39">
        <f t="shared" ref="BK64" si="682">+IF(BJ61&lt;0,1-BK61/BJ61,BK61/BJ61-1)</f>
        <v>0.32746313314810727</v>
      </c>
      <c r="BL64" s="39">
        <f t="shared" ref="BL64" si="683">+IF(BK61&lt;0,1-BL61/BK61,BL61/BK61-1)</f>
        <v>0.50956336939721791</v>
      </c>
      <c r="BM64" s="39">
        <f t="shared" ref="BM64" si="684">+IF(BL61&lt;0,1-BM61/BL61,BM61/BL61-1)</f>
        <v>-0.29133337599453868</v>
      </c>
      <c r="BN64" s="39">
        <f t="shared" ref="BN64" si="685">+IF(BM61&lt;0,1-BN61/BM61,BN61/BM61-1)</f>
        <v>-9.5927520091503848E-2</v>
      </c>
      <c r="BO64" s="39">
        <f t="shared" ref="BO64" si="686">+IF(BN61&lt;0,1-BO61/BN61,BO61/BN61-1)</f>
        <v>0.98939605806365738</v>
      </c>
      <c r="BP64" s="39">
        <f t="shared" ref="BP64" si="687">+IF(BO61&lt;0,1-BP61/BO61,BP61/BO61-1)</f>
        <v>-0.38142535583689607</v>
      </c>
      <c r="BQ64" s="39">
        <f t="shared" ref="BQ64" si="688">+IF(BP61&lt;0,1-BQ61/BP61,BQ61/BP61-1)</f>
        <v>1.0870623883988952</v>
      </c>
      <c r="BR64" s="39">
        <f t="shared" ref="BR64" si="689">+IF(BQ61&lt;0,1-BR61/BQ61,BR61/BQ61-1)</f>
        <v>-0.34659459179176044</v>
      </c>
      <c r="BS64" s="39">
        <f t="shared" ref="BS64" si="690">+IF(BR61&lt;0,1-BS61/BR61,BS61/BR61-1)</f>
        <v>0.18103362761630803</v>
      </c>
      <c r="BT64" s="39">
        <f t="shared" ref="BT64" si="691">+IF(BS61&lt;0,1-BT61/BS61,BT61/BS61-1)</f>
        <v>-0.17780950781118843</v>
      </c>
      <c r="BU64" s="39">
        <f t="shared" ref="BU64" si="692">+IF(BT61&lt;0,1-BU61/BT61,BU61/BT61-1)</f>
        <v>-0.14077025232403784</v>
      </c>
      <c r="BV64" s="39">
        <f t="shared" ref="BV64" si="693">+IF(BU61&lt;0,1-BV61/BU61,BV61/BU61-1)</f>
        <v>1.0224705742481355E-2</v>
      </c>
      <c r="BW64" s="39">
        <f t="shared" ref="BW64" si="694">+IF(BV61&lt;0,1-BW61/BV61,BW61/BV61-1)</f>
        <v>0.23808402965752595</v>
      </c>
      <c r="BX64" s="39">
        <f t="shared" ref="BX64" si="695">+IF(BW61&lt;0,1-BX61/BW61,BX61/BW61-1)</f>
        <v>5.5893536121673471E-2</v>
      </c>
      <c r="BY64" s="39">
        <f t="shared" ref="BY64" si="696">+IF(BX61&lt;0,1-BY61/BX61,BY61/BX61-1)</f>
        <v>-4.4832553114871776E-2</v>
      </c>
      <c r="BZ64" s="39">
        <f t="shared" ref="BZ64" si="697">+IF(BY61&lt;0,1-BZ61/BY61,BZ61/BY61-1)</f>
        <v>-0.17408105560791731</v>
      </c>
      <c r="CA64" s="39">
        <f t="shared" ref="CA64" si="698">+IF(BZ61&lt;0,1-CA61/BZ61,CA61/BZ61-1)</f>
        <v>0.62410133515919153</v>
      </c>
      <c r="CB64" s="39">
        <f t="shared" ref="CB64" si="699">+IF(CA61&lt;0,1-CB61/CA61,CB61/CA61-1)</f>
        <v>5.8108487914558138E-2</v>
      </c>
      <c r="CC64" s="39">
        <f t="shared" ref="CC64" si="700">+IF(CB61&lt;0,1-CC61/CB61,CC61/CB61-1)</f>
        <v>-0.11302211302211274</v>
      </c>
      <c r="CD64" s="39">
        <f t="shared" ref="CD64" si="701">+IF(CC61&lt;0,1-CD61/CC61,CD61/CC61-1)</f>
        <v>-5.5476529160739196E-2</v>
      </c>
      <c r="CE64" s="39">
        <f t="shared" ref="CE64" si="702">+IF(CD61&lt;0,1-CE61/CD61,CE61/CD61-1)</f>
        <v>0.40163284717818604</v>
      </c>
      <c r="CF64" s="39">
        <f t="shared" ref="CF64" si="703">+IF(CE61&lt;0,1-CF61/CE61,CF61/CE61-1)</f>
        <v>-1.2780636769779474E-2</v>
      </c>
      <c r="CG64" s="39">
        <f t="shared" ref="CG64" si="704">+IF(CF61&lt;0,1-CG61/CF61,CG61/CF61-1)</f>
        <v>-6.9198602279887389E-2</v>
      </c>
      <c r="CH64" s="39">
        <f t="shared" ref="CH64:CL64" si="705">+IF(CG61&lt;0,1-CH61/CG61,CH61/CG61-1)</f>
        <v>-0.103390977906333</v>
      </c>
      <c r="CI64" s="39">
        <f t="shared" si="705"/>
        <v>0.38911387191983104</v>
      </c>
      <c r="CJ64" s="39">
        <f t="shared" si="705"/>
        <v>2.6880126494712719E-2</v>
      </c>
      <c r="CK64" s="39">
        <f t="shared" si="705"/>
        <v>-4.778173419305165E-2</v>
      </c>
      <c r="CL64" s="39">
        <f t="shared" si="705"/>
        <v>-0.35039668502703536</v>
      </c>
      <c r="CM64" s="40">
        <f t="shared" ref="CM64" si="706">+CM61/CL61-1</f>
        <v>0.66420429583537666</v>
      </c>
      <c r="CN64" s="40">
        <f t="shared" ref="CN64" si="707">+CN61/CM61-1</f>
        <v>-2.5112397683743515E-2</v>
      </c>
      <c r="CO64" s="40">
        <f t="shared" ref="CO64" si="708">+CO61/CN61-1</f>
        <v>-2.8269337859313071E-2</v>
      </c>
      <c r="CP64" s="40">
        <f t="shared" ref="CP64" si="709">+CP61/CO61-1</f>
        <v>-4.6782858115088088E-2</v>
      </c>
      <c r="CQ64" s="40">
        <f t="shared" ref="CQ64" si="710">+CQ61/CP61-1</f>
        <v>0.25921423091064311</v>
      </c>
      <c r="CR64" s="40">
        <f t="shared" ref="CR64" si="711">+CR61/CQ61-1</f>
        <v>-8.5992871314617414E-3</v>
      </c>
      <c r="CS64" s="40">
        <f t="shared" ref="CS64" si="712">+CS61/CR61-1</f>
        <v>-7.5185042769668753E-3</v>
      </c>
      <c r="CT64" s="40">
        <f t="shared" ref="CT64" si="713">+CT61/CS61-1</f>
        <v>-2.426489831040346E-2</v>
      </c>
      <c r="CU64" s="40">
        <f t="shared" ref="CU64" si="714">+CU61/CT61-1</f>
        <v>0.22155939722576412</v>
      </c>
      <c r="CV64" s="40">
        <f t="shared" ref="CV64" si="715">+CV61/CU61-1</f>
        <v>-2.7951658470904972E-3</v>
      </c>
      <c r="CW64" s="40">
        <f t="shared" ref="CW64" si="716">+CW61/CV61-1</f>
        <v>-2.3928384286897586E-3</v>
      </c>
      <c r="CX64" s="40">
        <f t="shared" ref="CX64" si="717">+CX61/CW61-1</f>
        <v>-2.1758675933496896E-2</v>
      </c>
      <c r="CY64" s="40">
        <f t="shared" ref="CY64" si="718">+CY61/CX61-1</f>
        <v>0.20476135307100662</v>
      </c>
      <c r="CZ64" s="40">
        <f t="shared" ref="CZ64" si="719">+CZ61/CY61-1</f>
        <v>-5.1797736277925388E-4</v>
      </c>
      <c r="DA64" s="40">
        <f t="shared" ref="DA64" si="720">+DA61/CZ61-1</f>
        <v>-1.7837973176714206E-3</v>
      </c>
      <c r="DB64" s="40">
        <f t="shared" ref="DB64" si="721">+DB61/DA61-1</f>
        <v>-2.1405970684379105E-2</v>
      </c>
      <c r="DE64" s="122"/>
    </row>
    <row r="65" spans="1:110" s="75" customFormat="1" x14ac:dyDescent="0.2">
      <c r="A65" s="23" t="s">
        <v>23</v>
      </c>
      <c r="B65" s="75">
        <f>'Annual Raw'!C32</f>
        <v>0</v>
      </c>
      <c r="C65" s="75">
        <f>'Annual Raw'!D32</f>
        <v>-8.8700000000000001E-2</v>
      </c>
      <c r="D65" s="75">
        <f>'Annual Raw'!E32</f>
        <v>0</v>
      </c>
      <c r="E65" s="75">
        <f>'Annual Raw'!F32</f>
        <v>3.3999999999999998E-3</v>
      </c>
      <c r="F65" s="75">
        <f>'Annual Raw'!G32</f>
        <v>0</v>
      </c>
      <c r="G65" s="75">
        <f>'Annual Raw'!H32</f>
        <v>0</v>
      </c>
      <c r="H65" s="75">
        <f>'Annual Raw'!I32</f>
        <v>0</v>
      </c>
      <c r="I65" s="75">
        <f>'Annual Raw'!J32</f>
        <v>0</v>
      </c>
      <c r="J65" s="75">
        <f>'Annual Raw'!K32</f>
        <v>0</v>
      </c>
      <c r="K65" s="75">
        <f>'Annual Raw'!L32</f>
        <v>0</v>
      </c>
      <c r="L65" s="75">
        <f>'Annual Raw'!M32</f>
        <v>0</v>
      </c>
      <c r="M65" s="75">
        <f>'Annual Raw'!N32</f>
        <v>0</v>
      </c>
      <c r="N65" s="75">
        <f>'Annual Raw'!O32</f>
        <v>0</v>
      </c>
      <c r="O65" s="75">
        <f>'Annual Raw'!P32</f>
        <v>0</v>
      </c>
      <c r="P65" s="75">
        <f>'Annual Raw'!Q32</f>
        <v>0</v>
      </c>
      <c r="Q65" s="75">
        <f>'Annual Raw'!R32</f>
        <v>-0.104</v>
      </c>
      <c r="R65" s="75">
        <f>'Annual Raw'!S32</f>
        <v>-0.33550000000000002</v>
      </c>
      <c r="S65" s="75">
        <f>'Annual Raw'!T32</f>
        <v>-0.3785</v>
      </c>
      <c r="T65" s="75">
        <f>'Annual Raw'!U32</f>
        <v>-0.50339999999999996</v>
      </c>
      <c r="U65" s="75">
        <f>'Annual Raw'!V32</f>
        <v>-0.34499999999999997</v>
      </c>
      <c r="V65" s="75">
        <f>'Annual Raw'!W32</f>
        <v>-0.55940000000000001</v>
      </c>
      <c r="W65" s="75">
        <f>'Annual Raw'!X32</f>
        <v>-0.68149999999999999</v>
      </c>
      <c r="X65" s="75">
        <f>'Annual Raw'!Y32</f>
        <v>-0.16980000000000001</v>
      </c>
      <c r="Y65" s="75">
        <f>'Annual Raw'!Z32</f>
        <v>0</v>
      </c>
      <c r="Z65" s="75">
        <f>'Annual Raw'!AA32</f>
        <v>0</v>
      </c>
      <c r="AA65" s="75">
        <f>'Annual Raw'!AB32</f>
        <v>0</v>
      </c>
      <c r="AB65" s="76">
        <f t="shared" ref="AB65:AB66" si="722">+SUM(CM65:CP65)</f>
        <v>0</v>
      </c>
      <c r="AC65" s="76">
        <f t="shared" ref="AC65:AC66" si="723">+SUM(CQ65:CT65)</f>
        <v>0</v>
      </c>
      <c r="AD65" s="76">
        <f t="shared" ref="AD65:AD66" si="724">+SUM(CU65:CX65)</f>
        <v>0</v>
      </c>
      <c r="AE65" s="76">
        <f t="shared" ref="AE65:AE66" si="725">+SUM(CY65:DB65)</f>
        <v>0</v>
      </c>
      <c r="AI65" s="75">
        <f>'QTR Raw'!C34</f>
        <v>0</v>
      </c>
      <c r="AJ65" s="75">
        <f>'QTR Raw'!D34</f>
        <v>0</v>
      </c>
      <c r="AK65" s="75">
        <f>'QTR Raw'!E34</f>
        <v>0</v>
      </c>
      <c r="AL65" s="75">
        <f>'QTR Raw'!F34</f>
        <v>0</v>
      </c>
      <c r="AM65" s="75">
        <f>'QTR Raw'!G34</f>
        <v>0</v>
      </c>
      <c r="AN65" s="75">
        <f>'QTR Raw'!H34</f>
        <v>0</v>
      </c>
      <c r="AO65" s="75">
        <f>'QTR Raw'!I34</f>
        <v>0</v>
      </c>
      <c r="AP65" s="75">
        <f>'QTR Raw'!J34</f>
        <v>0</v>
      </c>
      <c r="AQ65" s="75">
        <f>'QTR Raw'!K34</f>
        <v>0</v>
      </c>
      <c r="AR65" s="75">
        <f>'QTR Raw'!L34</f>
        <v>0</v>
      </c>
      <c r="AS65" s="75">
        <f>'QTR Raw'!M34</f>
        <v>0</v>
      </c>
      <c r="AT65" s="75">
        <f>'QTR Raw'!N34</f>
        <v>0</v>
      </c>
      <c r="AU65" s="75">
        <f>'QTR Raw'!O34</f>
        <v>0</v>
      </c>
      <c r="AV65" s="75">
        <f>'QTR Raw'!P34</f>
        <v>0</v>
      </c>
      <c r="AW65" s="75">
        <f>'QTR Raw'!Q34</f>
        <v>0</v>
      </c>
      <c r="AX65" s="75">
        <f>'QTR Raw'!R34</f>
        <v>0</v>
      </c>
      <c r="AY65" s="75">
        <f>'QTR Raw'!S34</f>
        <v>0</v>
      </c>
      <c r="AZ65" s="75">
        <f>'QTR Raw'!T34</f>
        <v>0</v>
      </c>
      <c r="BA65" s="75">
        <f>'QTR Raw'!U34</f>
        <v>0</v>
      </c>
      <c r="BB65" s="75">
        <f>'QTR Raw'!V34</f>
        <v>0</v>
      </c>
      <c r="BC65" s="75">
        <f>'QTR Raw'!W34</f>
        <v>0</v>
      </c>
      <c r="BD65" s="75">
        <f>'QTR Raw'!X34</f>
        <v>0</v>
      </c>
      <c r="BE65" s="75">
        <f>'QTR Raw'!Y34</f>
        <v>0</v>
      </c>
      <c r="BF65" s="75">
        <f>'QTR Raw'!Z34</f>
        <v>0</v>
      </c>
      <c r="BG65" s="75">
        <f>'QTR Raw'!AA34</f>
        <v>-0.13100000000000001</v>
      </c>
      <c r="BH65" s="75">
        <f>'QTR Raw'!AB34</f>
        <v>-0.14199999999999999</v>
      </c>
      <c r="BI65" s="75">
        <f>'QTR Raw'!AC34</f>
        <v>-9.6000000000000002E-2</v>
      </c>
      <c r="BJ65" s="75">
        <f>'QTR Raw'!AD34</f>
        <v>-0.13300000000000001</v>
      </c>
      <c r="BK65" s="75">
        <f>'QTR Raw'!AE34</f>
        <v>-0.105</v>
      </c>
      <c r="BL65" s="75">
        <f>'QTR Raw'!AF34</f>
        <v>-0.13900000000000001</v>
      </c>
      <c r="BM65" s="75">
        <f>'QTR Raw'!AG34</f>
        <v>-0.17</v>
      </c>
      <c r="BN65" s="75">
        <f>'QTR Raw'!AH34</f>
        <v>6.8000000000000005E-2</v>
      </c>
      <c r="BO65" s="75">
        <f>'QTR Raw'!AI34</f>
        <v>-8.4000000000000005E-2</v>
      </c>
      <c r="BP65" s="75">
        <f>'QTR Raw'!AJ34</f>
        <v>-0.10100000000000001</v>
      </c>
      <c r="BQ65" s="75">
        <f>'QTR Raw'!AK34</f>
        <v>-0.17699999999999999</v>
      </c>
      <c r="BR65" s="75">
        <f>'QTR Raw'!AL34</f>
        <v>-0.19800000000000001</v>
      </c>
      <c r="BS65" s="75">
        <f>'QTR Raw'!AM34</f>
        <v>-0.19</v>
      </c>
      <c r="BT65" s="75">
        <f>'QTR Raw'!AN34</f>
        <v>-0.14000000000000001</v>
      </c>
      <c r="BU65" s="75">
        <f>'QTR Raw'!AO34</f>
        <v>-0.23</v>
      </c>
      <c r="BV65" s="75">
        <f>'QTR Raw'!AP34</f>
        <v>-0.13</v>
      </c>
      <c r="BW65" s="75">
        <f>'QTR Raw'!AQ34</f>
        <v>-0.17</v>
      </c>
      <c r="BX65" s="75">
        <f>'QTR Raw'!AR34</f>
        <v>0</v>
      </c>
      <c r="BY65" s="75">
        <f>'QTR Raw'!AS34</f>
        <v>0</v>
      </c>
      <c r="BZ65" s="75">
        <f>'QTR Raw'!AT34</f>
        <v>0</v>
      </c>
      <c r="CA65" s="75">
        <f>'QTR Raw'!AU34</f>
        <v>0</v>
      </c>
      <c r="CB65" s="75">
        <f>'QTR Raw'!AV34</f>
        <v>0</v>
      </c>
      <c r="CC65" s="75">
        <f>'QTR Raw'!AW34</f>
        <v>0</v>
      </c>
      <c r="CD65" s="75">
        <f>'QTR Raw'!AX34</f>
        <v>0</v>
      </c>
      <c r="CE65" s="75">
        <f>'QTR Raw'!AY34</f>
        <v>0</v>
      </c>
      <c r="CF65" s="75">
        <f>'QTR Raw'!AZ34</f>
        <v>0</v>
      </c>
      <c r="CG65" s="75">
        <f>'QTR Raw'!BA34</f>
        <v>0</v>
      </c>
      <c r="CH65" s="75">
        <f>'QTR Raw'!BB34</f>
        <v>0</v>
      </c>
      <c r="CI65" s="75">
        <f>'QTR Raw'!BC34</f>
        <v>0</v>
      </c>
      <c r="CJ65" s="75">
        <f>'QTR Raw'!BD34</f>
        <v>0</v>
      </c>
      <c r="CK65" s="75">
        <f>'QTR Raw'!BE34</f>
        <v>0</v>
      </c>
      <c r="CL65" s="75">
        <f>'QTR Raw'!BF34</f>
        <v>0</v>
      </c>
      <c r="CM65" s="76">
        <f t="shared" ref="CM65:CM66" si="726">+CL65</f>
        <v>0</v>
      </c>
      <c r="CN65" s="76">
        <f t="shared" ref="CN65:CN66" si="727">+CM65</f>
        <v>0</v>
      </c>
      <c r="CO65" s="76">
        <f t="shared" ref="CO65:CO66" si="728">+CN65</f>
        <v>0</v>
      </c>
      <c r="CP65" s="76">
        <f t="shared" ref="CP65:CP66" si="729">+CO65</f>
        <v>0</v>
      </c>
      <c r="CQ65" s="76">
        <f t="shared" ref="CQ65:CQ66" si="730">+CP65</f>
        <v>0</v>
      </c>
      <c r="CR65" s="76">
        <f t="shared" ref="CR65:CR66" si="731">+CQ65</f>
        <v>0</v>
      </c>
      <c r="CS65" s="76">
        <f t="shared" ref="CS65:CS66" si="732">+CR65</f>
        <v>0</v>
      </c>
      <c r="CT65" s="76">
        <f t="shared" ref="CT65:CT66" si="733">+CS65</f>
        <v>0</v>
      </c>
      <c r="CU65" s="76">
        <f t="shared" ref="CU65:CU66" si="734">+CT65</f>
        <v>0</v>
      </c>
      <c r="CV65" s="76">
        <f t="shared" ref="CV65:CV66" si="735">+CU65</f>
        <v>0</v>
      </c>
      <c r="CW65" s="76">
        <f t="shared" ref="CW65:CW66" si="736">+CV65</f>
        <v>0</v>
      </c>
      <c r="CX65" s="76">
        <f t="shared" ref="CX65:CX66" si="737">+CW65</f>
        <v>0</v>
      </c>
      <c r="CY65" s="76">
        <f t="shared" ref="CY65:CY66" si="738">+CX65</f>
        <v>0</v>
      </c>
      <c r="CZ65" s="76">
        <f t="shared" ref="CZ65:CZ66" si="739">+CY65</f>
        <v>0</v>
      </c>
      <c r="DA65" s="76">
        <f t="shared" ref="DA65:DA66" si="740">+CZ65</f>
        <v>0</v>
      </c>
      <c r="DB65" s="76">
        <f t="shared" ref="DB65:DB66" si="741">+DA65</f>
        <v>0</v>
      </c>
      <c r="DE65" s="131"/>
      <c r="DF65" s="75">
        <v>0</v>
      </c>
    </row>
    <row r="66" spans="1:110" s="75" customFormat="1" x14ac:dyDescent="0.2">
      <c r="A66" s="23" t="s">
        <v>24</v>
      </c>
      <c r="B66" s="75">
        <f>'Annual Raw'!C33+'Annual Raw'!C28</f>
        <v>0</v>
      </c>
      <c r="C66" s="75">
        <f>'Annual Raw'!D33+'Annual Raw'!D28</f>
        <v>0</v>
      </c>
      <c r="D66" s="75">
        <f>'Annual Raw'!E33+'Annual Raw'!E28</f>
        <v>0</v>
      </c>
      <c r="E66" s="75">
        <f>'Annual Raw'!F33+'Annual Raw'!F28</f>
        <v>0</v>
      </c>
      <c r="F66" s="75">
        <f>'Annual Raw'!G33+'Annual Raw'!G28</f>
        <v>0</v>
      </c>
      <c r="G66" s="75">
        <f>'Annual Raw'!H33+'Annual Raw'!H28</f>
        <v>0</v>
      </c>
      <c r="H66" s="75">
        <f>'Annual Raw'!I33+'Annual Raw'!I28</f>
        <v>0</v>
      </c>
      <c r="I66" s="75">
        <f>'Annual Raw'!J33+'Annual Raw'!J28</f>
        <v>0</v>
      </c>
      <c r="J66" s="75">
        <f>'Annual Raw'!K33+'Annual Raw'!K28</f>
        <v>0</v>
      </c>
      <c r="K66" s="75">
        <f>'Annual Raw'!L33+'Annual Raw'!L28</f>
        <v>0</v>
      </c>
      <c r="L66" s="75">
        <f>'Annual Raw'!M33+'Annual Raw'!M28</f>
        <v>0</v>
      </c>
      <c r="M66" s="75">
        <f>'Annual Raw'!N33+'Annual Raw'!N28</f>
        <v>0</v>
      </c>
      <c r="N66" s="75">
        <f>'Annual Raw'!O33+'Annual Raw'!O28</f>
        <v>0</v>
      </c>
      <c r="O66" s="75">
        <f>'Annual Raw'!P33+'Annual Raw'!P28</f>
        <v>0</v>
      </c>
      <c r="P66" s="75">
        <f>'Annual Raw'!Q33+'Annual Raw'!Q28</f>
        <v>0</v>
      </c>
      <c r="Q66" s="75">
        <f>'Annual Raw'!R33+'Annual Raw'!R28</f>
        <v>1.4147000000000001</v>
      </c>
      <c r="R66" s="75">
        <f>'Annual Raw'!S33+'Annual Raw'!S28</f>
        <v>0</v>
      </c>
      <c r="S66" s="75">
        <f>'Annual Raw'!T33+'Annual Raw'!T28</f>
        <v>0</v>
      </c>
      <c r="T66" s="75">
        <f>'Annual Raw'!U33+'Annual Raw'!U28</f>
        <v>0</v>
      </c>
      <c r="U66" s="75">
        <f>'Annual Raw'!V33+'Annual Raw'!V28</f>
        <v>0</v>
      </c>
      <c r="V66" s="75">
        <f>'Annual Raw'!W33+'Annual Raw'!W28</f>
        <v>0</v>
      </c>
      <c r="W66" s="75">
        <f>'Annual Raw'!X33+'Annual Raw'!X28</f>
        <v>0</v>
      </c>
      <c r="X66" s="75">
        <f>'Annual Raw'!Y33+'Annual Raw'!Y28</f>
        <v>0</v>
      </c>
      <c r="Y66" s="75">
        <f>'Annual Raw'!Z33+'Annual Raw'!Z28</f>
        <v>0</v>
      </c>
      <c r="Z66" s="75">
        <f>'Annual Raw'!AA33+'Annual Raw'!AA28</f>
        <v>0</v>
      </c>
      <c r="AA66" s="75">
        <f>'Annual Raw'!AB33+'Annual Raw'!AB28</f>
        <v>0</v>
      </c>
      <c r="AB66" s="76">
        <f t="shared" si="722"/>
        <v>0</v>
      </c>
      <c r="AC66" s="76">
        <f t="shared" si="723"/>
        <v>0</v>
      </c>
      <c r="AD66" s="76">
        <f t="shared" si="724"/>
        <v>0</v>
      </c>
      <c r="AE66" s="76">
        <f t="shared" si="725"/>
        <v>0</v>
      </c>
      <c r="AI66" s="75">
        <f>'QTR Raw'!C35</f>
        <v>0</v>
      </c>
      <c r="AJ66" s="75">
        <f>'QTR Raw'!D35</f>
        <v>0</v>
      </c>
      <c r="AK66" s="75">
        <f>'QTR Raw'!E35</f>
        <v>0</v>
      </c>
      <c r="AL66" s="75">
        <f>'QTR Raw'!F35</f>
        <v>0</v>
      </c>
      <c r="AM66" s="75">
        <f>'QTR Raw'!G35</f>
        <v>0</v>
      </c>
      <c r="AN66" s="75">
        <f>'QTR Raw'!H35</f>
        <v>0</v>
      </c>
      <c r="AO66" s="75">
        <f>'QTR Raw'!I35</f>
        <v>0</v>
      </c>
      <c r="AP66" s="75">
        <f>'QTR Raw'!J35</f>
        <v>0</v>
      </c>
      <c r="AQ66" s="75">
        <f>'QTR Raw'!K35</f>
        <v>0</v>
      </c>
      <c r="AR66" s="75">
        <f>'QTR Raw'!L35</f>
        <v>0</v>
      </c>
      <c r="AS66" s="75">
        <f>'QTR Raw'!M35</f>
        <v>0</v>
      </c>
      <c r="AT66" s="75">
        <f>'QTR Raw'!N35</f>
        <v>0</v>
      </c>
      <c r="AU66" s="75">
        <f>'QTR Raw'!O35</f>
        <v>0</v>
      </c>
      <c r="AV66" s="75">
        <f>'QTR Raw'!P35</f>
        <v>0</v>
      </c>
      <c r="AW66" s="75">
        <f>'QTR Raw'!Q35</f>
        <v>0</v>
      </c>
      <c r="AX66" s="75">
        <f>'QTR Raw'!R35</f>
        <v>0</v>
      </c>
      <c r="AY66" s="75">
        <f>'QTR Raw'!S35</f>
        <v>0</v>
      </c>
      <c r="AZ66" s="75">
        <f>'QTR Raw'!T35</f>
        <v>0</v>
      </c>
      <c r="BA66" s="75">
        <f>'QTR Raw'!U35</f>
        <v>0</v>
      </c>
      <c r="BB66" s="75">
        <f>'QTR Raw'!V35</f>
        <v>0</v>
      </c>
      <c r="BC66" s="75">
        <f>'QTR Raw'!W35</f>
        <v>0</v>
      </c>
      <c r="BD66" s="75">
        <f>'QTR Raw'!X35</f>
        <v>0</v>
      </c>
      <c r="BE66" s="75">
        <f>'QTR Raw'!Y35</f>
        <v>0</v>
      </c>
      <c r="BF66" s="75">
        <f>'QTR Raw'!Z35</f>
        <v>0</v>
      </c>
      <c r="BG66" s="75">
        <f>'QTR Raw'!AA35</f>
        <v>0</v>
      </c>
      <c r="BH66" s="75">
        <f>'QTR Raw'!AB35</f>
        <v>0</v>
      </c>
      <c r="BI66" s="75">
        <f>'QTR Raw'!AC35</f>
        <v>0</v>
      </c>
      <c r="BJ66" s="75">
        <f>'QTR Raw'!AD35</f>
        <v>0</v>
      </c>
      <c r="BK66" s="75">
        <f>'QTR Raw'!AE35</f>
        <v>0</v>
      </c>
      <c r="BL66" s="75">
        <f>'QTR Raw'!AF35</f>
        <v>0</v>
      </c>
      <c r="BM66" s="75">
        <f>'QTR Raw'!AG35</f>
        <v>0</v>
      </c>
      <c r="BN66" s="75">
        <f>'QTR Raw'!AH35</f>
        <v>0</v>
      </c>
      <c r="BO66" s="75">
        <f>'QTR Raw'!AI35</f>
        <v>0</v>
      </c>
      <c r="BP66" s="75">
        <f>'QTR Raw'!AJ35</f>
        <v>0</v>
      </c>
      <c r="BQ66" s="75">
        <f>'QTR Raw'!AK35</f>
        <v>0</v>
      </c>
      <c r="BR66" s="75">
        <f>'QTR Raw'!AL35</f>
        <v>0</v>
      </c>
      <c r="BS66" s="75">
        <f>'QTR Raw'!AM35</f>
        <v>0</v>
      </c>
      <c r="BT66" s="75">
        <f>'QTR Raw'!AN35</f>
        <v>0</v>
      </c>
      <c r="BU66" s="75">
        <f>'QTR Raw'!AO35</f>
        <v>0</v>
      </c>
      <c r="BV66" s="75">
        <f>'QTR Raw'!AP35</f>
        <v>0</v>
      </c>
      <c r="BW66" s="75">
        <f>'QTR Raw'!AQ35</f>
        <v>0</v>
      </c>
      <c r="BX66" s="75">
        <f>'QTR Raw'!AR35</f>
        <v>0</v>
      </c>
      <c r="BY66" s="75">
        <f>'QTR Raw'!AS35</f>
        <v>0</v>
      </c>
      <c r="BZ66" s="75">
        <f>'QTR Raw'!AT35</f>
        <v>0</v>
      </c>
      <c r="CA66" s="75">
        <f>'QTR Raw'!AU35</f>
        <v>0</v>
      </c>
      <c r="CB66" s="75">
        <f>'QTR Raw'!AV35</f>
        <v>0</v>
      </c>
      <c r="CC66" s="75">
        <f>'QTR Raw'!AW35</f>
        <v>0</v>
      </c>
      <c r="CD66" s="75">
        <f>'QTR Raw'!AX35</f>
        <v>0</v>
      </c>
      <c r="CE66" s="75">
        <f>'QTR Raw'!AY35</f>
        <v>0</v>
      </c>
      <c r="CF66" s="75">
        <f>'QTR Raw'!AZ35</f>
        <v>0</v>
      </c>
      <c r="CG66" s="75">
        <f>'QTR Raw'!BA35</f>
        <v>0</v>
      </c>
      <c r="CH66" s="75">
        <f>'QTR Raw'!BB35</f>
        <v>0</v>
      </c>
      <c r="CI66" s="75">
        <f>'QTR Raw'!BC35</f>
        <v>0</v>
      </c>
      <c r="CJ66" s="75">
        <f>'QTR Raw'!BD35</f>
        <v>0</v>
      </c>
      <c r="CK66" s="75">
        <f>'QTR Raw'!BE35</f>
        <v>0</v>
      </c>
      <c r="CL66" s="75">
        <f>'QTR Raw'!BF35</f>
        <v>0</v>
      </c>
      <c r="CM66" s="76">
        <f t="shared" si="726"/>
        <v>0</v>
      </c>
      <c r="CN66" s="76">
        <f t="shared" si="727"/>
        <v>0</v>
      </c>
      <c r="CO66" s="76">
        <f t="shared" si="728"/>
        <v>0</v>
      </c>
      <c r="CP66" s="76">
        <f t="shared" si="729"/>
        <v>0</v>
      </c>
      <c r="CQ66" s="76">
        <f t="shared" si="730"/>
        <v>0</v>
      </c>
      <c r="CR66" s="76">
        <f t="shared" si="731"/>
        <v>0</v>
      </c>
      <c r="CS66" s="76">
        <f t="shared" si="732"/>
        <v>0</v>
      </c>
      <c r="CT66" s="76">
        <f t="shared" si="733"/>
        <v>0</v>
      </c>
      <c r="CU66" s="76">
        <f t="shared" si="734"/>
        <v>0</v>
      </c>
      <c r="CV66" s="76">
        <f t="shared" si="735"/>
        <v>0</v>
      </c>
      <c r="CW66" s="76">
        <f t="shared" si="736"/>
        <v>0</v>
      </c>
      <c r="CX66" s="76">
        <f t="shared" si="737"/>
        <v>0</v>
      </c>
      <c r="CY66" s="76">
        <f t="shared" si="738"/>
        <v>0</v>
      </c>
      <c r="CZ66" s="76">
        <f t="shared" si="739"/>
        <v>0</v>
      </c>
      <c r="DA66" s="76">
        <f t="shared" si="740"/>
        <v>0</v>
      </c>
      <c r="DB66" s="76">
        <f t="shared" si="741"/>
        <v>0</v>
      </c>
      <c r="DE66" s="131"/>
      <c r="DF66" s="75">
        <v>0</v>
      </c>
    </row>
    <row r="67" spans="1:110" s="23" customFormat="1" x14ac:dyDescent="0.2">
      <c r="A67" s="23" t="s">
        <v>19</v>
      </c>
      <c r="B67" s="75">
        <f>'Annual Raw'!C29+'Annual Raw'!C31+'Annual Raw'!C34+'Annual Raw'!C36</f>
        <v>0</v>
      </c>
      <c r="C67" s="75">
        <f>'Annual Raw'!D29+'Annual Raw'!D31+'Annual Raw'!D34+'Annual Raw'!D36</f>
        <v>0</v>
      </c>
      <c r="D67" s="75">
        <f>'Annual Raw'!E29+'Annual Raw'!E31+'Annual Raw'!E34+'Annual Raw'!E36</f>
        <v>0</v>
      </c>
      <c r="E67" s="75">
        <f>'Annual Raw'!F29+'Annual Raw'!F31+'Annual Raw'!F34+'Annual Raw'!F36</f>
        <v>0</v>
      </c>
      <c r="F67" s="75">
        <f>'Annual Raw'!G29+'Annual Raw'!G31+'Annual Raw'!G34+'Annual Raw'!G36</f>
        <v>0</v>
      </c>
      <c r="G67" s="75">
        <f>'Annual Raw'!H29+'Annual Raw'!H31+'Annual Raw'!H34+'Annual Raw'!H36</f>
        <v>0</v>
      </c>
      <c r="H67" s="75">
        <f>'Annual Raw'!I29+'Annual Raw'!I31+'Annual Raw'!I34+'Annual Raw'!I36</f>
        <v>0</v>
      </c>
      <c r="I67" s="75">
        <f>'Annual Raw'!J29+'Annual Raw'!J31+'Annual Raw'!J34+'Annual Raw'!J36</f>
        <v>0</v>
      </c>
      <c r="J67" s="75">
        <f>'Annual Raw'!K29+'Annual Raw'!K31+'Annual Raw'!K34+'Annual Raw'!K36</f>
        <v>0</v>
      </c>
      <c r="K67" s="75">
        <f>'Annual Raw'!L29+'Annual Raw'!L31+'Annual Raw'!L34+'Annual Raw'!L36</f>
        <v>0</v>
      </c>
      <c r="L67" s="75">
        <f>'Annual Raw'!M29+'Annual Raw'!M31+'Annual Raw'!M34+'Annual Raw'!M36</f>
        <v>0</v>
      </c>
      <c r="M67" s="75">
        <f>'Annual Raw'!N29+'Annual Raw'!N31+'Annual Raw'!N34+'Annual Raw'!N36</f>
        <v>760.59339999999997</v>
      </c>
      <c r="N67" s="75">
        <f>'Annual Raw'!O29+'Annual Raw'!O31+'Annual Raw'!O34+'Annual Raw'!O36</f>
        <v>0</v>
      </c>
      <c r="O67" s="75">
        <f>'Annual Raw'!P29+'Annual Raw'!P31+'Annual Raw'!P34+'Annual Raw'!P36</f>
        <v>-64.5</v>
      </c>
      <c r="P67" s="75">
        <f>'Annual Raw'!Q29+'Annual Raw'!Q31+'Annual Raw'!Q34+'Annual Raw'!Q36</f>
        <v>0</v>
      </c>
      <c r="Q67" s="75">
        <f>'Annual Raw'!R29+'Annual Raw'!R31+'Annual Raw'!R34+'Annual Raw'!R36</f>
        <v>0</v>
      </c>
      <c r="R67" s="75">
        <f>'Annual Raw'!S29+'Annual Raw'!S31+'Annual Raw'!S34+'Annual Raw'!S36</f>
        <v>0</v>
      </c>
      <c r="S67" s="75">
        <f>'Annual Raw'!T29+'Annual Raw'!T31+'Annual Raw'!T34+'Annual Raw'!T36</f>
        <v>0</v>
      </c>
      <c r="T67" s="75">
        <f>'Annual Raw'!U29+'Annual Raw'!U31+'Annual Raw'!U34+'Annual Raw'!U36</f>
        <v>0</v>
      </c>
      <c r="U67" s="75">
        <f>'Annual Raw'!V29+'Annual Raw'!V31+'Annual Raw'!V34+'Annual Raw'!V36</f>
        <v>-10</v>
      </c>
      <c r="V67" s="75">
        <f>'Annual Raw'!W29+'Annual Raw'!W31+'Annual Raw'!W34+'Annual Raw'!W36</f>
        <v>0</v>
      </c>
      <c r="W67" s="75">
        <f>'Annual Raw'!X29+'Annual Raw'!X31+'Annual Raw'!X34+'Annual Raw'!X36</f>
        <v>0</v>
      </c>
      <c r="X67" s="75">
        <f>'Annual Raw'!Y29+'Annual Raw'!Y31+'Annual Raw'!Y34+'Annual Raw'!Y36</f>
        <v>0</v>
      </c>
      <c r="Y67" s="75">
        <f>'Annual Raw'!Z29+'Annual Raw'!Z31+'Annual Raw'!Z34+'Annual Raw'!Z36</f>
        <v>0</v>
      </c>
      <c r="Z67" s="75">
        <f>'Annual Raw'!AA29+'Annual Raw'!AA31+'Annual Raw'!AA34+'Annual Raw'!AA36</f>
        <v>0</v>
      </c>
      <c r="AA67" s="75">
        <f>'Annual Raw'!AB29+'Annual Raw'!AB31+'Annual Raw'!AB34+'Annual Raw'!AB36</f>
        <v>-27.1782</v>
      </c>
      <c r="AB67" s="76">
        <f>+SUM(CM67:CP67)</f>
        <v>0</v>
      </c>
      <c r="AC67" s="76">
        <f>+SUM(CQ67:CT67)</f>
        <v>0</v>
      </c>
      <c r="AD67" s="76">
        <f>+SUM(CU67:CX67)</f>
        <v>0</v>
      </c>
      <c r="AE67" s="76">
        <f>+SUM(CY67:DB67)</f>
        <v>0</v>
      </c>
      <c r="AI67" s="75">
        <f>'QTR Raw'!C26+'QTR Raw'!C31+'QTR Raw'!C32+'QTR Raw'!C33+'QTR Raw'!C36+'QTR Raw'!C37+'QTR Raw'!C39</f>
        <v>-9.6180000000000003</v>
      </c>
      <c r="AJ67" s="75">
        <f>'QTR Raw'!D26+'QTR Raw'!D31+'QTR Raw'!D32+'QTR Raw'!D33+'QTR Raw'!D36+'QTR Raw'!D37+'QTR Raw'!D39</f>
        <v>9.4260000000000002</v>
      </c>
      <c r="AK67" s="75">
        <f>'QTR Raw'!E26+'QTR Raw'!E31+'QTR Raw'!E32+'QTR Raw'!E33+'QTR Raw'!E36+'QTR Raw'!E37+'QTR Raw'!E39</f>
        <v>0</v>
      </c>
      <c r="AL67" s="75">
        <f>'QTR Raw'!F26+'QTR Raw'!F31+'QTR Raw'!F32+'QTR Raw'!F33+'QTR Raw'!F36+'QTR Raw'!F37+'QTR Raw'!F39</f>
        <v>0</v>
      </c>
      <c r="AM67" s="75">
        <f>'QTR Raw'!G26+'QTR Raw'!G31+'QTR Raw'!G32+'QTR Raw'!G33+'QTR Raw'!G36+'QTR Raw'!G37+'QTR Raw'!G39</f>
        <v>-5.4420000000000002</v>
      </c>
      <c r="AN67" s="75">
        <f>'QTR Raw'!H26+'QTR Raw'!H31+'QTR Raw'!H32+'QTR Raw'!H33+'QTR Raw'!H36+'QTR Raw'!H37+'QTR Raw'!H39</f>
        <v>-6.1749999999999998</v>
      </c>
      <c r="AO67" s="75">
        <f>'QTR Raw'!I26+'QTR Raw'!I31+'QTR Raw'!I32+'QTR Raw'!I33+'QTR Raw'!I36+'QTR Raw'!I37+'QTR Raw'!I39</f>
        <v>-64.5</v>
      </c>
      <c r="AP67" s="75">
        <f>'QTR Raw'!J26+'QTR Raw'!J31+'QTR Raw'!J32+'QTR Raw'!J33+'QTR Raw'!J36+'QTR Raw'!J37+'QTR Raw'!J39</f>
        <v>0</v>
      </c>
      <c r="AQ67" s="75">
        <f>'QTR Raw'!K26+'QTR Raw'!K31+'QTR Raw'!K32+'QTR Raw'!K33+'QTR Raw'!K36+'QTR Raw'!K37+'QTR Raw'!K39</f>
        <v>3.6880000000000002</v>
      </c>
      <c r="AR67" s="75">
        <f>'QTR Raw'!L26+'QTR Raw'!L31+'QTR Raw'!L32+'QTR Raw'!L33+'QTR Raw'!L36+'QTR Raw'!L37+'QTR Raw'!L39</f>
        <v>-7.8230000000000004</v>
      </c>
      <c r="AS67" s="75">
        <f>'QTR Raw'!M26+'QTR Raw'!M31+'QTR Raw'!M32+'QTR Raw'!M33+'QTR Raw'!M36+'QTR Raw'!M37+'QTR Raw'!M39</f>
        <v>0</v>
      </c>
      <c r="AT67" s="75">
        <f>'QTR Raw'!N26+'QTR Raw'!N31+'QTR Raw'!N32+'QTR Raw'!N33+'QTR Raw'!N36+'QTR Raw'!N37+'QTR Raw'!N39</f>
        <v>0</v>
      </c>
      <c r="AU67" s="75">
        <f>'QTR Raw'!O26+'QTR Raw'!O31+'QTR Raw'!O32+'QTR Raw'!O33+'QTR Raw'!O36+'QTR Raw'!O37+'QTR Raw'!O39</f>
        <v>0</v>
      </c>
      <c r="AV67" s="75">
        <f>'QTR Raw'!P26+'QTR Raw'!P31+'QTR Raw'!P32+'QTR Raw'!P33+'QTR Raw'!P36+'QTR Raw'!P37+'QTR Raw'!P39</f>
        <v>0</v>
      </c>
      <c r="AW67" s="75">
        <f>'QTR Raw'!Q26+'QTR Raw'!Q31+'QTR Raw'!Q32+'QTR Raw'!Q33+'QTR Raw'!Q36+'QTR Raw'!Q37+'QTR Raw'!Q39</f>
        <v>0</v>
      </c>
      <c r="AX67" s="75">
        <f>'QTR Raw'!R26+'QTR Raw'!R31+'QTR Raw'!R32+'QTR Raw'!R33+'QTR Raw'!R36+'QTR Raw'!R37+'QTR Raw'!R39</f>
        <v>0</v>
      </c>
      <c r="AY67" s="75">
        <f>'QTR Raw'!S26+'QTR Raw'!S31+'QTR Raw'!S32+'QTR Raw'!S33+'QTR Raw'!S36+'QTR Raw'!S37+'QTR Raw'!S39</f>
        <v>0</v>
      </c>
      <c r="AZ67" s="75">
        <f>'QTR Raw'!T26+'QTR Raw'!T31+'QTR Raw'!T32+'QTR Raw'!T33+'QTR Raw'!T36+'QTR Raw'!T37+'QTR Raw'!T39</f>
        <v>0</v>
      </c>
      <c r="BA67" s="75">
        <f>'QTR Raw'!U26+'QTR Raw'!U31+'QTR Raw'!U32+'QTR Raw'!U33+'QTR Raw'!U36+'QTR Raw'!U37+'QTR Raw'!U39</f>
        <v>0</v>
      </c>
      <c r="BB67" s="75">
        <f>'QTR Raw'!V26+'QTR Raw'!V31+'QTR Raw'!V32+'QTR Raw'!V33+'QTR Raw'!V36+'QTR Raw'!V37+'QTR Raw'!V39</f>
        <v>0</v>
      </c>
      <c r="BC67" s="75">
        <f>'QTR Raw'!W26+'QTR Raw'!W31+'QTR Raw'!W32+'QTR Raw'!W33+'QTR Raw'!W36+'QTR Raw'!W37+'QTR Raw'!W39</f>
        <v>0</v>
      </c>
      <c r="BD67" s="75">
        <f>'QTR Raw'!X26+'QTR Raw'!X31+'QTR Raw'!X32+'QTR Raw'!X33+'QTR Raw'!X36+'QTR Raw'!X37+'QTR Raw'!X39</f>
        <v>0</v>
      </c>
      <c r="BE67" s="75">
        <f>'QTR Raw'!Y26+'QTR Raw'!Y31+'QTR Raw'!Y32+'QTR Raw'!Y33+'QTR Raw'!Y36+'QTR Raw'!Y37+'QTR Raw'!Y39</f>
        <v>0</v>
      </c>
      <c r="BF67" s="75">
        <f>'QTR Raw'!Z26+'QTR Raw'!Z31+'QTR Raw'!Z32+'QTR Raw'!Z33+'QTR Raw'!Z36+'QTR Raw'!Z37+'QTR Raw'!Z39</f>
        <v>0</v>
      </c>
      <c r="BG67" s="75">
        <f>'QTR Raw'!AA26+'QTR Raw'!AA31+'QTR Raw'!AA32+'QTR Raw'!AA33+'QTR Raw'!AA36+'QTR Raw'!AA37+'QTR Raw'!AA39</f>
        <v>0</v>
      </c>
      <c r="BH67" s="75">
        <f>'QTR Raw'!AB26+'QTR Raw'!AB31+'QTR Raw'!AB32+'QTR Raw'!AB33+'QTR Raw'!AB36+'QTR Raw'!AB37+'QTR Raw'!AB39</f>
        <v>0</v>
      </c>
      <c r="BI67" s="75">
        <f>'QTR Raw'!AC26+'QTR Raw'!AC31+'QTR Raw'!AC32+'QTR Raw'!AC33+'QTR Raw'!AC36+'QTR Raw'!AC37+'QTR Raw'!AC39</f>
        <v>0</v>
      </c>
      <c r="BJ67" s="75">
        <f>'QTR Raw'!AD26+'QTR Raw'!AD31+'QTR Raw'!AD32+'QTR Raw'!AD33+'QTR Raw'!AD36+'QTR Raw'!AD37+'QTR Raw'!AD39</f>
        <v>0</v>
      </c>
      <c r="BK67" s="75">
        <f>'QTR Raw'!AE26+'QTR Raw'!AE31+'QTR Raw'!AE32+'QTR Raw'!AE33+'QTR Raw'!AE36+'QTR Raw'!AE37+'QTR Raw'!AE39</f>
        <v>0</v>
      </c>
      <c r="BL67" s="75">
        <f>'QTR Raw'!AF26+'QTR Raw'!AF31+'QTR Raw'!AF32+'QTR Raw'!AF33+'QTR Raw'!AF36+'QTR Raw'!AF37+'QTR Raw'!AF39</f>
        <v>0</v>
      </c>
      <c r="BM67" s="75">
        <f>'QTR Raw'!AG26+'QTR Raw'!AG31+'QTR Raw'!AG32+'QTR Raw'!AG33+'QTR Raw'!AG36+'QTR Raw'!AG37+'QTR Raw'!AG39</f>
        <v>0</v>
      </c>
      <c r="BN67" s="75">
        <f>'QTR Raw'!AH26+'QTR Raw'!AH31+'QTR Raw'!AH32+'QTR Raw'!AH33+'QTR Raw'!AH36+'QTR Raw'!AH37+'QTR Raw'!AH39</f>
        <v>-10</v>
      </c>
      <c r="BO67" s="75">
        <f>'QTR Raw'!AI26+'QTR Raw'!AI31+'QTR Raw'!AI32+'QTR Raw'!AI33+'QTR Raw'!AI36+'QTR Raw'!AI37+'QTR Raw'!AI39</f>
        <v>0</v>
      </c>
      <c r="BP67" s="75">
        <f>'QTR Raw'!AJ26+'QTR Raw'!AJ31+'QTR Raw'!AJ32+'QTR Raw'!AJ33+'QTR Raw'!AJ36+'QTR Raw'!AJ37+'QTR Raw'!AJ39</f>
        <v>0</v>
      </c>
      <c r="BQ67" s="75">
        <f>'QTR Raw'!AK26+'QTR Raw'!AK31+'QTR Raw'!AK32+'QTR Raw'!AK33+'QTR Raw'!AK36+'QTR Raw'!AK37+'QTR Raw'!AK39</f>
        <v>0</v>
      </c>
      <c r="BR67" s="75">
        <f>'QTR Raw'!AL26+'QTR Raw'!AL31+'QTR Raw'!AL32+'QTR Raw'!AL33+'QTR Raw'!AL36+'QTR Raw'!AL37+'QTR Raw'!AL39</f>
        <v>0</v>
      </c>
      <c r="BS67" s="75">
        <f>'QTR Raw'!AM26+'QTR Raw'!AM31+'QTR Raw'!AM32+'QTR Raw'!AM33+'QTR Raw'!AM36+'QTR Raw'!AM37+'QTR Raw'!AM39</f>
        <v>0</v>
      </c>
      <c r="BT67" s="75">
        <f>'QTR Raw'!AN26+'QTR Raw'!AN31+'QTR Raw'!AN32+'QTR Raw'!AN33+'QTR Raw'!AN36+'QTR Raw'!AN37+'QTR Raw'!AN39</f>
        <v>0</v>
      </c>
      <c r="BU67" s="75">
        <f>'QTR Raw'!AO26+'QTR Raw'!AO31+'QTR Raw'!AO32+'QTR Raw'!AO33+'QTR Raw'!AO36+'QTR Raw'!AO37+'QTR Raw'!AO39</f>
        <v>0</v>
      </c>
      <c r="BV67" s="75">
        <f>'QTR Raw'!AP26+'QTR Raw'!AP31+'QTR Raw'!AP32+'QTR Raw'!AP33+'QTR Raw'!AP36+'QTR Raw'!AP37+'QTR Raw'!AP39</f>
        <v>0</v>
      </c>
      <c r="BW67" s="75">
        <f>'QTR Raw'!AQ26+'QTR Raw'!AQ31+'QTR Raw'!AQ32+'QTR Raw'!AQ33+'QTR Raw'!AQ36+'QTR Raw'!AQ37+'QTR Raw'!AQ39</f>
        <v>0</v>
      </c>
      <c r="BX67" s="75">
        <f>'QTR Raw'!AR26+'QTR Raw'!AR31+'QTR Raw'!AR32+'QTR Raw'!AR33+'QTR Raw'!AR36+'QTR Raw'!AR37+'QTR Raw'!AR39</f>
        <v>0</v>
      </c>
      <c r="BY67" s="75">
        <f>'QTR Raw'!AS26+'QTR Raw'!AS31+'QTR Raw'!AS32+'QTR Raw'!AS33+'QTR Raw'!AS36+'QTR Raw'!AS37+'QTR Raw'!AS39</f>
        <v>0</v>
      </c>
      <c r="BZ67" s="75">
        <f>'QTR Raw'!AT26+'QTR Raw'!AT31+'QTR Raw'!AT32+'QTR Raw'!AT33+'QTR Raw'!AT36+'QTR Raw'!AT37+'QTR Raw'!AT39</f>
        <v>0</v>
      </c>
      <c r="CA67" s="75">
        <f>'QTR Raw'!AU26+'QTR Raw'!AU31+'QTR Raw'!AU32+'QTR Raw'!AU33+'QTR Raw'!AU36+'QTR Raw'!AU37+'QTR Raw'!AU39</f>
        <v>0</v>
      </c>
      <c r="CB67" s="75">
        <f>'QTR Raw'!AV26+'QTR Raw'!AV31+'QTR Raw'!AV32+'QTR Raw'!AV33+'QTR Raw'!AV36+'QTR Raw'!AV37+'QTR Raw'!AV39</f>
        <v>0</v>
      </c>
      <c r="CC67" s="75">
        <f>'QTR Raw'!AW26+'QTR Raw'!AW31+'QTR Raw'!AW32+'QTR Raw'!AW33+'QTR Raw'!AW36+'QTR Raw'!AW37+'QTR Raw'!AW39</f>
        <v>0</v>
      </c>
      <c r="CD67" s="75">
        <f>'QTR Raw'!AX26+'QTR Raw'!AX31+'QTR Raw'!AX32+'QTR Raw'!AX33+'QTR Raw'!AX36+'QTR Raw'!AX37+'QTR Raw'!AX39</f>
        <v>0</v>
      </c>
      <c r="CE67" s="75">
        <f>'QTR Raw'!AY26+'QTR Raw'!AY31+'QTR Raw'!AY32+'QTR Raw'!AY33+'QTR Raw'!AY36+'QTR Raw'!AY37+'QTR Raw'!AY39</f>
        <v>0</v>
      </c>
      <c r="CF67" s="75">
        <f>'QTR Raw'!AZ26+'QTR Raw'!AZ31+'QTR Raw'!AZ32+'QTR Raw'!AZ33+'QTR Raw'!AZ36+'QTR Raw'!AZ37+'QTR Raw'!AZ39</f>
        <v>0</v>
      </c>
      <c r="CG67" s="75">
        <f>'QTR Raw'!BA26+'QTR Raw'!BA31+'QTR Raw'!BA32+'QTR Raw'!BA33+'QTR Raw'!BA36+'QTR Raw'!BA37+'QTR Raw'!BA39</f>
        <v>0</v>
      </c>
      <c r="CH67" s="75">
        <f>'QTR Raw'!BB26+'QTR Raw'!BB31+'QTR Raw'!BB32+'QTR Raw'!BB33+'QTR Raw'!BB36+'QTR Raw'!BB37+'QTR Raw'!BB39</f>
        <v>0</v>
      </c>
      <c r="CI67" s="75">
        <f>'QTR Raw'!BC26+'QTR Raw'!BC31+'QTR Raw'!BC32+'QTR Raw'!BC33+'QTR Raw'!BC36+'QTR Raw'!BC37+'QTR Raw'!BC39</f>
        <v>0</v>
      </c>
      <c r="CJ67" s="75">
        <f>'QTR Raw'!BD26+'QTR Raw'!BD31+'QTR Raw'!BD32+'QTR Raw'!BD33+'QTR Raw'!BD36+'QTR Raw'!BD37+'QTR Raw'!BD39</f>
        <v>0</v>
      </c>
      <c r="CK67" s="75">
        <f>'QTR Raw'!BE26+'QTR Raw'!BE31+'QTR Raw'!BE32+'QTR Raw'!BE33+'QTR Raw'!BE36+'QTR Raw'!BE37+'QTR Raw'!BE39</f>
        <v>0</v>
      </c>
      <c r="CL67" s="75">
        <f>'QTR Raw'!BF26+'QTR Raw'!BF31+'QTR Raw'!BF32+'QTR Raw'!BF33+'QTR Raw'!BF36+'QTR Raw'!BF37+'QTR Raw'!BF39</f>
        <v>-27.18</v>
      </c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E67" s="123"/>
      <c r="DF67" s="23">
        <v>-27.1782</v>
      </c>
    </row>
    <row r="68" spans="1:110" s="26" customFormat="1" x14ac:dyDescent="0.2">
      <c r="A68" s="35" t="s">
        <v>25</v>
      </c>
      <c r="B68" s="26">
        <f>B61+B65+B66+B67</f>
        <v>31.230300000000003</v>
      </c>
      <c r="C68" s="26">
        <f>C61+C65+C66+C67</f>
        <v>42.282500000000049</v>
      </c>
      <c r="D68" s="26">
        <f>D61+D65+D66+D67</f>
        <v>47.968100000000007</v>
      </c>
      <c r="E68" s="26">
        <f t="shared" ref="E68:U68" si="742">E61+E65+E66+E67</f>
        <v>50.790000000000006</v>
      </c>
      <c r="F68" s="26">
        <f t="shared" si="742"/>
        <v>58.344800000000014</v>
      </c>
      <c r="G68" s="26">
        <f t="shared" si="742"/>
        <v>70.237099999999984</v>
      </c>
      <c r="H68" s="26">
        <f t="shared" si="742"/>
        <v>62.177200000000035</v>
      </c>
      <c r="I68" s="26">
        <f t="shared" si="742"/>
        <v>45.320399999999978</v>
      </c>
      <c r="J68" s="26">
        <f t="shared" si="742"/>
        <v>25.709700000000012</v>
      </c>
      <c r="K68" s="26">
        <f t="shared" si="742"/>
        <v>118.7526</v>
      </c>
      <c r="L68" s="26">
        <f t="shared" si="742"/>
        <v>139.32369999999992</v>
      </c>
      <c r="M68" s="26">
        <f t="shared" si="742"/>
        <v>677.90890000000013</v>
      </c>
      <c r="N68" s="26">
        <f t="shared" si="742"/>
        <v>79.444100000000077</v>
      </c>
      <c r="O68" s="26">
        <f t="shared" si="742"/>
        <v>61.495799999999988</v>
      </c>
      <c r="P68" s="26">
        <f t="shared" si="742"/>
        <v>100.40510000000012</v>
      </c>
      <c r="Q68" s="26">
        <f t="shared" si="742"/>
        <v>162.54650000000021</v>
      </c>
      <c r="R68" s="26">
        <f t="shared" si="742"/>
        <v>184.06270000000004</v>
      </c>
      <c r="S68" s="26">
        <f t="shared" si="742"/>
        <v>138.34089999999992</v>
      </c>
      <c r="T68" s="26">
        <f t="shared" si="742"/>
        <v>193.46629999999982</v>
      </c>
      <c r="U68" s="26">
        <f t="shared" si="742"/>
        <v>272.0471</v>
      </c>
      <c r="V68" s="26">
        <f t="shared" ref="V68:AA68" si="743">V61+V65+V66+V67</f>
        <v>447.96359999999993</v>
      </c>
      <c r="W68" s="26">
        <f t="shared" si="743"/>
        <v>385.35739999999987</v>
      </c>
      <c r="X68" s="26">
        <f t="shared" si="743"/>
        <v>409.83550000000037</v>
      </c>
      <c r="Y68" s="26">
        <f t="shared" si="743"/>
        <v>552.62779999999964</v>
      </c>
      <c r="Z68" s="26">
        <f t="shared" si="743"/>
        <v>659.58179999999936</v>
      </c>
      <c r="AA68" s="26">
        <f t="shared" ref="AA68" si="744">AA61+AA65+AA66+AA67</f>
        <v>709.47470000000067</v>
      </c>
      <c r="AB68" s="27">
        <f t="shared" ref="AB68:AD68" si="745">AB61+AB65+AB66+AB67</f>
        <v>818.34367797344999</v>
      </c>
      <c r="AC68" s="27">
        <f t="shared" si="745"/>
        <v>957.32990659263942</v>
      </c>
      <c r="AD68" s="27">
        <f t="shared" si="745"/>
        <v>1131.236715859271</v>
      </c>
      <c r="AE68" s="27">
        <f t="shared" ref="AE68" si="746">AE61+AE65+AE66+AE67</f>
        <v>1329.0935998842174</v>
      </c>
      <c r="AI68" s="26">
        <f t="shared" ref="AI68" si="747">AI61+AI65+AI66+AI67</f>
        <v>4.3080000000000105</v>
      </c>
      <c r="AJ68" s="26">
        <f t="shared" ref="AJ68" si="748">AJ61+AJ65+AJ66+AJ67</f>
        <v>39.002999999999993</v>
      </c>
      <c r="AK68" s="26">
        <f t="shared" ref="AK68:AM68" si="749">AK61+AK65+AK66+AK67</f>
        <v>21.873999999999995</v>
      </c>
      <c r="AL68" s="26">
        <f t="shared" si="749"/>
        <v>19.751999999999995</v>
      </c>
      <c r="AM68" s="26">
        <f t="shared" si="749"/>
        <v>20.324999999999982</v>
      </c>
      <c r="AN68" s="26">
        <f t="shared" ref="AN68:AO68" si="750">AN61+AN65+AN66+AN67</f>
        <v>33.143000000000036</v>
      </c>
      <c r="AO68" s="26">
        <f t="shared" si="750"/>
        <v>-6.4750000000000085</v>
      </c>
      <c r="AP68" s="26">
        <f t="shared" ref="AP68:CD68" si="751">AP61+AP65+AP66+AP67</f>
        <v>21.431000000000029</v>
      </c>
      <c r="AQ68" s="26">
        <f t="shared" si="751"/>
        <v>31.792000000000009</v>
      </c>
      <c r="AR68" s="26">
        <f t="shared" si="751"/>
        <v>31.887</v>
      </c>
      <c r="AS68" s="26">
        <f t="shared" si="751"/>
        <v>24.16699999999998</v>
      </c>
      <c r="AT68" s="26">
        <f t="shared" si="751"/>
        <v>25.737000000000023</v>
      </c>
      <c r="AU68" s="26">
        <f t="shared" si="751"/>
        <v>39.637999999999991</v>
      </c>
      <c r="AV68" s="26">
        <f t="shared" si="751"/>
        <v>42.14700000000007</v>
      </c>
      <c r="AW68" s="26">
        <f t="shared" si="751"/>
        <v>46.880999999999979</v>
      </c>
      <c r="AX68" s="26">
        <f t="shared" si="751"/>
        <v>50.536000000000065</v>
      </c>
      <c r="AY68" s="26">
        <f t="shared" si="751"/>
        <v>49.855000000000025</v>
      </c>
      <c r="AZ68" s="26">
        <f t="shared" si="751"/>
        <v>45.200000000000031</v>
      </c>
      <c r="BA68" s="26">
        <f t="shared" si="751"/>
        <v>35.762000000000029</v>
      </c>
      <c r="BB68" s="26">
        <f t="shared" si="751"/>
        <v>42.149000000000029</v>
      </c>
      <c r="BC68" s="26">
        <f t="shared" si="751"/>
        <v>20.368000000000016</v>
      </c>
      <c r="BD68" s="26">
        <f t="shared" si="751"/>
        <v>51.721999999999973</v>
      </c>
      <c r="BE68" s="26">
        <f t="shared" si="751"/>
        <v>33.850000000000037</v>
      </c>
      <c r="BF68" s="26">
        <f t="shared" si="751"/>
        <v>22.057000000000016</v>
      </c>
      <c r="BG68" s="26">
        <f t="shared" si="751"/>
        <v>45.623999999999967</v>
      </c>
      <c r="BH68" s="26">
        <f t="shared" si="751"/>
        <v>51.327999999999996</v>
      </c>
      <c r="BI68" s="26">
        <f t="shared" si="751"/>
        <v>49.85500000000004</v>
      </c>
      <c r="BJ68" s="26">
        <f t="shared" si="751"/>
        <v>46.657000000000018</v>
      </c>
      <c r="BK68" s="26">
        <f t="shared" si="751"/>
        <v>62.006999999999969</v>
      </c>
      <c r="BL68" s="26">
        <f t="shared" si="751"/>
        <v>93.622999999999948</v>
      </c>
      <c r="BM68" s="26">
        <f t="shared" si="751"/>
        <v>66.276000000000025</v>
      </c>
      <c r="BN68" s="26">
        <f t="shared" si="751"/>
        <v>50.139999999999958</v>
      </c>
      <c r="BO68" s="26">
        <f t="shared" si="751"/>
        <v>119.42299999999994</v>
      </c>
      <c r="BP68" s="26">
        <f t="shared" si="751"/>
        <v>73.823000000000036</v>
      </c>
      <c r="BQ68" s="26">
        <f t="shared" si="751"/>
        <v>154.10700000000003</v>
      </c>
      <c r="BR68" s="26">
        <f t="shared" si="751"/>
        <v>100.61200000000005</v>
      </c>
      <c r="BS68" s="26">
        <f t="shared" si="751"/>
        <v>118.87000000000006</v>
      </c>
      <c r="BT68" s="26">
        <f t="shared" si="751"/>
        <v>97.749999999999957</v>
      </c>
      <c r="BU68" s="26">
        <f t="shared" si="751"/>
        <v>83.879999999999896</v>
      </c>
      <c r="BV68" s="26">
        <f t="shared" si="751"/>
        <v>84.840000000000018</v>
      </c>
      <c r="BW68" s="26">
        <f t="shared" si="751"/>
        <v>105.02999999999999</v>
      </c>
      <c r="BX68" s="26">
        <f t="shared" si="751"/>
        <v>111.08000000000004</v>
      </c>
      <c r="BY68" s="26">
        <f t="shared" si="751"/>
        <v>106.10000000000008</v>
      </c>
      <c r="BZ68" s="26">
        <f t="shared" si="751"/>
        <v>87.630000000000038</v>
      </c>
      <c r="CA68" s="26">
        <f t="shared" si="751"/>
        <v>142.32000000000002</v>
      </c>
      <c r="CB68" s="26">
        <f t="shared" si="751"/>
        <v>150.58999999999995</v>
      </c>
      <c r="CC68" s="26">
        <f t="shared" si="751"/>
        <v>133.57</v>
      </c>
      <c r="CD68" s="26">
        <f t="shared" si="751"/>
        <v>126.16000000000005</v>
      </c>
      <c r="CE68" s="26">
        <f t="shared" ref="CE68:CF68" si="752">CE61+CE65+CE66+CE67</f>
        <v>176.83</v>
      </c>
      <c r="CF68" s="26">
        <f t="shared" si="752"/>
        <v>174.56999999999991</v>
      </c>
      <c r="CG68" s="26">
        <f t="shared" ref="CG68:CH68" si="753">CG61+CG65+CG66+CG67</f>
        <v>162.48999999999998</v>
      </c>
      <c r="CH68" s="26">
        <f t="shared" si="753"/>
        <v>145.68999999999994</v>
      </c>
      <c r="CI68" s="26">
        <f t="shared" ref="CI68:CJ68" si="754">CI61+CI65+CI66+CI67</f>
        <v>202.38000000000011</v>
      </c>
      <c r="CJ68" s="26">
        <f t="shared" si="754"/>
        <v>207.82000000000005</v>
      </c>
      <c r="CK68" s="26">
        <f t="shared" ref="CK68:CL68" si="755">CK61+CK65+CK66+CK67</f>
        <v>197.89000000000004</v>
      </c>
      <c r="CL68" s="26">
        <f t="shared" si="755"/>
        <v>101.37</v>
      </c>
      <c r="CM68" s="27">
        <f t="shared" ref="CM68:DB68" si="756">CM61+CM65+CM66+CM67</f>
        <v>213.93346222963768</v>
      </c>
      <c r="CN68" s="27">
        <f t="shared" si="756"/>
        <v>208.56108004826689</v>
      </c>
      <c r="CO68" s="27">
        <f t="shared" si="756"/>
        <v>202.66519641207918</v>
      </c>
      <c r="CP68" s="27">
        <f t="shared" si="756"/>
        <v>193.18393928346643</v>
      </c>
      <c r="CQ68" s="27">
        <f t="shared" si="756"/>
        <v>243.25996552911857</v>
      </c>
      <c r="CR68" s="27">
        <f t="shared" si="756"/>
        <v>241.16810323794419</v>
      </c>
      <c r="CS68" s="27">
        <f t="shared" si="756"/>
        <v>239.35487982228173</v>
      </c>
      <c r="CT68" s="27">
        <f t="shared" si="756"/>
        <v>233.54695800329523</v>
      </c>
      <c r="CU68" s="27">
        <f t="shared" si="756"/>
        <v>285.29148124241618</v>
      </c>
      <c r="CV68" s="27">
        <f t="shared" si="756"/>
        <v>284.49404423758153</v>
      </c>
      <c r="CW68" s="27">
        <f t="shared" si="756"/>
        <v>283.81329595579649</v>
      </c>
      <c r="CX68" s="27">
        <f t="shared" si="756"/>
        <v>277.63789442347667</v>
      </c>
      <c r="CY68" s="27">
        <f t="shared" si="756"/>
        <v>334.48740534941305</v>
      </c>
      <c r="CZ68" s="27">
        <f t="shared" si="756"/>
        <v>334.3141484453073</v>
      </c>
      <c r="DA68" s="27">
        <f t="shared" si="756"/>
        <v>333.71779976405094</v>
      </c>
      <c r="DB68" s="27">
        <f t="shared" si="756"/>
        <v>326.57424632544615</v>
      </c>
      <c r="DE68" s="121"/>
      <c r="DF68" s="26">
        <v>709.47470000000067</v>
      </c>
    </row>
    <row r="69" spans="1:110" s="25" customFormat="1" x14ac:dyDescent="0.2">
      <c r="A69" s="151" t="s">
        <v>486</v>
      </c>
      <c r="AB69" s="17"/>
      <c r="AC69" s="17"/>
      <c r="AD69" s="17"/>
      <c r="AE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E69" s="119"/>
    </row>
    <row r="70" spans="1:110" s="1" customFormat="1" x14ac:dyDescent="0.2">
      <c r="AB70" s="20"/>
      <c r="AC70" s="20"/>
      <c r="AD70" s="20"/>
      <c r="AE70" s="20"/>
      <c r="BV70" s="183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E70" s="119"/>
    </row>
    <row r="71" spans="1:110" s="22" customFormat="1" x14ac:dyDescent="0.2">
      <c r="A71" s="22" t="s">
        <v>434</v>
      </c>
      <c r="B71" s="22">
        <f>'Annual Raw'!C35</f>
        <v>31.2303</v>
      </c>
      <c r="C71" s="22">
        <f>'Annual Raw'!D35</f>
        <v>42.282499999999999</v>
      </c>
      <c r="D71" s="22">
        <f>'Annual Raw'!E35</f>
        <v>47.9681</v>
      </c>
      <c r="E71" s="22">
        <f>'Annual Raw'!F35</f>
        <v>50.79</v>
      </c>
      <c r="F71" s="22">
        <f>'Annual Raw'!G35</f>
        <v>58.344799999999999</v>
      </c>
      <c r="G71" s="22">
        <f>'Annual Raw'!H35</f>
        <v>70.237099999999998</v>
      </c>
      <c r="H71" s="22">
        <f>'Annual Raw'!I35</f>
        <v>62.177199999999999</v>
      </c>
      <c r="I71" s="22">
        <f>'Annual Raw'!J35</f>
        <v>45.320399999999999</v>
      </c>
      <c r="J71" s="22">
        <f>'Annual Raw'!K35</f>
        <v>25.709700000000002</v>
      </c>
      <c r="K71" s="22">
        <f>'Annual Raw'!L35</f>
        <v>118.7526</v>
      </c>
      <c r="L71" s="22">
        <f>'Annual Raw'!M35</f>
        <v>139.3237</v>
      </c>
      <c r="M71" s="22">
        <f>'Annual Raw'!N35</f>
        <v>677.90890000000002</v>
      </c>
      <c r="N71" s="22">
        <f>'Annual Raw'!O35</f>
        <v>79.444100000000006</v>
      </c>
      <c r="O71" s="22">
        <f>'Annual Raw'!P35</f>
        <v>61.495800000000003</v>
      </c>
      <c r="P71" s="22">
        <f>'Annual Raw'!Q35</f>
        <v>100.4051</v>
      </c>
      <c r="Q71" s="22">
        <f>'Annual Raw'!R35</f>
        <v>162.54650000000001</v>
      </c>
      <c r="R71" s="22">
        <f>'Annual Raw'!S35</f>
        <v>184.06270000000001</v>
      </c>
      <c r="S71" s="22">
        <f>'Annual Raw'!T35</f>
        <v>138.3409</v>
      </c>
      <c r="T71" s="22">
        <f>'Annual Raw'!U35</f>
        <v>193.46629999999999</v>
      </c>
      <c r="U71" s="22">
        <f>'Annual Raw'!V35</f>
        <v>272.0471</v>
      </c>
      <c r="V71" s="22">
        <f>'Annual Raw'!W35</f>
        <v>447.96359999999999</v>
      </c>
      <c r="W71" s="22">
        <f>'Annual Raw'!X35</f>
        <v>385.35739999999998</v>
      </c>
      <c r="X71" s="22">
        <f>'Annual Raw'!Y35</f>
        <v>409.83550000000002</v>
      </c>
      <c r="Y71" s="22">
        <f>'Annual Raw'!Z35</f>
        <v>552.62779999999998</v>
      </c>
      <c r="Z71" s="22">
        <f>'Annual Raw'!AA35</f>
        <v>659.58180000000004</v>
      </c>
      <c r="AA71" s="22">
        <f>'Annual Raw'!AB35</f>
        <v>709.47469999999998</v>
      </c>
      <c r="AB71" s="21">
        <f t="shared" ref="AB71:AD71" si="757">+AB68</f>
        <v>818.34367797344999</v>
      </c>
      <c r="AC71" s="21">
        <f t="shared" si="757"/>
        <v>957.32990659263942</v>
      </c>
      <c r="AD71" s="21">
        <f t="shared" si="757"/>
        <v>1131.236715859271</v>
      </c>
      <c r="AE71" s="21">
        <f t="shared" ref="AE71" si="758">+AE68</f>
        <v>1329.0935998842174</v>
      </c>
      <c r="AI71" s="22">
        <f>'QTR Raw'!C42</f>
        <v>4.3079999999999998</v>
      </c>
      <c r="AJ71" s="22">
        <f>'QTR Raw'!D42</f>
        <v>39.003999999999998</v>
      </c>
      <c r="AK71" s="22">
        <f>'QTR Raw'!E42</f>
        <v>21.873999999999999</v>
      </c>
      <c r="AL71" s="22">
        <f>'QTR Raw'!F42</f>
        <v>19.751999999999999</v>
      </c>
      <c r="AM71" s="22">
        <f>'QTR Raw'!G42</f>
        <v>20.324999999999999</v>
      </c>
      <c r="AN71" s="22">
        <f>'QTR Raw'!H42</f>
        <v>33.143000000000001</v>
      </c>
      <c r="AO71" s="22">
        <f>'QTR Raw'!I42</f>
        <v>-6.4749999999999996</v>
      </c>
      <c r="AP71" s="22">
        <f>'QTR Raw'!J42</f>
        <v>21.431999999999999</v>
      </c>
      <c r="AQ71" s="22">
        <f>'QTR Raw'!K42</f>
        <v>31.791</v>
      </c>
      <c r="AR71" s="22">
        <f>'QTR Raw'!L42</f>
        <v>31.887</v>
      </c>
      <c r="AS71" s="22">
        <f>'QTR Raw'!M42</f>
        <v>24.167999999999999</v>
      </c>
      <c r="AT71" s="22">
        <f>'QTR Raw'!N42</f>
        <v>25.736000000000001</v>
      </c>
      <c r="AU71" s="22">
        <f>'QTR Raw'!O42</f>
        <v>39.637999999999998</v>
      </c>
      <c r="AV71" s="22">
        <f>'QTR Raw'!P42</f>
        <v>42.148000000000003</v>
      </c>
      <c r="AW71" s="22">
        <f>'QTR Raw'!Q42</f>
        <v>46.881</v>
      </c>
      <c r="AX71" s="22">
        <f>'QTR Raw'!R42</f>
        <v>50.536000000000001</v>
      </c>
      <c r="AY71" s="22">
        <f>'QTR Raw'!S42</f>
        <v>49.854999999999997</v>
      </c>
      <c r="AZ71" s="22">
        <f>'QTR Raw'!T42</f>
        <v>45.2</v>
      </c>
      <c r="BA71" s="22">
        <f>'QTR Raw'!U42</f>
        <v>35.761000000000003</v>
      </c>
      <c r="BB71" s="22">
        <f>'QTR Raw'!V42</f>
        <v>42.149000000000001</v>
      </c>
      <c r="BC71" s="22">
        <f>'QTR Raw'!W42</f>
        <v>20.367000000000001</v>
      </c>
      <c r="BD71" s="22">
        <f>'QTR Raw'!X42</f>
        <v>51.723999999999997</v>
      </c>
      <c r="BE71" s="22">
        <f>'QTR Raw'!Y42</f>
        <v>33.85</v>
      </c>
      <c r="BF71" s="22">
        <f>'QTR Raw'!Z42</f>
        <v>22.059000000000001</v>
      </c>
      <c r="BG71" s="22">
        <f>'QTR Raw'!AA42</f>
        <v>45.625</v>
      </c>
      <c r="BH71" s="22">
        <f>'QTR Raw'!AB42</f>
        <v>51.329000000000001</v>
      </c>
      <c r="BI71" s="22">
        <f>'QTR Raw'!AC42</f>
        <v>49.854999999999997</v>
      </c>
      <c r="BJ71" s="22">
        <f>'QTR Raw'!AD42</f>
        <v>46.656999999999996</v>
      </c>
      <c r="BK71" s="22">
        <f>'QTR Raw'!AE42</f>
        <v>62.006999999999998</v>
      </c>
      <c r="BL71" s="22">
        <f>'QTR Raw'!AF42</f>
        <v>93.623999999999995</v>
      </c>
      <c r="BM71" s="22">
        <f>'QTR Raw'!AG42</f>
        <v>66.277000000000001</v>
      </c>
      <c r="BN71" s="22">
        <f>'QTR Raw'!AH42</f>
        <v>50.139000000000003</v>
      </c>
      <c r="BO71" s="22">
        <f>'QTR Raw'!AI42</f>
        <v>119.422</v>
      </c>
      <c r="BP71" s="22">
        <f>'QTR Raw'!AJ42</f>
        <v>73.822999999999993</v>
      </c>
      <c r="BQ71" s="22">
        <f>'QTR Raw'!AK42</f>
        <v>154.107</v>
      </c>
      <c r="BR71" s="22">
        <f>'QTR Raw'!AL42</f>
        <v>100.61199999999999</v>
      </c>
      <c r="BS71" s="22">
        <f>'QTR Raw'!AM42</f>
        <v>118.87</v>
      </c>
      <c r="BT71" s="22">
        <f>'QTR Raw'!AN42</f>
        <v>97.75</v>
      </c>
      <c r="BU71" s="22">
        <f>'QTR Raw'!AO42</f>
        <v>83.88</v>
      </c>
      <c r="BV71" s="22">
        <f>'QTR Raw'!AP42</f>
        <v>84.84</v>
      </c>
      <c r="BW71" s="22">
        <f>'QTR Raw'!AQ42</f>
        <v>105.03</v>
      </c>
      <c r="BX71" s="22">
        <f>'QTR Raw'!AR42</f>
        <v>111.08</v>
      </c>
      <c r="BY71" s="22">
        <f>'QTR Raw'!AS42</f>
        <v>106.1</v>
      </c>
      <c r="BZ71" s="22">
        <f>'QTR Raw'!AT42</f>
        <v>87.63</v>
      </c>
      <c r="CA71" s="22">
        <f>'QTR Raw'!AU42</f>
        <v>142.32</v>
      </c>
      <c r="CB71" s="22">
        <f>'QTR Raw'!AV42</f>
        <v>150.59</v>
      </c>
      <c r="CC71" s="22">
        <f>'QTR Raw'!AW42</f>
        <v>133.57</v>
      </c>
      <c r="CD71" s="22">
        <f>'QTR Raw'!AX42</f>
        <v>126.16</v>
      </c>
      <c r="CE71" s="22">
        <f>'QTR Raw'!AY42</f>
        <v>176.83</v>
      </c>
      <c r="CF71" s="22">
        <f>'QTR Raw'!AZ42</f>
        <v>174.57</v>
      </c>
      <c r="CG71" s="22">
        <f>'QTR Raw'!BA42</f>
        <v>162.49</v>
      </c>
      <c r="CH71" s="22">
        <f>'QTR Raw'!BB42</f>
        <v>145.69</v>
      </c>
      <c r="CI71" s="22">
        <f>'QTR Raw'!BC42</f>
        <v>202.38</v>
      </c>
      <c r="CJ71" s="22">
        <f>'QTR Raw'!BD42</f>
        <v>207.82</v>
      </c>
      <c r="CK71" s="22">
        <f>'QTR Raw'!BE42</f>
        <v>197.89</v>
      </c>
      <c r="CL71" s="22">
        <f>'QTR Raw'!BF42</f>
        <v>101.37</v>
      </c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E71" s="119"/>
      <c r="DF71" s="22">
        <v>709.47469999999998</v>
      </c>
    </row>
    <row r="72" spans="1:110" s="25" customFormat="1" x14ac:dyDescent="0.2">
      <c r="A72" s="36" t="s">
        <v>435</v>
      </c>
      <c r="B72" s="25">
        <f t="shared" ref="B72:V72" si="759">B71-B68</f>
        <v>0</v>
      </c>
      <c r="C72" s="25">
        <f>C71-C68</f>
        <v>0</v>
      </c>
      <c r="D72" s="25">
        <f t="shared" si="759"/>
        <v>0</v>
      </c>
      <c r="E72" s="25">
        <f t="shared" si="759"/>
        <v>0</v>
      </c>
      <c r="F72" s="25">
        <f t="shared" si="759"/>
        <v>0</v>
      </c>
      <c r="G72" s="25">
        <f t="shared" si="759"/>
        <v>0</v>
      </c>
      <c r="H72" s="25">
        <f t="shared" si="759"/>
        <v>0</v>
      </c>
      <c r="I72" s="25">
        <f t="shared" si="759"/>
        <v>0</v>
      </c>
      <c r="J72" s="25">
        <f t="shared" si="759"/>
        <v>0</v>
      </c>
      <c r="K72" s="25">
        <f t="shared" si="759"/>
        <v>0</v>
      </c>
      <c r="L72" s="25">
        <f t="shared" si="759"/>
        <v>0</v>
      </c>
      <c r="M72" s="25">
        <f t="shared" si="759"/>
        <v>0</v>
      </c>
      <c r="N72" s="25">
        <f t="shared" si="759"/>
        <v>0</v>
      </c>
      <c r="O72" s="25">
        <f t="shared" si="759"/>
        <v>0</v>
      </c>
      <c r="P72" s="25">
        <f t="shared" si="759"/>
        <v>-1.1368683772161603E-13</v>
      </c>
      <c r="Q72" s="25">
        <f t="shared" si="759"/>
        <v>0</v>
      </c>
      <c r="R72" s="25">
        <f t="shared" si="759"/>
        <v>0</v>
      </c>
      <c r="S72" s="25">
        <f t="shared" si="759"/>
        <v>0</v>
      </c>
      <c r="T72" s="25">
        <f t="shared" si="759"/>
        <v>0</v>
      </c>
      <c r="U72" s="25">
        <f t="shared" si="759"/>
        <v>0</v>
      </c>
      <c r="V72" s="25">
        <f t="shared" si="759"/>
        <v>0</v>
      </c>
      <c r="W72" s="25">
        <f t="shared" ref="W72" si="760">W71-W68</f>
        <v>0</v>
      </c>
      <c r="X72" s="25">
        <f t="shared" ref="X72:Y72" si="761">X71-X68</f>
        <v>0</v>
      </c>
      <c r="Y72" s="25">
        <f t="shared" si="761"/>
        <v>0</v>
      </c>
      <c r="Z72" s="25">
        <f t="shared" ref="Z72:AA72" si="762">Z71-Z68</f>
        <v>0</v>
      </c>
      <c r="AA72" s="25">
        <f t="shared" si="762"/>
        <v>0</v>
      </c>
      <c r="AB72" s="17">
        <f t="shared" ref="AB72:AD72" si="763">AB71-AB68</f>
        <v>0</v>
      </c>
      <c r="AC72" s="17">
        <f t="shared" si="763"/>
        <v>0</v>
      </c>
      <c r="AD72" s="17">
        <f t="shared" si="763"/>
        <v>0</v>
      </c>
      <c r="AE72" s="17">
        <f t="shared" ref="AE72" si="764">AE71-AE68</f>
        <v>0</v>
      </c>
      <c r="AI72" s="25">
        <f t="shared" ref="AI72" si="765">AI71-AI68</f>
        <v>-1.0658141036401503E-14</v>
      </c>
      <c r="AJ72" s="25">
        <f t="shared" ref="AJ72" si="766">AJ71-AJ68</f>
        <v>1.0000000000047748E-3</v>
      </c>
      <c r="AK72" s="25">
        <f t="shared" ref="AK72:AM72" si="767">AK71-AK68</f>
        <v>0</v>
      </c>
      <c r="AL72" s="25">
        <f t="shared" si="767"/>
        <v>0</v>
      </c>
      <c r="AM72" s="25">
        <f t="shared" si="767"/>
        <v>0</v>
      </c>
      <c r="AN72" s="25">
        <f t="shared" ref="AN72:AO72" si="768">AN71-AN68</f>
        <v>0</v>
      </c>
      <c r="AO72" s="25">
        <f t="shared" si="768"/>
        <v>8.8817841970012523E-15</v>
      </c>
      <c r="AP72" s="25">
        <f t="shared" ref="AP72:CD72" si="769">AP71-AP68</f>
        <v>9.9999999996924771E-4</v>
      </c>
      <c r="AQ72" s="25">
        <f t="shared" si="769"/>
        <v>-1.0000000000083276E-3</v>
      </c>
      <c r="AR72" s="25">
        <f t="shared" si="769"/>
        <v>0</v>
      </c>
      <c r="AS72" s="25">
        <f t="shared" si="769"/>
        <v>1.0000000000189857E-3</v>
      </c>
      <c r="AT72" s="25">
        <f t="shared" si="769"/>
        <v>-1.0000000000225384E-3</v>
      </c>
      <c r="AU72" s="25">
        <f t="shared" si="769"/>
        <v>0</v>
      </c>
      <c r="AV72" s="25">
        <f t="shared" si="769"/>
        <v>9.9999999993372057E-4</v>
      </c>
      <c r="AW72" s="25">
        <f t="shared" si="769"/>
        <v>0</v>
      </c>
      <c r="AX72" s="25">
        <f t="shared" si="769"/>
        <v>-6.3948846218409017E-14</v>
      </c>
      <c r="AY72" s="25">
        <f t="shared" si="769"/>
        <v>0</v>
      </c>
      <c r="AZ72" s="25">
        <f t="shared" si="769"/>
        <v>0</v>
      </c>
      <c r="BA72" s="25">
        <f t="shared" si="769"/>
        <v>-1.0000000000260911E-3</v>
      </c>
      <c r="BB72" s="25">
        <f t="shared" si="769"/>
        <v>0</v>
      </c>
      <c r="BC72" s="25">
        <f t="shared" si="769"/>
        <v>-1.000000000015433E-3</v>
      </c>
      <c r="BD72" s="25">
        <f t="shared" si="769"/>
        <v>2.0000000000237605E-3</v>
      </c>
      <c r="BE72" s="25">
        <f t="shared" si="769"/>
        <v>0</v>
      </c>
      <c r="BF72" s="25">
        <f t="shared" si="769"/>
        <v>1.9999999999846807E-3</v>
      </c>
      <c r="BG72" s="25">
        <f t="shared" si="769"/>
        <v>1.0000000000331966E-3</v>
      </c>
      <c r="BH72" s="25">
        <f t="shared" si="769"/>
        <v>1.0000000000047748E-3</v>
      </c>
      <c r="BI72" s="25">
        <f t="shared" si="769"/>
        <v>0</v>
      </c>
      <c r="BJ72" s="25">
        <f t="shared" si="769"/>
        <v>0</v>
      </c>
      <c r="BK72" s="25">
        <f t="shared" si="769"/>
        <v>0</v>
      </c>
      <c r="BL72" s="25">
        <f t="shared" si="769"/>
        <v>1.0000000000474074E-3</v>
      </c>
      <c r="BM72" s="25">
        <f t="shared" si="769"/>
        <v>9.9999999997635314E-4</v>
      </c>
      <c r="BN72" s="25">
        <f t="shared" si="769"/>
        <v>-9.9999999995503686E-4</v>
      </c>
      <c r="BO72" s="25">
        <f t="shared" si="769"/>
        <v>-9.9999999994793143E-4</v>
      </c>
      <c r="BP72" s="25">
        <f t="shared" si="769"/>
        <v>0</v>
      </c>
      <c r="BQ72" s="25">
        <f t="shared" si="769"/>
        <v>0</v>
      </c>
      <c r="BR72" s="25">
        <f t="shared" si="769"/>
        <v>0</v>
      </c>
      <c r="BS72" s="25">
        <f t="shared" si="769"/>
        <v>0</v>
      </c>
      <c r="BT72" s="25">
        <f t="shared" si="769"/>
        <v>0</v>
      </c>
      <c r="BU72" s="25">
        <f t="shared" si="769"/>
        <v>0</v>
      </c>
      <c r="BV72" s="25">
        <f t="shared" si="769"/>
        <v>0</v>
      </c>
      <c r="BW72" s="25">
        <f t="shared" si="769"/>
        <v>0</v>
      </c>
      <c r="BX72" s="25">
        <f t="shared" si="769"/>
        <v>0</v>
      </c>
      <c r="BY72" s="25">
        <f t="shared" si="769"/>
        <v>0</v>
      </c>
      <c r="BZ72" s="25">
        <f t="shared" si="769"/>
        <v>0</v>
      </c>
      <c r="CA72" s="25">
        <f t="shared" si="769"/>
        <v>0</v>
      </c>
      <c r="CB72" s="25">
        <f t="shared" si="769"/>
        <v>0</v>
      </c>
      <c r="CC72" s="25">
        <f t="shared" si="769"/>
        <v>0</v>
      </c>
      <c r="CD72" s="25">
        <f t="shared" si="769"/>
        <v>0</v>
      </c>
      <c r="CE72" s="25">
        <f t="shared" ref="CE72:CF72" si="770">CE71-CE68</f>
        <v>0</v>
      </c>
      <c r="CF72" s="25">
        <f t="shared" si="770"/>
        <v>0</v>
      </c>
      <c r="CG72" s="25">
        <f t="shared" ref="CG72:CH72" si="771">CG71-CG68</f>
        <v>0</v>
      </c>
      <c r="CH72" s="25">
        <f t="shared" si="771"/>
        <v>0</v>
      </c>
      <c r="CI72" s="25">
        <f t="shared" ref="CI72:CJ72" si="772">CI71-CI68</f>
        <v>0</v>
      </c>
      <c r="CJ72" s="25">
        <f t="shared" si="772"/>
        <v>0</v>
      </c>
      <c r="CK72" s="25">
        <f t="shared" ref="CK72:CL72" si="773">CK71-CK68</f>
        <v>0</v>
      </c>
      <c r="CL72" s="25">
        <f t="shared" si="773"/>
        <v>0</v>
      </c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E72" s="119"/>
      <c r="DF72" s="25">
        <v>0</v>
      </c>
    </row>
    <row r="73" spans="1:110" s="1" customFormat="1" x14ac:dyDescent="0.2">
      <c r="A73" s="150" t="s">
        <v>487</v>
      </c>
      <c r="AB73" s="20"/>
      <c r="AC73" s="20"/>
      <c r="AD73" s="20"/>
      <c r="AE73" s="20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E73" s="119"/>
    </row>
    <row r="74" spans="1:110" s="38" customFormat="1" x14ac:dyDescent="0.2">
      <c r="A74" s="38" t="s">
        <v>350</v>
      </c>
      <c r="B74" s="39">
        <f t="shared" ref="B74:AE74" si="774">(B68-B67)/B140</f>
        <v>0.19529959721017554</v>
      </c>
      <c r="C74" s="39">
        <f t="shared" si="774"/>
        <v>0.22298344546009263</v>
      </c>
      <c r="D74" s="39">
        <f t="shared" si="774"/>
        <v>0.2129975857541288</v>
      </c>
      <c r="E74" s="39">
        <f t="shared" si="774"/>
        <v>0.20496773342168592</v>
      </c>
      <c r="F74" s="39">
        <f t="shared" si="774"/>
        <v>0.20531884794423561</v>
      </c>
      <c r="G74" s="39">
        <f t="shared" si="774"/>
        <v>0.21259694990689415</v>
      </c>
      <c r="H74" s="39">
        <f t="shared" si="774"/>
        <v>0.14858505670765812</v>
      </c>
      <c r="I74" s="39">
        <f t="shared" si="774"/>
        <v>0.10003960049851593</v>
      </c>
      <c r="J74" s="39">
        <f t="shared" si="774"/>
        <v>5.4830808406635685E-2</v>
      </c>
      <c r="K74" s="39">
        <f t="shared" si="774"/>
        <v>0.20902823799654122</v>
      </c>
      <c r="L74" s="39">
        <f t="shared" si="774"/>
        <v>0.20146802257272678</v>
      </c>
      <c r="M74" s="39">
        <f t="shared" si="774"/>
        <v>-8.5245891836603457E-2</v>
      </c>
      <c r="N74" s="39">
        <f t="shared" si="774"/>
        <v>7.7865669441615201E-2</v>
      </c>
      <c r="O74" s="39">
        <f t="shared" si="774"/>
        <v>0.12082307421737599</v>
      </c>
      <c r="P74" s="39">
        <f t="shared" si="774"/>
        <v>0.10092240807933317</v>
      </c>
      <c r="Q74" s="39">
        <f t="shared" si="774"/>
        <v>0.13730464709580711</v>
      </c>
      <c r="R74" s="39">
        <f t="shared" si="774"/>
        <v>0.13497608290574917</v>
      </c>
      <c r="S74" s="39">
        <f t="shared" si="774"/>
        <v>9.5966239304974152E-2</v>
      </c>
      <c r="T74" s="39">
        <f t="shared" si="774"/>
        <v>0.13070966293057915</v>
      </c>
      <c r="U74" s="39">
        <f t="shared" si="774"/>
        <v>0.19648150634072994</v>
      </c>
      <c r="V74" s="39">
        <f t="shared" si="774"/>
        <v>0.24753133736134905</v>
      </c>
      <c r="W74" s="39">
        <f t="shared" si="774"/>
        <v>0.18056944234235789</v>
      </c>
      <c r="X74" s="39">
        <f t="shared" si="774"/>
        <v>0.16523278427958751</v>
      </c>
      <c r="Y74" s="39">
        <f t="shared" si="774"/>
        <v>0.18904055728514729</v>
      </c>
      <c r="Z74" s="39">
        <f t="shared" si="774"/>
        <v>0.19211222412996681</v>
      </c>
      <c r="AA74" s="39">
        <f t="shared" ref="AA74" si="775">(AA68-AA67)/AA140</f>
        <v>0.17711324128626255</v>
      </c>
      <c r="AB74" s="40">
        <f t="shared" si="774"/>
        <v>0.1644064708995602</v>
      </c>
      <c r="AC74" s="40">
        <f t="shared" si="774"/>
        <v>0.1613053196239628</v>
      </c>
      <c r="AD74" s="40">
        <f t="shared" si="774"/>
        <v>0.16009281852489671</v>
      </c>
      <c r="AE74" s="40">
        <f t="shared" si="774"/>
        <v>0.15831544407472048</v>
      </c>
      <c r="AF74" s="39"/>
      <c r="AG74" s="39"/>
      <c r="AH74" s="39"/>
      <c r="AI74" s="39"/>
      <c r="AJ74" s="39"/>
      <c r="AK74" s="39"/>
      <c r="AL74" s="39">
        <f t="shared" ref="AL74:BQ74" si="776">(SUM(AI68:AL68)-SUM(AI67:AL67))/AL140</f>
        <v>8.343755390719336E-2</v>
      </c>
      <c r="AM74" s="39">
        <f t="shared" si="776"/>
        <v>9.3186891755405774E-2</v>
      </c>
      <c r="AN74" s="39">
        <f t="shared" si="776"/>
        <v>0.10043945969705613</v>
      </c>
      <c r="AO74" s="39">
        <f t="shared" si="776"/>
        <v>0.13529034078748747</v>
      </c>
      <c r="AP74" s="39">
        <f t="shared" si="776"/>
        <v>0.13860695887657609</v>
      </c>
      <c r="AQ74" s="39">
        <f t="shared" si="776"/>
        <v>0.13668104715783683</v>
      </c>
      <c r="AR74" s="39">
        <f t="shared" si="776"/>
        <v>0.13287438872548141</v>
      </c>
      <c r="AS74" s="39">
        <f t="shared" si="776"/>
        <v>0.10014242737572486</v>
      </c>
      <c r="AT74" s="39">
        <f t="shared" si="776"/>
        <v>0.1183244126146501</v>
      </c>
      <c r="AU74" s="39">
        <f t="shared" si="776"/>
        <v>0.12493994758886545</v>
      </c>
      <c r="AV74" s="39">
        <f t="shared" si="776"/>
        <v>0.11975298088884692</v>
      </c>
      <c r="AW74" s="39">
        <f t="shared" si="776"/>
        <v>0.13466712834033842</v>
      </c>
      <c r="AX74" s="39">
        <f t="shared" si="776"/>
        <v>0.15137375215189924</v>
      </c>
      <c r="AY74" s="39">
        <f t="shared" si="776"/>
        <v>0.15353819791471632</v>
      </c>
      <c r="AZ74" s="39">
        <f t="shared" si="776"/>
        <v>0.14710969559531542</v>
      </c>
      <c r="BA74" s="39">
        <f t="shared" si="776"/>
        <v>0.13492332152138328</v>
      </c>
      <c r="BB74" s="39">
        <f t="shared" si="776"/>
        <v>0.12684046492868414</v>
      </c>
      <c r="BC74" s="39">
        <f t="shared" si="776"/>
        <v>0.10366844939877959</v>
      </c>
      <c r="BD74" s="39">
        <f t="shared" si="776"/>
        <v>0.1072134133092415</v>
      </c>
      <c r="BE74" s="39">
        <f t="shared" si="776"/>
        <v>0.10334641135903999</v>
      </c>
      <c r="BF74" s="39">
        <f t="shared" si="776"/>
        <v>8.8790738908875011E-2</v>
      </c>
      <c r="BG74" s="39">
        <f t="shared" si="776"/>
        <v>0.10304925691677279</v>
      </c>
      <c r="BH74" s="39">
        <f t="shared" si="776"/>
        <v>0.10020170264035771</v>
      </c>
      <c r="BI74" s="39">
        <f t="shared" si="776"/>
        <v>0.10719019302156704</v>
      </c>
      <c r="BJ74" s="39">
        <f t="shared" si="776"/>
        <v>0.13070814432864319</v>
      </c>
      <c r="BK74" s="39">
        <f t="shared" si="776"/>
        <v>0.13607616483445939</v>
      </c>
      <c r="BL74" s="39">
        <f t="shared" si="776"/>
        <v>0.15920789428487719</v>
      </c>
      <c r="BM74" s="39">
        <f t="shared" si="776"/>
        <v>0.16276505996349094</v>
      </c>
      <c r="BN74" s="39">
        <f t="shared" si="776"/>
        <v>0.19648078111361353</v>
      </c>
      <c r="BO74" s="39">
        <f t="shared" si="776"/>
        <v>0.21831589183182065</v>
      </c>
      <c r="BP74" s="39">
        <f t="shared" si="776"/>
        <v>0.19659675592166684</v>
      </c>
      <c r="BQ74" s="39">
        <f t="shared" si="776"/>
        <v>0.22891772022122539</v>
      </c>
      <c r="BR74" s="39">
        <f t="shared" ref="BR74:CW74" si="777">(SUM(BO68:BR68)-SUM(BO67:BR67))/BR140</f>
        <v>0.24753222038277661</v>
      </c>
      <c r="BS74" s="39">
        <f t="shared" si="777"/>
        <v>0.23198869228049046</v>
      </c>
      <c r="BT74" s="39">
        <f t="shared" si="777"/>
        <v>0.23810940709449738</v>
      </c>
      <c r="BU74" s="39">
        <f t="shared" si="777"/>
        <v>0.19439503805880237</v>
      </c>
      <c r="BV74" s="39">
        <f t="shared" si="777"/>
        <v>0.18056154293104415</v>
      </c>
      <c r="BW74" s="39">
        <f t="shared" si="777"/>
        <v>0.16591117164995636</v>
      </c>
      <c r="BX74" s="39">
        <f t="shared" si="777"/>
        <v>0.16621100414199391</v>
      </c>
      <c r="BY74" s="39">
        <f t="shared" si="777"/>
        <v>0.16810453413507012</v>
      </c>
      <c r="BZ74" s="39">
        <f t="shared" si="777"/>
        <v>0.16523474509645822</v>
      </c>
      <c r="CA74" s="39">
        <f t="shared" si="777"/>
        <v>0.17048656521788871</v>
      </c>
      <c r="CB74" s="39">
        <f t="shared" si="777"/>
        <v>0.17912843108024049</v>
      </c>
      <c r="CC74" s="39">
        <f t="shared" si="777"/>
        <v>0.18037175295058727</v>
      </c>
      <c r="CD74" s="39">
        <f t="shared" si="777"/>
        <v>0.18904468534171648</v>
      </c>
      <c r="CE74" s="39">
        <f t="shared" si="777"/>
        <v>0.18939345066061111</v>
      </c>
      <c r="CF74" s="39">
        <f t="shared" si="777"/>
        <v>0.1902510094233601</v>
      </c>
      <c r="CG74" s="39">
        <f t="shared" si="777"/>
        <v>0.18966017921486819</v>
      </c>
      <c r="CH74" s="39">
        <f t="shared" si="777"/>
        <v>0.19211169985533802</v>
      </c>
      <c r="CI74" s="39">
        <f t="shared" si="777"/>
        <v>0.18844539521479672</v>
      </c>
      <c r="CJ74" s="39">
        <f t="shared" si="777"/>
        <v>0.1887622380929859</v>
      </c>
      <c r="CK74" s="39">
        <f t="shared" si="777"/>
        <v>0.18827414121684577</v>
      </c>
      <c r="CL74" s="39">
        <f t="shared" si="777"/>
        <v>0.17711013122652805</v>
      </c>
      <c r="CM74" s="40">
        <f t="shared" si="777"/>
        <v>0.17108785883955094</v>
      </c>
      <c r="CN74" s="40">
        <f t="shared" si="777"/>
        <v>0.16346163327441926</v>
      </c>
      <c r="CO74" s="40">
        <f t="shared" si="777"/>
        <v>0.15753551763354756</v>
      </c>
      <c r="CP74" s="40">
        <f t="shared" si="777"/>
        <v>0.16440647089956023</v>
      </c>
      <c r="CQ74" s="40">
        <f t="shared" si="777"/>
        <v>0.16236330494095036</v>
      </c>
      <c r="CR74" s="40">
        <f t="shared" si="777"/>
        <v>0.16116414035006932</v>
      </c>
      <c r="CS74" s="40">
        <f t="shared" si="777"/>
        <v>0.16083338690558238</v>
      </c>
      <c r="CT74" s="40">
        <f t="shared" si="777"/>
        <v>0.16130531962396286</v>
      </c>
      <c r="CU74" s="40">
        <f t="shared" si="777"/>
        <v>0.16066425865675418</v>
      </c>
      <c r="CV74" s="40">
        <f t="shared" si="777"/>
        <v>0.16029804786145507</v>
      </c>
      <c r="CW74" s="40">
        <f t="shared" si="777"/>
        <v>0.16014539229327493</v>
      </c>
      <c r="CX74" s="40">
        <f t="shared" ref="CX74:DB74" si="778">(SUM(CU68:CX68)-SUM(CU67:CX67))/CX140</f>
        <v>0.16009281852489668</v>
      </c>
      <c r="CY74" s="40">
        <f t="shared" si="778"/>
        <v>0.15950460987130369</v>
      </c>
      <c r="CZ74" s="40">
        <f t="shared" si="778"/>
        <v>0.15905152978209927</v>
      </c>
      <c r="DA74" s="40">
        <f t="shared" si="778"/>
        <v>0.15865817737545873</v>
      </c>
      <c r="DB74" s="40">
        <f t="shared" si="778"/>
        <v>0.15831544407472048</v>
      </c>
      <c r="DE74" s="122"/>
      <c r="DF74" s="38">
        <v>0.17711324128626255</v>
      </c>
    </row>
    <row r="75" spans="1:110" s="38" customFormat="1" x14ac:dyDescent="0.2">
      <c r="A75" s="38" t="s">
        <v>351</v>
      </c>
      <c r="B75" s="39">
        <f t="shared" ref="B75:AE75" si="779">+B54/B149</f>
        <v>0.19077495109452888</v>
      </c>
      <c r="C75" s="39">
        <f t="shared" si="779"/>
        <v>0.21284100316415239</v>
      </c>
      <c r="D75" s="39">
        <f t="shared" si="779"/>
        <v>0.22321372017899127</v>
      </c>
      <c r="E75" s="39">
        <f t="shared" si="779"/>
        <v>0.19053379519340735</v>
      </c>
      <c r="F75" s="39">
        <f t="shared" si="779"/>
        <v>0.16266655059538557</v>
      </c>
      <c r="G75" s="39">
        <f t="shared" si="779"/>
        <v>0.17999823944695156</v>
      </c>
      <c r="H75" s="39">
        <f t="shared" si="779"/>
        <v>0.12063472571278114</v>
      </c>
      <c r="I75" s="39">
        <f t="shared" si="779"/>
        <v>7.1924320242250095E-2</v>
      </c>
      <c r="J75" s="39">
        <f t="shared" si="779"/>
        <v>5.6240330544824614E-2</v>
      </c>
      <c r="K75" s="39">
        <f t="shared" si="779"/>
        <v>0.20630571469225797</v>
      </c>
      <c r="L75" s="39">
        <f t="shared" si="779"/>
        <v>0.19704611578902587</v>
      </c>
      <c r="M75" s="39">
        <f t="shared" si="779"/>
        <v>7.4829707163375794E-2</v>
      </c>
      <c r="N75" s="39">
        <f t="shared" si="779"/>
        <v>7.565813352332211E-2</v>
      </c>
      <c r="O75" s="39">
        <f t="shared" si="779"/>
        <v>0.10578525506163822</v>
      </c>
      <c r="P75" s="39">
        <f t="shared" si="779"/>
        <v>0.12606808513671749</v>
      </c>
      <c r="Q75" s="39">
        <f t="shared" si="779"/>
        <v>0.1195194524438206</v>
      </c>
      <c r="R75" s="39">
        <f t="shared" si="779"/>
        <v>0.12832469245636105</v>
      </c>
      <c r="S75" s="39">
        <f t="shared" si="779"/>
        <v>9.6466829431090376E-2</v>
      </c>
      <c r="T75" s="39">
        <f t="shared" si="779"/>
        <v>0.16583636205284533</v>
      </c>
      <c r="U75" s="39">
        <f t="shared" si="779"/>
        <v>0.2120990901501543</v>
      </c>
      <c r="V75" s="39">
        <f t="shared" si="779"/>
        <v>0.26407921240448312</v>
      </c>
      <c r="W75" s="39">
        <f t="shared" si="779"/>
        <v>0.21707378800005298</v>
      </c>
      <c r="X75" s="39">
        <f t="shared" si="779"/>
        <v>0.1919525270913979</v>
      </c>
      <c r="Y75" s="39">
        <f t="shared" si="779"/>
        <v>0.22989468918526698</v>
      </c>
      <c r="Z75" s="39">
        <f t="shared" si="779"/>
        <v>0.24950784262184847</v>
      </c>
      <c r="AA75" s="39">
        <f t="shared" ref="AA75" si="780">+AA54/AA149</f>
        <v>0.22197896345848339</v>
      </c>
      <c r="AB75" s="40">
        <f t="shared" si="779"/>
        <v>0.20718917789033012</v>
      </c>
      <c r="AC75" s="40">
        <f t="shared" si="779"/>
        <v>0.19908472264726026</v>
      </c>
      <c r="AD75" s="40">
        <f t="shared" si="779"/>
        <v>0.19339468393508669</v>
      </c>
      <c r="AE75" s="40">
        <f t="shared" si="779"/>
        <v>0.18766979630463923</v>
      </c>
      <c r="AF75" s="39"/>
      <c r="AG75" s="39"/>
      <c r="AH75" s="39"/>
      <c r="AI75" s="39"/>
      <c r="AJ75" s="39"/>
      <c r="AK75" s="39"/>
      <c r="AL75" s="39">
        <f t="shared" ref="AL75:BQ75" si="781">+SUM(AI54:AL54)/AL149</f>
        <v>7.4617319986138145E-2</v>
      </c>
      <c r="AM75" s="39">
        <f t="shared" si="781"/>
        <v>9.0656500030411424E-2</v>
      </c>
      <c r="AN75" s="39">
        <f t="shared" si="781"/>
        <v>9.9754703696391667E-2</v>
      </c>
      <c r="AO75" s="39">
        <f t="shared" si="781"/>
        <v>0.11574126541932753</v>
      </c>
      <c r="AP75" s="39">
        <f t="shared" si="781"/>
        <v>0.10926747317801624</v>
      </c>
      <c r="AQ75" s="39">
        <f t="shared" si="781"/>
        <v>0.11064728449639617</v>
      </c>
      <c r="AR75" s="39">
        <f t="shared" si="781"/>
        <v>0.11253918311034759</v>
      </c>
      <c r="AS75" s="39">
        <f t="shared" si="781"/>
        <v>0.10957409160116872</v>
      </c>
      <c r="AT75" s="39">
        <f t="shared" si="781"/>
        <v>0.1391768516826998</v>
      </c>
      <c r="AU75" s="39">
        <f t="shared" si="781"/>
        <v>0.13629364267128477</v>
      </c>
      <c r="AV75" s="39">
        <f t="shared" si="781"/>
        <v>0.12153275087360908</v>
      </c>
      <c r="AW75" s="39">
        <f t="shared" si="781"/>
        <v>0.13215729773659984</v>
      </c>
      <c r="AX75" s="39">
        <f t="shared" si="781"/>
        <v>0.1312640231203307</v>
      </c>
      <c r="AY75" s="39">
        <f t="shared" si="781"/>
        <v>0.13912244763655671</v>
      </c>
      <c r="AZ75" s="39">
        <f t="shared" si="781"/>
        <v>0.14549144427672644</v>
      </c>
      <c r="BA75" s="39">
        <f t="shared" si="781"/>
        <v>0.12755407585659995</v>
      </c>
      <c r="BB75" s="39">
        <f t="shared" si="781"/>
        <v>0.1242101632087856</v>
      </c>
      <c r="BC75" s="39">
        <f t="shared" si="781"/>
        <v>9.3768966990207439E-2</v>
      </c>
      <c r="BD75" s="39">
        <f t="shared" si="781"/>
        <v>0.10000572343927676</v>
      </c>
      <c r="BE75" s="39">
        <f t="shared" si="781"/>
        <v>0.10445429901207999</v>
      </c>
      <c r="BF75" s="39">
        <f t="shared" si="781"/>
        <v>9.9644210222017457E-2</v>
      </c>
      <c r="BG75" s="39">
        <f t="shared" si="781"/>
        <v>0.12916201249698042</v>
      </c>
      <c r="BH75" s="39">
        <f t="shared" si="781"/>
        <v>0.12981382300433567</v>
      </c>
      <c r="BI75" s="39">
        <f t="shared" si="781"/>
        <v>0.13752591526057392</v>
      </c>
      <c r="BJ75" s="39">
        <f t="shared" si="781"/>
        <v>0.16583428502117353</v>
      </c>
      <c r="BK75" s="39">
        <f t="shared" si="781"/>
        <v>0.16823324186843058</v>
      </c>
      <c r="BL75" s="39">
        <f t="shared" si="781"/>
        <v>0.1721886490102788</v>
      </c>
      <c r="BM75" s="39">
        <f t="shared" si="781"/>
        <v>0.17108102909438067</v>
      </c>
      <c r="BN75" s="39">
        <f t="shared" si="781"/>
        <v>0.21209771282003753</v>
      </c>
      <c r="BO75" s="39">
        <f t="shared" si="781"/>
        <v>0.23265131479034373</v>
      </c>
      <c r="BP75" s="39">
        <f t="shared" si="781"/>
        <v>0.22777624444232861</v>
      </c>
      <c r="BQ75" s="39">
        <f t="shared" si="781"/>
        <v>0.25294936656511491</v>
      </c>
      <c r="BR75" s="39">
        <f t="shared" ref="BR75:CW75" si="782">+SUM(BO54:BR54)/BR149</f>
        <v>0.26637285395926713</v>
      </c>
      <c r="BS75" s="39">
        <f t="shared" si="782"/>
        <v>0.25418332532631982</v>
      </c>
      <c r="BT75" s="39">
        <f t="shared" si="782"/>
        <v>0.25763353271485595</v>
      </c>
      <c r="BU75" s="39">
        <f t="shared" si="782"/>
        <v>0.2270281913608137</v>
      </c>
      <c r="BV75" s="39">
        <f t="shared" si="782"/>
        <v>0.21746199646177933</v>
      </c>
      <c r="BW75" s="39">
        <f t="shared" si="782"/>
        <v>0.20777018097235189</v>
      </c>
      <c r="BX75" s="39">
        <f t="shared" si="782"/>
        <v>0.19399558035094563</v>
      </c>
      <c r="BY75" s="39">
        <f t="shared" si="782"/>
        <v>0.19928413441242382</v>
      </c>
      <c r="BZ75" s="39">
        <f t="shared" si="782"/>
        <v>0.19195070973621392</v>
      </c>
      <c r="CA75" s="39">
        <f t="shared" si="782"/>
        <v>0.20038096319353127</v>
      </c>
      <c r="CB75" s="39">
        <f t="shared" si="782"/>
        <v>0.21957751899764941</v>
      </c>
      <c r="CC75" s="39">
        <f t="shared" si="782"/>
        <v>0.22366341406855478</v>
      </c>
      <c r="CD75" s="39">
        <f t="shared" si="782"/>
        <v>0.23123820672037848</v>
      </c>
      <c r="CE75" s="39">
        <f t="shared" si="782"/>
        <v>0.23065108610765628</v>
      </c>
      <c r="CF75" s="39">
        <f t="shared" si="782"/>
        <v>0.2473382373924897</v>
      </c>
      <c r="CG75" s="39">
        <f t="shared" si="782"/>
        <v>0.24250367438576997</v>
      </c>
      <c r="CH75" s="39">
        <f t="shared" si="782"/>
        <v>0.24971578439026282</v>
      </c>
      <c r="CI75" s="39">
        <f t="shared" si="782"/>
        <v>0.2409591081120753</v>
      </c>
      <c r="CJ75" s="39">
        <f t="shared" si="782"/>
        <v>0.24020078362260236</v>
      </c>
      <c r="CK75" s="39">
        <f t="shared" si="782"/>
        <v>0.23779902516860102</v>
      </c>
      <c r="CL75" s="39">
        <f t="shared" si="782"/>
        <v>0.22237823438048485</v>
      </c>
      <c r="CM75" s="40">
        <f t="shared" si="782"/>
        <v>0.21460514982133649</v>
      </c>
      <c r="CN75" s="40">
        <f t="shared" si="782"/>
        <v>0.20524795277470936</v>
      </c>
      <c r="CO75" s="40">
        <f t="shared" si="782"/>
        <v>0.19749265229142171</v>
      </c>
      <c r="CP75" s="40">
        <f t="shared" si="782"/>
        <v>0.20718917789033012</v>
      </c>
      <c r="CQ75" s="40">
        <f t="shared" si="782"/>
        <v>0.20348763123513552</v>
      </c>
      <c r="CR75" s="40">
        <f t="shared" si="782"/>
        <v>0.20063308806530647</v>
      </c>
      <c r="CS75" s="40">
        <f t="shared" si="782"/>
        <v>0.19916963908060453</v>
      </c>
      <c r="CT75" s="40">
        <f t="shared" si="782"/>
        <v>0.19908472264726035</v>
      </c>
      <c r="CU75" s="40">
        <f t="shared" si="782"/>
        <v>0.19711701464639597</v>
      </c>
      <c r="CV75" s="40">
        <f t="shared" si="782"/>
        <v>0.19565088791750274</v>
      </c>
      <c r="CW75" s="40">
        <f t="shared" si="782"/>
        <v>0.19448381678209523</v>
      </c>
      <c r="CX75" s="40">
        <f t="shared" ref="CX75:DB75" si="783">+SUM(CU54:CX54)/CX149</f>
        <v>0.19339468393508669</v>
      </c>
      <c r="CY75" s="40">
        <f t="shared" si="783"/>
        <v>0.19173893879620268</v>
      </c>
      <c r="CZ75" s="40">
        <f t="shared" si="783"/>
        <v>0.19032676804324608</v>
      </c>
      <c r="DA75" s="40">
        <f t="shared" si="783"/>
        <v>0.18898293696314625</v>
      </c>
      <c r="DB75" s="40">
        <f t="shared" si="783"/>
        <v>0.18766979630463923</v>
      </c>
      <c r="DE75" s="122"/>
      <c r="DF75" s="38">
        <v>0.22197896345848339</v>
      </c>
    </row>
    <row r="76" spans="1:110" s="1" customFormat="1" x14ac:dyDescent="0.2">
      <c r="A76" s="150" t="s">
        <v>488</v>
      </c>
      <c r="AB76" s="20"/>
      <c r="AC76" s="20"/>
      <c r="AD76" s="20"/>
      <c r="AE76" s="20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E76" s="119"/>
    </row>
    <row r="77" spans="1:110" s="8" customFormat="1" x14ac:dyDescent="0.2">
      <c r="A77" s="12" t="s">
        <v>26</v>
      </c>
      <c r="AB77" s="58"/>
      <c r="AC77" s="58"/>
      <c r="AD77" s="58"/>
      <c r="AE77" s="58"/>
      <c r="CM77" s="54"/>
      <c r="CN77" s="54"/>
      <c r="CO77" s="54"/>
      <c r="CP77" s="54"/>
      <c r="CQ77" s="54"/>
      <c r="CR77" s="54"/>
      <c r="CS77" s="54"/>
      <c r="CT77" s="54"/>
      <c r="CU77" s="54"/>
      <c r="CV77" s="54"/>
      <c r="CW77" s="54"/>
      <c r="CX77" s="54"/>
      <c r="CY77" s="54"/>
      <c r="CZ77" s="54"/>
      <c r="DA77" s="54"/>
      <c r="DB77" s="54"/>
      <c r="DE77" s="132"/>
    </row>
    <row r="78" spans="1:110" s="9" customFormat="1" x14ac:dyDescent="0.2">
      <c r="A78" s="9" t="s">
        <v>453</v>
      </c>
      <c r="N78" s="9">
        <f>N30-SUM(AI30:AL30)</f>
        <v>66.41660000000013</v>
      </c>
      <c r="O78" s="9">
        <f>O30-SUM(AM30:AP30)</f>
        <v>70.123700000000099</v>
      </c>
      <c r="P78" s="9">
        <f>P30-SUM(AQ30:AT30)</f>
        <v>86.282799999999952</v>
      </c>
      <c r="Q78" s="9">
        <f>Q30-SUM(AU30:AX30)</f>
        <v>85.460100000000011</v>
      </c>
      <c r="R78" s="9">
        <f>R30-SUM(AY30:BB30)</f>
        <v>169.79700000000003</v>
      </c>
      <c r="S78" s="9">
        <f>S30-SUM(BC30:BF30)</f>
        <v>159.39480000000003</v>
      </c>
      <c r="T78" s="9">
        <f>T30-SUM(BG30:BJ30)</f>
        <v>3.9999999989959178E-4</v>
      </c>
      <c r="U78" s="9">
        <f>U30-SUM(BK30:BN30)</f>
        <v>1.0999999999512511E-3</v>
      </c>
      <c r="V78" s="9">
        <f>V30-SUM(BO30:BR30)</f>
        <v>5.0000000032923708E-4</v>
      </c>
      <c r="W78" s="9">
        <f>W30-SUM(BS30:BV30)</f>
        <v>3.7999999995008693E-3</v>
      </c>
      <c r="X78" s="9">
        <f>X30-SUM(BW30:BZ30)</f>
        <v>2.7999999997518898E-3</v>
      </c>
      <c r="Y78" s="9">
        <f>Y30-SUM(CA30:CD30)</f>
        <v>3.7999999999556167E-3</v>
      </c>
      <c r="Z78" s="9">
        <f>Z30-SUM(CE30:CH30)</f>
        <v>-1.4000000005580659E-3</v>
      </c>
      <c r="AA78" s="9">
        <f>AA30-SUM(CF30:CI30)</f>
        <v>140.26189999999997</v>
      </c>
      <c r="AB78" s="15">
        <f>AB30-SUM(CM30:CP30)</f>
        <v>0</v>
      </c>
      <c r="AC78" s="15">
        <f>AC30-SUM(CQ30:CT30)</f>
        <v>0</v>
      </c>
      <c r="AD78" s="15">
        <f>AD30-SUM(CU30:CX30)</f>
        <v>0</v>
      </c>
      <c r="AE78" s="15">
        <f>AE30-SUM(CY30:DB30)</f>
        <v>0</v>
      </c>
      <c r="CM78" s="59"/>
      <c r="CN78" s="59"/>
      <c r="CO78" s="59"/>
      <c r="CP78" s="59"/>
      <c r="CQ78" s="59"/>
      <c r="CR78" s="59"/>
      <c r="CS78" s="59"/>
      <c r="CT78" s="59"/>
      <c r="CU78" s="59"/>
      <c r="CV78" s="59"/>
      <c r="CW78" s="59"/>
      <c r="CX78" s="59"/>
      <c r="CY78" s="59"/>
      <c r="CZ78" s="59"/>
      <c r="DA78" s="59"/>
      <c r="DB78" s="59"/>
      <c r="DE78" s="133"/>
      <c r="DF78" s="9">
        <v>140.26189999999997</v>
      </c>
    </row>
    <row r="79" spans="1:110" s="9" customFormat="1" x14ac:dyDescent="0.2">
      <c r="A79" s="9" t="s">
        <v>454</v>
      </c>
      <c r="N79" s="9">
        <f>N36-SUM(AI36:AL36)</f>
        <v>33.156700000000114</v>
      </c>
      <c r="O79" s="9">
        <f>O36-SUM(AM36:AP36)</f>
        <v>133.04729999999995</v>
      </c>
      <c r="P79" s="9">
        <f>P36-SUM(AQ36:AT36)</f>
        <v>175.88250000000005</v>
      </c>
      <c r="Q79" s="9">
        <f>Q36-SUM(AU36:AX36)</f>
        <v>42.838900000000081</v>
      </c>
      <c r="R79" s="9">
        <f>R36-SUM(AY36:BB36)</f>
        <v>63.08159999999998</v>
      </c>
      <c r="S79" s="9">
        <f>S36-SUM(BC36:BF36)</f>
        <v>96.653099999999995</v>
      </c>
      <c r="T79" s="9">
        <f>T36-SUM(BG36:BJ36)</f>
        <v>2.3999999998522981E-3</v>
      </c>
      <c r="U79" s="9">
        <f>U36-SUM(BK36:BN36)</f>
        <v>7.000000000516593E-4</v>
      </c>
      <c r="V79" s="9">
        <f>V36-SUM(BO36:BR36)</f>
        <v>5.0000000010186341E-4</v>
      </c>
      <c r="W79" s="9">
        <f>W36-SUM(BS36:BV36)</f>
        <v>-3.0000000015206751E-4</v>
      </c>
      <c r="X79" s="9">
        <f>X36-SUM(BW36:BZ36)</f>
        <v>1.0999999999512511E-3</v>
      </c>
      <c r="Y79" s="9">
        <f>Y36-SUM(CA36:CD36)</f>
        <v>-2.500000000509317E-3</v>
      </c>
      <c r="Z79" s="9">
        <f>Z36-SUM(CE36:CH36)</f>
        <v>-1.0999999999512511E-3</v>
      </c>
      <c r="AA79" s="9">
        <f>AA36-SUM(CF36:CI36)</f>
        <v>167.89450000000033</v>
      </c>
      <c r="AB79" s="15">
        <f>AB36-SUM(CM36:CP36)</f>
        <v>0</v>
      </c>
      <c r="AC79" s="15">
        <f>AC36-SUM(CQ36:CT36)</f>
        <v>0</v>
      </c>
      <c r="AD79" s="15">
        <f>AD36-SUM(CU36:CX36)</f>
        <v>0</v>
      </c>
      <c r="AE79" s="15">
        <f>AE36-SUM(CY36:DB36)</f>
        <v>0</v>
      </c>
      <c r="CM79" s="59"/>
      <c r="CN79" s="59"/>
      <c r="CO79" s="59"/>
      <c r="CP79" s="59"/>
      <c r="CQ79" s="59"/>
      <c r="CR79" s="59"/>
      <c r="CS79" s="59"/>
      <c r="CT79" s="59"/>
      <c r="CU79" s="59"/>
      <c r="CV79" s="59"/>
      <c r="CW79" s="59"/>
      <c r="CX79" s="59"/>
      <c r="CY79" s="59"/>
      <c r="CZ79" s="59"/>
      <c r="DA79" s="59"/>
      <c r="DB79" s="59"/>
      <c r="DE79" s="133"/>
      <c r="DF79" s="9">
        <v>167.89450000000033</v>
      </c>
    </row>
    <row r="80" spans="1:110" s="9" customFormat="1" x14ac:dyDescent="0.2">
      <c r="A80" s="9" t="s">
        <v>455</v>
      </c>
      <c r="N80" s="9">
        <f>N48-SUM(AI48:AL48)</f>
        <v>1.7931000000000523</v>
      </c>
      <c r="O80" s="9">
        <f>O48-SUM(AM48:AP48)</f>
        <v>-1.8976000000000681</v>
      </c>
      <c r="P80" s="9">
        <f>P48-SUM(AQ48:AT48)</f>
        <v>-13.657899999999927</v>
      </c>
      <c r="Q80" s="9">
        <f>Q48-SUM(AU48:AX48)</f>
        <v>-15.329099999999897</v>
      </c>
      <c r="R80" s="9">
        <f>R48-SUM(AY48:BB48)</f>
        <v>6.7815999999999406</v>
      </c>
      <c r="S80" s="9">
        <f>S48-SUM(BC48:BF48)</f>
        <v>-3.6566000000001111</v>
      </c>
      <c r="T80" s="9">
        <f>T48-SUM(BG48:BJ48)</f>
        <v>3.1999999997651685E-3</v>
      </c>
      <c r="U80" s="9">
        <f>U48-SUM(BK48:BN48)</f>
        <v>1.3000000001284207E-3</v>
      </c>
      <c r="V80" s="9">
        <f>V48-SUM(BO48:BR48)</f>
        <v>-4.2336000000001377</v>
      </c>
      <c r="W80" s="9">
        <f>W48-SUM(BS48:BV48)</f>
        <v>-0.85099999999999909</v>
      </c>
      <c r="X80" s="9">
        <f>X48-SUM(BW48:BZ48)</f>
        <v>2.5000000000545697E-3</v>
      </c>
      <c r="Y80" s="9">
        <f>Y48-SUM(CA48:CD48)</f>
        <v>-4.4069000000004053</v>
      </c>
      <c r="Z80" s="9">
        <f>Z48-SUM(CE48:CH48)</f>
        <v>-0.71990000000027976</v>
      </c>
      <c r="AA80" s="9">
        <f>AA48-SUM(CF48:CI48)</f>
        <v>53.418400000000474</v>
      </c>
      <c r="AB80" s="15">
        <f>AB48-SUM(CM48:CP48)</f>
        <v>0</v>
      </c>
      <c r="AC80" s="15">
        <f>AC48-SUM(CQ48:CT48)</f>
        <v>0</v>
      </c>
      <c r="AD80" s="15">
        <f>AD48-SUM(CU48:CX48)</f>
        <v>0</v>
      </c>
      <c r="AE80" s="15">
        <f>AE48-SUM(CY48:DB48)</f>
        <v>0</v>
      </c>
      <c r="CM80" s="59"/>
      <c r="CN80" s="59"/>
      <c r="CO80" s="59"/>
      <c r="CP80" s="59"/>
      <c r="CQ80" s="59"/>
      <c r="CR80" s="59"/>
      <c r="CS80" s="59"/>
      <c r="CT80" s="59"/>
      <c r="CU80" s="59"/>
      <c r="CV80" s="59"/>
      <c r="CW80" s="59"/>
      <c r="CX80" s="59"/>
      <c r="CY80" s="59"/>
      <c r="CZ80" s="59"/>
      <c r="DA80" s="59"/>
      <c r="DB80" s="59"/>
      <c r="DE80" s="133"/>
      <c r="DF80" s="9">
        <v>53.418400000000474</v>
      </c>
    </row>
    <row r="81" spans="1:110" s="9" customFormat="1" x14ac:dyDescent="0.2">
      <c r="A81" s="9" t="s">
        <v>456</v>
      </c>
      <c r="N81" s="9">
        <f>N68-SUM(AI68:AL68)</f>
        <v>-5.4928999999999206</v>
      </c>
      <c r="O81" s="9">
        <f>O68-SUM(AM68:AP68)</f>
        <v>-6.9282000000000465</v>
      </c>
      <c r="P81" s="9">
        <f>P68-SUM(AQ68:AT68)</f>
        <v>-13.177899999999894</v>
      </c>
      <c r="Q81" s="9">
        <f>Q68-SUM(AU68:AX68)</f>
        <v>-16.655499999999876</v>
      </c>
      <c r="R81" s="9">
        <f>R68-SUM(AY68:BB68)</f>
        <v>11.096699999999913</v>
      </c>
      <c r="S81" s="9">
        <f>S68-SUM(BC68:BF68)</f>
        <v>10.343899999999877</v>
      </c>
      <c r="T81" s="9">
        <f>T68-SUM(BG68:BJ68)</f>
        <v>2.299999999792135E-3</v>
      </c>
      <c r="U81" s="9">
        <f>U68-SUM(BK68:BN68)</f>
        <v>1.1000000000649379E-3</v>
      </c>
      <c r="V81" s="9">
        <f>V68-SUM(BO68:BR68)</f>
        <v>-1.4000000001033186E-3</v>
      </c>
      <c r="W81" s="9">
        <f>W61-SUM(BS61:BV61)</f>
        <v>8.8999999999259671E-3</v>
      </c>
      <c r="X81" s="9">
        <f>X61-SUM(BW61:BZ61)</f>
        <v>-4.6999999997865416E-3</v>
      </c>
      <c r="Y81" s="9">
        <f>Y61-SUM(CA61:CD61)</f>
        <v>-1.2200000000348155E-2</v>
      </c>
      <c r="Z81" s="9">
        <f>Z61-SUM(CE61:CH61)</f>
        <v>1.799999999548163E-3</v>
      </c>
      <c r="AA81" s="9">
        <f>AA61-SUM(CF61:CI61)</f>
        <v>51.522900000000732</v>
      </c>
      <c r="AB81" s="15">
        <f>AB61-SUM(CM61:CP61)</f>
        <v>0</v>
      </c>
      <c r="AC81" s="15">
        <f>AC61-SUM(CQ61:CT61)</f>
        <v>0</v>
      </c>
      <c r="AD81" s="15">
        <f>AD61-SUM(CU61:CX61)</f>
        <v>0</v>
      </c>
      <c r="AE81" s="15">
        <f>AE61-SUM(CY61:DB61)</f>
        <v>0</v>
      </c>
      <c r="CM81" s="59"/>
      <c r="CN81" s="59"/>
      <c r="CO81" s="59"/>
      <c r="CP81" s="59"/>
      <c r="CQ81" s="59"/>
      <c r="CR81" s="59"/>
      <c r="CS81" s="59"/>
      <c r="CT81" s="59"/>
      <c r="CU81" s="59"/>
      <c r="CV81" s="59"/>
      <c r="CW81" s="59"/>
      <c r="CX81" s="59"/>
      <c r="CY81" s="59"/>
      <c r="CZ81" s="59"/>
      <c r="DA81" s="59"/>
      <c r="DB81" s="59"/>
      <c r="DE81" s="133"/>
      <c r="DF81" s="9">
        <v>51.522900000000732</v>
      </c>
    </row>
    <row r="82" spans="1:110" s="8" customFormat="1" x14ac:dyDescent="0.2">
      <c r="A82" s="149" t="s">
        <v>489</v>
      </c>
      <c r="AB82" s="58"/>
      <c r="AC82" s="58"/>
      <c r="AD82" s="58"/>
      <c r="AE82" s="58"/>
      <c r="CM82" s="54"/>
      <c r="CN82" s="54"/>
      <c r="CO82" s="54"/>
      <c r="CP82" s="54"/>
      <c r="CQ82" s="54"/>
      <c r="CR82" s="54"/>
      <c r="CS82" s="54"/>
      <c r="CT82" s="54"/>
      <c r="CU82" s="54"/>
      <c r="CV82" s="54"/>
      <c r="CW82" s="54"/>
      <c r="CX82" s="54"/>
      <c r="CY82" s="54"/>
      <c r="CZ82" s="54"/>
      <c r="DA82" s="54"/>
      <c r="DB82" s="54"/>
      <c r="DE82" s="132"/>
    </row>
    <row r="83" spans="1:110" s="3" customFormat="1" x14ac:dyDescent="0.2">
      <c r="A83" s="3" t="s">
        <v>27</v>
      </c>
      <c r="B83" s="3">
        <f>'Annual Raw'!C104</f>
        <v>16.059000000000001</v>
      </c>
      <c r="C83" s="3">
        <f>'Annual Raw'!D104</f>
        <v>16.059000000000001</v>
      </c>
      <c r="D83" s="3">
        <f>'Annual Raw'!E104</f>
        <v>16.059000000000001</v>
      </c>
      <c r="E83" s="3">
        <f t="shared" ref="E83:Y83" ca="1" si="784">+F83</f>
        <v>16.059999999999999</v>
      </c>
      <c r="F83" s="3">
        <f t="shared" ca="1" si="784"/>
        <v>16.059999999999999</v>
      </c>
      <c r="G83" s="3">
        <f t="shared" ca="1" si="784"/>
        <v>16.059999999999999</v>
      </c>
      <c r="H83" s="3">
        <f t="shared" ca="1" si="784"/>
        <v>16.059999999999999</v>
      </c>
      <c r="I83" s="3">
        <f t="shared" ca="1" si="784"/>
        <v>16.059999999999999</v>
      </c>
      <c r="J83" s="3">
        <f t="shared" ca="1" si="784"/>
        <v>16.059999999999999</v>
      </c>
      <c r="K83" s="3">
        <f t="shared" ca="1" si="784"/>
        <v>16.059999999999999</v>
      </c>
      <c r="L83" s="3">
        <f t="shared" ca="1" si="784"/>
        <v>16.059999999999999</v>
      </c>
      <c r="M83" s="3">
        <f t="shared" ca="1" si="784"/>
        <v>16.059999999999999</v>
      </c>
      <c r="N83" s="3">
        <f t="shared" ca="1" si="784"/>
        <v>16.059999999999999</v>
      </c>
      <c r="O83" s="3">
        <f t="shared" ca="1" si="784"/>
        <v>16.059999999999999</v>
      </c>
      <c r="P83" s="3">
        <f t="shared" ca="1" si="784"/>
        <v>16.059999999999999</v>
      </c>
      <c r="Q83" s="3">
        <f t="shared" ca="1" si="784"/>
        <v>16.059999999999999</v>
      </c>
      <c r="R83" s="3">
        <f t="shared" ca="1" si="784"/>
        <v>16.059999999999999</v>
      </c>
      <c r="S83" s="3">
        <f t="shared" ca="1" si="784"/>
        <v>16.059999999999999</v>
      </c>
      <c r="T83" s="3">
        <f t="shared" ca="1" si="784"/>
        <v>16.059999999999999</v>
      </c>
      <c r="U83" s="3">
        <f t="shared" ca="1" si="784"/>
        <v>16.059999999999999</v>
      </c>
      <c r="V83" s="3">
        <f t="shared" ca="1" si="784"/>
        <v>16.059999999999999</v>
      </c>
      <c r="W83" s="3">
        <f t="shared" ca="1" si="784"/>
        <v>16.059999999999999</v>
      </c>
      <c r="X83" s="3">
        <f t="shared" ca="1" si="784"/>
        <v>16.059999999999999</v>
      </c>
      <c r="Y83" s="3">
        <f t="shared" ca="1" si="784"/>
        <v>16.059999999999999</v>
      </c>
      <c r="Z83" s="3">
        <f ca="1">+AA83</f>
        <v>16.059999999999999</v>
      </c>
      <c r="AA83" s="3">
        <f ca="1">+AB83</f>
        <v>16.059999999999999</v>
      </c>
      <c r="AB83" s="37">
        <f t="shared" ref="AB83:AB84" ca="1" si="785">AA83</f>
        <v>16.059999999999999</v>
      </c>
      <c r="AC83" s="37">
        <f t="shared" ref="AC83:AC84" ca="1" si="786">AB83</f>
        <v>16.059999999999999</v>
      </c>
      <c r="AD83" s="37">
        <f t="shared" ref="AD83:AD84" ca="1" si="787">AC83</f>
        <v>16.059999999999999</v>
      </c>
      <c r="AE83" s="37">
        <f t="shared" ref="AE83:AE84" ca="1" si="788">AD83</f>
        <v>16.059999999999999</v>
      </c>
      <c r="AI83" s="3">
        <f t="shared" ref="AI83:CH83" si="789">+AJ83</f>
        <v>15.66</v>
      </c>
      <c r="AJ83" s="3">
        <f t="shared" si="789"/>
        <v>15.66</v>
      </c>
      <c r="AK83" s="3">
        <f t="shared" si="789"/>
        <v>15.66</v>
      </c>
      <c r="AL83" s="3">
        <f t="shared" si="789"/>
        <v>15.66</v>
      </c>
      <c r="AM83" s="3">
        <f t="shared" si="789"/>
        <v>15.66</v>
      </c>
      <c r="AN83" s="3">
        <f t="shared" si="789"/>
        <v>15.66</v>
      </c>
      <c r="AO83" s="3">
        <f t="shared" si="789"/>
        <v>15.66</v>
      </c>
      <c r="AP83" s="3">
        <f t="shared" si="789"/>
        <v>15.66</v>
      </c>
      <c r="AQ83" s="3">
        <f t="shared" si="789"/>
        <v>15.66</v>
      </c>
      <c r="AR83" s="3">
        <f t="shared" si="789"/>
        <v>15.66</v>
      </c>
      <c r="AS83" s="3">
        <f t="shared" si="789"/>
        <v>15.66</v>
      </c>
      <c r="AT83" s="3">
        <f t="shared" si="789"/>
        <v>15.66</v>
      </c>
      <c r="AU83" s="3">
        <f t="shared" si="789"/>
        <v>15.66</v>
      </c>
      <c r="AV83" s="3">
        <f t="shared" si="789"/>
        <v>15.66</v>
      </c>
      <c r="AW83" s="3">
        <f t="shared" si="789"/>
        <v>15.66</v>
      </c>
      <c r="AX83" s="3">
        <f t="shared" si="789"/>
        <v>15.66</v>
      </c>
      <c r="AY83" s="3">
        <f t="shared" si="789"/>
        <v>15.66</v>
      </c>
      <c r="AZ83" s="3">
        <f t="shared" si="789"/>
        <v>15.66</v>
      </c>
      <c r="BA83" s="3">
        <f t="shared" si="789"/>
        <v>15.66</v>
      </c>
      <c r="BB83" s="3">
        <f t="shared" si="789"/>
        <v>15.66</v>
      </c>
      <c r="BC83" s="3">
        <f t="shared" si="789"/>
        <v>15.66</v>
      </c>
      <c r="BD83" s="3">
        <f t="shared" si="789"/>
        <v>15.66</v>
      </c>
      <c r="BE83" s="3">
        <f t="shared" si="789"/>
        <v>15.66</v>
      </c>
      <c r="BF83" s="3">
        <f t="shared" si="789"/>
        <v>15.66</v>
      </c>
      <c r="BG83" s="3">
        <f t="shared" si="789"/>
        <v>15.66</v>
      </c>
      <c r="BH83" s="3">
        <f t="shared" si="789"/>
        <v>15.66</v>
      </c>
      <c r="BI83" s="3">
        <f t="shared" si="789"/>
        <v>15.66</v>
      </c>
      <c r="BJ83" s="3">
        <f t="shared" si="789"/>
        <v>15.66</v>
      </c>
      <c r="BK83" s="3">
        <f t="shared" si="789"/>
        <v>15.66</v>
      </c>
      <c r="BL83" s="3">
        <f t="shared" si="789"/>
        <v>15.66</v>
      </c>
      <c r="BM83" s="3">
        <f t="shared" si="789"/>
        <v>15.66</v>
      </c>
      <c r="BN83" s="3">
        <f t="shared" si="789"/>
        <v>15.66</v>
      </c>
      <c r="BO83" s="3">
        <f t="shared" si="789"/>
        <v>15.66</v>
      </c>
      <c r="BP83" s="3">
        <f t="shared" si="789"/>
        <v>15.66</v>
      </c>
      <c r="BQ83" s="3">
        <f t="shared" si="789"/>
        <v>15.66</v>
      </c>
      <c r="BR83" s="3">
        <f t="shared" si="789"/>
        <v>15.66</v>
      </c>
      <c r="BS83" s="3">
        <f t="shared" si="789"/>
        <v>15.66</v>
      </c>
      <c r="BT83" s="3">
        <f t="shared" si="789"/>
        <v>15.66</v>
      </c>
      <c r="BU83" s="3">
        <f t="shared" si="789"/>
        <v>15.66</v>
      </c>
      <c r="BV83" s="3">
        <f t="shared" si="789"/>
        <v>15.66</v>
      </c>
      <c r="BW83" s="3">
        <f t="shared" si="789"/>
        <v>15.66</v>
      </c>
      <c r="BX83" s="3">
        <f t="shared" si="789"/>
        <v>15.66</v>
      </c>
      <c r="BY83" s="3">
        <f t="shared" si="789"/>
        <v>15.66</v>
      </c>
      <c r="BZ83" s="3">
        <f t="shared" si="789"/>
        <v>15.66</v>
      </c>
      <c r="CA83" s="3">
        <f t="shared" si="789"/>
        <v>15.66</v>
      </c>
      <c r="CB83" s="3">
        <f t="shared" si="789"/>
        <v>15.66</v>
      </c>
      <c r="CC83" s="3">
        <f t="shared" si="789"/>
        <v>15.66</v>
      </c>
      <c r="CD83" s="3">
        <f t="shared" si="789"/>
        <v>15.66</v>
      </c>
      <c r="CE83" s="3">
        <f t="shared" si="789"/>
        <v>15.66</v>
      </c>
      <c r="CF83" s="3">
        <f t="shared" si="789"/>
        <v>15.66</v>
      </c>
      <c r="CG83" s="3">
        <f t="shared" si="789"/>
        <v>15.66</v>
      </c>
      <c r="CH83" s="3">
        <f t="shared" si="789"/>
        <v>15.66</v>
      </c>
      <c r="CI83" s="3">
        <f>+CJ83</f>
        <v>15.66</v>
      </c>
      <c r="CJ83" s="3">
        <f>'QTR Raw'!BD45</f>
        <v>15.66</v>
      </c>
      <c r="CK83" s="3">
        <f>'QTR Raw'!BE45</f>
        <v>15.67</v>
      </c>
      <c r="CL83" s="3">
        <f>'QTR Raw'!BF45</f>
        <v>16.059999999999999</v>
      </c>
      <c r="CM83" s="37">
        <f t="shared" ref="CM83:CM84" si="790">+CL83</f>
        <v>16.059999999999999</v>
      </c>
      <c r="CN83" s="37">
        <f t="shared" ref="CN83:CN84" si="791">+CM83</f>
        <v>16.059999999999999</v>
      </c>
      <c r="CO83" s="37">
        <f t="shared" ref="CO83:CO84" si="792">+CN83</f>
        <v>16.059999999999999</v>
      </c>
      <c r="CP83" s="37">
        <f t="shared" ref="CP83:CP84" si="793">+CO83</f>
        <v>16.059999999999999</v>
      </c>
      <c r="CQ83" s="37">
        <f t="shared" ref="CQ83:CQ84" si="794">+CP83</f>
        <v>16.059999999999999</v>
      </c>
      <c r="CR83" s="37">
        <f t="shared" ref="CR83:CR84" si="795">+CQ83</f>
        <v>16.059999999999999</v>
      </c>
      <c r="CS83" s="37">
        <f t="shared" ref="CS83:CS84" si="796">+CR83</f>
        <v>16.059999999999999</v>
      </c>
      <c r="CT83" s="37">
        <f t="shared" ref="CT83:CT84" si="797">+CS83</f>
        <v>16.059999999999999</v>
      </c>
      <c r="CU83" s="37">
        <f t="shared" ref="CU83:CU84" si="798">+CT83</f>
        <v>16.059999999999999</v>
      </c>
      <c r="CV83" s="37">
        <f t="shared" ref="CV83:CV84" si="799">+CU83</f>
        <v>16.059999999999999</v>
      </c>
      <c r="CW83" s="37">
        <f t="shared" ref="CW83:CW84" si="800">+CV83</f>
        <v>16.059999999999999</v>
      </c>
      <c r="CX83" s="37">
        <f t="shared" ref="CX83:CX84" si="801">+CW83</f>
        <v>16.059999999999999</v>
      </c>
      <c r="CY83" s="37">
        <f t="shared" ref="CY83:CY84" si="802">+CX83</f>
        <v>16.059999999999999</v>
      </c>
      <c r="CZ83" s="37">
        <f t="shared" ref="CZ83:CZ84" si="803">+CY83</f>
        <v>16.059999999999999</v>
      </c>
      <c r="DA83" s="37">
        <f t="shared" ref="DA83:DA84" si="804">+CZ83</f>
        <v>16.059999999999999</v>
      </c>
      <c r="DB83" s="37">
        <f t="shared" ref="DB83:DB84" si="805">+DA83</f>
        <v>16.059999999999999</v>
      </c>
      <c r="DE83" s="134"/>
      <c r="DF83" s="3">
        <v>16.059999999999999</v>
      </c>
    </row>
    <row r="84" spans="1:110" s="3" customFormat="1" x14ac:dyDescent="0.2">
      <c r="A84" s="3" t="s">
        <v>28</v>
      </c>
      <c r="B84" s="3">
        <f>'Annual Raw'!C105</f>
        <v>10</v>
      </c>
      <c r="C84" s="3">
        <f>'Annual Raw'!D105</f>
        <v>10</v>
      </c>
      <c r="D84" s="3">
        <f>'Annual Raw'!E105</f>
        <v>10</v>
      </c>
      <c r="E84" s="3">
        <f t="shared" ref="E84:Y84" ca="1" si="806">+F84</f>
        <v>1</v>
      </c>
      <c r="F84" s="3">
        <f t="shared" ca="1" si="806"/>
        <v>1</v>
      </c>
      <c r="G84" s="3">
        <f t="shared" ca="1" si="806"/>
        <v>1</v>
      </c>
      <c r="H84" s="3">
        <f t="shared" ca="1" si="806"/>
        <v>1</v>
      </c>
      <c r="I84" s="3">
        <f t="shared" ca="1" si="806"/>
        <v>1</v>
      </c>
      <c r="J84" s="3">
        <f t="shared" ca="1" si="806"/>
        <v>1</v>
      </c>
      <c r="K84" s="3">
        <f t="shared" ca="1" si="806"/>
        <v>1</v>
      </c>
      <c r="L84" s="3">
        <f t="shared" ca="1" si="806"/>
        <v>1</v>
      </c>
      <c r="M84" s="3">
        <f t="shared" ca="1" si="806"/>
        <v>1</v>
      </c>
      <c r="N84" s="3">
        <f t="shared" ca="1" si="806"/>
        <v>1</v>
      </c>
      <c r="O84" s="3">
        <f t="shared" ca="1" si="806"/>
        <v>1</v>
      </c>
      <c r="P84" s="3">
        <f t="shared" ca="1" si="806"/>
        <v>1</v>
      </c>
      <c r="Q84" s="3">
        <f t="shared" ca="1" si="806"/>
        <v>1</v>
      </c>
      <c r="R84" s="3">
        <f t="shared" ca="1" si="806"/>
        <v>1</v>
      </c>
      <c r="S84" s="3">
        <f t="shared" ca="1" si="806"/>
        <v>1</v>
      </c>
      <c r="T84" s="3">
        <f t="shared" ca="1" si="806"/>
        <v>1</v>
      </c>
      <c r="U84" s="3">
        <f t="shared" ca="1" si="806"/>
        <v>1</v>
      </c>
      <c r="V84" s="3">
        <f t="shared" ca="1" si="806"/>
        <v>1</v>
      </c>
      <c r="W84" s="3">
        <f t="shared" ca="1" si="806"/>
        <v>1</v>
      </c>
      <c r="X84" s="3">
        <f t="shared" ca="1" si="806"/>
        <v>1</v>
      </c>
      <c r="Y84" s="3">
        <f t="shared" ca="1" si="806"/>
        <v>1</v>
      </c>
      <c r="Z84" s="3">
        <f ca="1">+AA84</f>
        <v>1</v>
      </c>
      <c r="AA84" s="3">
        <f ca="1">+AB84</f>
        <v>1</v>
      </c>
      <c r="AB84" s="37">
        <f t="shared" ca="1" si="785"/>
        <v>1</v>
      </c>
      <c r="AC84" s="37">
        <f t="shared" ca="1" si="786"/>
        <v>1</v>
      </c>
      <c r="AD84" s="37">
        <f t="shared" ca="1" si="787"/>
        <v>1</v>
      </c>
      <c r="AE84" s="37">
        <f t="shared" ca="1" si="788"/>
        <v>1</v>
      </c>
      <c r="AI84" s="3">
        <f t="shared" ref="AI84:CH84" si="807">AJ84</f>
        <v>1</v>
      </c>
      <c r="AJ84" s="3">
        <f t="shared" si="807"/>
        <v>1</v>
      </c>
      <c r="AK84" s="3">
        <f t="shared" si="807"/>
        <v>1</v>
      </c>
      <c r="AL84" s="3">
        <f t="shared" si="807"/>
        <v>1</v>
      </c>
      <c r="AM84" s="3">
        <f t="shared" si="807"/>
        <v>1</v>
      </c>
      <c r="AN84" s="3">
        <f t="shared" si="807"/>
        <v>1</v>
      </c>
      <c r="AO84" s="3">
        <f t="shared" si="807"/>
        <v>1</v>
      </c>
      <c r="AP84" s="3">
        <f t="shared" si="807"/>
        <v>1</v>
      </c>
      <c r="AQ84" s="3">
        <f t="shared" si="807"/>
        <v>1</v>
      </c>
      <c r="AR84" s="3">
        <f t="shared" si="807"/>
        <v>1</v>
      </c>
      <c r="AS84" s="3">
        <f t="shared" si="807"/>
        <v>1</v>
      </c>
      <c r="AT84" s="3">
        <f t="shared" si="807"/>
        <v>1</v>
      </c>
      <c r="AU84" s="3">
        <f t="shared" si="807"/>
        <v>1</v>
      </c>
      <c r="AV84" s="3">
        <f t="shared" si="807"/>
        <v>1</v>
      </c>
      <c r="AW84" s="3">
        <f t="shared" si="807"/>
        <v>1</v>
      </c>
      <c r="AX84" s="3">
        <f t="shared" si="807"/>
        <v>1</v>
      </c>
      <c r="AY84" s="3">
        <f t="shared" si="807"/>
        <v>1</v>
      </c>
      <c r="AZ84" s="3">
        <f t="shared" si="807"/>
        <v>1</v>
      </c>
      <c r="BA84" s="3">
        <f t="shared" si="807"/>
        <v>1</v>
      </c>
      <c r="BB84" s="3">
        <f t="shared" si="807"/>
        <v>1</v>
      </c>
      <c r="BC84" s="3">
        <f t="shared" si="807"/>
        <v>1</v>
      </c>
      <c r="BD84" s="3">
        <f t="shared" si="807"/>
        <v>1</v>
      </c>
      <c r="BE84" s="3">
        <f t="shared" si="807"/>
        <v>1</v>
      </c>
      <c r="BF84" s="3">
        <f t="shared" si="807"/>
        <v>1</v>
      </c>
      <c r="BG84" s="3">
        <f t="shared" si="807"/>
        <v>1</v>
      </c>
      <c r="BH84" s="3">
        <f t="shared" si="807"/>
        <v>1</v>
      </c>
      <c r="BI84" s="3">
        <f t="shared" si="807"/>
        <v>1</v>
      </c>
      <c r="BJ84" s="3">
        <f t="shared" si="807"/>
        <v>1</v>
      </c>
      <c r="BK84" s="3">
        <f t="shared" si="807"/>
        <v>1</v>
      </c>
      <c r="BL84" s="3">
        <f t="shared" si="807"/>
        <v>1</v>
      </c>
      <c r="BM84" s="3">
        <f t="shared" si="807"/>
        <v>1</v>
      </c>
      <c r="BN84" s="3">
        <f t="shared" si="807"/>
        <v>1</v>
      </c>
      <c r="BO84" s="3">
        <f t="shared" si="807"/>
        <v>1</v>
      </c>
      <c r="BP84" s="3">
        <f t="shared" si="807"/>
        <v>1</v>
      </c>
      <c r="BQ84" s="3">
        <f t="shared" si="807"/>
        <v>1</v>
      </c>
      <c r="BR84" s="3">
        <f t="shared" si="807"/>
        <v>1</v>
      </c>
      <c r="BS84" s="3">
        <f t="shared" si="807"/>
        <v>1</v>
      </c>
      <c r="BT84" s="3">
        <f t="shared" si="807"/>
        <v>1</v>
      </c>
      <c r="BU84" s="3">
        <f t="shared" si="807"/>
        <v>1</v>
      </c>
      <c r="BV84" s="3">
        <f t="shared" si="807"/>
        <v>1</v>
      </c>
      <c r="BW84" s="3">
        <f t="shared" si="807"/>
        <v>1</v>
      </c>
      <c r="BX84" s="3">
        <f t="shared" si="807"/>
        <v>1</v>
      </c>
      <c r="BY84" s="3">
        <f t="shared" si="807"/>
        <v>1</v>
      </c>
      <c r="BZ84" s="3">
        <f t="shared" si="807"/>
        <v>1</v>
      </c>
      <c r="CA84" s="3">
        <f t="shared" si="807"/>
        <v>1</v>
      </c>
      <c r="CB84" s="3">
        <f t="shared" si="807"/>
        <v>1</v>
      </c>
      <c r="CC84" s="3">
        <f t="shared" si="807"/>
        <v>1</v>
      </c>
      <c r="CD84" s="3">
        <f t="shared" si="807"/>
        <v>1</v>
      </c>
      <c r="CE84" s="3">
        <f t="shared" si="807"/>
        <v>1</v>
      </c>
      <c r="CF84" s="3">
        <f t="shared" si="807"/>
        <v>1</v>
      </c>
      <c r="CG84" s="3">
        <f t="shared" si="807"/>
        <v>1</v>
      </c>
      <c r="CH84" s="3">
        <f t="shared" si="807"/>
        <v>1</v>
      </c>
      <c r="CI84" s="3">
        <f>CJ84</f>
        <v>1</v>
      </c>
      <c r="CJ84" s="3">
        <f>'QTR Raw'!BD46</f>
        <v>1</v>
      </c>
      <c r="CK84" s="3">
        <f>'QTR Raw'!BE46</f>
        <v>1</v>
      </c>
      <c r="CL84" s="3">
        <f>'QTR Raw'!BF46</f>
        <v>1</v>
      </c>
      <c r="CM84" s="37">
        <f t="shared" si="790"/>
        <v>1</v>
      </c>
      <c r="CN84" s="37">
        <f t="shared" si="791"/>
        <v>1</v>
      </c>
      <c r="CO84" s="37">
        <f t="shared" si="792"/>
        <v>1</v>
      </c>
      <c r="CP84" s="37">
        <f t="shared" si="793"/>
        <v>1</v>
      </c>
      <c r="CQ84" s="37">
        <f t="shared" si="794"/>
        <v>1</v>
      </c>
      <c r="CR84" s="37">
        <f t="shared" si="795"/>
        <v>1</v>
      </c>
      <c r="CS84" s="37">
        <f t="shared" si="796"/>
        <v>1</v>
      </c>
      <c r="CT84" s="37">
        <f t="shared" si="797"/>
        <v>1</v>
      </c>
      <c r="CU84" s="37">
        <f t="shared" si="798"/>
        <v>1</v>
      </c>
      <c r="CV84" s="37">
        <f t="shared" si="799"/>
        <v>1</v>
      </c>
      <c r="CW84" s="37">
        <f t="shared" si="800"/>
        <v>1</v>
      </c>
      <c r="CX84" s="37">
        <f t="shared" si="801"/>
        <v>1</v>
      </c>
      <c r="CY84" s="37">
        <f t="shared" si="802"/>
        <v>1</v>
      </c>
      <c r="CZ84" s="37">
        <f t="shared" si="803"/>
        <v>1</v>
      </c>
      <c r="DA84" s="37">
        <f t="shared" si="804"/>
        <v>1</v>
      </c>
      <c r="DB84" s="37">
        <f t="shared" si="805"/>
        <v>1</v>
      </c>
      <c r="DE84" s="134"/>
      <c r="DF84" s="3">
        <v>1</v>
      </c>
    </row>
    <row r="85" spans="1:110" s="3" customFormat="1" x14ac:dyDescent="0.2">
      <c r="A85" s="3" t="s">
        <v>29</v>
      </c>
      <c r="B85" s="3">
        <f>B83/B84</f>
        <v>1.6059000000000001</v>
      </c>
      <c r="C85" s="3">
        <f t="shared" ref="C85:W85" si="808">C83/C84</f>
        <v>1.6059000000000001</v>
      </c>
      <c r="D85" s="3">
        <f t="shared" si="808"/>
        <v>1.6059000000000001</v>
      </c>
      <c r="E85" s="3">
        <f t="shared" ca="1" si="808"/>
        <v>16.059999999999999</v>
      </c>
      <c r="F85" s="3">
        <f t="shared" ca="1" si="808"/>
        <v>16.059999999999999</v>
      </c>
      <c r="G85" s="3">
        <f t="shared" ca="1" si="808"/>
        <v>16.059999999999999</v>
      </c>
      <c r="H85" s="3">
        <f t="shared" ca="1" si="808"/>
        <v>16.059999999999999</v>
      </c>
      <c r="I85" s="3">
        <f t="shared" ca="1" si="808"/>
        <v>16.059999999999999</v>
      </c>
      <c r="J85" s="3">
        <f t="shared" ca="1" si="808"/>
        <v>16.059999999999999</v>
      </c>
      <c r="K85" s="3">
        <f t="shared" ca="1" si="808"/>
        <v>16.059999999999999</v>
      </c>
      <c r="L85" s="3">
        <f t="shared" ca="1" si="808"/>
        <v>16.059999999999999</v>
      </c>
      <c r="M85" s="3">
        <f t="shared" ca="1" si="808"/>
        <v>16.059999999999999</v>
      </c>
      <c r="N85" s="3">
        <f t="shared" ca="1" si="808"/>
        <v>16.059999999999999</v>
      </c>
      <c r="O85" s="3">
        <f t="shared" ca="1" si="808"/>
        <v>16.059999999999999</v>
      </c>
      <c r="P85" s="3">
        <f t="shared" ca="1" si="808"/>
        <v>16.059999999999999</v>
      </c>
      <c r="Q85" s="3">
        <f t="shared" ca="1" si="808"/>
        <v>16.059999999999999</v>
      </c>
      <c r="R85" s="3">
        <f t="shared" ca="1" si="808"/>
        <v>16.059999999999999</v>
      </c>
      <c r="S85" s="3">
        <f t="shared" ca="1" si="808"/>
        <v>16.059999999999999</v>
      </c>
      <c r="T85" s="3">
        <f t="shared" ca="1" si="808"/>
        <v>16.059999999999999</v>
      </c>
      <c r="U85" s="3">
        <f t="shared" ca="1" si="808"/>
        <v>16.059999999999999</v>
      </c>
      <c r="V85" s="3">
        <f ca="1">V83/V84</f>
        <v>16.059999999999999</v>
      </c>
      <c r="W85" s="3">
        <f t="shared" ca="1" si="808"/>
        <v>16.059999999999999</v>
      </c>
      <c r="X85" s="3">
        <f t="shared" ref="X85:Y85" ca="1" si="809">X83/X84</f>
        <v>16.059999999999999</v>
      </c>
      <c r="Y85" s="3">
        <f t="shared" ca="1" si="809"/>
        <v>16.059999999999999</v>
      </c>
      <c r="Z85" s="3">
        <f t="shared" ref="Z85:AA85" ca="1" si="810">Z83/Z84</f>
        <v>16.059999999999999</v>
      </c>
      <c r="AA85" s="3">
        <f t="shared" ca="1" si="810"/>
        <v>16.059999999999999</v>
      </c>
      <c r="AB85" s="37">
        <f t="shared" ref="AB85:AD85" ca="1" si="811">AB83/AB84</f>
        <v>16.059999999999999</v>
      </c>
      <c r="AC85" s="37">
        <f t="shared" ca="1" si="811"/>
        <v>16.059999999999999</v>
      </c>
      <c r="AD85" s="37">
        <f t="shared" ca="1" si="811"/>
        <v>16.059999999999999</v>
      </c>
      <c r="AE85" s="37">
        <f t="shared" ref="AE85" ca="1" si="812">AE83/AE84</f>
        <v>16.059999999999999</v>
      </c>
      <c r="AI85" s="3">
        <f t="shared" ref="AI85" si="813">AI83/AI84</f>
        <v>15.66</v>
      </c>
      <c r="AJ85" s="3">
        <f t="shared" ref="AJ85" si="814">AJ83/AJ84</f>
        <v>15.66</v>
      </c>
      <c r="AK85" s="3">
        <f t="shared" ref="AK85:AM85" si="815">AK83/AK84</f>
        <v>15.66</v>
      </c>
      <c r="AL85" s="3">
        <f t="shared" si="815"/>
        <v>15.66</v>
      </c>
      <c r="AM85" s="3">
        <f t="shared" si="815"/>
        <v>15.66</v>
      </c>
      <c r="AN85" s="3">
        <f t="shared" ref="AN85:AO85" si="816">AN83/AN84</f>
        <v>15.66</v>
      </c>
      <c r="AO85" s="3">
        <f t="shared" si="816"/>
        <v>15.66</v>
      </c>
      <c r="AP85" s="3">
        <f t="shared" ref="AP85:CD85" si="817">AP83/AP84</f>
        <v>15.66</v>
      </c>
      <c r="AQ85" s="3">
        <f t="shared" si="817"/>
        <v>15.66</v>
      </c>
      <c r="AR85" s="3">
        <f t="shared" si="817"/>
        <v>15.66</v>
      </c>
      <c r="AS85" s="3">
        <f t="shared" si="817"/>
        <v>15.66</v>
      </c>
      <c r="AT85" s="3">
        <f t="shared" si="817"/>
        <v>15.66</v>
      </c>
      <c r="AU85" s="3">
        <f t="shared" si="817"/>
        <v>15.66</v>
      </c>
      <c r="AV85" s="3">
        <f t="shared" si="817"/>
        <v>15.66</v>
      </c>
      <c r="AW85" s="3">
        <f t="shared" si="817"/>
        <v>15.66</v>
      </c>
      <c r="AX85" s="3">
        <f t="shared" si="817"/>
        <v>15.66</v>
      </c>
      <c r="AY85" s="3">
        <f t="shared" si="817"/>
        <v>15.66</v>
      </c>
      <c r="AZ85" s="3">
        <f t="shared" si="817"/>
        <v>15.66</v>
      </c>
      <c r="BA85" s="3">
        <f t="shared" si="817"/>
        <v>15.66</v>
      </c>
      <c r="BB85" s="3">
        <f t="shared" si="817"/>
        <v>15.66</v>
      </c>
      <c r="BC85" s="3">
        <f t="shared" si="817"/>
        <v>15.66</v>
      </c>
      <c r="BD85" s="3">
        <f t="shared" si="817"/>
        <v>15.66</v>
      </c>
      <c r="BE85" s="3">
        <f t="shared" si="817"/>
        <v>15.66</v>
      </c>
      <c r="BF85" s="3">
        <f t="shared" si="817"/>
        <v>15.66</v>
      </c>
      <c r="BG85" s="3">
        <f t="shared" si="817"/>
        <v>15.66</v>
      </c>
      <c r="BH85" s="3">
        <f t="shared" si="817"/>
        <v>15.66</v>
      </c>
      <c r="BI85" s="3">
        <f t="shared" si="817"/>
        <v>15.66</v>
      </c>
      <c r="BJ85" s="3">
        <f t="shared" si="817"/>
        <v>15.66</v>
      </c>
      <c r="BK85" s="3">
        <f t="shared" si="817"/>
        <v>15.66</v>
      </c>
      <c r="BL85" s="3">
        <f t="shared" si="817"/>
        <v>15.66</v>
      </c>
      <c r="BM85" s="3">
        <f t="shared" si="817"/>
        <v>15.66</v>
      </c>
      <c r="BN85" s="3">
        <f t="shared" si="817"/>
        <v>15.66</v>
      </c>
      <c r="BO85" s="3">
        <f t="shared" si="817"/>
        <v>15.66</v>
      </c>
      <c r="BP85" s="3">
        <f t="shared" si="817"/>
        <v>15.66</v>
      </c>
      <c r="BQ85" s="3">
        <f t="shared" si="817"/>
        <v>15.66</v>
      </c>
      <c r="BR85" s="3">
        <f t="shared" si="817"/>
        <v>15.66</v>
      </c>
      <c r="BS85" s="3">
        <f t="shared" si="817"/>
        <v>15.66</v>
      </c>
      <c r="BT85" s="3">
        <f t="shared" si="817"/>
        <v>15.66</v>
      </c>
      <c r="BU85" s="3">
        <f t="shared" si="817"/>
        <v>15.66</v>
      </c>
      <c r="BV85" s="3">
        <f t="shared" si="817"/>
        <v>15.66</v>
      </c>
      <c r="BW85" s="3">
        <f t="shared" si="817"/>
        <v>15.66</v>
      </c>
      <c r="BX85" s="3">
        <f t="shared" si="817"/>
        <v>15.66</v>
      </c>
      <c r="BY85" s="3">
        <f t="shared" si="817"/>
        <v>15.66</v>
      </c>
      <c r="BZ85" s="3">
        <f t="shared" si="817"/>
        <v>15.66</v>
      </c>
      <c r="CA85" s="3">
        <f t="shared" si="817"/>
        <v>15.66</v>
      </c>
      <c r="CB85" s="3">
        <f t="shared" si="817"/>
        <v>15.66</v>
      </c>
      <c r="CC85" s="3">
        <f t="shared" si="817"/>
        <v>15.66</v>
      </c>
      <c r="CD85" s="3">
        <f t="shared" si="817"/>
        <v>15.66</v>
      </c>
      <c r="CE85" s="3">
        <f t="shared" ref="CE85:CF85" si="818">CE83/CE84</f>
        <v>15.66</v>
      </c>
      <c r="CF85" s="3">
        <f t="shared" si="818"/>
        <v>15.66</v>
      </c>
      <c r="CG85" s="3">
        <f t="shared" ref="CG85:CH85" si="819">CG83/CG84</f>
        <v>15.66</v>
      </c>
      <c r="CH85" s="3">
        <f t="shared" si="819"/>
        <v>15.66</v>
      </c>
      <c r="CI85" s="3">
        <f t="shared" ref="CI85:CJ85" si="820">CI83/CI84</f>
        <v>15.66</v>
      </c>
      <c r="CJ85" s="3">
        <f t="shared" si="820"/>
        <v>15.66</v>
      </c>
      <c r="CK85" s="3">
        <f t="shared" ref="CK85:CL85" si="821">CK83/CK84</f>
        <v>15.67</v>
      </c>
      <c r="CL85" s="3">
        <f t="shared" si="821"/>
        <v>16.059999999999999</v>
      </c>
      <c r="CM85" s="37">
        <f t="shared" ref="CM85:DB85" si="822">CM83/CM84</f>
        <v>16.059999999999999</v>
      </c>
      <c r="CN85" s="37">
        <f t="shared" si="822"/>
        <v>16.059999999999999</v>
      </c>
      <c r="CO85" s="37">
        <f t="shared" si="822"/>
        <v>16.059999999999999</v>
      </c>
      <c r="CP85" s="37">
        <f t="shared" si="822"/>
        <v>16.059999999999999</v>
      </c>
      <c r="CQ85" s="37">
        <f t="shared" si="822"/>
        <v>16.059999999999999</v>
      </c>
      <c r="CR85" s="37">
        <f t="shared" si="822"/>
        <v>16.059999999999999</v>
      </c>
      <c r="CS85" s="37">
        <f t="shared" si="822"/>
        <v>16.059999999999999</v>
      </c>
      <c r="CT85" s="37">
        <f t="shared" si="822"/>
        <v>16.059999999999999</v>
      </c>
      <c r="CU85" s="37">
        <f t="shared" si="822"/>
        <v>16.059999999999999</v>
      </c>
      <c r="CV85" s="37">
        <f t="shared" si="822"/>
        <v>16.059999999999999</v>
      </c>
      <c r="CW85" s="37">
        <f t="shared" si="822"/>
        <v>16.059999999999999</v>
      </c>
      <c r="CX85" s="37">
        <f t="shared" si="822"/>
        <v>16.059999999999999</v>
      </c>
      <c r="CY85" s="37">
        <f t="shared" si="822"/>
        <v>16.059999999999999</v>
      </c>
      <c r="CZ85" s="37">
        <f t="shared" si="822"/>
        <v>16.059999999999999</v>
      </c>
      <c r="DA85" s="37">
        <f t="shared" si="822"/>
        <v>16.059999999999999</v>
      </c>
      <c r="DB85" s="37">
        <f t="shared" si="822"/>
        <v>16.059999999999999</v>
      </c>
      <c r="DE85" s="134"/>
      <c r="DF85" s="3">
        <v>16.059999999999999</v>
      </c>
    </row>
    <row r="86" spans="1:110" s="53" customFormat="1" x14ac:dyDescent="0.2">
      <c r="A86" s="53" t="s">
        <v>30</v>
      </c>
      <c r="B86" s="53">
        <f t="shared" ref="B86:AE86" si="823">(B68-B67)/B85</f>
        <v>19.447225854660939</v>
      </c>
      <c r="C86" s="53">
        <f t="shared" si="823"/>
        <v>26.329472569898527</v>
      </c>
      <c r="D86" s="53">
        <f t="shared" si="823"/>
        <v>29.869917180397287</v>
      </c>
      <c r="E86" s="53">
        <f t="shared" ca="1" si="823"/>
        <v>3.1625155666251561</v>
      </c>
      <c r="F86" s="53">
        <f t="shared" ca="1" si="823"/>
        <v>3.6329265255292662</v>
      </c>
      <c r="G86" s="53">
        <f t="shared" ca="1" si="823"/>
        <v>4.3734184308841835</v>
      </c>
      <c r="H86" s="53">
        <f t="shared" ca="1" si="823"/>
        <v>3.8715566625155691</v>
      </c>
      <c r="I86" s="53">
        <f t="shared" ca="1" si="823"/>
        <v>2.8219427148194258</v>
      </c>
      <c r="J86" s="53">
        <f t="shared" ca="1" si="823"/>
        <v>1.6008530510585315</v>
      </c>
      <c r="K86" s="53">
        <f t="shared" ca="1" si="823"/>
        <v>7.3943088418430891</v>
      </c>
      <c r="L86" s="53">
        <f t="shared" ca="1" si="823"/>
        <v>8.6751992528019883</v>
      </c>
      <c r="M86" s="53">
        <f t="shared" ca="1" si="823"/>
        <v>-5.148474470734735</v>
      </c>
      <c r="N86" s="53">
        <f t="shared" ca="1" si="823"/>
        <v>4.9467061021170666</v>
      </c>
      <c r="O86" s="53">
        <f t="shared" ca="1" si="823"/>
        <v>7.8453175591531759</v>
      </c>
      <c r="P86" s="53">
        <f t="shared" ca="1" si="823"/>
        <v>6.25187422166875</v>
      </c>
      <c r="Q86" s="53">
        <f t="shared" ca="1" si="823"/>
        <v>10.121201743462031</v>
      </c>
      <c r="R86" s="53">
        <f t="shared" ca="1" si="823"/>
        <v>11.460940224159405</v>
      </c>
      <c r="S86" s="53">
        <f t="shared" ca="1" si="823"/>
        <v>8.6140037359900337</v>
      </c>
      <c r="T86" s="53">
        <f t="shared" ca="1" si="823"/>
        <v>12.046469489414685</v>
      </c>
      <c r="U86" s="53">
        <f t="shared" ca="1" si="823"/>
        <v>17.562085927770859</v>
      </c>
      <c r="V86" s="53">
        <f t="shared" ca="1" si="823"/>
        <v>27.893125778331257</v>
      </c>
      <c r="W86" s="53">
        <f t="shared" ca="1" si="823"/>
        <v>23.994856787048562</v>
      </c>
      <c r="X86" s="53">
        <f t="shared" ca="1" si="823"/>
        <v>25.519022415940249</v>
      </c>
      <c r="Y86" s="53">
        <f t="shared" ca="1" si="823"/>
        <v>34.410199252801974</v>
      </c>
      <c r="Z86" s="53">
        <f t="shared" ca="1" si="823"/>
        <v>41.0698505603985</v>
      </c>
      <c r="AA86" s="53">
        <f t="shared" ref="AA86" ca="1" si="824">(AA68-AA67)/AA85</f>
        <v>41.0698505603985</v>
      </c>
      <c r="AB86" s="54">
        <f t="shared" ca="1" si="823"/>
        <v>50.955397134087796</v>
      </c>
      <c r="AC86" s="54">
        <f t="shared" ca="1" si="823"/>
        <v>59.609583224946419</v>
      </c>
      <c r="AD86" s="54">
        <f t="shared" ca="1" si="823"/>
        <v>70.438151672432824</v>
      </c>
      <c r="AE86" s="54">
        <f t="shared" ca="1" si="823"/>
        <v>82.758007464770699</v>
      </c>
      <c r="AI86" s="53">
        <f t="shared" ref="AI86:BN86" si="825">(AI68-AI67)/AI85</f>
        <v>0.88927203065134164</v>
      </c>
      <c r="AJ86" s="53">
        <f t="shared" si="825"/>
        <v>1.8886973180076623</v>
      </c>
      <c r="AK86" s="53">
        <f t="shared" si="825"/>
        <v>1.3968071519795655</v>
      </c>
      <c r="AL86" s="53">
        <f t="shared" si="825"/>
        <v>1.2613026819923367</v>
      </c>
      <c r="AM86" s="53">
        <f t="shared" si="825"/>
        <v>1.6454022988505734</v>
      </c>
      <c r="AN86" s="53">
        <f t="shared" si="825"/>
        <v>2.510727969348661</v>
      </c>
      <c r="AO86" s="53">
        <f t="shared" si="825"/>
        <v>3.7053001277139201</v>
      </c>
      <c r="AP86" s="53">
        <f t="shared" si="825"/>
        <v>1.3685185185185205</v>
      </c>
      <c r="AQ86" s="53">
        <f t="shared" si="825"/>
        <v>1.7946360153256711</v>
      </c>
      <c r="AR86" s="53">
        <f t="shared" si="825"/>
        <v>2.5357598978288634</v>
      </c>
      <c r="AS86" s="53">
        <f t="shared" si="825"/>
        <v>1.5432311621966781</v>
      </c>
      <c r="AT86" s="53">
        <f t="shared" si="825"/>
        <v>1.6434865900383155</v>
      </c>
      <c r="AU86" s="53">
        <f t="shared" si="825"/>
        <v>2.5311621966794373</v>
      </c>
      <c r="AV86" s="53">
        <f t="shared" si="825"/>
        <v>2.691379310344832</v>
      </c>
      <c r="AW86" s="53">
        <f t="shared" si="825"/>
        <v>2.9936781609195386</v>
      </c>
      <c r="AX86" s="53">
        <f t="shared" si="825"/>
        <v>3.2270753512132866</v>
      </c>
      <c r="AY86" s="53">
        <f t="shared" si="825"/>
        <v>3.1835887611749696</v>
      </c>
      <c r="AZ86" s="53">
        <f t="shared" si="825"/>
        <v>2.8863346104725434</v>
      </c>
      <c r="BA86" s="53">
        <f t="shared" si="825"/>
        <v>2.2836526181353785</v>
      </c>
      <c r="BB86" s="53">
        <f t="shared" si="825"/>
        <v>2.6915070242656469</v>
      </c>
      <c r="BC86" s="53">
        <f t="shared" si="825"/>
        <v>1.3006385696040879</v>
      </c>
      <c r="BD86" s="53">
        <f t="shared" si="825"/>
        <v>3.3028097062579804</v>
      </c>
      <c r="BE86" s="53">
        <f t="shared" si="825"/>
        <v>2.1615581098339742</v>
      </c>
      <c r="BF86" s="53">
        <f t="shared" si="825"/>
        <v>1.4084929757343561</v>
      </c>
      <c r="BG86" s="53">
        <f t="shared" si="825"/>
        <v>2.9134099616858218</v>
      </c>
      <c r="BH86" s="53">
        <f t="shared" si="825"/>
        <v>3.2776500638569601</v>
      </c>
      <c r="BI86" s="53">
        <f t="shared" si="825"/>
        <v>3.1835887611749705</v>
      </c>
      <c r="BJ86" s="53">
        <f t="shared" si="825"/>
        <v>2.9793742017879961</v>
      </c>
      <c r="BK86" s="53">
        <f t="shared" si="825"/>
        <v>3.9595785440613005</v>
      </c>
      <c r="BL86" s="53">
        <f t="shared" si="825"/>
        <v>5.9784802043422696</v>
      </c>
      <c r="BM86" s="53">
        <f t="shared" si="825"/>
        <v>4.2321839080459789</v>
      </c>
      <c r="BN86" s="53">
        <f t="shared" si="825"/>
        <v>3.8403575989782861</v>
      </c>
      <c r="BO86" s="53">
        <f t="shared" ref="BO86:CT86" si="826">(BO68-BO67)/BO85</f>
        <v>7.6259897828863314</v>
      </c>
      <c r="BP86" s="53">
        <f t="shared" si="826"/>
        <v>4.7141123882503218</v>
      </c>
      <c r="BQ86" s="53">
        <f t="shared" si="826"/>
        <v>9.8408045977011511</v>
      </c>
      <c r="BR86" s="53">
        <f t="shared" si="826"/>
        <v>6.4247765006385729</v>
      </c>
      <c r="BS86" s="53">
        <f t="shared" si="826"/>
        <v>7.5906768837803362</v>
      </c>
      <c r="BT86" s="53">
        <f t="shared" si="826"/>
        <v>6.2420178799489117</v>
      </c>
      <c r="BU86" s="53">
        <f t="shared" si="826"/>
        <v>5.3563218390804535</v>
      </c>
      <c r="BV86" s="53">
        <f t="shared" si="826"/>
        <v>5.4176245210727982</v>
      </c>
      <c r="BW86" s="53">
        <f t="shared" si="826"/>
        <v>6.706896551724137</v>
      </c>
      <c r="BX86" s="53">
        <f t="shared" si="826"/>
        <v>7.0932311621966821</v>
      </c>
      <c r="BY86" s="53">
        <f t="shared" si="826"/>
        <v>6.7752234993614353</v>
      </c>
      <c r="BZ86" s="53">
        <f t="shared" si="826"/>
        <v>5.595785440613029</v>
      </c>
      <c r="CA86" s="53">
        <f t="shared" si="826"/>
        <v>9.0881226053639868</v>
      </c>
      <c r="CB86" s="53">
        <f t="shared" si="826"/>
        <v>9.6162196679438026</v>
      </c>
      <c r="CC86" s="53">
        <f t="shared" si="826"/>
        <v>8.529374201787995</v>
      </c>
      <c r="CD86" s="53">
        <f t="shared" si="826"/>
        <v>8.0561941251596458</v>
      </c>
      <c r="CE86" s="53">
        <f t="shared" si="826"/>
        <v>11.291826309067689</v>
      </c>
      <c r="CF86" s="53">
        <f t="shared" si="826"/>
        <v>11.147509578544055</v>
      </c>
      <c r="CG86" s="53">
        <f t="shared" si="826"/>
        <v>10.376117496807151</v>
      </c>
      <c r="CH86" s="53">
        <f t="shared" si="826"/>
        <v>9.3033205619412485</v>
      </c>
      <c r="CI86" s="53">
        <f t="shared" si="826"/>
        <v>12.923371647509585</v>
      </c>
      <c r="CJ86" s="53">
        <f t="shared" si="826"/>
        <v>13.270753512132826</v>
      </c>
      <c r="CK86" s="53">
        <f t="shared" ref="CK86:CL86" si="827">(CK68-CK67)/CK85</f>
        <v>12.628589661774093</v>
      </c>
      <c r="CL86" s="53">
        <f t="shared" si="827"/>
        <v>8.0043586550435872</v>
      </c>
      <c r="CM86" s="54">
        <f t="shared" si="826"/>
        <v>13.320888059130617</v>
      </c>
      <c r="CN86" s="54">
        <f t="shared" si="826"/>
        <v>12.986368620689097</v>
      </c>
      <c r="CO86" s="54">
        <f t="shared" si="826"/>
        <v>12.619252578585256</v>
      </c>
      <c r="CP86" s="54">
        <f t="shared" si="826"/>
        <v>12.028887875682843</v>
      </c>
      <c r="CQ86" s="54">
        <f t="shared" si="826"/>
        <v>15.146946795088331</v>
      </c>
      <c r="CR86" s="54">
        <f t="shared" si="826"/>
        <v>15.016693850432391</v>
      </c>
      <c r="CS86" s="54">
        <f t="shared" si="826"/>
        <v>14.903790773492014</v>
      </c>
      <c r="CT86" s="54">
        <f t="shared" si="826"/>
        <v>14.542151805933702</v>
      </c>
      <c r="CU86" s="54">
        <f t="shared" ref="CU86:DB86" si="828">(CU68-CU67)/CU85</f>
        <v>17.76410219442193</v>
      </c>
      <c r="CV86" s="54">
        <f t="shared" si="828"/>
        <v>17.714448582663859</v>
      </c>
      <c r="CW86" s="54">
        <f t="shared" si="828"/>
        <v>17.67206076935221</v>
      </c>
      <c r="CX86" s="54">
        <f t="shared" si="828"/>
        <v>17.287540125994813</v>
      </c>
      <c r="CY86" s="54">
        <f t="shared" si="828"/>
        <v>20.82736023346283</v>
      </c>
      <c r="CZ86" s="54">
        <f t="shared" si="828"/>
        <v>20.816572132335448</v>
      </c>
      <c r="DA86" s="54">
        <f t="shared" si="828"/>
        <v>20.779439586802674</v>
      </c>
      <c r="DB86" s="54">
        <f t="shared" si="828"/>
        <v>20.334635512169751</v>
      </c>
      <c r="DE86" s="132"/>
      <c r="DF86" s="53">
        <v>41.0698505603985</v>
      </c>
    </row>
    <row r="87" spans="1:110" s="3" customFormat="1" x14ac:dyDescent="0.2">
      <c r="A87" s="3" t="s">
        <v>31</v>
      </c>
      <c r="B87" s="3">
        <f>'Annual Raw'!C110</f>
        <v>0.5</v>
      </c>
      <c r="C87" s="3">
        <f>'Annual Raw'!D110</f>
        <v>0.75</v>
      </c>
      <c r="D87" s="3">
        <f>'Annual Raw'!E110</f>
        <v>0.8</v>
      </c>
      <c r="E87" s="3">
        <f>'Annual Raw'!F110</f>
        <v>1.1000000000000001</v>
      </c>
      <c r="F87" s="3">
        <f>'Annual Raw'!G110</f>
        <v>1.2</v>
      </c>
      <c r="G87" s="3">
        <f>'Annual Raw'!H110</f>
        <v>1.3</v>
      </c>
      <c r="H87" s="3">
        <f>'Annual Raw'!I110</f>
        <v>1.3</v>
      </c>
      <c r="I87" s="3">
        <f>'Annual Raw'!J110</f>
        <v>0.25</v>
      </c>
      <c r="J87" s="3">
        <f>'Annual Raw'!K110</f>
        <v>0.5</v>
      </c>
      <c r="K87" s="3">
        <f>'Annual Raw'!L110</f>
        <v>1</v>
      </c>
      <c r="L87" s="3">
        <f>'Annual Raw'!M110</f>
        <v>1</v>
      </c>
      <c r="M87" s="3">
        <f>'Annual Raw'!N110</f>
        <v>20.5</v>
      </c>
      <c r="N87" s="3">
        <f>'Annual Raw'!O110</f>
        <v>1.5</v>
      </c>
      <c r="O87" s="3">
        <f>'Annual Raw'!P110</f>
        <v>1.5</v>
      </c>
      <c r="P87" s="3">
        <f>'Annual Raw'!Q110</f>
        <v>7</v>
      </c>
      <c r="Q87" s="3">
        <f>'Annual Raw'!R110</f>
        <v>2.5</v>
      </c>
      <c r="R87" s="3">
        <f>'Annual Raw'!S110</f>
        <v>0.5</v>
      </c>
      <c r="S87" s="3">
        <f>'Annual Raw'!T110</f>
        <v>1</v>
      </c>
      <c r="T87" s="3">
        <f>'Annual Raw'!U110</f>
        <v>2.5</v>
      </c>
      <c r="U87" s="3">
        <f>'Annual Raw'!V110</f>
        <v>5.5</v>
      </c>
      <c r="V87" s="3">
        <f>'Annual Raw'!W110</f>
        <v>8.25</v>
      </c>
      <c r="W87" s="3">
        <f>'Annual Raw'!X110</f>
        <v>8.25</v>
      </c>
      <c r="X87" s="3">
        <f>'Annual Raw'!Y110</f>
        <v>8.875</v>
      </c>
      <c r="Y87" s="3">
        <f>'Annual Raw'!Z110</f>
        <v>12.25</v>
      </c>
      <c r="Z87" s="3">
        <f>'Annual Raw'!AA110</f>
        <v>15.5</v>
      </c>
      <c r="AA87" s="3">
        <f>'Annual Raw'!AB110</f>
        <v>22</v>
      </c>
      <c r="AB87" s="37"/>
      <c r="AC87" s="37"/>
      <c r="AD87" s="37"/>
      <c r="AE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E87" s="134"/>
      <c r="DF87" s="3">
        <v>22</v>
      </c>
    </row>
    <row r="88" spans="1:110" s="3" customFormat="1" x14ac:dyDescent="0.2">
      <c r="A88" s="3" t="s">
        <v>32</v>
      </c>
      <c r="B88" s="3">
        <f>B87/B86</f>
        <v>2.5710607967262562E-2</v>
      </c>
      <c r="C88" s="3">
        <f t="shared" ref="C88:U88" si="829">C87/C86</f>
        <v>2.8485188907940606E-2</v>
      </c>
      <c r="D88" s="3">
        <f t="shared" si="829"/>
        <v>2.6782799402102646E-2</v>
      </c>
      <c r="E88" s="3">
        <f t="shared" ca="1" si="829"/>
        <v>0.34782437487694429</v>
      </c>
      <c r="F88" s="3">
        <f t="shared" ca="1" si="829"/>
        <v>0.33031221291357576</v>
      </c>
      <c r="G88" s="3">
        <f t="shared" ca="1" si="829"/>
        <v>0.29725031358071452</v>
      </c>
      <c r="H88" s="3">
        <f t="shared" ca="1" si="829"/>
        <v>0.33578224815527213</v>
      </c>
      <c r="I88" s="3">
        <f t="shared" ca="1" si="829"/>
        <v>8.8591451090458198E-2</v>
      </c>
      <c r="J88" s="3">
        <f t="shared" ca="1" si="829"/>
        <v>0.31233347724788679</v>
      </c>
      <c r="K88" s="3">
        <f t="shared" ca="1" si="829"/>
        <v>0.13523914423768404</v>
      </c>
      <c r="L88" s="3">
        <f t="shared" ca="1" si="829"/>
        <v>0.11527112759709947</v>
      </c>
      <c r="M88" s="3">
        <f t="shared" ca="1" si="829"/>
        <v>-3.981761998923627</v>
      </c>
      <c r="N88" s="3">
        <f t="shared" ca="1" si="829"/>
        <v>0.30323208394330065</v>
      </c>
      <c r="O88" s="3">
        <f t="shared" ca="1" si="829"/>
        <v>0.19119684941879014</v>
      </c>
      <c r="P88" s="3">
        <f t="shared" ca="1" si="829"/>
        <v>1.1196642401630978</v>
      </c>
      <c r="Q88" s="3">
        <f t="shared" ca="1" si="829"/>
        <v>0.24700624129095333</v>
      </c>
      <c r="R88" s="3">
        <f t="shared" ca="1" si="829"/>
        <v>4.3626438164821001E-2</v>
      </c>
      <c r="S88" s="3">
        <f t="shared" ca="1" si="829"/>
        <v>0.11609003555709127</v>
      </c>
      <c r="T88" s="3">
        <f t="shared" ca="1" si="829"/>
        <v>0.20752968346425207</v>
      </c>
      <c r="U88" s="3">
        <f t="shared" ca="1" si="829"/>
        <v>0.31317464352585084</v>
      </c>
      <c r="V88" s="3">
        <f ca="1">V87/V86</f>
        <v>0.2957717993158373</v>
      </c>
      <c r="W88" s="3">
        <f t="shared" ref="W88" ca="1" si="830">W87/W86</f>
        <v>0.34382368160050913</v>
      </c>
      <c r="X88" s="3">
        <f t="shared" ref="X88:Y88" ca="1" si="831">X87/X86</f>
        <v>0.34777977993609599</v>
      </c>
      <c r="Y88" s="3">
        <f t="shared" ca="1" si="831"/>
        <v>0.35599910102242432</v>
      </c>
      <c r="Z88" s="3">
        <f t="shared" ref="Z88:AA88" ca="1" si="832">Z87/Z86</f>
        <v>0.37740580470837737</v>
      </c>
      <c r="AA88" s="3">
        <f t="shared" ca="1" si="832"/>
        <v>0.37740580470837737</v>
      </c>
      <c r="AB88" s="37">
        <f t="shared" ref="AB88:AD88" ca="1" si="833">AB87/AB86</f>
        <v>0</v>
      </c>
      <c r="AC88" s="37">
        <f t="shared" ca="1" si="833"/>
        <v>0</v>
      </c>
      <c r="AD88" s="37">
        <f t="shared" ca="1" si="833"/>
        <v>0</v>
      </c>
      <c r="AE88" s="37">
        <f t="shared" ref="AE88" ca="1" si="834">AE87/AE86</f>
        <v>0</v>
      </c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E88" s="134"/>
      <c r="DF88" s="3">
        <v>0.37740580470837737</v>
      </c>
    </row>
    <row r="89" spans="1:110" s="3" customFormat="1" x14ac:dyDescent="0.2">
      <c r="A89" s="3" t="s">
        <v>33</v>
      </c>
      <c r="B89" s="3">
        <f>+B86</f>
        <v>19.447225854660939</v>
      </c>
      <c r="C89" s="3">
        <f t="shared" ref="C89:U89" si="835">+C86</f>
        <v>26.329472569898527</v>
      </c>
      <c r="D89" s="3">
        <f t="shared" si="835"/>
        <v>29.869917180397287</v>
      </c>
      <c r="E89" s="3">
        <f t="shared" ca="1" si="835"/>
        <v>3.1625155666251561</v>
      </c>
      <c r="F89" s="3">
        <f t="shared" ca="1" si="835"/>
        <v>3.6329265255292662</v>
      </c>
      <c r="G89" s="3">
        <f t="shared" ca="1" si="835"/>
        <v>4.3734184308841835</v>
      </c>
      <c r="H89" s="3">
        <f t="shared" ca="1" si="835"/>
        <v>3.8715566625155691</v>
      </c>
      <c r="I89" s="3">
        <f t="shared" ca="1" si="835"/>
        <v>2.8219427148194258</v>
      </c>
      <c r="J89" s="3">
        <f t="shared" ca="1" si="835"/>
        <v>1.6008530510585315</v>
      </c>
      <c r="K89" s="3">
        <f t="shared" ca="1" si="835"/>
        <v>7.3943088418430891</v>
      </c>
      <c r="L89" s="3">
        <f t="shared" ca="1" si="835"/>
        <v>8.6751992528019883</v>
      </c>
      <c r="M89" s="3">
        <f t="shared" ca="1" si="835"/>
        <v>-5.148474470734735</v>
      </c>
      <c r="N89" s="3">
        <f t="shared" ca="1" si="835"/>
        <v>4.9467061021170666</v>
      </c>
      <c r="O89" s="3">
        <f t="shared" ca="1" si="835"/>
        <v>7.8453175591531759</v>
      </c>
      <c r="P89" s="3">
        <f t="shared" ca="1" si="835"/>
        <v>6.25187422166875</v>
      </c>
      <c r="Q89" s="3">
        <f t="shared" ca="1" si="835"/>
        <v>10.121201743462031</v>
      </c>
      <c r="R89" s="3">
        <f t="shared" ca="1" si="835"/>
        <v>11.460940224159405</v>
      </c>
      <c r="S89" s="3">
        <f t="shared" ca="1" si="835"/>
        <v>8.6140037359900337</v>
      </c>
      <c r="T89" s="3">
        <f ca="1">+T86</f>
        <v>12.046469489414685</v>
      </c>
      <c r="U89" s="3">
        <f t="shared" ca="1" si="835"/>
        <v>17.562085927770859</v>
      </c>
      <c r="V89" s="3">
        <f ca="1">+V86</f>
        <v>27.893125778331257</v>
      </c>
      <c r="W89" s="3">
        <f t="shared" ref="W89" ca="1" si="836">+W86</f>
        <v>23.994856787048562</v>
      </c>
      <c r="X89" s="3">
        <f t="shared" ref="X89:Y89" ca="1" si="837">+X86</f>
        <v>25.519022415940249</v>
      </c>
      <c r="Y89" s="3">
        <f t="shared" ca="1" si="837"/>
        <v>34.410199252801974</v>
      </c>
      <c r="Z89" s="3">
        <f t="shared" ref="Z89:AA89" ca="1" si="838">+Z86</f>
        <v>41.0698505603985</v>
      </c>
      <c r="AA89" s="3">
        <f t="shared" ca="1" si="838"/>
        <v>41.0698505603985</v>
      </c>
      <c r="AB89" s="37">
        <f t="shared" ref="AB89:AD89" ca="1" si="839">+AB86</f>
        <v>50.955397134087796</v>
      </c>
      <c r="AC89" s="37">
        <f t="shared" ca="1" si="839"/>
        <v>59.609583224946419</v>
      </c>
      <c r="AD89" s="37">
        <f t="shared" ca="1" si="839"/>
        <v>70.438151672432824</v>
      </c>
      <c r="AE89" s="37">
        <f t="shared" ref="AE89" ca="1" si="840">+AE86</f>
        <v>82.758007464770699</v>
      </c>
      <c r="AL89" s="3">
        <f>SUM(AI86:AL86)</f>
        <v>5.4360791826309063</v>
      </c>
      <c r="AM89" s="3">
        <f t="shared" ref="AM89" si="841">SUM(AJ86:AM86)</f>
        <v>6.1922094508301377</v>
      </c>
      <c r="AN89" s="3">
        <f t="shared" ref="AN89" si="842">SUM(AK86:AN86)</f>
        <v>6.8142401021711372</v>
      </c>
      <c r="AO89" s="3">
        <f t="shared" ref="AO89" si="843">SUM(AL86:AO86)</f>
        <v>9.122733077905492</v>
      </c>
      <c r="AP89" s="3">
        <f t="shared" ref="AP89" si="844">SUM(AM86:AP86)</f>
        <v>9.2299489144316755</v>
      </c>
      <c r="AQ89" s="3">
        <f t="shared" ref="AQ89" si="845">SUM(AN86:AQ86)</f>
        <v>9.3791826309067723</v>
      </c>
      <c r="AR89" s="3">
        <f t="shared" ref="AR89" si="846">SUM(AO86:AR86)</f>
        <v>9.4042145593869755</v>
      </c>
      <c r="AS89" s="3">
        <f t="shared" ref="AS89" si="847">SUM(AP86:AS86)</f>
        <v>7.2421455938697328</v>
      </c>
      <c r="AT89" s="3">
        <f t="shared" ref="AT89" si="848">SUM(AQ86:AT86)</f>
        <v>7.5171136653895276</v>
      </c>
      <c r="AU89" s="3">
        <f t="shared" ref="AU89" si="849">SUM(AR86:AU86)</f>
        <v>8.2536398467432939</v>
      </c>
      <c r="AV89" s="3">
        <f t="shared" ref="AV89" si="850">SUM(AS86:AV86)</f>
        <v>8.4092592592592634</v>
      </c>
      <c r="AW89" s="3">
        <f t="shared" ref="AW89" si="851">SUM(AT86:AW86)</f>
        <v>9.8597062579821237</v>
      </c>
      <c r="AX89" s="3">
        <f t="shared" ref="AX89" si="852">SUM(AU86:AX86)</f>
        <v>11.443295019157095</v>
      </c>
      <c r="AY89" s="3">
        <f t="shared" ref="AY89" si="853">SUM(AV86:AY86)</f>
        <v>12.095721583652626</v>
      </c>
      <c r="AZ89" s="3">
        <f t="shared" ref="AZ89" si="854">SUM(AW86:AZ86)</f>
        <v>12.290676883780337</v>
      </c>
      <c r="BA89" s="3">
        <f t="shared" ref="BA89" si="855">SUM(AX86:BA86)</f>
        <v>11.580651340996177</v>
      </c>
      <c r="BB89" s="3">
        <f t="shared" ref="BB89" si="856">SUM(AY86:BB86)</f>
        <v>11.045083014048538</v>
      </c>
      <c r="BC89" s="3">
        <f t="shared" ref="BC89" si="857">SUM(AZ86:BC86)</f>
        <v>9.1621328224776573</v>
      </c>
      <c r="BD89" s="3">
        <f t="shared" ref="BD89" si="858">SUM(BA86:BD86)</f>
        <v>9.5786079182630939</v>
      </c>
      <c r="BE89" s="3">
        <f t="shared" ref="BE89" si="859">SUM(BB86:BE86)</f>
        <v>9.4565134099616888</v>
      </c>
      <c r="BF89" s="3">
        <f t="shared" ref="BF89" si="860">SUM(BC86:BF86)</f>
        <v>8.1734993614303981</v>
      </c>
      <c r="BG89" s="3">
        <f t="shared" ref="BG89" si="861">SUM(BD86:BG86)</f>
        <v>9.7862707535121327</v>
      </c>
      <c r="BH89" s="3">
        <f t="shared" ref="BH89" si="862">SUM(BE86:BH86)</f>
        <v>9.7611111111111128</v>
      </c>
      <c r="BI89" s="3">
        <f t="shared" ref="BI89" si="863">SUM(BF86:BI86)</f>
        <v>10.783141762452107</v>
      </c>
      <c r="BJ89" s="3">
        <f t="shared" ref="BJ89" si="864">SUM(BG86:BJ86)</f>
        <v>12.354022988505749</v>
      </c>
      <c r="BK89" s="3">
        <f t="shared" ref="BK89" si="865">SUM(BH86:BK86)</f>
        <v>13.400191570881226</v>
      </c>
      <c r="BL89" s="3">
        <f t="shared" ref="BL89" si="866">SUM(BI86:BL86)</f>
        <v>16.101021711366535</v>
      </c>
      <c r="BM89" s="3">
        <f t="shared" ref="BM89" si="867">SUM(BJ86:BM86)</f>
        <v>17.149616858237543</v>
      </c>
      <c r="BN89" s="3">
        <f t="shared" ref="BN89" si="868">SUM(BK86:BN86)</f>
        <v>18.010600255427835</v>
      </c>
      <c r="BO89" s="3">
        <f t="shared" ref="BO89" si="869">SUM(BL86:BO86)</f>
        <v>21.677011494252866</v>
      </c>
      <c r="BP89" s="3">
        <f t="shared" ref="BP89" si="870">SUM(BM86:BP86)</f>
        <v>20.412643678160919</v>
      </c>
      <c r="BQ89" s="3">
        <f t="shared" ref="BQ89" si="871">SUM(BN86:BQ86)</f>
        <v>26.021264367816091</v>
      </c>
      <c r="BR89" s="3">
        <f t="shared" ref="BR89" si="872">SUM(BO86:BR86)</f>
        <v>28.605683269476376</v>
      </c>
      <c r="BS89" s="3">
        <f t="shared" ref="BS89" si="873">SUM(BP86:BS86)</f>
        <v>28.57037037037038</v>
      </c>
      <c r="BT89" s="3">
        <f t="shared" ref="BT89" si="874">SUM(BQ86:BT86)</f>
        <v>30.09827586206897</v>
      </c>
      <c r="BU89" s="3">
        <f t="shared" ref="BU89" si="875">SUM(BR86:BU86)</f>
        <v>25.613793103448273</v>
      </c>
      <c r="BV89" s="3">
        <f t="shared" ref="BV89" si="876">SUM(BS86:BV86)</f>
        <v>24.6066411238825</v>
      </c>
      <c r="BW89" s="3">
        <f t="shared" ref="BW89" si="877">SUM(BT86:BW86)</f>
        <v>23.722860791826299</v>
      </c>
      <c r="BX89" s="3">
        <f t="shared" ref="BX89" si="878">SUM(BU86:BX86)</f>
        <v>24.574074074074069</v>
      </c>
      <c r="BY89" s="3">
        <f t="shared" ref="BY89" si="879">SUM(BV86:BY86)</f>
        <v>25.992975734355053</v>
      </c>
      <c r="BZ89" s="3">
        <f t="shared" ref="BZ89" si="880">SUM(BW86:BZ86)</f>
        <v>26.171136653895282</v>
      </c>
      <c r="CA89" s="3">
        <f t="shared" ref="CA89" si="881">SUM(BX86:CA86)</f>
        <v>28.552362707535131</v>
      </c>
      <c r="CB89" s="3">
        <f t="shared" ref="CB89" si="882">SUM(BY86:CB86)</f>
        <v>31.075351213282254</v>
      </c>
      <c r="CC89" s="3">
        <f t="shared" ref="CC89" si="883">SUM(BZ86:CC86)</f>
        <v>32.829501915708818</v>
      </c>
      <c r="CD89" s="3">
        <f t="shared" ref="CD89" si="884">SUM(CA86:CD86)</f>
        <v>35.289910600255425</v>
      </c>
      <c r="CE89" s="3">
        <f t="shared" ref="CE89" si="885">SUM(CB86:CE86)</f>
        <v>37.493614303959134</v>
      </c>
      <c r="CF89" s="3">
        <f t="shared" ref="CF89" si="886">SUM(CC86:CF86)</f>
        <v>39.024904214559385</v>
      </c>
      <c r="CG89" s="3">
        <f t="shared" ref="CG89" si="887">SUM(CD86:CG86)</f>
        <v>40.871647509578537</v>
      </c>
      <c r="CH89" s="3">
        <f t="shared" ref="CH89:CL89" si="888">SUM(CE86:CH86)</f>
        <v>42.118773946360143</v>
      </c>
      <c r="CI89" s="3">
        <f t="shared" si="888"/>
        <v>43.750319284802039</v>
      </c>
      <c r="CJ89" s="3">
        <f t="shared" si="888"/>
        <v>45.873563218390814</v>
      </c>
      <c r="CK89" s="3">
        <f t="shared" si="888"/>
        <v>48.126035383357753</v>
      </c>
      <c r="CL89" s="3">
        <f t="shared" si="888"/>
        <v>46.827073476460093</v>
      </c>
      <c r="CM89" s="37">
        <f t="shared" ref="CM89" si="889">SUM(CJ86:CM86)</f>
        <v>47.224589888081127</v>
      </c>
      <c r="CN89" s="37">
        <f t="shared" ref="CN89" si="890">SUM(CK86:CN86)</f>
        <v>46.940204996637398</v>
      </c>
      <c r="CO89" s="37">
        <f t="shared" ref="CO89" si="891">SUM(CL86:CO86)</f>
        <v>46.930867913448559</v>
      </c>
      <c r="CP89" s="37">
        <f t="shared" ref="CP89" si="892">SUM(CM86:CP86)</f>
        <v>50.955397134087811</v>
      </c>
      <c r="CQ89" s="37">
        <f t="shared" ref="CQ89" si="893">SUM(CN86:CQ86)</f>
        <v>52.781455870045527</v>
      </c>
      <c r="CR89" s="37">
        <f t="shared" ref="CR89" si="894">SUM(CO86:CR86)</f>
        <v>54.811781099788817</v>
      </c>
      <c r="CS89" s="37">
        <f t="shared" ref="CS89" si="895">SUM(CP86:CS86)</f>
        <v>57.096319294695576</v>
      </c>
      <c r="CT89" s="37">
        <f t="shared" ref="CT89" si="896">SUM(CQ86:CT86)</f>
        <v>59.609583224946434</v>
      </c>
      <c r="CU89" s="37">
        <f t="shared" ref="CU89" si="897">SUM(CR86:CU86)</f>
        <v>62.226738624280038</v>
      </c>
      <c r="CV89" s="37">
        <f t="shared" ref="CV89" si="898">SUM(CS86:CV86)</f>
        <v>64.924493356511505</v>
      </c>
      <c r="CW89" s="37">
        <f t="shared" ref="CW89" si="899">SUM(CT86:CW86)</f>
        <v>67.692763352371713</v>
      </c>
      <c r="CX89" s="37">
        <f t="shared" ref="CX89" si="900">SUM(CU86:CX86)</f>
        <v>70.438151672432809</v>
      </c>
      <c r="CY89" s="37">
        <f t="shared" ref="CY89" si="901">SUM(CV86:CY86)</f>
        <v>73.501409711473713</v>
      </c>
      <c r="CZ89" s="37">
        <f t="shared" ref="CZ89" si="902">SUM(CW86:CZ86)</f>
        <v>76.603533261145301</v>
      </c>
      <c r="DA89" s="37">
        <f t="shared" ref="DA89" si="903">SUM(CX86:DA86)</f>
        <v>79.710912078595754</v>
      </c>
      <c r="DB89" s="37">
        <f t="shared" ref="DB89" si="904">SUM(CY86:DB86)</f>
        <v>82.758007464770699</v>
      </c>
      <c r="DE89" s="134"/>
      <c r="DF89" s="3">
        <v>41.0698505603985</v>
      </c>
    </row>
    <row r="90" spans="1:110" s="97" customFormat="1" x14ac:dyDescent="0.2">
      <c r="A90" s="97" t="s">
        <v>425</v>
      </c>
      <c r="C90" s="101">
        <f t="shared" ref="C90:AA90" si="905">+C89/B89-1</f>
        <v>0.35389349445890828</v>
      </c>
      <c r="D90" s="101">
        <f t="shared" si="905"/>
        <v>0.13446697806420982</v>
      </c>
      <c r="E90" s="101">
        <f t="shared" ca="1" si="905"/>
        <v>-0.89412372496631431</v>
      </c>
      <c r="F90" s="101">
        <f t="shared" ca="1" si="905"/>
        <v>0.14874581610553284</v>
      </c>
      <c r="G90" s="101">
        <f t="shared" ca="1" si="905"/>
        <v>0.20382793325197746</v>
      </c>
      <c r="H90" s="101">
        <f t="shared" ca="1" si="905"/>
        <v>-0.1147527446321096</v>
      </c>
      <c r="I90" s="101">
        <f t="shared" ca="1" si="905"/>
        <v>-0.27110902388657021</v>
      </c>
      <c r="J90" s="101">
        <f t="shared" ca="1" si="905"/>
        <v>-0.43271242089654927</v>
      </c>
      <c r="K90" s="101">
        <f t="shared" ca="1" si="905"/>
        <v>3.6189803848352931</v>
      </c>
      <c r="L90" s="101">
        <f t="shared" ca="1" si="905"/>
        <v>0.17322652304033692</v>
      </c>
      <c r="M90" s="101">
        <f t="shared" ca="1" si="905"/>
        <v>-1.5934704576464727</v>
      </c>
      <c r="N90" s="101">
        <f t="shared" ca="1" si="905"/>
        <v>-1.9608100671830906</v>
      </c>
      <c r="O90" s="101">
        <f t="shared" ca="1" si="905"/>
        <v>0.58596799510599107</v>
      </c>
      <c r="P90" s="101">
        <f t="shared" ca="1" si="905"/>
        <v>-0.20310756390292284</v>
      </c>
      <c r="Q90" s="101">
        <f t="shared" ca="1" si="905"/>
        <v>0.61890680851869084</v>
      </c>
      <c r="R90" s="101">
        <f t="shared" ca="1" si="905"/>
        <v>0.13236950657196433</v>
      </c>
      <c r="S90" s="101">
        <f t="shared" ca="1" si="905"/>
        <v>-0.24840339732058747</v>
      </c>
      <c r="T90" s="101">
        <f t="shared" ca="1" si="905"/>
        <v>0.39847507136356586</v>
      </c>
      <c r="U90" s="101">
        <f t="shared" ca="1" si="905"/>
        <v>0.45786165342491292</v>
      </c>
      <c r="V90" s="101">
        <f t="shared" ca="1" si="905"/>
        <v>0.58825813135465665</v>
      </c>
      <c r="W90" s="101">
        <f t="shared" ca="1" si="905"/>
        <v>-0.13975733742652319</v>
      </c>
      <c r="X90" s="101">
        <f t="shared" ca="1" si="905"/>
        <v>6.3520513684181212E-2</v>
      </c>
      <c r="Y90" s="101">
        <f t="shared" ca="1" si="905"/>
        <v>0.34841369281089407</v>
      </c>
      <c r="Z90" s="101">
        <f t="shared" ca="1" si="905"/>
        <v>0.19353713294915731</v>
      </c>
      <c r="AA90" s="101">
        <f t="shared" ca="1" si="905"/>
        <v>0.19353713294915731</v>
      </c>
      <c r="AB90" s="174">
        <f t="shared" ref="AB90" ca="1" si="906">+AB89/AA89-1</f>
        <v>0.11091398508558981</v>
      </c>
      <c r="AC90" s="174">
        <f t="shared" ref="AC90" ca="1" si="907">+AC89/AB89-1</f>
        <v>0.16983845829099042</v>
      </c>
      <c r="AD90" s="174">
        <f t="shared" ref="AD90" ca="1" si="908">+AD89/AC89-1</f>
        <v>0.18165818081000573</v>
      </c>
      <c r="AE90" s="174">
        <f t="shared" ref="AE90" ca="1" si="909">+AE89/AD89-1</f>
        <v>0.17490316681832319</v>
      </c>
      <c r="AL90" s="176"/>
      <c r="AM90" s="176"/>
      <c r="AN90" s="176"/>
      <c r="AO90" s="176"/>
      <c r="AP90" s="176">
        <f t="shared" ref="AP90:CL90" si="910">+IF(AL89&lt;0,1-AP89/AL89,AP89/AL89-1)</f>
        <v>0.69790553160497648</v>
      </c>
      <c r="AQ90" s="176">
        <f t="shared" si="910"/>
        <v>0.51467464164174603</v>
      </c>
      <c r="AR90" s="176">
        <f t="shared" si="910"/>
        <v>0.38008265314728584</v>
      </c>
      <c r="AS90" s="176">
        <f t="shared" si="910"/>
        <v>-0.20614299113830126</v>
      </c>
      <c r="AT90" s="176">
        <f t="shared" si="910"/>
        <v>-0.18557364346448435</v>
      </c>
      <c r="AU90" s="176">
        <f t="shared" si="910"/>
        <v>-0.12000435735780757</v>
      </c>
      <c r="AV90" s="176">
        <f t="shared" si="910"/>
        <v>-0.10579887281863221</v>
      </c>
      <c r="AW90" s="176">
        <f t="shared" si="910"/>
        <v>0.36143441611117022</v>
      </c>
      <c r="AX90" s="176">
        <f t="shared" si="910"/>
        <v>0.52229905367063734</v>
      </c>
      <c r="AY90" s="176">
        <f t="shared" si="910"/>
        <v>0.46550150094389364</v>
      </c>
      <c r="AZ90" s="176">
        <f t="shared" si="910"/>
        <v>0.46156474724540386</v>
      </c>
      <c r="BA90" s="176">
        <f t="shared" si="910"/>
        <v>0.17454324074014149</v>
      </c>
      <c r="BB90" s="176">
        <f t="shared" si="910"/>
        <v>-3.4798718764299408E-2</v>
      </c>
      <c r="BC90" s="176">
        <f t="shared" si="910"/>
        <v>-0.2425311082837518</v>
      </c>
      <c r="BD90" s="176">
        <f t="shared" si="910"/>
        <v>-0.22066066752566615</v>
      </c>
      <c r="BE90" s="176">
        <f t="shared" si="910"/>
        <v>-0.1834212833534602</v>
      </c>
      <c r="BF90" s="176">
        <f t="shared" si="910"/>
        <v>-0.25998751199657766</v>
      </c>
      <c r="BG90" s="176">
        <f t="shared" si="910"/>
        <v>6.8121467253046575E-2</v>
      </c>
      <c r="BH90" s="176">
        <f t="shared" si="910"/>
        <v>1.9053206311957727E-2</v>
      </c>
      <c r="BI90" s="176">
        <f t="shared" si="910"/>
        <v>0.14028725968843037</v>
      </c>
      <c r="BJ90" s="176">
        <f t="shared" si="910"/>
        <v>0.51147292514668297</v>
      </c>
      <c r="BK90" s="176">
        <f t="shared" si="910"/>
        <v>0.36928477745949517</v>
      </c>
      <c r="BL90" s="176">
        <f t="shared" si="910"/>
        <v>0.64950706206373132</v>
      </c>
      <c r="BM90" s="176">
        <f t="shared" si="910"/>
        <v>0.59041003411028958</v>
      </c>
      <c r="BN90" s="176">
        <f t="shared" si="910"/>
        <v>0.45787329942521526</v>
      </c>
      <c r="BO90" s="176">
        <f t="shared" si="910"/>
        <v>0.61766429827445646</v>
      </c>
      <c r="BP90" s="176">
        <f t="shared" si="910"/>
        <v>0.26778561286893909</v>
      </c>
      <c r="BQ90" s="176">
        <f t="shared" si="910"/>
        <v>0.51730878788217316</v>
      </c>
      <c r="BR90" s="176">
        <f t="shared" si="910"/>
        <v>0.58826928940669321</v>
      </c>
      <c r="BS90" s="176">
        <f t="shared" si="910"/>
        <v>0.31800319328820392</v>
      </c>
      <c r="BT90" s="176">
        <f t="shared" si="910"/>
        <v>0.47449180697111348</v>
      </c>
      <c r="BU90" s="176">
        <f t="shared" si="910"/>
        <v>-1.565916469730777E-2</v>
      </c>
      <c r="BV90" s="176">
        <f t="shared" si="910"/>
        <v>-0.13979886821515097</v>
      </c>
      <c r="BW90" s="176">
        <f t="shared" si="910"/>
        <v>-0.16966911929049799</v>
      </c>
      <c r="BX90" s="176">
        <f t="shared" si="910"/>
        <v>-0.18353881176817566</v>
      </c>
      <c r="BY90" s="176">
        <f t="shared" si="910"/>
        <v>1.4803845310038533E-2</v>
      </c>
      <c r="BZ90" s="176">
        <f t="shared" si="910"/>
        <v>6.3580214875175622E-2</v>
      </c>
      <c r="CA90" s="176">
        <f t="shared" si="910"/>
        <v>0.20358008075370204</v>
      </c>
      <c r="CB90" s="176">
        <f t="shared" si="910"/>
        <v>0.26455837642595492</v>
      </c>
      <c r="CC90" s="176">
        <f t="shared" si="910"/>
        <v>0.26301437169880826</v>
      </c>
      <c r="CD90" s="176">
        <f t="shared" si="910"/>
        <v>0.34842865508491072</v>
      </c>
      <c r="CE90" s="176">
        <f t="shared" si="910"/>
        <v>0.3131527743609237</v>
      </c>
      <c r="CF90" s="176">
        <f t="shared" si="910"/>
        <v>0.25581538714450081</v>
      </c>
      <c r="CG90" s="176">
        <f t="shared" si="910"/>
        <v>0.2449670304020537</v>
      </c>
      <c r="CH90" s="176">
        <f t="shared" si="910"/>
        <v>0.19350752750434252</v>
      </c>
      <c r="CI90" s="176">
        <f t="shared" si="910"/>
        <v>0.16687388231286704</v>
      </c>
      <c r="CJ90" s="176">
        <f t="shared" si="910"/>
        <v>0.17549457562220838</v>
      </c>
      <c r="CK90" s="176">
        <f t="shared" si="910"/>
        <v>0.17749193672897823</v>
      </c>
      <c r="CL90" s="176">
        <f t="shared" si="910"/>
        <v>0.11178624373292889</v>
      </c>
      <c r="CM90" s="102">
        <f t="shared" ref="CM90:DB90" si="911">+IF(CI89&lt;0,1-CM89/CI89,CM89/CI89-1)</f>
        <v>7.9411319964606042E-2</v>
      </c>
      <c r="CN90" s="102">
        <f t="shared" si="911"/>
        <v>2.3251775170997968E-2</v>
      </c>
      <c r="CO90" s="102">
        <f t="shared" si="911"/>
        <v>-2.483411443283956E-2</v>
      </c>
      <c r="CP90" s="102">
        <f t="shared" si="911"/>
        <v>8.8161043412269269E-2</v>
      </c>
      <c r="CQ90" s="102">
        <f t="shared" si="911"/>
        <v>0.11766890925117135</v>
      </c>
      <c r="CR90" s="102">
        <f t="shared" si="911"/>
        <v>0.16769368825115505</v>
      </c>
      <c r="CS90" s="102">
        <f t="shared" si="911"/>
        <v>0.21660480262147463</v>
      </c>
      <c r="CT90" s="102">
        <f t="shared" si="911"/>
        <v>0.16983845829099042</v>
      </c>
      <c r="CU90" s="102">
        <f t="shared" si="911"/>
        <v>0.17895078107526952</v>
      </c>
      <c r="CV90" s="102">
        <f t="shared" si="911"/>
        <v>0.18449888060217856</v>
      </c>
      <c r="CW90" s="102">
        <f t="shared" si="911"/>
        <v>0.18558891691395907</v>
      </c>
      <c r="CX90" s="102">
        <f t="shared" si="911"/>
        <v>0.18165818081000529</v>
      </c>
      <c r="CY90" s="102">
        <f t="shared" si="911"/>
        <v>0.18118691958563371</v>
      </c>
      <c r="CZ90" s="102">
        <f t="shared" si="911"/>
        <v>0.1798865004691248</v>
      </c>
      <c r="DA90" s="102">
        <f t="shared" si="911"/>
        <v>0.17753963837558362</v>
      </c>
      <c r="DB90" s="102">
        <f t="shared" si="911"/>
        <v>0.17490316681832363</v>
      </c>
      <c r="DE90" s="135"/>
      <c r="DF90" s="97">
        <v>0.19353713294915731</v>
      </c>
    </row>
    <row r="91" spans="1:110" s="144" customFormat="1" x14ac:dyDescent="0.2">
      <c r="A91" s="144" t="s">
        <v>424</v>
      </c>
      <c r="AB91" s="145"/>
      <c r="AC91" s="145"/>
      <c r="AD91" s="145"/>
      <c r="AE91" s="145"/>
      <c r="CM91" s="145"/>
      <c r="CN91" s="145"/>
      <c r="CO91" s="145"/>
      <c r="CP91" s="145">
        <v>59</v>
      </c>
      <c r="CQ91" s="145"/>
      <c r="CR91" s="145"/>
      <c r="CS91" s="145"/>
      <c r="CT91" s="145">
        <v>70.7</v>
      </c>
      <c r="CU91" s="145"/>
      <c r="CV91" s="145"/>
      <c r="CW91" s="145"/>
      <c r="CX91" s="145"/>
      <c r="CY91" s="145"/>
      <c r="CZ91" s="145"/>
      <c r="DA91" s="145"/>
      <c r="DB91" s="145"/>
      <c r="DE91" s="146"/>
    </row>
    <row r="92" spans="1:110" s="144" customFormat="1" x14ac:dyDescent="0.2">
      <c r="A92" s="144" t="s">
        <v>436</v>
      </c>
      <c r="AB92" s="145"/>
      <c r="AC92" s="145"/>
      <c r="AD92" s="145"/>
      <c r="AE92" s="145"/>
      <c r="CM92" s="145"/>
      <c r="CN92" s="145"/>
      <c r="CO92" s="145"/>
      <c r="CP92" s="145">
        <f>CP89/CP91-1</f>
        <v>-0.13634920111715576</v>
      </c>
      <c r="CQ92" s="145"/>
      <c r="CR92" s="145"/>
      <c r="CS92" s="145"/>
      <c r="CT92" s="145">
        <f>CT89/CT91-1</f>
        <v>-0.15686586669099811</v>
      </c>
      <c r="CU92" s="145"/>
      <c r="CV92" s="145"/>
      <c r="CW92" s="145"/>
      <c r="CX92" s="145"/>
      <c r="CY92" s="145"/>
      <c r="CZ92" s="145"/>
      <c r="DA92" s="145"/>
      <c r="DB92" s="145"/>
      <c r="DE92" s="146"/>
    </row>
    <row r="93" spans="1:110" s="3" customFormat="1" x14ac:dyDescent="0.2">
      <c r="A93" s="3" t="s">
        <v>34</v>
      </c>
      <c r="B93" s="3">
        <f>'Annual Raw'!C112</f>
        <v>59.52</v>
      </c>
      <c r="C93" s="3">
        <f>'Annual Raw'!D112</f>
        <v>59.26</v>
      </c>
      <c r="D93" s="3">
        <f>'Annual Raw'!E112</f>
        <v>59.22</v>
      </c>
      <c r="E93" s="3">
        <f>'Annual Raw'!F112</f>
        <v>59.1</v>
      </c>
      <c r="F93" s="3">
        <f>'Annual Raw'!G112</f>
        <v>59.08</v>
      </c>
      <c r="G93" s="3">
        <f>'Annual Raw'!H112</f>
        <v>58.85</v>
      </c>
      <c r="H93" s="3">
        <f>'Annual Raw'!I112</f>
        <v>55.47</v>
      </c>
      <c r="I93" s="3">
        <f>'Annual Raw'!J112</f>
        <v>55.47</v>
      </c>
      <c r="J93" s="3">
        <f>'Annual Raw'!K112</f>
        <v>55.58</v>
      </c>
      <c r="K93" s="3">
        <f>'Annual Raw'!L112</f>
        <v>55.56</v>
      </c>
      <c r="L93" s="3">
        <f>'Annual Raw'!M112</f>
        <v>55.44</v>
      </c>
      <c r="M93" s="3">
        <f>'Annual Raw'!N112</f>
        <v>55.87</v>
      </c>
      <c r="N93" s="3">
        <f>'Annual Raw'!O112</f>
        <v>55.87</v>
      </c>
      <c r="O93" s="3">
        <f>'Annual Raw'!P112</f>
        <v>55.85</v>
      </c>
      <c r="P93" s="3">
        <f>'Annual Raw'!Q112</f>
        <v>55.78</v>
      </c>
      <c r="Q93" s="3">
        <f>'Annual Raw'!R112</f>
        <v>55.77</v>
      </c>
      <c r="R93" s="3">
        <f>'Annual Raw'!S112</f>
        <v>55.76</v>
      </c>
      <c r="S93" s="3">
        <f>'Annual Raw'!T112</f>
        <v>55.84</v>
      </c>
      <c r="T93" s="3">
        <f>'Annual Raw'!U112</f>
        <v>56.02</v>
      </c>
      <c r="U93" s="3">
        <f>'Annual Raw'!V112</f>
        <v>55.91</v>
      </c>
      <c r="V93" s="3">
        <f>'Annual Raw'!W112</f>
        <v>55.91</v>
      </c>
      <c r="W93" s="3">
        <f>'Annual Raw'!X112</f>
        <v>54</v>
      </c>
      <c r="X93" s="3">
        <f>'Annual Raw'!Y112</f>
        <v>53.93</v>
      </c>
      <c r="Y93" s="3">
        <f>'Annual Raw'!Z112</f>
        <v>53.78</v>
      </c>
      <c r="Z93" s="3">
        <f>'Annual Raw'!AA112</f>
        <v>47.84</v>
      </c>
      <c r="AA93" s="3">
        <f>'Annual Raw'!AB112</f>
        <v>48.8</v>
      </c>
      <c r="AB93" s="37"/>
      <c r="AC93" s="37"/>
      <c r="AD93" s="37"/>
      <c r="AE93" s="37"/>
      <c r="AI93" s="3">
        <f>'QTR Raw'!C49</f>
        <v>55.87</v>
      </c>
      <c r="AJ93" s="3">
        <f>'QTR Raw'!D49</f>
        <v>55.87</v>
      </c>
      <c r="AK93" s="3">
        <f>'QTR Raw'!E49</f>
        <v>55.87</v>
      </c>
      <c r="AL93" s="3">
        <f>'QTR Raw'!F49</f>
        <v>55.87</v>
      </c>
      <c r="AM93" s="3">
        <f>'QTR Raw'!G49</f>
        <v>55.87</v>
      </c>
      <c r="AN93" s="3">
        <f>'QTR Raw'!H49</f>
        <v>55.87</v>
      </c>
      <c r="AO93" s="3">
        <f>'QTR Raw'!I49</f>
        <v>55.87</v>
      </c>
      <c r="AP93" s="3">
        <f>'QTR Raw'!J49</f>
        <v>55.85</v>
      </c>
      <c r="AQ93" s="3">
        <f>'QTR Raw'!K49</f>
        <v>55.82</v>
      </c>
      <c r="AR93" s="3">
        <f>'QTR Raw'!L49</f>
        <v>55.78</v>
      </c>
      <c r="AS93" s="3">
        <f>'QTR Raw'!M49</f>
        <v>55.78</v>
      </c>
      <c r="AT93" s="3">
        <f>'QTR Raw'!N49</f>
        <v>55.78</v>
      </c>
      <c r="AU93" s="3">
        <f>'QTR Raw'!O49</f>
        <v>55.78</v>
      </c>
      <c r="AV93" s="3">
        <f>'QTR Raw'!P49</f>
        <v>55.77</v>
      </c>
      <c r="AW93" s="3">
        <f>'QTR Raw'!Q49</f>
        <v>55.77</v>
      </c>
      <c r="AX93" s="3">
        <f>'QTR Raw'!R49</f>
        <v>55.77</v>
      </c>
      <c r="AY93" s="3">
        <f>'QTR Raw'!S49</f>
        <v>55.77</v>
      </c>
      <c r="AZ93" s="3">
        <f>'QTR Raw'!T49</f>
        <v>55.77</v>
      </c>
      <c r="BA93" s="3">
        <f>'QTR Raw'!U49</f>
        <v>55.76</v>
      </c>
      <c r="BB93" s="3">
        <f>'QTR Raw'!V49</f>
        <v>55.76</v>
      </c>
      <c r="BC93" s="3">
        <f>'QTR Raw'!W49</f>
        <v>55.76</v>
      </c>
      <c r="BD93" s="3">
        <f>'QTR Raw'!X49</f>
        <v>55.85</v>
      </c>
      <c r="BE93" s="3">
        <f>'QTR Raw'!Y49</f>
        <v>55.84</v>
      </c>
      <c r="BF93" s="3">
        <f>'QTR Raw'!Z49</f>
        <v>55.84</v>
      </c>
      <c r="BG93" s="3">
        <f>'QTR Raw'!AA49</f>
        <v>55.81</v>
      </c>
      <c r="BH93" s="3">
        <f>'QTR Raw'!AB49</f>
        <v>55.81</v>
      </c>
      <c r="BI93" s="3">
        <f>'QTR Raw'!AC49</f>
        <v>56.06</v>
      </c>
      <c r="BJ93" s="3">
        <f>'QTR Raw'!AD49</f>
        <v>56.02</v>
      </c>
      <c r="BK93" s="3">
        <f>'QTR Raw'!AE49</f>
        <v>56.02</v>
      </c>
      <c r="BL93" s="3">
        <f>'QTR Raw'!AF49</f>
        <v>56.02</v>
      </c>
      <c r="BM93" s="3">
        <f>'QTR Raw'!AG49</f>
        <v>55.68</v>
      </c>
      <c r="BN93" s="3">
        <f>'QTR Raw'!AH49</f>
        <v>55.91</v>
      </c>
      <c r="BO93" s="3">
        <f>'QTR Raw'!AI49</f>
        <v>55.91</v>
      </c>
      <c r="BP93" s="3">
        <f>'QTR Raw'!AJ49</f>
        <v>55.91</v>
      </c>
      <c r="BQ93" s="3">
        <f>'QTR Raw'!AK49</f>
        <v>55.91</v>
      </c>
      <c r="BR93" s="3">
        <f>'QTR Raw'!AL49</f>
        <v>55.91</v>
      </c>
      <c r="BS93" s="3">
        <f>'QTR Raw'!AM49</f>
        <v>55.91</v>
      </c>
      <c r="BT93" s="3">
        <f>'QTR Raw'!AN49</f>
        <v>55.91</v>
      </c>
      <c r="BU93" s="3">
        <f>'QTR Raw'!AO49</f>
        <v>54</v>
      </c>
      <c r="BV93" s="3">
        <f>'QTR Raw'!AP49</f>
        <v>54</v>
      </c>
      <c r="BW93" s="3">
        <f>'QTR Raw'!AQ49</f>
        <v>54</v>
      </c>
      <c r="BX93" s="3">
        <f>'QTR Raw'!AR49</f>
        <v>53.96</v>
      </c>
      <c r="BY93" s="3">
        <f>'QTR Raw'!AS49</f>
        <v>53.95</v>
      </c>
      <c r="BZ93" s="3">
        <f>'QTR Raw'!AT49</f>
        <v>53.93</v>
      </c>
      <c r="CA93" s="3">
        <f>'QTR Raw'!AU49</f>
        <v>53.91</v>
      </c>
      <c r="CB93" s="3">
        <f>'QTR Raw'!AV49</f>
        <v>53.86</v>
      </c>
      <c r="CC93" s="3">
        <f>'QTR Raw'!AW49</f>
        <v>53.83</v>
      </c>
      <c r="CD93" s="3">
        <f>'QTR Raw'!AX49</f>
        <v>53.78</v>
      </c>
      <c r="CE93" s="3">
        <f>'QTR Raw'!AY49</f>
        <v>53.77</v>
      </c>
      <c r="CF93" s="3">
        <f>'QTR Raw'!AZ49</f>
        <v>53.74</v>
      </c>
      <c r="CG93" s="3">
        <f>'QTR Raw'!BA49</f>
        <v>53.66</v>
      </c>
      <c r="CH93" s="3">
        <f>'QTR Raw'!BB49</f>
        <v>47.84</v>
      </c>
      <c r="CI93" s="3">
        <f>'QTR Raw'!BC49</f>
        <v>47.73</v>
      </c>
      <c r="CJ93" s="3">
        <f>'QTR Raw'!BD49</f>
        <v>47.56</v>
      </c>
      <c r="CK93" s="3">
        <f>'QTR Raw'!BE49</f>
        <v>47.55</v>
      </c>
      <c r="CL93" s="3">
        <f>'QTR Raw'!BF49</f>
        <v>48.8</v>
      </c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E93" s="134"/>
      <c r="DF93" s="3">
        <v>48.8</v>
      </c>
    </row>
    <row r="94" spans="1:110" s="3" customFormat="1" x14ac:dyDescent="0.2">
      <c r="A94" s="3" t="s">
        <v>35</v>
      </c>
      <c r="B94" s="3">
        <f>'Annual Raw'!C113</f>
        <v>0</v>
      </c>
      <c r="C94" s="3">
        <f>'Annual Raw'!D113</f>
        <v>0</v>
      </c>
      <c r="D94" s="3">
        <f>'Annual Raw'!E113</f>
        <v>0</v>
      </c>
      <c r="E94" s="3">
        <f>'Annual Raw'!F113</f>
        <v>0</v>
      </c>
      <c r="F94" s="3">
        <f>'Annual Raw'!G113</f>
        <v>0</v>
      </c>
      <c r="G94" s="3">
        <f>'Annual Raw'!H113</f>
        <v>0</v>
      </c>
      <c r="H94" s="3">
        <f>'Annual Raw'!I113</f>
        <v>0</v>
      </c>
      <c r="I94" s="3">
        <f>'Annual Raw'!J113</f>
        <v>0</v>
      </c>
      <c r="J94" s="3">
        <f>'Annual Raw'!K113</f>
        <v>0</v>
      </c>
      <c r="K94" s="3">
        <f>'Annual Raw'!L113</f>
        <v>0</v>
      </c>
      <c r="L94" s="3">
        <f>'Annual Raw'!M113</f>
        <v>0</v>
      </c>
      <c r="M94" s="3">
        <f>'Annual Raw'!N113</f>
        <v>0</v>
      </c>
      <c r="N94" s="3">
        <f>'Annual Raw'!O113</f>
        <v>0</v>
      </c>
      <c r="O94" s="3">
        <f>'Annual Raw'!P113</f>
        <v>0</v>
      </c>
      <c r="P94" s="3">
        <f>'Annual Raw'!Q113</f>
        <v>0</v>
      </c>
      <c r="Q94" s="3">
        <f>'Annual Raw'!R113</f>
        <v>0</v>
      </c>
      <c r="R94" s="3">
        <f>'Annual Raw'!S113</f>
        <v>0</v>
      </c>
      <c r="S94" s="3">
        <f>'Annual Raw'!T113</f>
        <v>0</v>
      </c>
      <c r="T94" s="3">
        <f>'Annual Raw'!U113</f>
        <v>0</v>
      </c>
      <c r="U94" s="3">
        <f>'Annual Raw'!V113</f>
        <v>0</v>
      </c>
      <c r="V94" s="3">
        <f>'Annual Raw'!W113</f>
        <v>0</v>
      </c>
      <c r="W94" s="3">
        <f>'Annual Raw'!X113</f>
        <v>0</v>
      </c>
      <c r="X94" s="3">
        <f>'Annual Raw'!Y113</f>
        <v>0</v>
      </c>
      <c r="Y94" s="3">
        <f>'Annual Raw'!Z113</f>
        <v>0</v>
      </c>
      <c r="Z94" s="3">
        <f>'Annual Raw'!AA113</f>
        <v>0</v>
      </c>
      <c r="AA94" s="3">
        <f>'Annual Raw'!AB113</f>
        <v>0</v>
      </c>
      <c r="AB94" s="37"/>
      <c r="AC94" s="37"/>
      <c r="AD94" s="37"/>
      <c r="AE94" s="37"/>
      <c r="AI94" s="3">
        <f>'QTR Raw'!C50</f>
        <v>0</v>
      </c>
      <c r="AJ94" s="3">
        <f>'QTR Raw'!D50</f>
        <v>0</v>
      </c>
      <c r="AK94" s="3">
        <f>'QTR Raw'!E50</f>
        <v>0</v>
      </c>
      <c r="AL94" s="3">
        <f>'QTR Raw'!F50</f>
        <v>0</v>
      </c>
      <c r="AM94" s="3">
        <f>'QTR Raw'!G50</f>
        <v>0</v>
      </c>
      <c r="AN94" s="3">
        <f>'QTR Raw'!H50</f>
        <v>0</v>
      </c>
      <c r="AO94" s="3">
        <f>'QTR Raw'!I50</f>
        <v>0</v>
      </c>
      <c r="AP94" s="3">
        <f>'QTR Raw'!J50</f>
        <v>0</v>
      </c>
      <c r="AQ94" s="3">
        <f>'QTR Raw'!K50</f>
        <v>0</v>
      </c>
      <c r="AR94" s="3">
        <f>'QTR Raw'!L50</f>
        <v>0</v>
      </c>
      <c r="AS94" s="3">
        <f>'QTR Raw'!M50</f>
        <v>0</v>
      </c>
      <c r="AT94" s="3">
        <f>'QTR Raw'!N50</f>
        <v>0</v>
      </c>
      <c r="AU94" s="3">
        <f>'QTR Raw'!O50</f>
        <v>0</v>
      </c>
      <c r="AV94" s="3">
        <f>'QTR Raw'!P50</f>
        <v>0</v>
      </c>
      <c r="AW94" s="3">
        <f>'QTR Raw'!Q50</f>
        <v>0</v>
      </c>
      <c r="AX94" s="3">
        <f>'QTR Raw'!R50</f>
        <v>0</v>
      </c>
      <c r="AY94" s="3">
        <f>'QTR Raw'!S50</f>
        <v>0</v>
      </c>
      <c r="AZ94" s="3">
        <f>'QTR Raw'!T50</f>
        <v>0</v>
      </c>
      <c r="BA94" s="3">
        <f>'QTR Raw'!U50</f>
        <v>0</v>
      </c>
      <c r="BB94" s="3">
        <f>'QTR Raw'!V50</f>
        <v>0</v>
      </c>
      <c r="BC94" s="3">
        <f>'QTR Raw'!W50</f>
        <v>0</v>
      </c>
      <c r="BD94" s="3">
        <f>'QTR Raw'!X50</f>
        <v>0</v>
      </c>
      <c r="BE94" s="3">
        <f>'QTR Raw'!Y50</f>
        <v>0</v>
      </c>
      <c r="BF94" s="3">
        <f>'QTR Raw'!Z50</f>
        <v>0</v>
      </c>
      <c r="BG94" s="3">
        <f>'QTR Raw'!AA50</f>
        <v>0</v>
      </c>
      <c r="BH94" s="3">
        <f>'QTR Raw'!AB50</f>
        <v>0</v>
      </c>
      <c r="BI94" s="3">
        <f>'QTR Raw'!AC50</f>
        <v>0</v>
      </c>
      <c r="BJ94" s="3">
        <f>'QTR Raw'!AD50</f>
        <v>0</v>
      </c>
      <c r="BK94" s="3">
        <f>'QTR Raw'!AE50</f>
        <v>0</v>
      </c>
      <c r="BL94" s="3">
        <f>'QTR Raw'!AF50</f>
        <v>0</v>
      </c>
      <c r="BM94" s="3">
        <f>'QTR Raw'!AG50</f>
        <v>0</v>
      </c>
      <c r="BN94" s="3">
        <f>'QTR Raw'!AH50</f>
        <v>0</v>
      </c>
      <c r="BO94" s="3">
        <f>'QTR Raw'!AI50</f>
        <v>0</v>
      </c>
      <c r="BP94" s="3">
        <f>'QTR Raw'!AJ50</f>
        <v>0</v>
      </c>
      <c r="BQ94" s="3">
        <f>'QTR Raw'!AK50</f>
        <v>0</v>
      </c>
      <c r="BR94" s="3">
        <f>'QTR Raw'!AL50</f>
        <v>0</v>
      </c>
      <c r="BS94" s="3">
        <f>'QTR Raw'!AM50</f>
        <v>0</v>
      </c>
      <c r="BT94" s="3">
        <f>'QTR Raw'!AN50</f>
        <v>0</v>
      </c>
      <c r="BU94" s="3">
        <f>'QTR Raw'!AO50</f>
        <v>0</v>
      </c>
      <c r="BV94" s="3">
        <f>'QTR Raw'!AP50</f>
        <v>0</v>
      </c>
      <c r="BW94" s="3">
        <f>'QTR Raw'!AQ50</f>
        <v>0</v>
      </c>
      <c r="BX94" s="3">
        <f>'QTR Raw'!AR50</f>
        <v>0</v>
      </c>
      <c r="BY94" s="3">
        <f>'QTR Raw'!AS50</f>
        <v>0</v>
      </c>
      <c r="BZ94" s="3">
        <f>'QTR Raw'!AT50</f>
        <v>0</v>
      </c>
      <c r="CA94" s="3">
        <f>'QTR Raw'!AU50</f>
        <v>0</v>
      </c>
      <c r="CB94" s="3">
        <f>'QTR Raw'!AV50</f>
        <v>0</v>
      </c>
      <c r="CC94" s="3">
        <f>'QTR Raw'!AW50</f>
        <v>0</v>
      </c>
      <c r="CD94" s="3">
        <f>'QTR Raw'!AX50</f>
        <v>0</v>
      </c>
      <c r="CE94" s="3">
        <f>'QTR Raw'!AY50</f>
        <v>0</v>
      </c>
      <c r="CF94" s="3">
        <f>'QTR Raw'!AZ50</f>
        <v>0</v>
      </c>
      <c r="CG94" s="3">
        <f>'QTR Raw'!BA50</f>
        <v>0</v>
      </c>
      <c r="CH94" s="3">
        <f>'QTR Raw'!BB50</f>
        <v>0</v>
      </c>
      <c r="CI94" s="3">
        <f>'QTR Raw'!BC50</f>
        <v>0</v>
      </c>
      <c r="CJ94" s="3">
        <f>'QTR Raw'!BD50</f>
        <v>0</v>
      </c>
      <c r="CK94" s="3">
        <f>'QTR Raw'!BE50</f>
        <v>0</v>
      </c>
      <c r="CL94" s="3">
        <f>'QTR Raw'!BF50</f>
        <v>0</v>
      </c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E94" s="134"/>
      <c r="DF94" s="3">
        <v>0</v>
      </c>
    </row>
    <row r="95" spans="1:110" s="3" customFormat="1" x14ac:dyDescent="0.2">
      <c r="AB95" s="37"/>
      <c r="AC95" s="37"/>
      <c r="AD95" s="37"/>
      <c r="AE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E95" s="134"/>
    </row>
    <row r="96" spans="1:110" s="13" customFormat="1" x14ac:dyDescent="0.2">
      <c r="A96" s="13" t="s">
        <v>36</v>
      </c>
      <c r="AB96" s="37"/>
      <c r="AC96" s="37"/>
      <c r="AD96" s="37"/>
      <c r="AE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E96" s="134"/>
    </row>
    <row r="97" spans="1:110" s="13" customFormat="1" x14ac:dyDescent="0.2">
      <c r="A97" s="13" t="s">
        <v>457</v>
      </c>
      <c r="B97" s="13">
        <f>'Annual Raw'!C106</f>
        <v>8.2249999999999996</v>
      </c>
      <c r="C97" s="13">
        <f>'Annual Raw'!D106</f>
        <v>15.4</v>
      </c>
      <c r="D97" s="13">
        <f>'Annual Raw'!E106</f>
        <v>14.98</v>
      </c>
      <c r="E97" s="13">
        <f>'Annual Raw'!F106</f>
        <v>31.135000000000002</v>
      </c>
      <c r="F97" s="13">
        <f>'Annual Raw'!G106</f>
        <v>41.35</v>
      </c>
      <c r="G97" s="13">
        <f>'Annual Raw'!H106</f>
        <v>58.25</v>
      </c>
      <c r="H97" s="13">
        <f>'Annual Raw'!I106</f>
        <v>39.35</v>
      </c>
      <c r="I97" s="13">
        <f>'Annual Raw'!J106</f>
        <v>24.95</v>
      </c>
      <c r="J97" s="13">
        <f>'Annual Raw'!K106</f>
        <v>18.375</v>
      </c>
      <c r="K97" s="13">
        <f>'Annual Raw'!L106</f>
        <v>35.4</v>
      </c>
      <c r="L97" s="13">
        <f>'Annual Raw'!M106</f>
        <v>66.400000000000006</v>
      </c>
      <c r="M97" s="13">
        <f>'Annual Raw'!N106</f>
        <v>30.55</v>
      </c>
      <c r="N97" s="13">
        <f>'Annual Raw'!O106</f>
        <v>36.774999999999999</v>
      </c>
      <c r="O97" s="13">
        <f>'Annual Raw'!P106</f>
        <v>64.174999999999997</v>
      </c>
      <c r="P97" s="13">
        <f>'Annual Raw'!Q106</f>
        <v>100.05</v>
      </c>
      <c r="Q97" s="13">
        <f>'Annual Raw'!R106</f>
        <v>124.7</v>
      </c>
      <c r="R97" s="13">
        <f>'Annual Raw'!S106</f>
        <v>173.5</v>
      </c>
      <c r="S97" s="13">
        <f>'Annual Raw'!T106</f>
        <v>154.6</v>
      </c>
      <c r="T97" s="13">
        <f>'Annual Raw'!U106</f>
        <v>179.8</v>
      </c>
      <c r="U97" s="13">
        <f>'Annual Raw'!V106</f>
        <v>254.17500000000001</v>
      </c>
      <c r="V97" s="13">
        <f>'Annual Raw'!W106</f>
        <v>626.79999999999995</v>
      </c>
      <c r="W97" s="13">
        <f>'Annual Raw'!X106</f>
        <v>787.6</v>
      </c>
      <c r="X97" s="13">
        <f>'Annual Raw'!Y106</f>
        <v>985.45</v>
      </c>
      <c r="Y97" s="13">
        <f>'Annual Raw'!Z106</f>
        <v>1649.45</v>
      </c>
      <c r="Z97" s="13">
        <f>'Annual Raw'!AA106</f>
        <v>1622.2</v>
      </c>
      <c r="AA97" s="13">
        <f>'Annual Raw'!AB106</f>
        <v>2063.1999999999998</v>
      </c>
      <c r="AB97" s="37">
        <f>+CP97</f>
        <v>2063.1999999999998</v>
      </c>
      <c r="AC97" s="37">
        <f>+CT97</f>
        <v>2063.1999999999998</v>
      </c>
      <c r="AD97" s="37">
        <f>+CX97</f>
        <v>2063.1999999999998</v>
      </c>
      <c r="AE97" s="37">
        <f>+DB97</f>
        <v>2063.1999999999998</v>
      </c>
      <c r="AJ97" s="13">
        <f>'QTR Share Price'!HP21</f>
        <v>36.9</v>
      </c>
      <c r="AK97" s="13">
        <f>'QTR Share Price'!HQ21</f>
        <v>46.7</v>
      </c>
      <c r="AL97" s="13">
        <f>'QTR Share Price'!HR21</f>
        <v>36.774999999999999</v>
      </c>
      <c r="AM97" s="13">
        <f>'QTR Share Price'!HS21</f>
        <v>38.325000000000003</v>
      </c>
      <c r="AN97" s="13">
        <f>'QTR Share Price'!HT21</f>
        <v>42.5</v>
      </c>
      <c r="AO97" s="13">
        <f>'QTR Share Price'!HU21</f>
        <v>64.625</v>
      </c>
      <c r="AP97" s="13">
        <f>'QTR Share Price'!HV21</f>
        <v>64.174999999999997</v>
      </c>
      <c r="AQ97" s="13">
        <f>'QTR Share Price'!HW21</f>
        <v>78.075000000000003</v>
      </c>
      <c r="AR97" s="13">
        <f>'QTR Share Price'!HX21</f>
        <v>111.925</v>
      </c>
      <c r="AS97" s="13">
        <f>'QTR Share Price'!HY21</f>
        <v>100.72499999999999</v>
      </c>
      <c r="AT97" s="13">
        <f>'QTR Share Price'!HZ21</f>
        <v>100.05</v>
      </c>
      <c r="AU97" s="13">
        <f>'QTR Share Price'!IA21</f>
        <v>118.27500000000001</v>
      </c>
      <c r="AV97" s="13">
        <f>'QTR Share Price'!IB21</f>
        <v>138.52500000000001</v>
      </c>
      <c r="AW97" s="13">
        <f>'QTR Share Price'!IC21</f>
        <v>139.52500000000001</v>
      </c>
      <c r="AX97" s="13">
        <f>'QTR Share Price'!ID21</f>
        <v>124.7</v>
      </c>
      <c r="AY97" s="13">
        <f>'QTR Share Price'!IE21</f>
        <v>125.22499999999999</v>
      </c>
      <c r="AZ97" s="13">
        <f>'QTR Share Price'!IF21</f>
        <v>178.05</v>
      </c>
      <c r="BA97" s="13">
        <f>'QTR Share Price'!IG21</f>
        <v>175.27500000000001</v>
      </c>
      <c r="BB97" s="13">
        <f>'QTR Share Price'!IH21</f>
        <v>173.5</v>
      </c>
      <c r="BC97" s="13">
        <f>'QTR Share Price'!II21</f>
        <v>156.57499999999999</v>
      </c>
      <c r="BD97" s="13">
        <f>'QTR Share Price'!IJ21</f>
        <v>139.94999999999999</v>
      </c>
      <c r="BE97" s="13">
        <f>'QTR Share Price'!IK21</f>
        <v>166.95</v>
      </c>
      <c r="BF97" s="13">
        <f>'QTR Share Price'!IL21</f>
        <v>154.6</v>
      </c>
      <c r="BG97" s="13">
        <f>'QTR Share Price'!IM21</f>
        <v>129.05000000000001</v>
      </c>
      <c r="BH97" s="13">
        <f>'QTR Share Price'!IN21</f>
        <v>146.30000000000001</v>
      </c>
      <c r="BI97" s="13">
        <f>'QTR Share Price'!IO21</f>
        <v>153.125</v>
      </c>
      <c r="BJ97" s="13">
        <f>'QTR Share Price'!IP21</f>
        <v>179.8</v>
      </c>
      <c r="BK97" s="13">
        <f>'QTR Share Price'!IQ21</f>
        <v>182.07499999999999</v>
      </c>
      <c r="BL97" s="13">
        <f>'QTR Share Price'!IR21</f>
        <v>185.3</v>
      </c>
      <c r="BM97" s="13">
        <f>'QTR Share Price'!IS21</f>
        <v>212.9</v>
      </c>
      <c r="BN97" s="13">
        <f>'QTR Share Price'!IT21</f>
        <v>254.17500000000001</v>
      </c>
      <c r="BO97" s="13">
        <f>'QTR Share Price'!IU21</f>
        <v>353.6</v>
      </c>
      <c r="BP97" s="13">
        <f>'QTR Share Price'!IV21</f>
        <v>493.75</v>
      </c>
      <c r="BQ97" s="13">
        <f>'QTR Share Price'!IW21</f>
        <v>508.57499999999999</v>
      </c>
      <c r="BR97" s="13">
        <f>'QTR Share Price'!IX21</f>
        <v>626.79999999999995</v>
      </c>
      <c r="BS97" s="13">
        <f>'QTR Share Price'!IY21</f>
        <v>831.5</v>
      </c>
      <c r="BT97" s="13">
        <f>'QTR Share Price'!IZ21</f>
        <v>932.55</v>
      </c>
      <c r="BU97" s="13">
        <f>'QTR Share Price'!JA21</f>
        <v>888.8</v>
      </c>
      <c r="BV97" s="13">
        <f>'QTR Share Price'!JB21</f>
        <v>787.6</v>
      </c>
      <c r="BW97" s="13">
        <f>'QTR Share Price'!JC21</f>
        <v>784.35</v>
      </c>
      <c r="BX97" s="13">
        <f>'QTR Share Price'!JD21</f>
        <v>958.65</v>
      </c>
      <c r="BY97" s="13">
        <f>'QTR Share Price'!JE21</f>
        <v>971.67499999999995</v>
      </c>
      <c r="BZ97" s="13">
        <f>'QTR Share Price'!JF21</f>
        <v>985.45</v>
      </c>
      <c r="CA97" s="13">
        <f>'QTR Share Price'!JG21</f>
        <v>1183.1500000000001</v>
      </c>
      <c r="CB97" s="13">
        <f>'QTR Share Price'!JH21</f>
        <v>1483.65</v>
      </c>
      <c r="CC97" s="13">
        <f>'QTR Share Price'!JI21</f>
        <v>1624.4</v>
      </c>
      <c r="CD97" s="13">
        <f>'QTR Share Price'!JJ21</f>
        <v>1649.45</v>
      </c>
      <c r="CE97" s="13">
        <f>'QTR Share Price'!JK21</f>
        <v>1756.05</v>
      </c>
      <c r="CF97" s="13">
        <f>'QTR Share Price'!JL21</f>
        <v>1875.45</v>
      </c>
      <c r="CG97" s="13">
        <f>'QTR Share Price'!JM21</f>
        <v>1844.7</v>
      </c>
      <c r="CH97" s="13">
        <f>'QTR Share Price'!JN21</f>
        <v>1622.2</v>
      </c>
      <c r="CI97" s="13">
        <f>'QTR Share Price'!JO21</f>
        <v>1679.8</v>
      </c>
      <c r="CJ97" s="13">
        <f>'QTR Share Price'!JP21</f>
        <v>1707.9</v>
      </c>
      <c r="CK97" s="13">
        <f>'QTR Share Price'!JQ21</f>
        <v>1820.45</v>
      </c>
      <c r="CL97" s="13">
        <f>'QTR Share Price'!JR21</f>
        <v>2063.1999999999998</v>
      </c>
      <c r="CM97" s="37">
        <f t="shared" ref="CM97" si="912">+CL97</f>
        <v>2063.1999999999998</v>
      </c>
      <c r="CN97" s="37">
        <f t="shared" ref="CN97" si="913">+CM97</f>
        <v>2063.1999999999998</v>
      </c>
      <c r="CO97" s="37">
        <f t="shared" ref="CO97" si="914">+CN97</f>
        <v>2063.1999999999998</v>
      </c>
      <c r="CP97" s="37">
        <f t="shared" ref="CP97" si="915">+CO97</f>
        <v>2063.1999999999998</v>
      </c>
      <c r="CQ97" s="37">
        <f t="shared" ref="CQ97" si="916">+CP97</f>
        <v>2063.1999999999998</v>
      </c>
      <c r="CR97" s="37">
        <f t="shared" ref="CR97" si="917">+CQ97</f>
        <v>2063.1999999999998</v>
      </c>
      <c r="CS97" s="37">
        <f t="shared" ref="CS97" si="918">+CR97</f>
        <v>2063.1999999999998</v>
      </c>
      <c r="CT97" s="37">
        <f t="shared" ref="CT97" si="919">+CS97</f>
        <v>2063.1999999999998</v>
      </c>
      <c r="CU97" s="37">
        <f t="shared" ref="CU97" si="920">+CT97</f>
        <v>2063.1999999999998</v>
      </c>
      <c r="CV97" s="37">
        <f t="shared" ref="CV97" si="921">+CU97</f>
        <v>2063.1999999999998</v>
      </c>
      <c r="CW97" s="37">
        <f t="shared" ref="CW97" si="922">+CV97</f>
        <v>2063.1999999999998</v>
      </c>
      <c r="CX97" s="37">
        <f t="shared" ref="CX97" si="923">+CW97</f>
        <v>2063.1999999999998</v>
      </c>
      <c r="CY97" s="37">
        <f t="shared" ref="CY97" si="924">+CX97</f>
        <v>2063.1999999999998</v>
      </c>
      <c r="CZ97" s="37">
        <f t="shared" ref="CZ97" si="925">+CY97</f>
        <v>2063.1999999999998</v>
      </c>
      <c r="DA97" s="37">
        <f t="shared" ref="DA97" si="926">+CZ97</f>
        <v>2063.1999999999998</v>
      </c>
      <c r="DB97" s="37">
        <f t="shared" ref="DB97" si="927">+DA97</f>
        <v>2063.1999999999998</v>
      </c>
      <c r="DE97" s="134"/>
      <c r="DF97" s="13">
        <v>2063.1999999999998</v>
      </c>
    </row>
    <row r="98" spans="1:110" s="13" customFormat="1" x14ac:dyDescent="0.2">
      <c r="A98" s="13" t="s">
        <v>458</v>
      </c>
      <c r="B98" s="13">
        <f>'Annual Raw'!C107</f>
        <v>13.85</v>
      </c>
      <c r="C98" s="13">
        <f>'Annual Raw'!D107</f>
        <v>16.795000000000002</v>
      </c>
      <c r="D98" s="13">
        <f>'Annual Raw'!E107</f>
        <v>24.8</v>
      </c>
      <c r="E98" s="13">
        <f>'Annual Raw'!F107</f>
        <v>40.9</v>
      </c>
      <c r="F98" s="13">
        <f>'Annual Raw'!G107</f>
        <v>51.8</v>
      </c>
      <c r="G98" s="13">
        <f>'Annual Raw'!H107</f>
        <v>69.75</v>
      </c>
      <c r="H98" s="13">
        <f>'Annual Raw'!I107</f>
        <v>63.95</v>
      </c>
      <c r="I98" s="13">
        <f>'Annual Raw'!J107</f>
        <v>50.85</v>
      </c>
      <c r="J98" s="13">
        <f>'Annual Raw'!K107</f>
        <v>29.1</v>
      </c>
      <c r="K98" s="13">
        <f>'Annual Raw'!L107</f>
        <v>39.85</v>
      </c>
      <c r="L98" s="13">
        <f>'Annual Raw'!M107</f>
        <v>74.224999999999994</v>
      </c>
      <c r="M98" s="13">
        <f>'Annual Raw'!N107</f>
        <v>92.5</v>
      </c>
      <c r="N98" s="13">
        <f>'Annual Raw'!O107</f>
        <v>48.2</v>
      </c>
      <c r="O98" s="13">
        <f>'Annual Raw'!P107</f>
        <v>70.75</v>
      </c>
      <c r="P98" s="13">
        <f>'Annual Raw'!Q107</f>
        <v>128.72499999999999</v>
      </c>
      <c r="Q98" s="13">
        <f>'Annual Raw'!R107</f>
        <v>159.02500000000001</v>
      </c>
      <c r="R98" s="13">
        <f>'Annual Raw'!S107</f>
        <v>201.8</v>
      </c>
      <c r="S98" s="13">
        <f>'Annual Raw'!T107</f>
        <v>181.52500000000001</v>
      </c>
      <c r="T98" s="13">
        <f>'Annual Raw'!U107</f>
        <v>181.57499999999999</v>
      </c>
      <c r="U98" s="13">
        <f>'Annual Raw'!V107</f>
        <v>299.5</v>
      </c>
      <c r="V98" s="13">
        <f>'Annual Raw'!W107</f>
        <v>658.95</v>
      </c>
      <c r="W98" s="13">
        <f>'Annual Raw'!X107</f>
        <v>992.375</v>
      </c>
      <c r="X98" s="13">
        <f>'Annual Raw'!Y107</f>
        <v>1074.95</v>
      </c>
      <c r="Y98" s="13">
        <f>'Annual Raw'!Z107</f>
        <v>1935</v>
      </c>
      <c r="Z98" s="13">
        <f>'Annual Raw'!AA107</f>
        <v>2029</v>
      </c>
      <c r="AA98" s="13">
        <f>'Annual Raw'!AB107</f>
        <v>2195</v>
      </c>
      <c r="AB98" s="37">
        <f>+MAX(CM98:CP98)</f>
        <v>2388.5134902899308</v>
      </c>
      <c r="AC98" s="37">
        <f>+MAX(CQ98:CT98)</f>
        <v>2794.174939088005</v>
      </c>
      <c r="AD98" s="37">
        <f>+MAX(CU98:CX98)</f>
        <v>3301.7596753876392</v>
      </c>
      <c r="AE98" s="37">
        <f>+MAX(CY98:DB98)</f>
        <v>3879.2478986859774</v>
      </c>
      <c r="AJ98" s="13">
        <f>'QTR Share Price'!HP19</f>
        <v>38.975000000000001</v>
      </c>
      <c r="AK98" s="13">
        <f>'QTR Share Price'!HQ19</f>
        <v>48.2</v>
      </c>
      <c r="AL98" s="13">
        <f>'QTR Share Price'!HR19</f>
        <v>48</v>
      </c>
      <c r="AM98" s="13">
        <f>'QTR Share Price'!HS19</f>
        <v>43.674999999999997</v>
      </c>
      <c r="AN98" s="13">
        <f>'QTR Share Price'!HT19</f>
        <v>44.5</v>
      </c>
      <c r="AO98" s="13">
        <f>'QTR Share Price'!HU19</f>
        <v>67.900000000000006</v>
      </c>
      <c r="AP98" s="13">
        <f>'QTR Share Price'!HV19</f>
        <v>70.75</v>
      </c>
      <c r="AQ98" s="13">
        <f>'QTR Share Price'!HW19</f>
        <v>83.3</v>
      </c>
      <c r="AR98" s="13">
        <f>'QTR Share Price'!HX19</f>
        <v>128.72499999999999</v>
      </c>
      <c r="AS98" s="13">
        <f>'QTR Share Price'!HY19</f>
        <v>118.5</v>
      </c>
      <c r="AT98" s="13">
        <f>'QTR Share Price'!HZ19</f>
        <v>112.2</v>
      </c>
      <c r="AU98" s="13">
        <f>'QTR Share Price'!IA19</f>
        <v>134</v>
      </c>
      <c r="AV98" s="13">
        <f>'QTR Share Price'!IB19</f>
        <v>148.69999999999999</v>
      </c>
      <c r="AW98" s="13">
        <f>'QTR Share Price'!IC19</f>
        <v>159.02500000000001</v>
      </c>
      <c r="AX98" s="13">
        <f>'QTR Share Price'!ID19</f>
        <v>144.19999999999999</v>
      </c>
      <c r="AY98" s="13">
        <f>'QTR Share Price'!IE19</f>
        <v>133.25</v>
      </c>
      <c r="AZ98" s="13">
        <f>'QTR Share Price'!IF19</f>
        <v>198</v>
      </c>
      <c r="BA98" s="13">
        <f>'QTR Share Price'!IG19</f>
        <v>201.8</v>
      </c>
      <c r="BB98" s="13">
        <f>'QTR Share Price'!IH19</f>
        <v>183.82499999999999</v>
      </c>
      <c r="BC98" s="13">
        <f>'QTR Share Price'!II19</f>
        <v>181.52500000000001</v>
      </c>
      <c r="BD98" s="13">
        <f>'QTR Share Price'!IJ19</f>
        <v>168.5</v>
      </c>
      <c r="BE98" s="13">
        <f>'QTR Share Price'!IK19</f>
        <v>170.375</v>
      </c>
      <c r="BF98" s="13">
        <f>'QTR Share Price'!IL19</f>
        <v>172</v>
      </c>
      <c r="BG98" s="13">
        <f>'QTR Share Price'!IM19</f>
        <v>167.75</v>
      </c>
      <c r="BH98" s="13">
        <f>'QTR Share Price'!IN19</f>
        <v>175.5</v>
      </c>
      <c r="BI98" s="13">
        <f>'QTR Share Price'!IO19</f>
        <v>159.97499999999999</v>
      </c>
      <c r="BJ98" s="13">
        <f>'QTR Share Price'!IP19</f>
        <v>181.57499999999999</v>
      </c>
      <c r="BK98" s="13">
        <f>'QTR Share Price'!IQ19</f>
        <v>203.55</v>
      </c>
      <c r="BL98" s="13">
        <f>'QTR Share Price'!IR19</f>
        <v>205.5</v>
      </c>
      <c r="BM98" s="13">
        <f>'QTR Share Price'!IS19</f>
        <v>217.5</v>
      </c>
      <c r="BN98" s="13">
        <f>'QTR Share Price'!IT19</f>
        <v>299.5</v>
      </c>
      <c r="BO98" s="13">
        <f>'QTR Share Price'!IU19</f>
        <v>371.5</v>
      </c>
      <c r="BP98" s="13">
        <f>'QTR Share Price'!IV19</f>
        <v>575</v>
      </c>
      <c r="BQ98" s="13">
        <f>'QTR Share Price'!IW19</f>
        <v>546.29999999999995</v>
      </c>
      <c r="BR98" s="13">
        <f>'QTR Share Price'!IX19</f>
        <v>658.95</v>
      </c>
      <c r="BS98" s="13">
        <f>'QTR Share Price'!IY19</f>
        <v>841.22500000000002</v>
      </c>
      <c r="BT98" s="13">
        <f>'QTR Share Price'!IZ19</f>
        <v>992.375</v>
      </c>
      <c r="BU98" s="13">
        <f>'QTR Share Price'!JA19</f>
        <v>954.4</v>
      </c>
      <c r="BV98" s="13">
        <f>'QTR Share Price'!JB19</f>
        <v>936.5</v>
      </c>
      <c r="BW98" s="13">
        <f>'QTR Share Price'!JC19</f>
        <v>893.9</v>
      </c>
      <c r="BX98" s="13">
        <f>'QTR Share Price'!JD19</f>
        <v>1022.9</v>
      </c>
      <c r="BY98" s="13">
        <f>'QTR Share Price'!JE19</f>
        <v>1074.95</v>
      </c>
      <c r="BZ98" s="13">
        <f>'QTR Share Price'!JF19</f>
        <v>1042.075</v>
      </c>
      <c r="CA98" s="13">
        <f>'QTR Share Price'!JG19</f>
        <v>1220.0250000000001</v>
      </c>
      <c r="CB98" s="13">
        <f>'QTR Share Price'!JH19</f>
        <v>1524.575</v>
      </c>
      <c r="CC98" s="13">
        <f>'QTR Share Price'!JI19</f>
        <v>1639.8</v>
      </c>
      <c r="CD98" s="13">
        <f>'QTR Share Price'!JJ19</f>
        <v>1935</v>
      </c>
      <c r="CE98" s="13">
        <f>'QTR Share Price'!JK19</f>
        <v>1925</v>
      </c>
      <c r="CF98" s="13">
        <f>'QTR Share Price'!JL19</f>
        <v>2029</v>
      </c>
      <c r="CG98" s="13">
        <f>'QTR Share Price'!JM19</f>
        <v>1998</v>
      </c>
      <c r="CH98" s="13">
        <f>'QTR Share Price'!JN19</f>
        <v>1916.85</v>
      </c>
      <c r="CI98" s="13">
        <f>'QTR Share Price'!JO19</f>
        <v>1849.95</v>
      </c>
      <c r="CJ98" s="13">
        <f>'QTR Share Price'!JP19</f>
        <v>1812.65</v>
      </c>
      <c r="CK98" s="13">
        <f>'QTR Share Price'!JQ19</f>
        <v>1844.45</v>
      </c>
      <c r="CL98" s="13">
        <f>'QTR Share Price'!JR19</f>
        <v>2195</v>
      </c>
      <c r="CM98" s="37">
        <f t="shared" ref="CM98:DB98" si="928">+CM89*CM106</f>
        <v>2213.6334199156563</v>
      </c>
      <c r="CN98" s="37">
        <f t="shared" si="928"/>
        <v>2200.3029939381972</v>
      </c>
      <c r="CO98" s="37">
        <f t="shared" si="928"/>
        <v>2199.8653219660246</v>
      </c>
      <c r="CP98" s="37">
        <f t="shared" si="928"/>
        <v>2388.5134902899308</v>
      </c>
      <c r="CQ98" s="37">
        <f t="shared" si="928"/>
        <v>2474.1092499190713</v>
      </c>
      <c r="CR98" s="37">
        <f t="shared" si="928"/>
        <v>2569.2799182617523</v>
      </c>
      <c r="CS98" s="37">
        <f t="shared" si="928"/>
        <v>2676.366715824302</v>
      </c>
      <c r="CT98" s="37">
        <f t="shared" si="928"/>
        <v>2794.174939088005</v>
      </c>
      <c r="CU98" s="37">
        <f t="shared" si="928"/>
        <v>2916.8530326576383</v>
      </c>
      <c r="CV98" s="37">
        <f t="shared" si="928"/>
        <v>3043.3091871347024</v>
      </c>
      <c r="CW98" s="37">
        <f t="shared" si="928"/>
        <v>3173.070715878704</v>
      </c>
      <c r="CX98" s="37">
        <f t="shared" si="928"/>
        <v>3301.7596753876392</v>
      </c>
      <c r="CY98" s="37">
        <f t="shared" si="928"/>
        <v>3445.3486485288895</v>
      </c>
      <c r="CZ98" s="37">
        <f t="shared" si="928"/>
        <v>3590.7594266539008</v>
      </c>
      <c r="DA98" s="37">
        <f t="shared" si="928"/>
        <v>3736.4165433159637</v>
      </c>
      <c r="DB98" s="37">
        <f t="shared" si="928"/>
        <v>3879.2478986859774</v>
      </c>
      <c r="DE98" s="134"/>
      <c r="DF98" s="13">
        <v>2195</v>
      </c>
    </row>
    <row r="99" spans="1:110" s="13" customFormat="1" x14ac:dyDescent="0.2">
      <c r="A99" s="13" t="s">
        <v>459</v>
      </c>
      <c r="B99" s="13">
        <f>'Annual Raw'!C108</f>
        <v>8.18</v>
      </c>
      <c r="C99" s="13">
        <f>'Annual Raw'!D108</f>
        <v>7.5</v>
      </c>
      <c r="D99" s="13">
        <f>'Annual Raw'!E108</f>
        <v>14.824999999999999</v>
      </c>
      <c r="E99" s="13">
        <f>'Annual Raw'!F108</f>
        <v>14.815</v>
      </c>
      <c r="F99" s="13">
        <f>'Annual Raw'!G108</f>
        <v>25</v>
      </c>
      <c r="G99" s="13">
        <f>'Annual Raw'!H108</f>
        <v>35.200000000000003</v>
      </c>
      <c r="H99" s="13">
        <f>'Annual Raw'!I108</f>
        <v>37.1</v>
      </c>
      <c r="I99" s="13">
        <f>'Annual Raw'!J108</f>
        <v>15.9</v>
      </c>
      <c r="J99" s="13">
        <f>'Annual Raw'!K108</f>
        <v>13.55</v>
      </c>
      <c r="K99" s="13">
        <f>'Annual Raw'!L108</f>
        <v>18.25</v>
      </c>
      <c r="L99" s="13">
        <f>'Annual Raw'!M108</f>
        <v>35.950000000000003</v>
      </c>
      <c r="M99" s="13">
        <f>'Annual Raw'!N108</f>
        <v>29</v>
      </c>
      <c r="N99" s="13">
        <f>'Annual Raw'!O108</f>
        <v>29.5</v>
      </c>
      <c r="O99" s="13">
        <f>'Annual Raw'!P108</f>
        <v>36.4</v>
      </c>
      <c r="P99" s="13">
        <f>'Annual Raw'!Q108</f>
        <v>64.375</v>
      </c>
      <c r="Q99" s="13">
        <f>'Annual Raw'!R108</f>
        <v>99.75</v>
      </c>
      <c r="R99" s="13">
        <f>'Annual Raw'!S108</f>
        <v>115.5</v>
      </c>
      <c r="S99" s="13">
        <f>'Annual Raw'!T108</f>
        <v>127.5</v>
      </c>
      <c r="T99" s="13">
        <f>'Annual Raw'!U108</f>
        <v>118</v>
      </c>
      <c r="U99" s="13">
        <f>'Annual Raw'!V108</f>
        <v>153.5</v>
      </c>
      <c r="V99" s="13">
        <f>'Annual Raw'!W108</f>
        <v>221.5</v>
      </c>
      <c r="W99" s="13">
        <f>'Annual Raw'!X108</f>
        <v>603.17499999999995</v>
      </c>
      <c r="X99" s="13">
        <f>'Annual Raw'!Y108</f>
        <v>669.52499999999998</v>
      </c>
      <c r="Y99" s="13">
        <f>'Annual Raw'!Z108</f>
        <v>914.65</v>
      </c>
      <c r="Z99" s="13">
        <f>'Annual Raw'!AA108</f>
        <v>1434.85</v>
      </c>
      <c r="AA99" s="13">
        <f>'Annual Raw'!AB108</f>
        <v>1303</v>
      </c>
      <c r="AB99" s="37">
        <f>+MIN(CM99:CP99)</f>
        <v>1780.9889158996466</v>
      </c>
      <c r="AC99" s="37">
        <f>+MIN(CQ99:CT99)</f>
        <v>2003.0140512841394</v>
      </c>
      <c r="AD99" s="37">
        <f>+MIN(CU99:CX99)</f>
        <v>2361.4549802661759</v>
      </c>
      <c r="AE99" s="37">
        <f>+MIN(CY99:DB99)</f>
        <v>2789.3197338807577</v>
      </c>
      <c r="AJ99" s="13">
        <f>+'QTR Share Price'!HP20</f>
        <v>31.5</v>
      </c>
      <c r="AK99" s="13">
        <f>+'QTR Share Price'!HQ20</f>
        <v>33.6</v>
      </c>
      <c r="AL99" s="13">
        <f>+'QTR Share Price'!HR20</f>
        <v>35.15</v>
      </c>
      <c r="AM99" s="13">
        <f>+'QTR Share Price'!HS20</f>
        <v>36.5</v>
      </c>
      <c r="AN99" s="13">
        <f>+'QTR Share Price'!HT20</f>
        <v>36.4</v>
      </c>
      <c r="AO99" s="13">
        <f>+'QTR Share Price'!HU20</f>
        <v>42.325000000000003</v>
      </c>
      <c r="AP99" s="13">
        <f>+'QTR Share Price'!HV20</f>
        <v>57.55</v>
      </c>
      <c r="AQ99" s="13">
        <f>+'QTR Share Price'!HW20</f>
        <v>64.375</v>
      </c>
      <c r="AR99" s="13">
        <f>+'QTR Share Price'!HX20</f>
        <v>74.2</v>
      </c>
      <c r="AS99" s="13">
        <f>+'QTR Share Price'!HY20</f>
        <v>93.5</v>
      </c>
      <c r="AT99" s="13">
        <f>+'QTR Share Price'!HZ20</f>
        <v>90</v>
      </c>
      <c r="AU99" s="13">
        <f>+'QTR Share Price'!IA20</f>
        <v>99.75</v>
      </c>
      <c r="AV99" s="13">
        <f>+'QTR Share Price'!IB20</f>
        <v>117</v>
      </c>
      <c r="AW99" s="13">
        <f>+'QTR Share Price'!IC20</f>
        <v>126</v>
      </c>
      <c r="AX99" s="13">
        <f>+'QTR Share Price'!ID20</f>
        <v>114.15</v>
      </c>
      <c r="AY99" s="13">
        <f>+'QTR Share Price'!IE20</f>
        <v>115.5</v>
      </c>
      <c r="AZ99" s="13">
        <f>+'QTR Share Price'!IF20</f>
        <v>124.05</v>
      </c>
      <c r="BA99" s="13">
        <f>+'QTR Share Price'!IG20</f>
        <v>154</v>
      </c>
      <c r="BB99" s="13">
        <f>+'QTR Share Price'!IH20</f>
        <v>157.55000000000001</v>
      </c>
      <c r="BC99" s="13">
        <f>+'QTR Share Price'!II20</f>
        <v>156</v>
      </c>
      <c r="BD99" s="13">
        <f>+'QTR Share Price'!IJ20</f>
        <v>127.5</v>
      </c>
      <c r="BE99" s="13">
        <f>+'QTR Share Price'!IK20</f>
        <v>133.875</v>
      </c>
      <c r="BF99" s="13">
        <f>+'QTR Share Price'!IL20</f>
        <v>140.32499999999999</v>
      </c>
      <c r="BG99" s="13">
        <f>+'QTR Share Price'!IM20</f>
        <v>126</v>
      </c>
      <c r="BH99" s="13">
        <f>+'QTR Share Price'!IN20</f>
        <v>118</v>
      </c>
      <c r="BI99" s="13">
        <f>+'QTR Share Price'!IO20</f>
        <v>140.25</v>
      </c>
      <c r="BJ99" s="13">
        <f>+'QTR Share Price'!IP20</f>
        <v>148.4</v>
      </c>
      <c r="BK99" s="13">
        <f>+'QTR Share Price'!IQ20</f>
        <v>153.5</v>
      </c>
      <c r="BL99" s="13">
        <f>+'QTR Share Price'!IR20</f>
        <v>175</v>
      </c>
      <c r="BM99" s="13">
        <f>+'QTR Share Price'!IS20</f>
        <v>160.85</v>
      </c>
      <c r="BN99" s="13">
        <f>+'QTR Share Price'!IT20</f>
        <v>212.27500000000001</v>
      </c>
      <c r="BO99" s="13">
        <f>+'QTR Share Price'!IU20</f>
        <v>221.5</v>
      </c>
      <c r="BP99" s="13">
        <f>+'QTR Share Price'!IV20</f>
        <v>348.67500000000001</v>
      </c>
      <c r="BQ99" s="13">
        <f>+'QTR Share Price'!IW20</f>
        <v>446.3</v>
      </c>
      <c r="BR99" s="13">
        <f>+'QTR Share Price'!IX20</f>
        <v>478.5</v>
      </c>
      <c r="BS99" s="13">
        <f>+'QTR Share Price'!IY20</f>
        <v>603.17499999999995</v>
      </c>
      <c r="BT99" s="13">
        <f>+'QTR Share Price'!IZ20</f>
        <v>817.05</v>
      </c>
      <c r="BU99" s="13">
        <f>+'QTR Share Price'!JA20</f>
        <v>716</v>
      </c>
      <c r="BV99" s="13">
        <f>+'QTR Share Price'!JB20</f>
        <v>742.5</v>
      </c>
      <c r="BW99" s="13">
        <f>+'QTR Share Price'!JC20</f>
        <v>669.52499999999998</v>
      </c>
      <c r="BX99" s="13">
        <f>+'QTR Share Price'!JD20</f>
        <v>773.625</v>
      </c>
      <c r="BY99" s="13">
        <f>+'QTR Share Price'!JE20</f>
        <v>936.77499999999998</v>
      </c>
      <c r="BZ99" s="13">
        <f>+'QTR Share Price'!JF20</f>
        <v>948.75</v>
      </c>
      <c r="CA99" s="13">
        <f>+'QTR Share Price'!JG20</f>
        <v>914.65</v>
      </c>
      <c r="CB99" s="13">
        <f>+'QTR Share Price'!JH20</f>
        <v>1132.4000000000001</v>
      </c>
      <c r="CC99" s="13">
        <f>+'QTR Share Price'!JI20</f>
        <v>1246.05</v>
      </c>
      <c r="CD99" s="13">
        <f>+'QTR Share Price'!JJ20</f>
        <v>1473.95</v>
      </c>
      <c r="CE99" s="13">
        <f>+'QTR Share Price'!JK20</f>
        <v>1646.8</v>
      </c>
      <c r="CF99" s="13">
        <f>+'QTR Share Price'!JL20</f>
        <v>1693.75</v>
      </c>
      <c r="CG99" s="13">
        <f>+'QTR Share Price'!JM20</f>
        <v>1655.1</v>
      </c>
      <c r="CH99" s="13">
        <f>+'QTR Share Price'!JN20</f>
        <v>1434.85</v>
      </c>
      <c r="CI99" s="13">
        <f>+'QTR Share Price'!JO20</f>
        <v>1303</v>
      </c>
      <c r="CJ99" s="13">
        <f>+'QTR Share Price'!JP20</f>
        <v>1604</v>
      </c>
      <c r="CK99" s="13">
        <f>+'QTR Share Price'!JQ20</f>
        <v>1603.05</v>
      </c>
      <c r="CL99" s="13">
        <f>+'QTR Share Price'!JR20</f>
        <v>1777.05</v>
      </c>
      <c r="CM99" s="37">
        <f t="shared" ref="CM99:DB99" si="929">+CM107*CM89</f>
        <v>1792.1354300050646</v>
      </c>
      <c r="CN99" s="37">
        <f t="shared" si="929"/>
        <v>1781.343250741628</v>
      </c>
      <c r="CO99" s="37">
        <f t="shared" si="929"/>
        <v>1780.9889158996466</v>
      </c>
      <c r="CP99" s="37">
        <f t="shared" si="929"/>
        <v>1933.7165821957731</v>
      </c>
      <c r="CQ99" s="37">
        <f t="shared" si="929"/>
        <v>2003.0140512841394</v>
      </c>
      <c r="CR99" s="37">
        <f t="shared" si="929"/>
        <v>2080.0632704997934</v>
      </c>
      <c r="CS99" s="37">
        <f t="shared" si="929"/>
        <v>2166.7596684991236</v>
      </c>
      <c r="CT99" s="37">
        <f t="shared" si="929"/>
        <v>2262.1360252876261</v>
      </c>
      <c r="CU99" s="37">
        <f t="shared" si="929"/>
        <v>2361.4549802661759</v>
      </c>
      <c r="CV99" s="37">
        <f t="shared" si="929"/>
        <v>2463.8326154887122</v>
      </c>
      <c r="CW99" s="37">
        <f t="shared" si="929"/>
        <v>2568.8862485887248</v>
      </c>
      <c r="CX99" s="37">
        <f t="shared" si="929"/>
        <v>2673.0715403861523</v>
      </c>
      <c r="CY99" s="37">
        <f t="shared" si="929"/>
        <v>2789.3197338807577</v>
      </c>
      <c r="CZ99" s="37">
        <f t="shared" si="929"/>
        <v>2907.0428424306674</v>
      </c>
      <c r="DA99" s="37">
        <f t="shared" si="929"/>
        <v>3024.9653841911772</v>
      </c>
      <c r="DB99" s="37">
        <f t="shared" si="929"/>
        <v>3140.6002179316247</v>
      </c>
      <c r="DE99" s="134"/>
      <c r="DF99" s="13">
        <v>1303</v>
      </c>
    </row>
    <row r="100" spans="1:110" s="14" customFormat="1" x14ac:dyDescent="0.2">
      <c r="AB100" s="16"/>
      <c r="AC100" s="16"/>
      <c r="AD100" s="16"/>
      <c r="AE100" s="16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E100" s="134"/>
    </row>
    <row r="101" spans="1:110" s="51" customFormat="1" x14ac:dyDescent="0.2">
      <c r="A101" s="51" t="s">
        <v>346</v>
      </c>
      <c r="AB101" s="48">
        <f t="shared" ref="AB101:AD101" si="930">+AB98/AB97-1</f>
        <v>0.15767423918666679</v>
      </c>
      <c r="AC101" s="48">
        <f t="shared" si="930"/>
        <v>0.35429184717332562</v>
      </c>
      <c r="AD101" s="48">
        <f t="shared" si="930"/>
        <v>0.60031004041665348</v>
      </c>
      <c r="AE101" s="48">
        <f t="shared" ref="AE101" si="931">+AE98/AE97-1</f>
        <v>0.88020933437668569</v>
      </c>
      <c r="CM101" s="48">
        <f t="shared" ref="CM101:DB101" si="932">+CM98/CM97-1</f>
        <v>7.2912669598515167E-2</v>
      </c>
      <c r="CN101" s="48">
        <f t="shared" si="932"/>
        <v>6.6451625600134401E-2</v>
      </c>
      <c r="CO101" s="48">
        <f t="shared" si="932"/>
        <v>6.6239493004083272E-2</v>
      </c>
      <c r="CP101" s="48">
        <f t="shared" si="932"/>
        <v>0.15767423918666679</v>
      </c>
      <c r="CQ101" s="48">
        <f t="shared" si="932"/>
        <v>0.19916113315193473</v>
      </c>
      <c r="CR101" s="48">
        <f t="shared" si="932"/>
        <v>0.24528883203846097</v>
      </c>
      <c r="CS101" s="48">
        <f t="shared" si="932"/>
        <v>0.29719208793345397</v>
      </c>
      <c r="CT101" s="48">
        <f t="shared" si="932"/>
        <v>0.35429184717332562</v>
      </c>
      <c r="CU101" s="48">
        <f t="shared" si="932"/>
        <v>0.41375195456457869</v>
      </c>
      <c r="CV101" s="48">
        <f t="shared" si="932"/>
        <v>0.4750432275759513</v>
      </c>
      <c r="CW101" s="48">
        <f t="shared" si="932"/>
        <v>0.53793656256238087</v>
      </c>
      <c r="CX101" s="48">
        <f t="shared" si="932"/>
        <v>0.60031004041665348</v>
      </c>
      <c r="CY101" s="48">
        <f t="shared" si="932"/>
        <v>0.66990531627030325</v>
      </c>
      <c r="CZ101" s="48">
        <f t="shared" si="932"/>
        <v>0.74038359182527191</v>
      </c>
      <c r="DA101" s="48">
        <f t="shared" si="932"/>
        <v>0.81098126372429435</v>
      </c>
      <c r="DB101" s="48">
        <f t="shared" si="932"/>
        <v>0.88020933437668569</v>
      </c>
      <c r="DE101" s="129"/>
    </row>
    <row r="102" spans="1:110" s="51" customFormat="1" x14ac:dyDescent="0.2">
      <c r="A102" s="51" t="s">
        <v>347</v>
      </c>
      <c r="AB102" s="48">
        <f t="shared" ref="AB102:AD102" si="933">+AB99/AB97-1</f>
        <v>-0.1367831931467397</v>
      </c>
      <c r="AC102" s="48">
        <f t="shared" si="933"/>
        <v>-2.9171165527268506E-2</v>
      </c>
      <c r="AD102" s="48">
        <f t="shared" si="933"/>
        <v>0.14455941269202022</v>
      </c>
      <c r="AE102" s="48">
        <f t="shared" ref="AE102" si="934">+AE99/AE97-1</f>
        <v>0.35193860696042933</v>
      </c>
      <c r="CM102" s="48">
        <f t="shared" ref="CM102:DB102" si="935">+CM99/CM97-1</f>
        <v>-0.13138065625966233</v>
      </c>
      <c r="CN102" s="48">
        <f t="shared" si="935"/>
        <v>-0.1366114527231348</v>
      </c>
      <c r="CO102" s="48">
        <f t="shared" si="935"/>
        <v>-0.1367831931467397</v>
      </c>
      <c r="CP102" s="48">
        <f t="shared" si="935"/>
        <v>-6.275853906757789E-2</v>
      </c>
      <c r="CQ102" s="48">
        <f t="shared" si="935"/>
        <v>-2.9171165527268506E-2</v>
      </c>
      <c r="CR102" s="48">
        <f t="shared" si="935"/>
        <v>8.1733571635291824E-3</v>
      </c>
      <c r="CS102" s="48">
        <f t="shared" si="935"/>
        <v>5.0193712921250411E-2</v>
      </c>
      <c r="CT102" s="48">
        <f t="shared" si="935"/>
        <v>9.6421105703579979E-2</v>
      </c>
      <c r="CU102" s="48">
        <f t="shared" si="935"/>
        <v>0.14455941269202022</v>
      </c>
      <c r="CV102" s="48">
        <f t="shared" si="935"/>
        <v>0.19418021301314092</v>
      </c>
      <c r="CW102" s="48">
        <f t="shared" si="935"/>
        <v>0.24509802665215452</v>
      </c>
      <c r="CX102" s="48">
        <f t="shared" si="935"/>
        <v>0.29559496916738692</v>
      </c>
      <c r="CY102" s="48">
        <f t="shared" si="935"/>
        <v>0.35193860696042933</v>
      </c>
      <c r="CZ102" s="48">
        <f t="shared" si="935"/>
        <v>0.4089971124615488</v>
      </c>
      <c r="DA102" s="48">
        <f t="shared" si="935"/>
        <v>0.46615228004613107</v>
      </c>
      <c r="DB102" s="48">
        <f t="shared" si="935"/>
        <v>0.52219863218865115</v>
      </c>
      <c r="DE102" s="129"/>
    </row>
    <row r="103" spans="1:110" s="14" customFormat="1" x14ac:dyDescent="0.2">
      <c r="AB103" s="16"/>
      <c r="AC103" s="16"/>
      <c r="AD103" s="16"/>
      <c r="AE103" s="16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E103" s="134"/>
    </row>
    <row r="104" spans="1:110" s="13" customFormat="1" x14ac:dyDescent="0.2">
      <c r="A104" s="13" t="s">
        <v>40</v>
      </c>
      <c r="AB104" s="37"/>
      <c r="AC104" s="37"/>
      <c r="AD104" s="37"/>
      <c r="AE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E104" s="134"/>
    </row>
    <row r="105" spans="1:110" s="13" customFormat="1" x14ac:dyDescent="0.2">
      <c r="A105" s="13" t="s">
        <v>460</v>
      </c>
      <c r="B105" s="13">
        <f t="shared" ref="B105:D105" si="936">+B97/B89</f>
        <v>0.4229395010614691</v>
      </c>
      <c r="C105" s="13">
        <f t="shared" si="936"/>
        <v>0.58489587890971384</v>
      </c>
      <c r="D105" s="13">
        <f t="shared" si="936"/>
        <v>0.50150791880437207</v>
      </c>
      <c r="E105" s="13">
        <f t="shared" ref="E105:AE105" ca="1" si="937">+E97/E89</f>
        <v>9.8450108289033267</v>
      </c>
      <c r="F105" s="13">
        <f t="shared" ca="1" si="937"/>
        <v>11.382008336646965</v>
      </c>
      <c r="G105" s="13">
        <f t="shared" ca="1" si="937"/>
        <v>13.319100589289709</v>
      </c>
      <c r="H105" s="13">
        <f t="shared" ca="1" si="937"/>
        <v>10.163870357623045</v>
      </c>
      <c r="I105" s="13">
        <f t="shared" ca="1" si="937"/>
        <v>8.8414268188277276</v>
      </c>
      <c r="J105" s="13">
        <f t="shared" ca="1" si="937"/>
        <v>11.47825528885984</v>
      </c>
      <c r="K105" s="13">
        <f t="shared" ca="1" si="937"/>
        <v>4.7874657060140153</v>
      </c>
      <c r="L105" s="13">
        <f t="shared" ca="1" si="937"/>
        <v>7.6540028724474052</v>
      </c>
      <c r="M105" s="13">
        <f t="shared" ca="1" si="937"/>
        <v>-5.9337965398593564</v>
      </c>
      <c r="N105" s="13">
        <f t="shared" ca="1" si="937"/>
        <v>7.4342399246765876</v>
      </c>
      <c r="O105" s="13">
        <f t="shared" ca="1" si="937"/>
        <v>8.1800385409672387</v>
      </c>
      <c r="P105" s="13">
        <f t="shared" ca="1" si="937"/>
        <v>16.00320103261685</v>
      </c>
      <c r="Q105" s="13">
        <f t="shared" ca="1" si="937"/>
        <v>12.320671315592753</v>
      </c>
      <c r="R105" s="13">
        <f t="shared" ca="1" si="937"/>
        <v>15.138374043192886</v>
      </c>
      <c r="S105" s="13">
        <f t="shared" ca="1" si="937"/>
        <v>17.947519497126308</v>
      </c>
      <c r="T105" s="13">
        <f t="shared" ca="1" si="937"/>
        <v>14.92553483474901</v>
      </c>
      <c r="U105" s="13">
        <f t="shared" ca="1" si="937"/>
        <v>14.472939094215116</v>
      </c>
      <c r="V105" s="13">
        <f t="shared" ca="1" si="937"/>
        <v>22.471486522565673</v>
      </c>
      <c r="W105" s="13">
        <f t="shared" ca="1" si="937"/>
        <v>32.823700803461939</v>
      </c>
      <c r="X105" s="13">
        <f t="shared" ca="1" si="937"/>
        <v>38.61629117048178</v>
      </c>
      <c r="Y105" s="13">
        <f t="shared" ca="1" si="937"/>
        <v>47.93491568828064</v>
      </c>
      <c r="Z105" s="13">
        <f t="shared" ref="Z105:AA105" ca="1" si="938">+Z97/Z89</f>
        <v>39.498561057930957</v>
      </c>
      <c r="AA105" s="13">
        <f t="shared" ca="1" si="938"/>
        <v>39.498561057930957</v>
      </c>
      <c r="AB105" s="37">
        <f t="shared" ca="1" si="937"/>
        <v>40.490313412154222</v>
      </c>
      <c r="AC105" s="37">
        <f t="shared" ca="1" si="937"/>
        <v>34.611884337694164</v>
      </c>
      <c r="AD105" s="37">
        <f t="shared" ca="1" si="937"/>
        <v>29.29094462323134</v>
      </c>
      <c r="AE105" s="37">
        <f t="shared" ca="1" si="937"/>
        <v>24.930518063503214</v>
      </c>
      <c r="AL105" s="13">
        <f t="shared" ref="AL105:BQ105" si="939">+AL97/AL89</f>
        <v>6.7649860799492538</v>
      </c>
      <c r="AM105" s="13">
        <f t="shared" si="939"/>
        <v>6.1892286274105421</v>
      </c>
      <c r="AN105" s="13">
        <f t="shared" si="939"/>
        <v>6.2369390222188894</v>
      </c>
      <c r="AO105" s="13">
        <f t="shared" si="939"/>
        <v>7.0839516456440474</v>
      </c>
      <c r="AP105" s="13">
        <f t="shared" si="939"/>
        <v>6.9529095550743367</v>
      </c>
      <c r="AQ105" s="13">
        <f t="shared" si="939"/>
        <v>8.3242861422404957</v>
      </c>
      <c r="AR105" s="13">
        <f t="shared" si="939"/>
        <v>11.901578732939496</v>
      </c>
      <c r="AS105" s="13">
        <f t="shared" si="939"/>
        <v>13.908171093006029</v>
      </c>
      <c r="AT105" s="13">
        <f t="shared" si="939"/>
        <v>13.309629793234679</v>
      </c>
      <c r="AU105" s="13">
        <f t="shared" si="939"/>
        <v>14.33004131464117</v>
      </c>
      <c r="AV105" s="13">
        <f t="shared" si="939"/>
        <v>16.472913455186074</v>
      </c>
      <c r="AW105" s="13">
        <f t="shared" si="939"/>
        <v>14.151030096565476</v>
      </c>
      <c r="AX105" s="13">
        <f t="shared" si="939"/>
        <v>10.897210968627576</v>
      </c>
      <c r="AY105" s="13">
        <f t="shared" si="939"/>
        <v>10.352834192979579</v>
      </c>
      <c r="AZ105" s="13">
        <f t="shared" si="939"/>
        <v>14.48659025728417</v>
      </c>
      <c r="BA105" s="13">
        <f t="shared" si="939"/>
        <v>15.135159054440777</v>
      </c>
      <c r="BB105" s="13">
        <f t="shared" si="939"/>
        <v>15.708347305250733</v>
      </c>
      <c r="BC105" s="13">
        <f t="shared" si="939"/>
        <v>17.089361509349786</v>
      </c>
      <c r="BD105" s="13">
        <f t="shared" si="939"/>
        <v>14.610682595449358</v>
      </c>
      <c r="BE105" s="13">
        <f t="shared" si="939"/>
        <v>17.654498308449643</v>
      </c>
      <c r="BF105" s="13">
        <f t="shared" si="939"/>
        <v>18.914787065321839</v>
      </c>
      <c r="BG105" s="13">
        <f t="shared" si="939"/>
        <v>13.186841366890047</v>
      </c>
      <c r="BH105" s="13">
        <f t="shared" si="939"/>
        <v>14.988047808764939</v>
      </c>
      <c r="BI105" s="13">
        <f t="shared" si="939"/>
        <v>14.200406836270608</v>
      </c>
      <c r="BJ105" s="13">
        <f t="shared" si="939"/>
        <v>14.553963528098249</v>
      </c>
      <c r="BK105" s="13">
        <f t="shared" si="939"/>
        <v>13.587492315830104</v>
      </c>
      <c r="BL105" s="13">
        <f t="shared" si="939"/>
        <v>11.508586431455294</v>
      </c>
      <c r="BM105" s="13">
        <f t="shared" si="939"/>
        <v>12.414271511712339</v>
      </c>
      <c r="BN105" s="13">
        <f t="shared" si="939"/>
        <v>14.112522425419973</v>
      </c>
      <c r="BO105" s="13">
        <f t="shared" si="939"/>
        <v>16.312211676122814</v>
      </c>
      <c r="BP105" s="13">
        <f t="shared" si="939"/>
        <v>24.188439664395521</v>
      </c>
      <c r="BQ105" s="13">
        <f t="shared" si="939"/>
        <v>19.544592177043533</v>
      </c>
      <c r="BR105" s="13">
        <f t="shared" ref="BR105:DB105" si="940">+BR97/BR89</f>
        <v>21.911729711026528</v>
      </c>
      <c r="BS105" s="13">
        <f t="shared" si="940"/>
        <v>29.103577910292962</v>
      </c>
      <c r="BT105" s="13">
        <f t="shared" si="940"/>
        <v>30.983502319986247</v>
      </c>
      <c r="BU105" s="13">
        <f t="shared" si="940"/>
        <v>34.700053850296179</v>
      </c>
      <c r="BV105" s="13">
        <f t="shared" si="940"/>
        <v>32.007619245341779</v>
      </c>
      <c r="BW105" s="13">
        <f t="shared" si="940"/>
        <v>33.063044414535682</v>
      </c>
      <c r="BX105" s="13">
        <f t="shared" si="940"/>
        <v>39.010625470987193</v>
      </c>
      <c r="BY105" s="13">
        <f t="shared" si="940"/>
        <v>37.382214715636884</v>
      </c>
      <c r="BZ105" s="13">
        <f t="shared" si="940"/>
        <v>37.654077200858865</v>
      </c>
      <c r="CA105" s="13">
        <f t="shared" si="940"/>
        <v>41.437901728803695</v>
      </c>
      <c r="CB105" s="13">
        <f t="shared" si="940"/>
        <v>47.743627733026464</v>
      </c>
      <c r="CC105" s="13">
        <f t="shared" si="940"/>
        <v>49.479885627589418</v>
      </c>
      <c r="CD105" s="13">
        <f t="shared" si="940"/>
        <v>46.739988057324844</v>
      </c>
      <c r="CE105" s="13">
        <f t="shared" si="940"/>
        <v>46.83597547475091</v>
      </c>
      <c r="CF105" s="13">
        <f t="shared" si="940"/>
        <v>48.057773305188753</v>
      </c>
      <c r="CG105" s="13">
        <f t="shared" si="940"/>
        <v>45.133977033044303</v>
      </c>
      <c r="CH105" s="13">
        <f t="shared" si="940"/>
        <v>38.514891294460121</v>
      </c>
      <c r="CI105" s="13">
        <f t="shared" ref="CI105:CJ105" si="941">+CI97/CI89</f>
        <v>38.395148366003532</v>
      </c>
      <c r="CJ105" s="13">
        <f t="shared" si="941"/>
        <v>37.230593836131291</v>
      </c>
      <c r="CK105" s="13">
        <f t="shared" ref="CK105:CL105" si="942">+CK97/CK89</f>
        <v>37.826718646130608</v>
      </c>
      <c r="CL105" s="13">
        <f t="shared" si="942"/>
        <v>44.059981690659519</v>
      </c>
      <c r="CM105" s="37">
        <f t="shared" si="940"/>
        <v>43.689103598138914</v>
      </c>
      <c r="CN105" s="37">
        <f t="shared" si="940"/>
        <v>43.953791853865972</v>
      </c>
      <c r="CO105" s="37">
        <f t="shared" si="940"/>
        <v>43.962536635909245</v>
      </c>
      <c r="CP105" s="37">
        <f t="shared" si="940"/>
        <v>40.490313412154208</v>
      </c>
      <c r="CQ105" s="37">
        <f t="shared" si="940"/>
        <v>39.089486373393214</v>
      </c>
      <c r="CR105" s="37">
        <f t="shared" si="940"/>
        <v>37.641542723156448</v>
      </c>
      <c r="CS105" s="37">
        <f t="shared" si="940"/>
        <v>36.135429139504573</v>
      </c>
      <c r="CT105" s="37">
        <f t="shared" si="940"/>
        <v>34.611884337694157</v>
      </c>
      <c r="CU105" s="37">
        <f t="shared" si="940"/>
        <v>33.1561647872538</v>
      </c>
      <c r="CV105" s="37">
        <f t="shared" si="940"/>
        <v>31.778453605646416</v>
      </c>
      <c r="CW105" s="37">
        <f t="shared" si="940"/>
        <v>30.478885745291599</v>
      </c>
      <c r="CX105" s="37">
        <f t="shared" si="940"/>
        <v>29.290944623231347</v>
      </c>
      <c r="CY105" s="37">
        <f t="shared" si="940"/>
        <v>28.070209919768793</v>
      </c>
      <c r="CZ105" s="37">
        <f t="shared" si="940"/>
        <v>26.93348351134728</v>
      </c>
      <c r="DA105" s="37">
        <f t="shared" si="940"/>
        <v>25.883532708365752</v>
      </c>
      <c r="DB105" s="37">
        <f t="shared" si="940"/>
        <v>24.930518063503214</v>
      </c>
      <c r="DE105" s="134"/>
      <c r="DF105" s="13">
        <v>39.498561057930957</v>
      </c>
    </row>
    <row r="106" spans="1:110" s="13" customFormat="1" x14ac:dyDescent="0.2">
      <c r="A106" s="13" t="s">
        <v>461</v>
      </c>
      <c r="B106" s="13">
        <f t="shared" ref="B106:D106" si="943">+B98/B89</f>
        <v>0.71218384069317286</v>
      </c>
      <c r="C106" s="13">
        <f t="shared" si="943"/>
        <v>0.6378783302784834</v>
      </c>
      <c r="D106" s="13">
        <f t="shared" si="943"/>
        <v>0.83026678146518207</v>
      </c>
      <c r="E106" s="13">
        <f t="shared" ref="E106:AE106" ca="1" si="944">+E98/E89</f>
        <v>12.932742665879108</v>
      </c>
      <c r="F106" s="13">
        <f t="shared" ca="1" si="944"/>
        <v>14.258477190769353</v>
      </c>
      <c r="G106" s="13">
        <f t="shared" ca="1" si="944"/>
        <v>15.948622594042183</v>
      </c>
      <c r="H106" s="13">
        <f t="shared" ca="1" si="944"/>
        <v>16.517903668868964</v>
      </c>
      <c r="I106" s="13">
        <f t="shared" ca="1" si="944"/>
        <v>18.019501151799197</v>
      </c>
      <c r="J106" s="13">
        <f t="shared" ca="1" si="944"/>
        <v>18.177808375827013</v>
      </c>
      <c r="K106" s="13">
        <f t="shared" ca="1" si="944"/>
        <v>5.3892798978717096</v>
      </c>
      <c r="L106" s="13">
        <f t="shared" ca="1" si="944"/>
        <v>8.5559994458947077</v>
      </c>
      <c r="M106" s="13">
        <f t="shared" ca="1" si="944"/>
        <v>-17.966487068313928</v>
      </c>
      <c r="N106" s="13">
        <f t="shared" ca="1" si="944"/>
        <v>9.7438576307113962</v>
      </c>
      <c r="O106" s="13">
        <f t="shared" ca="1" si="944"/>
        <v>9.0181180642529348</v>
      </c>
      <c r="P106" s="13">
        <f t="shared" ca="1" si="944"/>
        <v>20.589825616427824</v>
      </c>
      <c r="Q106" s="13">
        <f t="shared" ca="1" si="944"/>
        <v>15.712067008517543</v>
      </c>
      <c r="R106" s="13">
        <f t="shared" ca="1" si="944"/>
        <v>17.607630443321757</v>
      </c>
      <c r="S106" s="13">
        <f t="shared" ca="1" si="944"/>
        <v>21.073243704500992</v>
      </c>
      <c r="T106" s="13">
        <f t="shared" ca="1" si="944"/>
        <v>15.072880910008628</v>
      </c>
      <c r="U106" s="13">
        <f t="shared" ca="1" si="944"/>
        <v>17.053782861089513</v>
      </c>
      <c r="V106" s="13">
        <f t="shared" ca="1" si="944"/>
        <v>23.624100261717697</v>
      </c>
      <c r="W106" s="13">
        <f t="shared" ca="1" si="944"/>
        <v>41.357821336764275</v>
      </c>
      <c r="X106" s="13">
        <f t="shared" ca="1" si="944"/>
        <v>42.123478810400719</v>
      </c>
      <c r="Y106" s="13">
        <f t="shared" ca="1" si="944"/>
        <v>56.23332738599111</v>
      </c>
      <c r="Z106" s="13">
        <f t="shared" ref="Z106:AA106" ca="1" si="945">+Z98/Z89</f>
        <v>49.403637274406307</v>
      </c>
      <c r="AA106" s="13">
        <f t="shared" ca="1" si="945"/>
        <v>49.403637274406307</v>
      </c>
      <c r="AB106" s="60">
        <f t="shared" ca="1" si="944"/>
        <v>46.874592773845329</v>
      </c>
      <c r="AC106" s="60">
        <f t="shared" ca="1" si="944"/>
        <v>46.874592773845329</v>
      </c>
      <c r="AD106" s="60">
        <f t="shared" ca="1" si="944"/>
        <v>46.874592773845308</v>
      </c>
      <c r="AE106" s="60">
        <f t="shared" ca="1" si="944"/>
        <v>46.874592773845315</v>
      </c>
      <c r="AL106" s="13">
        <f t="shared" ref="AL106:BQ106" si="946">+AL98/AL89</f>
        <v>8.8298934558141173</v>
      </c>
      <c r="AM106" s="13">
        <f t="shared" si="946"/>
        <v>7.0532174899453466</v>
      </c>
      <c r="AN106" s="13">
        <f t="shared" si="946"/>
        <v>6.5304420350291901</v>
      </c>
      <c r="AO106" s="13">
        <f t="shared" si="946"/>
        <v>7.4429449398720449</v>
      </c>
      <c r="AP106" s="13">
        <f t="shared" si="946"/>
        <v>7.665264527020013</v>
      </c>
      <c r="AQ106" s="13">
        <f t="shared" si="946"/>
        <v>8.8813709337000741</v>
      </c>
      <c r="AR106" s="13">
        <f t="shared" si="946"/>
        <v>13.688011815033608</v>
      </c>
      <c r="AS106" s="13">
        <f t="shared" si="946"/>
        <v>16.362554227065917</v>
      </c>
      <c r="AT106" s="13">
        <f t="shared" si="946"/>
        <v>14.92594165718072</v>
      </c>
      <c r="AU106" s="13">
        <f t="shared" si="946"/>
        <v>16.235261349921085</v>
      </c>
      <c r="AV106" s="13">
        <f t="shared" si="946"/>
        <v>17.682889231446808</v>
      </c>
      <c r="AW106" s="13">
        <f t="shared" si="946"/>
        <v>16.128776642940871</v>
      </c>
      <c r="AX106" s="13">
        <f t="shared" si="946"/>
        <v>12.60126561087487</v>
      </c>
      <c r="AY106" s="13">
        <f t="shared" si="946"/>
        <v>11.016291924252576</v>
      </c>
      <c r="AZ106" s="13">
        <f t="shared" si="946"/>
        <v>16.109771810964705</v>
      </c>
      <c r="BA106" s="13">
        <f t="shared" si="946"/>
        <v>17.425617442225924</v>
      </c>
      <c r="BB106" s="13">
        <f t="shared" si="946"/>
        <v>16.643152411456576</v>
      </c>
      <c r="BC106" s="13">
        <f t="shared" si="946"/>
        <v>19.812526571832798</v>
      </c>
      <c r="BD106" s="13">
        <f t="shared" si="946"/>
        <v>17.591282724781831</v>
      </c>
      <c r="BE106" s="13">
        <f t="shared" si="946"/>
        <v>18.016682535502294</v>
      </c>
      <c r="BF106" s="13">
        <f t="shared" si="946"/>
        <v>21.043618209801785</v>
      </c>
      <c r="BG106" s="13">
        <f t="shared" si="946"/>
        <v>17.141361017402595</v>
      </c>
      <c r="BH106" s="13">
        <f t="shared" si="946"/>
        <v>17.979510529311323</v>
      </c>
      <c r="BI106" s="13">
        <f t="shared" si="946"/>
        <v>14.835657689027856</v>
      </c>
      <c r="BJ106" s="13">
        <f t="shared" si="946"/>
        <v>14.69764142165984</v>
      </c>
      <c r="BK106" s="13">
        <f t="shared" si="946"/>
        <v>15.190081344979914</v>
      </c>
      <c r="BL106" s="13">
        <f t="shared" si="946"/>
        <v>12.763165200561591</v>
      </c>
      <c r="BM106" s="13">
        <f t="shared" si="946"/>
        <v>12.682499078428529</v>
      </c>
      <c r="BN106" s="13">
        <f t="shared" si="946"/>
        <v>16.629095963069858</v>
      </c>
      <c r="BO106" s="13">
        <f t="shared" si="946"/>
        <v>17.137971260406179</v>
      </c>
      <c r="BP106" s="13">
        <f t="shared" si="946"/>
        <v>28.168815811701112</v>
      </c>
      <c r="BQ106" s="13">
        <f t="shared" si="946"/>
        <v>20.99436800141352</v>
      </c>
      <c r="BR106" s="13">
        <f t="shared" ref="BR106:CH106" si="947">+BR98/BR89</f>
        <v>23.035632248055091</v>
      </c>
      <c r="BS106" s="13">
        <f t="shared" si="947"/>
        <v>29.44396551724137</v>
      </c>
      <c r="BT106" s="13">
        <f t="shared" si="947"/>
        <v>32.971157701781515</v>
      </c>
      <c r="BU106" s="13">
        <f t="shared" si="947"/>
        <v>37.26117393645665</v>
      </c>
      <c r="BV106" s="13">
        <f t="shared" si="947"/>
        <v>38.058831162090627</v>
      </c>
      <c r="BW106" s="13">
        <f t="shared" si="947"/>
        <v>37.680952893674309</v>
      </c>
      <c r="BX106" s="13">
        <f t="shared" si="947"/>
        <v>41.625169555388098</v>
      </c>
      <c r="BY106" s="13">
        <f t="shared" si="947"/>
        <v>41.355403513081917</v>
      </c>
      <c r="BZ106" s="13">
        <f t="shared" si="947"/>
        <v>39.817720329884821</v>
      </c>
      <c r="CA106" s="13">
        <f t="shared" si="947"/>
        <v>42.729388544718525</v>
      </c>
      <c r="CB106" s="13">
        <f t="shared" si="947"/>
        <v>49.060587908926507</v>
      </c>
      <c r="CC106" s="13">
        <f t="shared" si="947"/>
        <v>49.948975900099192</v>
      </c>
      <c r="CD106" s="13">
        <f t="shared" si="947"/>
        <v>54.831535900405335</v>
      </c>
      <c r="CE106" s="13">
        <f t="shared" si="947"/>
        <v>51.342076130460697</v>
      </c>
      <c r="CF106" s="13">
        <f t="shared" si="947"/>
        <v>51.992440233665505</v>
      </c>
      <c r="CG106" s="13">
        <f t="shared" si="947"/>
        <v>48.88474337942349</v>
      </c>
      <c r="CH106" s="13">
        <f t="shared" si="947"/>
        <v>45.510584008005104</v>
      </c>
      <c r="CI106" s="13">
        <f t="shared" ref="CI106:CJ106" si="948">+CI98/CI89</f>
        <v>42.284262840628791</v>
      </c>
      <c r="CJ106" s="13">
        <f t="shared" si="948"/>
        <v>39.514044099223248</v>
      </c>
      <c r="CK106" s="13">
        <f t="shared" ref="CK106:CL106" si="949">+CK98/CK89</f>
        <v>38.325409215773902</v>
      </c>
      <c r="CL106" s="13">
        <f t="shared" si="949"/>
        <v>46.874592773845315</v>
      </c>
      <c r="CM106" s="60">
        <f t="shared" ref="CM106:CM107" si="950">+CL106</f>
        <v>46.874592773845315</v>
      </c>
      <c r="CN106" s="60">
        <f t="shared" ref="CN106:CN107" si="951">+CM106</f>
        <v>46.874592773845315</v>
      </c>
      <c r="CO106" s="60">
        <f t="shared" ref="CO106:CO107" si="952">+CN106</f>
        <v>46.874592773845315</v>
      </c>
      <c r="CP106" s="60">
        <f t="shared" ref="CP106:CP107" si="953">+CO106</f>
        <v>46.874592773845315</v>
      </c>
      <c r="CQ106" s="60">
        <f t="shared" ref="CQ106:CQ107" si="954">+CP106</f>
        <v>46.874592773845315</v>
      </c>
      <c r="CR106" s="60">
        <f t="shared" ref="CR106:CR107" si="955">+CQ106</f>
        <v>46.874592773845315</v>
      </c>
      <c r="CS106" s="60">
        <f t="shared" ref="CS106:CS107" si="956">+CR106</f>
        <v>46.874592773845315</v>
      </c>
      <c r="CT106" s="60">
        <f t="shared" ref="CT106:CT107" si="957">+CS106</f>
        <v>46.874592773845315</v>
      </c>
      <c r="CU106" s="60">
        <f t="shared" ref="CU106:CU107" si="958">+CT106</f>
        <v>46.874592773845315</v>
      </c>
      <c r="CV106" s="60">
        <f t="shared" ref="CV106:CV107" si="959">+CU106</f>
        <v>46.874592773845315</v>
      </c>
      <c r="CW106" s="60">
        <f t="shared" ref="CW106:CW107" si="960">+CV106</f>
        <v>46.874592773845315</v>
      </c>
      <c r="CX106" s="60">
        <f t="shared" ref="CX106:CX107" si="961">+CW106</f>
        <v>46.874592773845315</v>
      </c>
      <c r="CY106" s="60">
        <f t="shared" ref="CY106:CY107" si="962">+CX106</f>
        <v>46.874592773845315</v>
      </c>
      <c r="CZ106" s="60">
        <f t="shared" ref="CZ106:CZ107" si="963">+CY106</f>
        <v>46.874592773845315</v>
      </c>
      <c r="DA106" s="60">
        <f t="shared" ref="DA106:DA107" si="964">+CZ106</f>
        <v>46.874592773845315</v>
      </c>
      <c r="DB106" s="60">
        <f t="shared" ref="DB106:DB107" si="965">+DA106</f>
        <v>46.874592773845315</v>
      </c>
      <c r="DE106" s="136"/>
      <c r="DF106" s="13">
        <v>49.403637274406307</v>
      </c>
    </row>
    <row r="107" spans="1:110" s="13" customFormat="1" x14ac:dyDescent="0.2">
      <c r="A107" s="13" t="s">
        <v>462</v>
      </c>
      <c r="B107" s="13">
        <f t="shared" ref="B107:D107" si="966">+B99/B89</f>
        <v>0.42062554634441546</v>
      </c>
      <c r="C107" s="13">
        <f t="shared" si="966"/>
        <v>0.28485188907940606</v>
      </c>
      <c r="D107" s="13">
        <f t="shared" si="966"/>
        <v>0.49631875142021464</v>
      </c>
      <c r="E107" s="13">
        <f t="shared" ref="E107:AE107" ca="1" si="967">+E99/E89</f>
        <v>4.6845619216381174</v>
      </c>
      <c r="F107" s="13">
        <f t="shared" ca="1" si="967"/>
        <v>6.8815044356994948</v>
      </c>
      <c r="G107" s="13">
        <f t="shared" ca="1" si="967"/>
        <v>8.0486238754162702</v>
      </c>
      <c r="H107" s="13">
        <f t="shared" ca="1" si="967"/>
        <v>9.582708774277382</v>
      </c>
      <c r="I107" s="13">
        <f t="shared" ca="1" si="967"/>
        <v>5.6344162893531413</v>
      </c>
      <c r="J107" s="13">
        <f t="shared" ca="1" si="967"/>
        <v>8.464237233417732</v>
      </c>
      <c r="K107" s="13">
        <f t="shared" ca="1" si="967"/>
        <v>2.4681143823377338</v>
      </c>
      <c r="L107" s="13">
        <f t="shared" ca="1" si="967"/>
        <v>4.1439970371157262</v>
      </c>
      <c r="M107" s="13">
        <f t="shared" ca="1" si="967"/>
        <v>-5.6327364862822042</v>
      </c>
      <c r="N107" s="13">
        <f t="shared" ca="1" si="967"/>
        <v>5.9635643175515796</v>
      </c>
      <c r="O107" s="13">
        <f t="shared" ca="1" si="967"/>
        <v>4.6397102125626404</v>
      </c>
      <c r="P107" s="13">
        <f t="shared" ca="1" si="967"/>
        <v>10.296912208642775</v>
      </c>
      <c r="Q107" s="13">
        <f t="shared" ca="1" si="967"/>
        <v>9.8555490275090385</v>
      </c>
      <c r="R107" s="13">
        <f t="shared" ca="1" si="967"/>
        <v>10.077707216073652</v>
      </c>
      <c r="S107" s="13">
        <f t="shared" ca="1" si="967"/>
        <v>14.801479533529136</v>
      </c>
      <c r="T107" s="13">
        <f t="shared" ca="1" si="967"/>
        <v>9.7954010595126988</v>
      </c>
      <c r="U107" s="13">
        <f t="shared" ca="1" si="967"/>
        <v>8.7404195965851095</v>
      </c>
      <c r="V107" s="13">
        <f t="shared" ca="1" si="967"/>
        <v>7.9410246725403582</v>
      </c>
      <c r="W107" s="13">
        <f t="shared" ca="1" si="967"/>
        <v>25.13767868477419</v>
      </c>
      <c r="X107" s="13">
        <f t="shared" ca="1" si="967"/>
        <v>26.236310666108693</v>
      </c>
      <c r="Y107" s="13">
        <f t="shared" ca="1" si="967"/>
        <v>26.580781857155952</v>
      </c>
      <c r="Z107" s="13">
        <f t="shared" ref="Z107:AA107" ca="1" si="968">+Z99/Z89</f>
        <v>34.936820573278403</v>
      </c>
      <c r="AA107" s="13">
        <f t="shared" ca="1" si="968"/>
        <v>34.936820573278403</v>
      </c>
      <c r="AB107" s="60">
        <f t="shared" ca="1" si="967"/>
        <v>34.951919052127508</v>
      </c>
      <c r="AC107" s="60">
        <f t="shared" ca="1" si="967"/>
        <v>33.602215330468617</v>
      </c>
      <c r="AD107" s="60">
        <f t="shared" ca="1" si="967"/>
        <v>33.525226375160152</v>
      </c>
      <c r="AE107" s="60">
        <f t="shared" ca="1" si="967"/>
        <v>33.704529861574358</v>
      </c>
      <c r="AL107" s="13">
        <f t="shared" ref="AL107:BQ107" si="969">+AL99/AL89</f>
        <v>6.4660573952472138</v>
      </c>
      <c r="AM107" s="13">
        <f t="shared" si="969"/>
        <v>5.8945034546767063</v>
      </c>
      <c r="AN107" s="13">
        <f t="shared" si="969"/>
        <v>5.3417548331474727</v>
      </c>
      <c r="AO107" s="13">
        <f t="shared" si="969"/>
        <v>4.6395087567022726</v>
      </c>
      <c r="AP107" s="13">
        <f t="shared" si="969"/>
        <v>6.2351374350530282</v>
      </c>
      <c r="AQ107" s="13">
        <f t="shared" si="969"/>
        <v>6.863604488078539</v>
      </c>
      <c r="AR107" s="13">
        <f t="shared" si="969"/>
        <v>7.8900794459156636</v>
      </c>
      <c r="AS107" s="13">
        <f t="shared" si="969"/>
        <v>12.910538567347368</v>
      </c>
      <c r="AT107" s="13">
        <f t="shared" si="969"/>
        <v>11.972680473674375</v>
      </c>
      <c r="AU107" s="13">
        <f t="shared" si="969"/>
        <v>12.085577012347972</v>
      </c>
      <c r="AV107" s="13">
        <f t="shared" si="969"/>
        <v>13.913234970270858</v>
      </c>
      <c r="AW107" s="13">
        <f t="shared" si="969"/>
        <v>12.779285376579466</v>
      </c>
      <c r="AX107" s="13">
        <f t="shared" si="969"/>
        <v>9.9752737134630145</v>
      </c>
      <c r="AY107" s="13">
        <f t="shared" si="969"/>
        <v>9.5488308986954777</v>
      </c>
      <c r="AZ107" s="13">
        <f t="shared" si="969"/>
        <v>10.093016127021068</v>
      </c>
      <c r="BA107" s="13">
        <f t="shared" si="969"/>
        <v>13.298043043125828</v>
      </c>
      <c r="BB107" s="13">
        <f t="shared" si="969"/>
        <v>14.264265809465437</v>
      </c>
      <c r="BC107" s="13">
        <f t="shared" si="969"/>
        <v>17.026603196286551</v>
      </c>
      <c r="BD107" s="13">
        <f t="shared" si="969"/>
        <v>13.310911260591592</v>
      </c>
      <c r="BE107" s="13">
        <f t="shared" si="969"/>
        <v>14.1569090209266</v>
      </c>
      <c r="BF107" s="13">
        <f t="shared" si="969"/>
        <v>17.168289100525786</v>
      </c>
      <c r="BG107" s="13">
        <f t="shared" si="969"/>
        <v>12.875180257482725</v>
      </c>
      <c r="BH107" s="13">
        <f t="shared" si="969"/>
        <v>12.088787706317584</v>
      </c>
      <c r="BI107" s="13">
        <f t="shared" si="969"/>
        <v>13.006413445139284</v>
      </c>
      <c r="BJ107" s="13">
        <f t="shared" si="969"/>
        <v>12.012281354670636</v>
      </c>
      <c r="BK107" s="13">
        <f t="shared" si="969"/>
        <v>11.455060115226807</v>
      </c>
      <c r="BL107" s="13">
        <f t="shared" si="969"/>
        <v>10.868875474930796</v>
      </c>
      <c r="BM107" s="13">
        <f t="shared" si="969"/>
        <v>9.379218283978064</v>
      </c>
      <c r="BN107" s="13">
        <f t="shared" si="969"/>
        <v>11.786114676329397</v>
      </c>
      <c r="BO107" s="13">
        <f t="shared" si="969"/>
        <v>10.21819820775227</v>
      </c>
      <c r="BP107" s="13">
        <f t="shared" si="969"/>
        <v>17.081324961991104</v>
      </c>
      <c r="BQ107" s="13">
        <f t="shared" si="969"/>
        <v>17.151357201227999</v>
      </c>
      <c r="BR107" s="13">
        <f t="shared" ref="BR107:CH107" si="970">+BR99/BR89</f>
        <v>16.727445224515307</v>
      </c>
      <c r="BS107" s="13">
        <f t="shared" si="970"/>
        <v>21.111906922478603</v>
      </c>
      <c r="BT107" s="13">
        <f t="shared" si="970"/>
        <v>27.146073208455057</v>
      </c>
      <c r="BU107" s="13">
        <f t="shared" si="970"/>
        <v>27.953688745288101</v>
      </c>
      <c r="BV107" s="13">
        <f t="shared" si="970"/>
        <v>30.174780713136453</v>
      </c>
      <c r="BW107" s="13">
        <f t="shared" si="970"/>
        <v>28.222776581426658</v>
      </c>
      <c r="BX107" s="13">
        <f t="shared" si="970"/>
        <v>31.481348907309727</v>
      </c>
      <c r="BY107" s="13">
        <f t="shared" si="970"/>
        <v>36.039544282029226</v>
      </c>
      <c r="BZ107" s="13">
        <f t="shared" si="970"/>
        <v>36.251768983017755</v>
      </c>
      <c r="CA107" s="13">
        <f t="shared" si="970"/>
        <v>32.034126540379745</v>
      </c>
      <c r="CB107" s="13">
        <f t="shared" si="970"/>
        <v>36.440457011343085</v>
      </c>
      <c r="CC107" s="13">
        <f t="shared" si="970"/>
        <v>37.955190523428833</v>
      </c>
      <c r="CD107" s="13">
        <f t="shared" si="970"/>
        <v>41.766895266357849</v>
      </c>
      <c r="CE107" s="13">
        <f t="shared" si="970"/>
        <v>43.922145959294895</v>
      </c>
      <c r="CF107" s="13">
        <f t="shared" si="970"/>
        <v>43.401772127043351</v>
      </c>
      <c r="CG107" s="13">
        <f t="shared" si="970"/>
        <v>40.495064448089998</v>
      </c>
      <c r="CH107" s="13">
        <f t="shared" si="970"/>
        <v>34.066756117529344</v>
      </c>
      <c r="CI107" s="13">
        <f t="shared" ref="CI107:CJ107" si="971">+CI99/CI89</f>
        <v>29.782639790988576</v>
      </c>
      <c r="CJ107" s="13">
        <f t="shared" si="971"/>
        <v>34.965672763718359</v>
      </c>
      <c r="CK107" s="13">
        <f t="shared" ref="CK107:CL107" si="972">+CK99/CK89</f>
        <v>33.309413236111766</v>
      </c>
      <c r="CL107" s="13">
        <f t="shared" si="972"/>
        <v>37.949200496019053</v>
      </c>
      <c r="CM107" s="60">
        <f t="shared" si="950"/>
        <v>37.949200496019053</v>
      </c>
      <c r="CN107" s="60">
        <f t="shared" si="951"/>
        <v>37.949200496019053</v>
      </c>
      <c r="CO107" s="60">
        <f t="shared" si="952"/>
        <v>37.949200496019053</v>
      </c>
      <c r="CP107" s="60">
        <f t="shared" si="953"/>
        <v>37.949200496019053</v>
      </c>
      <c r="CQ107" s="60">
        <f t="shared" si="954"/>
        <v>37.949200496019053</v>
      </c>
      <c r="CR107" s="60">
        <f t="shared" si="955"/>
        <v>37.949200496019053</v>
      </c>
      <c r="CS107" s="60">
        <f t="shared" si="956"/>
        <v>37.949200496019053</v>
      </c>
      <c r="CT107" s="60">
        <f t="shared" si="957"/>
        <v>37.949200496019053</v>
      </c>
      <c r="CU107" s="60">
        <f t="shared" si="958"/>
        <v>37.949200496019053</v>
      </c>
      <c r="CV107" s="60">
        <f t="shared" si="959"/>
        <v>37.949200496019053</v>
      </c>
      <c r="CW107" s="60">
        <f t="shared" si="960"/>
        <v>37.949200496019053</v>
      </c>
      <c r="CX107" s="60">
        <f t="shared" si="961"/>
        <v>37.949200496019053</v>
      </c>
      <c r="CY107" s="60">
        <f t="shared" si="962"/>
        <v>37.949200496019053</v>
      </c>
      <c r="CZ107" s="60">
        <f t="shared" si="963"/>
        <v>37.949200496019053</v>
      </c>
      <c r="DA107" s="60">
        <f t="shared" si="964"/>
        <v>37.949200496019053</v>
      </c>
      <c r="DB107" s="60">
        <f t="shared" si="965"/>
        <v>37.949200496019053</v>
      </c>
      <c r="DE107" s="136"/>
      <c r="DF107" s="13">
        <v>34.936820573278403</v>
      </c>
    </row>
    <row r="108" spans="1:110" s="13" customFormat="1" x14ac:dyDescent="0.2">
      <c r="AB108" s="60"/>
      <c r="AC108" s="60"/>
      <c r="AD108" s="60"/>
      <c r="AE108" s="60"/>
      <c r="CM108" s="60"/>
      <c r="CN108" s="60"/>
      <c r="CO108" s="60"/>
      <c r="CP108" s="60"/>
      <c r="CQ108" s="60"/>
      <c r="CR108" s="60"/>
      <c r="CS108" s="60"/>
      <c r="CT108" s="60"/>
      <c r="CU108" s="60"/>
      <c r="CV108" s="60"/>
      <c r="CW108" s="60"/>
      <c r="CX108" s="60"/>
      <c r="CY108" s="60"/>
      <c r="CZ108" s="60"/>
      <c r="DA108" s="60"/>
      <c r="DB108" s="60"/>
      <c r="DE108" s="136"/>
    </row>
    <row r="109" spans="1:110" s="13" customFormat="1" x14ac:dyDescent="0.2">
      <c r="A109" s="13" t="s">
        <v>463</v>
      </c>
      <c r="B109" s="13">
        <f t="shared" ref="B109:AD109" si="973">+B98/C89</f>
        <v>0.52602648849996991</v>
      </c>
      <c r="C109" s="13">
        <f t="shared" si="973"/>
        <v>0.56227139494789247</v>
      </c>
      <c r="D109" s="13">
        <f t="shared" ca="1" si="973"/>
        <v>7.8418586335892888</v>
      </c>
      <c r="E109" s="13">
        <f t="shared" ca="1" si="973"/>
        <v>11.258141256804373</v>
      </c>
      <c r="F109" s="13">
        <f t="shared" ca="1" si="973"/>
        <v>11.844281725754625</v>
      </c>
      <c r="G109" s="13">
        <f t="shared" ca="1" si="973"/>
        <v>18.016009083715563</v>
      </c>
      <c r="H109" s="13">
        <f t="shared" ca="1" si="973"/>
        <v>22.661693188939211</v>
      </c>
      <c r="I109" s="13">
        <f t="shared" ca="1" si="973"/>
        <v>31.764314636110086</v>
      </c>
      <c r="J109" s="13">
        <f t="shared" ca="1" si="973"/>
        <v>3.9354590973166061</v>
      </c>
      <c r="K109" s="13">
        <f t="shared" ca="1" si="973"/>
        <v>4.5935544347444139</v>
      </c>
      <c r="L109" s="13">
        <f t="shared" ca="1" si="973"/>
        <v>-14.416891920492985</v>
      </c>
      <c r="M109" s="13">
        <f t="shared" ca="1" si="973"/>
        <v>18.699311843170207</v>
      </c>
      <c r="N109" s="13">
        <f t="shared" ca="1" si="973"/>
        <v>6.1437920946571234</v>
      </c>
      <c r="O109" s="13">
        <f t="shared" ca="1" si="973"/>
        <v>11.316606427362739</v>
      </c>
      <c r="P109" s="13">
        <f t="shared" ca="1" si="973"/>
        <v>12.718351364071188</v>
      </c>
      <c r="Q109" s="13">
        <f t="shared" ca="1" si="973"/>
        <v>13.87538865832132</v>
      </c>
      <c r="R109" s="13">
        <f t="shared" ca="1" si="973"/>
        <v>23.426969175421018</v>
      </c>
      <c r="S109" s="13">
        <f t="shared" ca="1" si="973"/>
        <v>15.068730316339344</v>
      </c>
      <c r="T109" s="13">
        <f t="shared" ca="1" si="973"/>
        <v>10.339033799673883</v>
      </c>
      <c r="U109" s="13">
        <f t="shared" ca="1" si="973"/>
        <v>10.737412593344638</v>
      </c>
      <c r="V109" s="13">
        <f t="shared" ca="1" si="973"/>
        <v>27.462135150382483</v>
      </c>
      <c r="W109" s="13">
        <f t="shared" ca="1" si="973"/>
        <v>38.887657364967126</v>
      </c>
      <c r="X109" s="13">
        <f t="shared" ca="1" si="973"/>
        <v>31.239284379106536</v>
      </c>
      <c r="Y109" s="13">
        <f t="shared" ca="1" si="973"/>
        <v>47.11485368456195</v>
      </c>
      <c r="Z109" s="13">
        <f t="shared" ref="Z109:AA109" ca="1" si="974">+Z98/AA89</f>
        <v>44.235637489139819</v>
      </c>
      <c r="AA109" s="13">
        <f t="shared" ca="1" si="974"/>
        <v>44.235637489139819</v>
      </c>
      <c r="AB109" s="37">
        <f t="shared" ca="1" si="973"/>
        <v>40.069286867457002</v>
      </c>
      <c r="AC109" s="37">
        <f t="shared" ca="1" si="973"/>
        <v>39.668487499247561</v>
      </c>
      <c r="AD109" s="37">
        <f t="shared" ca="1" si="973"/>
        <v>39.896558369812936</v>
      </c>
      <c r="AE109" s="37"/>
      <c r="AL109" s="13">
        <f t="shared" ref="AL109:BQ109" si="975">+AL98/AP89</f>
        <v>5.2004621526072174</v>
      </c>
      <c r="AM109" s="13">
        <f t="shared" si="975"/>
        <v>4.656589142009012</v>
      </c>
      <c r="AN109" s="13">
        <f t="shared" si="975"/>
        <v>4.7319209614992861</v>
      </c>
      <c r="AO109" s="13">
        <f t="shared" si="975"/>
        <v>9.3756745317955765</v>
      </c>
      <c r="AP109" s="13">
        <f t="shared" si="975"/>
        <v>9.4118571501384665</v>
      </c>
      <c r="AQ109" s="13">
        <f t="shared" si="975"/>
        <v>10.092516943644974</v>
      </c>
      <c r="AR109" s="13">
        <f t="shared" si="975"/>
        <v>15.307531380753129</v>
      </c>
      <c r="AS109" s="13">
        <f t="shared" si="975"/>
        <v>12.018613627973545</v>
      </c>
      <c r="AT109" s="13">
        <f t="shared" si="975"/>
        <v>9.8048682492382842</v>
      </c>
      <c r="AU109" s="13">
        <f t="shared" si="975"/>
        <v>11.078297319698651</v>
      </c>
      <c r="AV109" s="13">
        <f t="shared" si="975"/>
        <v>12.09860135500228</v>
      </c>
      <c r="AW109" s="13">
        <f t="shared" si="975"/>
        <v>13.731956460604447</v>
      </c>
      <c r="AX109" s="13">
        <f t="shared" si="975"/>
        <v>13.055583178196862</v>
      </c>
      <c r="AY109" s="13">
        <f t="shared" si="975"/>
        <v>14.543556896828095</v>
      </c>
      <c r="AZ109" s="13">
        <f t="shared" si="975"/>
        <v>20.671062192918708</v>
      </c>
      <c r="BA109" s="13">
        <f t="shared" si="975"/>
        <v>21.3397889107226</v>
      </c>
      <c r="BB109" s="13">
        <f t="shared" si="975"/>
        <v>22.490366961725659</v>
      </c>
      <c r="BC109" s="13">
        <f t="shared" si="975"/>
        <v>18.548945208250409</v>
      </c>
      <c r="BD109" s="13">
        <f t="shared" si="975"/>
        <v>17.262379055207738</v>
      </c>
      <c r="BE109" s="13">
        <f t="shared" si="975"/>
        <v>15.800126137009665</v>
      </c>
      <c r="BF109" s="13">
        <f t="shared" si="975"/>
        <v>13.922590249348714</v>
      </c>
      <c r="BG109" s="13">
        <f t="shared" si="975"/>
        <v>12.518477748073597</v>
      </c>
      <c r="BH109" s="13">
        <f t="shared" si="975"/>
        <v>10.899929404859169</v>
      </c>
      <c r="BI109" s="13">
        <f t="shared" si="975"/>
        <v>9.3281967359613969</v>
      </c>
      <c r="BJ109" s="13">
        <f t="shared" si="975"/>
        <v>10.081562936542269</v>
      </c>
      <c r="BK109" s="13">
        <f t="shared" si="975"/>
        <v>9.3901320324513531</v>
      </c>
      <c r="BL109" s="13">
        <f t="shared" si="975"/>
        <v>10.067289824877527</v>
      </c>
      <c r="BM109" s="13">
        <f t="shared" si="975"/>
        <v>8.3585484904035159</v>
      </c>
      <c r="BN109" s="13">
        <f t="shared" si="975"/>
        <v>10.469947428928599</v>
      </c>
      <c r="BO109" s="13">
        <f t="shared" si="975"/>
        <v>13.002981591910807</v>
      </c>
      <c r="BP109" s="13">
        <f t="shared" si="975"/>
        <v>19.104084321475622</v>
      </c>
      <c r="BQ109" s="13">
        <f t="shared" si="975"/>
        <v>21.328352180936996</v>
      </c>
      <c r="BR109" s="13">
        <f t="shared" ref="BR109:CL109" si="976">+BR98/BV89</f>
        <v>26.779355893496657</v>
      </c>
      <c r="BS109" s="13">
        <f t="shared" si="976"/>
        <v>35.460520861372828</v>
      </c>
      <c r="BT109" s="13">
        <f t="shared" si="976"/>
        <v>40.383006782215531</v>
      </c>
      <c r="BU109" s="13">
        <f t="shared" si="976"/>
        <v>36.717612086967193</v>
      </c>
      <c r="BV109" s="13">
        <f t="shared" si="976"/>
        <v>35.783696076517657</v>
      </c>
      <c r="BW109" s="13">
        <f t="shared" si="976"/>
        <v>31.307391586339531</v>
      </c>
      <c r="BX109" s="13">
        <f t="shared" si="976"/>
        <v>32.916763932270257</v>
      </c>
      <c r="BY109" s="13">
        <f t="shared" si="976"/>
        <v>32.74341483340141</v>
      </c>
      <c r="BZ109" s="13">
        <f t="shared" si="976"/>
        <v>29.528978177475395</v>
      </c>
      <c r="CA109" s="13">
        <f t="shared" si="976"/>
        <v>32.539541003150816</v>
      </c>
      <c r="CB109" s="13">
        <f t="shared" si="976"/>
        <v>39.066719846841103</v>
      </c>
      <c r="CC109" s="13">
        <f t="shared" si="976"/>
        <v>40.120721818607926</v>
      </c>
      <c r="CD109" s="13">
        <f t="shared" si="976"/>
        <v>45.941508232511609</v>
      </c>
      <c r="CE109" s="13">
        <f t="shared" si="976"/>
        <v>43.999678893056796</v>
      </c>
      <c r="CF109" s="13">
        <f t="shared" si="976"/>
        <v>44.230268103232262</v>
      </c>
      <c r="CG109" s="13">
        <f t="shared" si="976"/>
        <v>41.515989922804224</v>
      </c>
      <c r="CH109" s="13">
        <f t="shared" si="976"/>
        <v>40.934652919610656</v>
      </c>
      <c r="CI109" s="13">
        <f t="shared" si="976"/>
        <v>39.173447654796966</v>
      </c>
      <c r="CJ109" s="13">
        <f t="shared" si="976"/>
        <v>38.616150060057272</v>
      </c>
      <c r="CK109" s="13">
        <f t="shared" si="976"/>
        <v>39.301425309278216</v>
      </c>
      <c r="CL109" s="13">
        <f t="shared" si="976"/>
        <v>43.076889268940718</v>
      </c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  <c r="DE109" s="134"/>
      <c r="DF109" s="13">
        <v>44.235637489139819</v>
      </c>
    </row>
    <row r="110" spans="1:110" s="98" customFormat="1" x14ac:dyDescent="0.2">
      <c r="A110" s="98" t="s">
        <v>426</v>
      </c>
      <c r="AB110" s="99"/>
      <c r="AC110" s="99"/>
      <c r="AD110" s="99"/>
      <c r="AE110" s="99"/>
      <c r="AL110" s="175"/>
      <c r="AM110" s="175"/>
      <c r="AN110" s="175"/>
      <c r="AO110" s="175">
        <f t="shared" ref="AO110:CI110" si="977">+CORREL(AL89:AO89,AL106:AO106)</f>
        <v>-0.35670773551102541</v>
      </c>
      <c r="AP110" s="175">
        <f t="shared" si="977"/>
        <v>0.80807550742423462</v>
      </c>
      <c r="AQ110" s="175">
        <f t="shared" si="977"/>
        <v>0.8084875959021095</v>
      </c>
      <c r="AR110" s="175">
        <f t="shared" si="977"/>
        <v>0.75718431156019839</v>
      </c>
      <c r="AS110" s="175">
        <f t="shared" si="977"/>
        <v>-0.73329465341923439</v>
      </c>
      <c r="AT110" s="175">
        <f t="shared" si="977"/>
        <v>-0.78412134224140018</v>
      </c>
      <c r="AU110" s="175">
        <f t="shared" si="977"/>
        <v>-0.72782998620491446</v>
      </c>
      <c r="AV110" s="175">
        <f t="shared" si="977"/>
        <v>0.6114299497833432</v>
      </c>
      <c r="AW110" s="175">
        <f t="shared" si="977"/>
        <v>0.30441920178479837</v>
      </c>
      <c r="AX110" s="175">
        <f t="shared" si="977"/>
        <v>-0.90167360841065358</v>
      </c>
      <c r="AY110" s="175">
        <f t="shared" si="977"/>
        <v>-0.98660462495301382</v>
      </c>
      <c r="AZ110" s="175">
        <f t="shared" si="977"/>
        <v>-0.41522061144264322</v>
      </c>
      <c r="BA110" s="175">
        <f t="shared" si="977"/>
        <v>-4.4174975154795765E-2</v>
      </c>
      <c r="BB110" s="175">
        <f t="shared" si="977"/>
        <v>-0.48226501773570973</v>
      </c>
      <c r="BC110" s="175">
        <f t="shared" si="977"/>
        <v>-0.93250099091217409</v>
      </c>
      <c r="BD110" s="175">
        <f t="shared" si="977"/>
        <v>-0.74060538846360136</v>
      </c>
      <c r="BE110" s="175">
        <f t="shared" si="977"/>
        <v>-0.82368552297601638</v>
      </c>
      <c r="BF110" s="175">
        <f t="shared" si="977"/>
        <v>-0.93315612576862306</v>
      </c>
      <c r="BG110" s="175">
        <f t="shared" si="977"/>
        <v>-0.99954063473506183</v>
      </c>
      <c r="BH110" s="175">
        <f t="shared" si="977"/>
        <v>-0.98013352918625174</v>
      </c>
      <c r="BI110" s="175">
        <f t="shared" si="977"/>
        <v>-0.98969149072056262</v>
      </c>
      <c r="BJ110" s="175">
        <f t="shared" si="977"/>
        <v>-0.8510313663867507</v>
      </c>
      <c r="BK110" s="175">
        <f t="shared" si="977"/>
        <v>-0.68610658715500861</v>
      </c>
      <c r="BL110" s="175">
        <f t="shared" si="977"/>
        <v>-0.80506142295373795</v>
      </c>
      <c r="BM110" s="175">
        <f t="shared" si="977"/>
        <v>-0.9265777445935609</v>
      </c>
      <c r="BN110" s="175">
        <f t="shared" si="977"/>
        <v>2.9595757015345548E-2</v>
      </c>
      <c r="BO110" s="175">
        <f t="shared" si="977"/>
        <v>0.81439178095839049</v>
      </c>
      <c r="BP110" s="175">
        <f t="shared" si="977"/>
        <v>0.53679322440726585</v>
      </c>
      <c r="BQ110" s="175">
        <f t="shared" si="977"/>
        <v>0.12634971330527622</v>
      </c>
      <c r="BR110" s="175">
        <f t="shared" si="977"/>
        <v>-0.15897069356953258</v>
      </c>
      <c r="BS110" s="175">
        <f t="shared" si="977"/>
        <v>-0.24229379283441219</v>
      </c>
      <c r="BT110" s="175">
        <f t="shared" si="977"/>
        <v>0.84675766583705747</v>
      </c>
      <c r="BU110" s="175">
        <f t="shared" si="977"/>
        <v>-0.47870169426026765</v>
      </c>
      <c r="BV110" s="175">
        <f t="shared" si="977"/>
        <v>-0.81410810064576722</v>
      </c>
      <c r="BW110" s="175">
        <f t="shared" si="977"/>
        <v>-0.97386583505728719</v>
      </c>
      <c r="BX110" s="175">
        <f t="shared" si="977"/>
        <v>-0.13748733718074652</v>
      </c>
      <c r="BY110" s="175">
        <f t="shared" si="977"/>
        <v>0.68047517767907828</v>
      </c>
      <c r="BZ110" s="175">
        <f t="shared" si="977"/>
        <v>0.52602904813272744</v>
      </c>
      <c r="CA110" s="175">
        <f t="shared" si="977"/>
        <v>0.47563784405783988</v>
      </c>
      <c r="CB110" s="175">
        <f t="shared" si="977"/>
        <v>0.95094327715951066</v>
      </c>
      <c r="CC110" s="175">
        <f t="shared" si="977"/>
        <v>0.9793372573117719</v>
      </c>
      <c r="CD110" s="175">
        <f t="shared" si="977"/>
        <v>0.98061678155295406</v>
      </c>
      <c r="CE110" s="175">
        <f t="shared" si="977"/>
        <v>0.60029135298017089</v>
      </c>
      <c r="CF110" s="175">
        <f t="shared" si="977"/>
        <v>0.20864783337930776</v>
      </c>
      <c r="CG110" s="175">
        <f t="shared" si="977"/>
        <v>-0.9300265678065317</v>
      </c>
      <c r="CH110" s="175">
        <f t="shared" si="977"/>
        <v>-0.89623495080129556</v>
      </c>
      <c r="CI110" s="175">
        <f t="shared" si="977"/>
        <v>-0.99630802562048126</v>
      </c>
      <c r="CJ110" s="175">
        <f>+CORREL(CG89:CJ89,CG106:CJ106)</f>
        <v>-0.98705224499837985</v>
      </c>
      <c r="CK110" s="175">
        <f>+CORREL(CH89:CK89,CH106:CK106)</f>
        <v>-0.9675814823981963</v>
      </c>
      <c r="CL110" s="175">
        <f>+CORREL(CI89:CL89,CI106:CL106)</f>
        <v>-0.18857061949318396</v>
      </c>
      <c r="CM110" s="99"/>
      <c r="CN110" s="99"/>
      <c r="CO110" s="99"/>
      <c r="CP110" s="99"/>
      <c r="CQ110" s="99"/>
      <c r="CR110" s="99"/>
      <c r="CS110" s="99"/>
      <c r="CT110" s="99"/>
      <c r="CU110" s="99"/>
      <c r="CV110" s="99"/>
      <c r="CW110" s="99"/>
      <c r="CX110" s="99"/>
      <c r="CY110" s="99"/>
      <c r="CZ110" s="99"/>
      <c r="DA110" s="99"/>
      <c r="DB110" s="99"/>
      <c r="DE110" s="137"/>
    </row>
    <row r="111" spans="1:110" s="4" customFormat="1" x14ac:dyDescent="0.2">
      <c r="A111" s="3"/>
      <c r="AB111" s="17"/>
      <c r="AC111" s="17"/>
      <c r="AD111" s="17"/>
      <c r="AE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E111" s="119"/>
    </row>
    <row r="112" spans="1:110" s="162" customFormat="1" x14ac:dyDescent="0.2">
      <c r="A112" s="49" t="s">
        <v>505</v>
      </c>
      <c r="E112" s="162">
        <f t="shared" ref="E112:AE112" ca="1" si="978">+E$140/E$85</f>
        <v>15.429333748443337</v>
      </c>
      <c r="F112" s="162">
        <f t="shared" ca="1" si="978"/>
        <v>17.694072229140726</v>
      </c>
      <c r="G112" s="162">
        <f t="shared" ca="1" si="978"/>
        <v>20.571407222914075</v>
      </c>
      <c r="H112" s="162">
        <f t="shared" ca="1" si="978"/>
        <v>26.056164383561644</v>
      </c>
      <c r="I112" s="162">
        <f t="shared" ca="1" si="978"/>
        <v>28.208256537982564</v>
      </c>
      <c r="J112" s="162">
        <f t="shared" ca="1" si="978"/>
        <v>29.19623287671233</v>
      </c>
      <c r="K112" s="162">
        <f t="shared" ca="1" si="978"/>
        <v>35.374688667496883</v>
      </c>
      <c r="L112" s="162">
        <f t="shared" ca="1" si="978"/>
        <v>43.059931506849317</v>
      </c>
      <c r="M112" s="162">
        <f t="shared" ca="1" si="978"/>
        <v>60.395572851805731</v>
      </c>
      <c r="N112" s="162">
        <f t="shared" ca="1" si="978"/>
        <v>63.528717310087181</v>
      </c>
      <c r="O112" s="162">
        <f t="shared" ca="1" si="978"/>
        <v>64.93227895392279</v>
      </c>
      <c r="P112" s="162">
        <f t="shared" ca="1" si="978"/>
        <v>61.947334993773353</v>
      </c>
      <c r="Q112" s="162">
        <f t="shared" ca="1" si="978"/>
        <v>73.71346824408468</v>
      </c>
      <c r="R112" s="162">
        <f t="shared" ca="1" si="978"/>
        <v>84.910896637608971</v>
      </c>
      <c r="S112" s="162">
        <f t="shared" ca="1" si="978"/>
        <v>89.760772104607724</v>
      </c>
      <c r="T112" s="162">
        <f t="shared" ca="1" si="978"/>
        <v>92.162042341220427</v>
      </c>
      <c r="U112" s="162">
        <f t="shared" ca="1" si="978"/>
        <v>89.382895392278954</v>
      </c>
      <c r="V112" s="162">
        <f t="shared" ca="1" si="978"/>
        <v>112.68523038605231</v>
      </c>
      <c r="W112" s="162">
        <f t="shared" ca="1" si="978"/>
        <v>132.88437110834371</v>
      </c>
      <c r="X112" s="162">
        <f t="shared" ca="1" si="978"/>
        <v>154.44285180572854</v>
      </c>
      <c r="Y112" s="162">
        <f t="shared" ca="1" si="978"/>
        <v>182.02548567870488</v>
      </c>
      <c r="Z112" s="162">
        <f t="shared" ca="1" si="978"/>
        <v>213.78051681195518</v>
      </c>
      <c r="AA112" s="162">
        <f t="shared" ca="1" si="978"/>
        <v>213.78051681195518</v>
      </c>
      <c r="AB112" s="21">
        <f t="shared" ca="1" si="978"/>
        <v>309.9354718538886</v>
      </c>
      <c r="AC112" s="21">
        <f t="shared" ca="1" si="978"/>
        <v>369.54505507883499</v>
      </c>
      <c r="AD112" s="21">
        <f t="shared" ca="1" si="978"/>
        <v>439.9832067512678</v>
      </c>
      <c r="AE112" s="21">
        <f t="shared" ca="1" si="978"/>
        <v>522.74121421603843</v>
      </c>
      <c r="AL112" s="162">
        <f t="shared" ref="AL112:BQ112" si="979">+AL$140/AL$85</f>
        <v>65.151468710089404</v>
      </c>
      <c r="AM112" s="162">
        <f t="shared" si="979"/>
        <v>66.449361430395911</v>
      </c>
      <c r="AN112" s="162">
        <f t="shared" si="979"/>
        <v>67.844252873563221</v>
      </c>
      <c r="AO112" s="162">
        <f t="shared" si="979"/>
        <v>67.430779054916997</v>
      </c>
      <c r="AP112" s="162">
        <f t="shared" si="979"/>
        <v>66.590804597701137</v>
      </c>
      <c r="AQ112" s="162">
        <f t="shared" si="979"/>
        <v>68.620945083014036</v>
      </c>
      <c r="AR112" s="162">
        <f t="shared" si="979"/>
        <v>70.775223499361431</v>
      </c>
      <c r="AS112" s="162">
        <f t="shared" si="979"/>
        <v>72.318454661558093</v>
      </c>
      <c r="AT112" s="162">
        <f t="shared" si="979"/>
        <v>63.529693486590041</v>
      </c>
      <c r="AU112" s="162">
        <f t="shared" si="979"/>
        <v>66.06085568326948</v>
      </c>
      <c r="AV112" s="162">
        <f t="shared" si="979"/>
        <v>70.221711366538955</v>
      </c>
      <c r="AW112" s="162">
        <f t="shared" si="979"/>
        <v>73.215389527458498</v>
      </c>
      <c r="AX112" s="162">
        <f t="shared" si="979"/>
        <v>75.596296296296288</v>
      </c>
      <c r="AY112" s="162">
        <f t="shared" si="979"/>
        <v>78.779885057471262</v>
      </c>
      <c r="AZ112" s="162">
        <f t="shared" si="979"/>
        <v>83.547701149425279</v>
      </c>
      <c r="BA112" s="162">
        <f t="shared" si="979"/>
        <v>85.831353767560657</v>
      </c>
      <c r="BB112" s="162">
        <f t="shared" si="979"/>
        <v>87.078544061302679</v>
      </c>
      <c r="BC112" s="162">
        <f t="shared" si="979"/>
        <v>88.379182630906755</v>
      </c>
      <c r="BD112" s="162">
        <f t="shared" si="979"/>
        <v>89.341507024265638</v>
      </c>
      <c r="BE112" s="162">
        <f t="shared" si="979"/>
        <v>91.503065134099629</v>
      </c>
      <c r="BF112" s="162">
        <f t="shared" si="979"/>
        <v>92.053512132822476</v>
      </c>
      <c r="BG112" s="162">
        <f t="shared" si="979"/>
        <v>94.966922094508305</v>
      </c>
      <c r="BH112" s="162">
        <f t="shared" si="979"/>
        <v>97.414623243933576</v>
      </c>
      <c r="BI112" s="162">
        <f t="shared" si="979"/>
        <v>100.59821200510855</v>
      </c>
      <c r="BJ112" s="162">
        <f t="shared" si="979"/>
        <v>94.516091954022997</v>
      </c>
      <c r="BK112" s="162">
        <f t="shared" si="979"/>
        <v>98.475670498084298</v>
      </c>
      <c r="BL112" s="162">
        <f t="shared" si="979"/>
        <v>101.13205619412517</v>
      </c>
      <c r="BM112" s="162">
        <f t="shared" si="979"/>
        <v>105.36424010217114</v>
      </c>
      <c r="BN112" s="162">
        <f t="shared" si="979"/>
        <v>91.665964240102156</v>
      </c>
      <c r="BO112" s="162">
        <f t="shared" si="979"/>
        <v>99.291954022988492</v>
      </c>
      <c r="BP112" s="162">
        <f t="shared" si="979"/>
        <v>103.83001277139208</v>
      </c>
      <c r="BQ112" s="162">
        <f t="shared" si="979"/>
        <v>113.67081736909321</v>
      </c>
      <c r="BR112" s="162">
        <f t="shared" ref="BR112:DB112" si="980">+BR$140/BR$85</f>
        <v>115.56347381864623</v>
      </c>
      <c r="BS112" s="162">
        <f t="shared" si="980"/>
        <v>123.15415070242656</v>
      </c>
      <c r="BT112" s="162">
        <f t="shared" si="980"/>
        <v>126.40523627075351</v>
      </c>
      <c r="BU112" s="162">
        <f t="shared" si="980"/>
        <v>131.76155810983397</v>
      </c>
      <c r="BV112" s="162">
        <f t="shared" si="980"/>
        <v>136.27841634738186</v>
      </c>
      <c r="BW112" s="162">
        <f t="shared" si="980"/>
        <v>142.98531289910602</v>
      </c>
      <c r="BX112" s="162">
        <f t="shared" si="980"/>
        <v>147.84865900383141</v>
      </c>
      <c r="BY112" s="162">
        <f t="shared" si="980"/>
        <v>154.62388250319285</v>
      </c>
      <c r="BZ112" s="162">
        <f t="shared" si="980"/>
        <v>158.3876117496807</v>
      </c>
      <c r="CA112" s="162">
        <f t="shared" si="980"/>
        <v>167.47573435504469</v>
      </c>
      <c r="CB112" s="162">
        <f t="shared" si="980"/>
        <v>173.4808429118774</v>
      </c>
      <c r="CC112" s="162">
        <f t="shared" si="980"/>
        <v>182.01021711366539</v>
      </c>
      <c r="CD112" s="162">
        <f t="shared" si="980"/>
        <v>186.6749680715198</v>
      </c>
      <c r="CE112" s="162">
        <f t="shared" si="980"/>
        <v>197.96679438058749</v>
      </c>
      <c r="CF112" s="162">
        <f t="shared" si="980"/>
        <v>205.12324393358875</v>
      </c>
      <c r="CG112" s="162">
        <f t="shared" si="980"/>
        <v>215.49936143039591</v>
      </c>
      <c r="CH112" s="162">
        <f t="shared" si="980"/>
        <v>219.24106641123882</v>
      </c>
      <c r="CI112" s="162">
        <f t="shared" si="980"/>
        <v>232.1644380587484</v>
      </c>
      <c r="CJ112" s="162">
        <f t="shared" si="980"/>
        <v>243.02298850574712</v>
      </c>
      <c r="CK112" s="162">
        <f t="shared" si="980"/>
        <v>255.49649010848754</v>
      </c>
      <c r="CL112" s="162">
        <f t="shared" si="980"/>
        <v>258.98007471980077</v>
      </c>
      <c r="CM112" s="21">
        <f t="shared" si="980"/>
        <v>272.30096277893136</v>
      </c>
      <c r="CN112" s="21">
        <f t="shared" si="980"/>
        <v>285.28733139962048</v>
      </c>
      <c r="CO112" s="21">
        <f t="shared" si="980"/>
        <v>297.90658397820579</v>
      </c>
      <c r="CP112" s="21">
        <f t="shared" si="980"/>
        <v>309.9354718538886</v>
      </c>
      <c r="CQ112" s="21">
        <f t="shared" si="980"/>
        <v>325.08241864897695</v>
      </c>
      <c r="CR112" s="21">
        <f t="shared" si="980"/>
        <v>340.09911249940933</v>
      </c>
      <c r="CS112" s="21">
        <f t="shared" si="980"/>
        <v>355.00290327290134</v>
      </c>
      <c r="CT112" s="21">
        <f t="shared" si="980"/>
        <v>369.54505507883499</v>
      </c>
      <c r="CU112" s="21">
        <f t="shared" si="980"/>
        <v>387.30915727325691</v>
      </c>
      <c r="CV112" s="21">
        <f t="shared" si="980"/>
        <v>405.02360585592083</v>
      </c>
      <c r="CW112" s="21">
        <f t="shared" si="980"/>
        <v>422.69566662527302</v>
      </c>
      <c r="CX112" s="21">
        <f t="shared" si="980"/>
        <v>439.9832067512678</v>
      </c>
      <c r="CY112" s="21">
        <f t="shared" si="980"/>
        <v>460.81056698473066</v>
      </c>
      <c r="CZ112" s="21">
        <f t="shared" si="980"/>
        <v>481.62713911706606</v>
      </c>
      <c r="DA112" s="21">
        <f t="shared" si="980"/>
        <v>502.40657870386877</v>
      </c>
      <c r="DB112" s="21">
        <f t="shared" si="980"/>
        <v>522.74121421603843</v>
      </c>
      <c r="DE112" s="22"/>
      <c r="DF112" s="162">
        <v>213.78051681195518</v>
      </c>
    </row>
    <row r="113" spans="1:110" s="162" customFormat="1" x14ac:dyDescent="0.2">
      <c r="A113" s="49" t="s">
        <v>501</v>
      </c>
      <c r="AB113" s="21"/>
      <c r="AC113" s="21"/>
      <c r="AD113" s="21"/>
      <c r="AE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E113" s="22"/>
    </row>
    <row r="114" spans="1:110" s="162" customFormat="1" x14ac:dyDescent="0.2">
      <c r="A114" s="49" t="s">
        <v>502</v>
      </c>
      <c r="E114" s="162">
        <f t="shared" ref="E114:AE116" ca="1" si="981">+E97/E$112</f>
        <v>2.0179095551122681</v>
      </c>
      <c r="F114" s="162">
        <f t="shared" ca="1" si="981"/>
        <v>2.3369408389720401</v>
      </c>
      <c r="G114" s="162">
        <f t="shared" ca="1" si="981"/>
        <v>2.8316001607861079</v>
      </c>
      <c r="H114" s="162">
        <f t="shared" ca="1" si="981"/>
        <v>1.5101992534567059</v>
      </c>
      <c r="I114" s="162">
        <f t="shared" ca="1" si="981"/>
        <v>0.88449280679239051</v>
      </c>
      <c r="J114" s="162">
        <f t="shared" ca="1" si="981"/>
        <v>0.62936201658592661</v>
      </c>
      <c r="K114" s="162">
        <f t="shared" ca="1" si="981"/>
        <v>1.0007155209969769</v>
      </c>
      <c r="L114" s="162">
        <f t="shared" ca="1" si="981"/>
        <v>1.5420368234779498</v>
      </c>
      <c r="M114" s="162">
        <f t="shared" ca="1" si="981"/>
        <v>0.50583177801726242</v>
      </c>
      <c r="N114" s="162">
        <f t="shared" ca="1" si="981"/>
        <v>0.57887206852452555</v>
      </c>
      <c r="O114" s="162">
        <f t="shared" ca="1" si="981"/>
        <v>0.98833740373628076</v>
      </c>
      <c r="P114" s="162">
        <f t="shared" ca="1" si="981"/>
        <v>1.6150815851893636</v>
      </c>
      <c r="Q114" s="162">
        <f t="shared" ca="1" si="981"/>
        <v>1.6916854269708963</v>
      </c>
      <c r="R114" s="162">
        <f t="shared" ca="1" si="981"/>
        <v>2.0433184299122438</v>
      </c>
      <c r="S114" s="162">
        <f t="shared" ca="1" si="981"/>
        <v>1.7223559509919129</v>
      </c>
      <c r="T114" s="162">
        <f t="shared" ca="1" si="981"/>
        <v>1.9509116273086604</v>
      </c>
      <c r="U114" s="162">
        <f t="shared" ca="1" si="981"/>
        <v>2.8436648744090256</v>
      </c>
      <c r="V114" s="162">
        <f t="shared" ca="1" si="981"/>
        <v>5.5623971114282122</v>
      </c>
      <c r="W114" s="162">
        <f t="shared" ca="1" si="981"/>
        <v>5.9269573496935273</v>
      </c>
      <c r="X114" s="162">
        <f t="shared" ca="1" si="981"/>
        <v>6.3806773086499566</v>
      </c>
      <c r="Y114" s="162">
        <f t="shared" ca="1" si="981"/>
        <v>9.0616431751291238</v>
      </c>
      <c r="Z114" s="162">
        <f t="shared" ca="1" si="981"/>
        <v>7.5881564147724161</v>
      </c>
      <c r="AA114" s="162">
        <f t="shared" ref="AA114" ca="1" si="982">+AA97/AA$112</f>
        <v>7.5881564147724161</v>
      </c>
      <c r="AB114" s="21">
        <f t="shared" ca="1" si="981"/>
        <v>6.656869533709405</v>
      </c>
      <c r="AC114" s="21">
        <f t="shared" ca="1" si="981"/>
        <v>5.5830810658793899</v>
      </c>
      <c r="AD114" s="21">
        <f t="shared" ca="1" si="981"/>
        <v>4.689269881989774</v>
      </c>
      <c r="AE114" s="21">
        <f t="shared" ca="1" si="981"/>
        <v>3.9468860382363515</v>
      </c>
      <c r="AL114" s="162">
        <f t="shared" ref="AL114:CI116" si="983">+AL97/AL$112</f>
        <v>0.56445389072717855</v>
      </c>
      <c r="AM114" s="162">
        <f t="shared" si="983"/>
        <v>0.57675497815196475</v>
      </c>
      <c r="AN114" s="162">
        <f t="shared" si="983"/>
        <v>0.62643478555515075</v>
      </c>
      <c r="AO114" s="162">
        <f t="shared" si="983"/>
        <v>0.95839023226126585</v>
      </c>
      <c r="AP114" s="162">
        <f t="shared" si="983"/>
        <v>0.96372164877274158</v>
      </c>
      <c r="AQ114" s="162">
        <f t="shared" si="983"/>
        <v>1.1377721467629007</v>
      </c>
      <c r="AR114" s="162">
        <f t="shared" si="983"/>
        <v>1.5814149990075248</v>
      </c>
      <c r="AS114" s="162">
        <f t="shared" si="983"/>
        <v>1.3927980136105123</v>
      </c>
      <c r="AT114" s="162">
        <f t="shared" si="983"/>
        <v>1.57485412740294</v>
      </c>
      <c r="AU114" s="162">
        <f t="shared" si="983"/>
        <v>1.7903946107975444</v>
      </c>
      <c r="AV114" s="162">
        <f t="shared" si="983"/>
        <v>1.9726804901825272</v>
      </c>
      <c r="AW114" s="162">
        <f t="shared" si="983"/>
        <v>1.9056785861621748</v>
      </c>
      <c r="AX114" s="162">
        <f t="shared" si="983"/>
        <v>1.6495517123119889</v>
      </c>
      <c r="AY114" s="162">
        <f t="shared" si="983"/>
        <v>1.5895555052999408</v>
      </c>
      <c r="AZ114" s="162">
        <f t="shared" si="983"/>
        <v>2.1311178829631365</v>
      </c>
      <c r="BA114" s="162">
        <f t="shared" si="983"/>
        <v>2.0420859313795878</v>
      </c>
      <c r="BB114" s="162">
        <f t="shared" si="983"/>
        <v>1.9924540754592455</v>
      </c>
      <c r="BC114" s="162">
        <f t="shared" si="983"/>
        <v>1.77162760888948</v>
      </c>
      <c r="BD114" s="162">
        <f t="shared" si="983"/>
        <v>1.5664611518360532</v>
      </c>
      <c r="BE114" s="162">
        <f t="shared" si="983"/>
        <v>1.8245290445225122</v>
      </c>
      <c r="BF114" s="162">
        <f t="shared" si="983"/>
        <v>1.6794579198339574</v>
      </c>
      <c r="BG114" s="162">
        <f t="shared" si="983"/>
        <v>1.3588942039373797</v>
      </c>
      <c r="BH114" s="162">
        <f t="shared" si="983"/>
        <v>1.5018279096933298</v>
      </c>
      <c r="BI114" s="162">
        <f t="shared" si="983"/>
        <v>1.5221443497646265</v>
      </c>
      <c r="BJ114" s="162">
        <f t="shared" si="983"/>
        <v>1.9023215653844749</v>
      </c>
      <c r="BK114" s="162">
        <f t="shared" si="983"/>
        <v>1.8489338440558472</v>
      </c>
      <c r="BL114" s="162">
        <f t="shared" si="983"/>
        <v>1.8322578119475061</v>
      </c>
      <c r="BM114" s="162">
        <f t="shared" si="983"/>
        <v>2.0206096470069164</v>
      </c>
      <c r="BN114" s="162">
        <f t="shared" si="983"/>
        <v>2.7728394296299039</v>
      </c>
      <c r="BO114" s="162">
        <f t="shared" si="983"/>
        <v>3.5612150398221902</v>
      </c>
      <c r="BP114" s="162">
        <f t="shared" si="983"/>
        <v>4.7553687688271307</v>
      </c>
      <c r="BQ114" s="162">
        <f t="shared" si="983"/>
        <v>4.4741034838224021</v>
      </c>
      <c r="BR114" s="162">
        <f t="shared" si="983"/>
        <v>5.4238591077976528</v>
      </c>
      <c r="BS114" s="162">
        <f t="shared" si="983"/>
        <v>6.7517009800922327</v>
      </c>
      <c r="BT114" s="162">
        <f t="shared" si="983"/>
        <v>7.3774633671229086</v>
      </c>
      <c r="BU114" s="162">
        <f t="shared" si="983"/>
        <v>6.7455182888708167</v>
      </c>
      <c r="BV114" s="162">
        <f t="shared" si="983"/>
        <v>5.7793451164882947</v>
      </c>
      <c r="BW114" s="162">
        <f t="shared" si="983"/>
        <v>5.4855284371301609</v>
      </c>
      <c r="BX114" s="162">
        <f t="shared" si="983"/>
        <v>6.4839952317400265</v>
      </c>
      <c r="BY114" s="162">
        <f t="shared" si="983"/>
        <v>6.2841197897093011</v>
      </c>
      <c r="BZ114" s="162">
        <f t="shared" si="983"/>
        <v>6.2217618481262731</v>
      </c>
      <c r="CA114" s="162">
        <f t="shared" si="983"/>
        <v>7.0646055355801538</v>
      </c>
      <c r="CB114" s="162">
        <f t="shared" si="983"/>
        <v>8.5522411298960872</v>
      </c>
      <c r="CC114" s="162">
        <f t="shared" si="983"/>
        <v>8.9247737064428758</v>
      </c>
      <c r="CD114" s="162">
        <f t="shared" si="983"/>
        <v>8.8359463351725598</v>
      </c>
      <c r="CE114" s="162">
        <f t="shared" si="983"/>
        <v>8.8704270102188278</v>
      </c>
      <c r="CF114" s="162">
        <f t="shared" si="983"/>
        <v>9.143039881951168</v>
      </c>
      <c r="CG114" s="162">
        <f t="shared" si="983"/>
        <v>8.5601181727669271</v>
      </c>
      <c r="CH114" s="162">
        <f t="shared" si="983"/>
        <v>7.3991612363222945</v>
      </c>
      <c r="CI114" s="162">
        <f t="shared" si="983"/>
        <v>7.2353889081622933</v>
      </c>
      <c r="CJ114" s="162">
        <f>+CJ97/CJ$112</f>
        <v>7.0277302180390677</v>
      </c>
      <c r="CK114" s="162">
        <f>+CK97/CK$112</f>
        <v>7.1251468042751211</v>
      </c>
      <c r="CL114" s="162">
        <f>+CL97/CL$112</f>
        <v>7.9666360519520474</v>
      </c>
      <c r="CM114" s="21">
        <f t="shared" ref="CM114:DB114" si="984">+CM97/CM$112</f>
        <v>7.5769104117160877</v>
      </c>
      <c r="CN114" s="21">
        <f t="shared" si="984"/>
        <v>7.232007078190029</v>
      </c>
      <c r="CO114" s="21">
        <f t="shared" si="984"/>
        <v>6.9256609654217618</v>
      </c>
      <c r="CP114" s="21">
        <f t="shared" si="984"/>
        <v>6.656869533709405</v>
      </c>
      <c r="CQ114" s="21">
        <f t="shared" si="984"/>
        <v>6.346698196028365</v>
      </c>
      <c r="CR114" s="21">
        <f t="shared" si="984"/>
        <v>6.066466874427916</v>
      </c>
      <c r="CS114" s="21">
        <f t="shared" si="984"/>
        <v>5.8117834557931953</v>
      </c>
      <c r="CT114" s="21">
        <f t="shared" si="984"/>
        <v>5.5830810658793899</v>
      </c>
      <c r="CU114" s="21">
        <f t="shared" si="984"/>
        <v>5.3270106354453102</v>
      </c>
      <c r="CV114" s="21">
        <f t="shared" si="984"/>
        <v>5.0940240770409382</v>
      </c>
      <c r="CW114" s="21">
        <f t="shared" si="984"/>
        <v>4.8810531143416291</v>
      </c>
      <c r="CX114" s="21">
        <f t="shared" si="984"/>
        <v>4.689269881989774</v>
      </c>
      <c r="CY114" s="21">
        <f t="shared" si="984"/>
        <v>4.4773278822583196</v>
      </c>
      <c r="CZ114" s="21">
        <f t="shared" si="984"/>
        <v>4.2838117548407313</v>
      </c>
      <c r="DA114" s="21">
        <f t="shared" si="984"/>
        <v>4.10663412354738</v>
      </c>
      <c r="DB114" s="21">
        <f t="shared" si="984"/>
        <v>3.9468860382363515</v>
      </c>
      <c r="DE114" s="22"/>
      <c r="DF114" s="162">
        <v>7.5881564147724161</v>
      </c>
    </row>
    <row r="115" spans="1:110" s="162" customFormat="1" x14ac:dyDescent="0.2">
      <c r="A115" s="49" t="s">
        <v>503</v>
      </c>
      <c r="E115" s="162">
        <f t="shared" ca="1" si="981"/>
        <v>2.6507949511511728</v>
      </c>
      <c r="F115" s="162">
        <f t="shared" ca="1" si="981"/>
        <v>2.9275341102479242</v>
      </c>
      <c r="G115" s="162">
        <f t="shared" ca="1" si="981"/>
        <v>3.3906285187095455</v>
      </c>
      <c r="H115" s="162">
        <f t="shared" ca="1" si="981"/>
        <v>2.4543136533305296</v>
      </c>
      <c r="I115" s="162">
        <f t="shared" ca="1" si="981"/>
        <v>1.8026636964085396</v>
      </c>
      <c r="J115" s="162">
        <f t="shared" ca="1" si="981"/>
        <v>0.99670392830750831</v>
      </c>
      <c r="K115" s="162">
        <f t="shared" ca="1" si="981"/>
        <v>1.1265116811223033</v>
      </c>
      <c r="L115" s="162">
        <f t="shared" ca="1" si="981"/>
        <v>1.7237602894977531</v>
      </c>
      <c r="M115" s="162">
        <f t="shared" ca="1" si="981"/>
        <v>1.5315692133092236</v>
      </c>
      <c r="N115" s="162">
        <f t="shared" ca="1" si="981"/>
        <v>0.75871199735913353</v>
      </c>
      <c r="O115" s="162">
        <f t="shared" ca="1" si="981"/>
        <v>1.0895967481782918</v>
      </c>
      <c r="P115" s="162">
        <f t="shared" ca="1" si="981"/>
        <v>2.0779747831434365</v>
      </c>
      <c r="Q115" s="162">
        <f t="shared" ca="1" si="981"/>
        <v>2.1573398157501749</v>
      </c>
      <c r="R115" s="162">
        <f t="shared" ca="1" si="981"/>
        <v>2.3766089864915898</v>
      </c>
      <c r="S115" s="162">
        <f t="shared" ca="1" si="981"/>
        <v>2.0223199482781822</v>
      </c>
      <c r="T115" s="162">
        <f t="shared" ca="1" si="981"/>
        <v>1.9701711831399888</v>
      </c>
      <c r="U115" s="162">
        <f t="shared" ca="1" si="981"/>
        <v>3.350752945354591</v>
      </c>
      <c r="V115" s="162">
        <f t="shared" ca="1" si="981"/>
        <v>5.8477051317415771</v>
      </c>
      <c r="W115" s="162">
        <f t="shared" ca="1" si="981"/>
        <v>7.4679587352743955</v>
      </c>
      <c r="X115" s="162">
        <f t="shared" ca="1" si="981"/>
        <v>6.9601796873847182</v>
      </c>
      <c r="Y115" s="162">
        <f t="shared" ca="1" si="981"/>
        <v>10.630379547045896</v>
      </c>
      <c r="Z115" s="162">
        <f t="shared" ca="1" si="981"/>
        <v>9.4910426368963332</v>
      </c>
      <c r="AA115" s="162">
        <f t="shared" ref="AA115" ca="1" si="985">+AA98/AA$112</f>
        <v>9.4910426368963332</v>
      </c>
      <c r="AB115" s="21">
        <f t="shared" ca="1" si="981"/>
        <v>7.7064863728019368</v>
      </c>
      <c r="AC115" s="21">
        <f t="shared" ca="1" si="981"/>
        <v>7.5611211696282181</v>
      </c>
      <c r="AD115" s="21">
        <f t="shared" ca="1" si="981"/>
        <v>7.5042856743716504</v>
      </c>
      <c r="AE115" s="21">
        <f t="shared" ca="1" si="981"/>
        <v>7.420971970813004</v>
      </c>
      <c r="AL115" s="162">
        <f t="shared" si="983"/>
        <v>0.73674471121426444</v>
      </c>
      <c r="AM115" s="162">
        <f t="shared" si="983"/>
        <v>0.65726741476287165</v>
      </c>
      <c r="AN115" s="162">
        <f t="shared" si="983"/>
        <v>0.65591406958127552</v>
      </c>
      <c r="AO115" s="162">
        <f t="shared" si="983"/>
        <v>1.0069585573777944</v>
      </c>
      <c r="AP115" s="162">
        <f t="shared" si="983"/>
        <v>1.0624590050747404</v>
      </c>
      <c r="AQ115" s="162">
        <f t="shared" si="983"/>
        <v>1.2139150794153011</v>
      </c>
      <c r="AR115" s="162">
        <f t="shared" si="983"/>
        <v>1.8187862027897577</v>
      </c>
      <c r="AS115" s="162">
        <f t="shared" si="983"/>
        <v>1.6385858983653085</v>
      </c>
      <c r="AT115" s="162">
        <f t="shared" si="983"/>
        <v>1.7661032793064455</v>
      </c>
      <c r="AU115" s="162">
        <f t="shared" si="983"/>
        <v>2.0284327021506736</v>
      </c>
      <c r="AV115" s="162">
        <f t="shared" si="983"/>
        <v>2.1175786961930463</v>
      </c>
      <c r="AW115" s="162">
        <f t="shared" si="983"/>
        <v>2.1720160341475712</v>
      </c>
      <c r="AX115" s="162">
        <f t="shared" si="983"/>
        <v>1.9075008573808241</v>
      </c>
      <c r="AY115" s="162">
        <f t="shared" si="983"/>
        <v>1.691421609752183</v>
      </c>
      <c r="AZ115" s="162">
        <f t="shared" si="983"/>
        <v>2.369903627221011</v>
      </c>
      <c r="BA115" s="162">
        <f t="shared" si="983"/>
        <v>2.3511221848660724</v>
      </c>
      <c r="BB115" s="162">
        <f t="shared" si="983"/>
        <v>2.1110251897481023</v>
      </c>
      <c r="BC115" s="162">
        <f t="shared" si="983"/>
        <v>2.0539339083740242</v>
      </c>
      <c r="BD115" s="162">
        <f t="shared" si="983"/>
        <v>1.886021465411754</v>
      </c>
      <c r="BE115" s="162">
        <f t="shared" si="983"/>
        <v>1.8619594846392513</v>
      </c>
      <c r="BF115" s="162">
        <f t="shared" si="983"/>
        <v>1.8684784101645582</v>
      </c>
      <c r="BG115" s="162">
        <f t="shared" si="983"/>
        <v>1.7664045153854739</v>
      </c>
      <c r="BH115" s="162">
        <f t="shared" si="983"/>
        <v>1.8015775676772341</v>
      </c>
      <c r="BI115" s="162">
        <f t="shared" si="983"/>
        <v>1.5902370112887909</v>
      </c>
      <c r="BJ115" s="162">
        <f t="shared" si="983"/>
        <v>1.9211014362329588</v>
      </c>
      <c r="BK115" s="162">
        <f t="shared" si="983"/>
        <v>2.067008012948333</v>
      </c>
      <c r="BL115" s="162">
        <f t="shared" si="983"/>
        <v>2.0319966559914326</v>
      </c>
      <c r="BM115" s="162">
        <f t="shared" si="983"/>
        <v>2.0642677229873381</v>
      </c>
      <c r="BN115" s="162">
        <f t="shared" si="983"/>
        <v>3.2672977640372034</v>
      </c>
      <c r="BO115" s="162">
        <f t="shared" si="983"/>
        <v>3.7414914799036865</v>
      </c>
      <c r="BP115" s="162">
        <f t="shared" si="983"/>
        <v>5.5378978067353923</v>
      </c>
      <c r="BQ115" s="162">
        <f t="shared" si="983"/>
        <v>4.8059828603690278</v>
      </c>
      <c r="BR115" s="162">
        <f t="shared" si="983"/>
        <v>5.7020611982821698</v>
      </c>
      <c r="BS115" s="162">
        <f t="shared" si="983"/>
        <v>6.8306670558966793</v>
      </c>
      <c r="BT115" s="162">
        <f t="shared" si="983"/>
        <v>7.8507428115903668</v>
      </c>
      <c r="BU115" s="162">
        <f t="shared" si="983"/>
        <v>7.2433873254931456</v>
      </c>
      <c r="BV115" s="162">
        <f t="shared" si="983"/>
        <v>6.8719612767791878</v>
      </c>
      <c r="BW115" s="162">
        <f t="shared" si="983"/>
        <v>6.2516910434763178</v>
      </c>
      <c r="BX115" s="162">
        <f t="shared" si="983"/>
        <v>6.9185612293818108</v>
      </c>
      <c r="BY115" s="162">
        <f t="shared" si="983"/>
        <v>6.9520308415344783</v>
      </c>
      <c r="BZ115" s="162">
        <f t="shared" si="983"/>
        <v>6.579270869030581</v>
      </c>
      <c r="CA115" s="162">
        <f t="shared" si="983"/>
        <v>7.284786686849662</v>
      </c>
      <c r="CB115" s="162">
        <f t="shared" si="983"/>
        <v>8.7881461400002205</v>
      </c>
      <c r="CC115" s="162">
        <f t="shared" si="983"/>
        <v>9.0093843411875323</v>
      </c>
      <c r="CD115" s="162">
        <f t="shared" si="983"/>
        <v>10.365610451095154</v>
      </c>
      <c r="CE115" s="162">
        <f t="shared" si="983"/>
        <v>9.7238529624277454</v>
      </c>
      <c r="CF115" s="162">
        <f t="shared" si="983"/>
        <v>9.8916142368385831</v>
      </c>
      <c r="CG115" s="162">
        <f t="shared" si="983"/>
        <v>9.2714891902143002</v>
      </c>
      <c r="CH115" s="162">
        <f t="shared" si="983"/>
        <v>8.7431156551870224</v>
      </c>
      <c r="CI115" s="162">
        <f t="shared" si="983"/>
        <v>7.9682746223686358</v>
      </c>
      <c r="CJ115" s="162">
        <f t="shared" ref="CJ115:CL116" si="986">+CJ98/CJ$112</f>
        <v>7.4587594002743227</v>
      </c>
      <c r="CK115" s="162">
        <f t="shared" ref="CK115" si="987">+CK98/CK$112</f>
        <v>7.2190815584856747</v>
      </c>
      <c r="CL115" s="162">
        <f t="shared" si="986"/>
        <v>8.4755555128124982</v>
      </c>
      <c r="CM115" s="94">
        <f t="shared" ref="CM115:DB115" si="988">+CL115</f>
        <v>8.4755555128124982</v>
      </c>
      <c r="CN115" s="94">
        <f t="shared" si="988"/>
        <v>8.4755555128124982</v>
      </c>
      <c r="CO115" s="94">
        <f t="shared" si="988"/>
        <v>8.4755555128124982</v>
      </c>
      <c r="CP115" s="94">
        <f t="shared" si="988"/>
        <v>8.4755555128124982</v>
      </c>
      <c r="CQ115" s="94">
        <f t="shared" si="988"/>
        <v>8.4755555128124982</v>
      </c>
      <c r="CR115" s="94">
        <f t="shared" si="988"/>
        <v>8.4755555128124982</v>
      </c>
      <c r="CS115" s="94">
        <f t="shared" si="988"/>
        <v>8.4755555128124982</v>
      </c>
      <c r="CT115" s="94">
        <f t="shared" si="988"/>
        <v>8.4755555128124982</v>
      </c>
      <c r="CU115" s="94">
        <f t="shared" si="988"/>
        <v>8.4755555128124982</v>
      </c>
      <c r="CV115" s="94">
        <f t="shared" si="988"/>
        <v>8.4755555128124982</v>
      </c>
      <c r="CW115" s="94">
        <f t="shared" si="988"/>
        <v>8.4755555128124982</v>
      </c>
      <c r="CX115" s="94">
        <f t="shared" si="988"/>
        <v>8.4755555128124982</v>
      </c>
      <c r="CY115" s="94">
        <f t="shared" si="988"/>
        <v>8.4755555128124982</v>
      </c>
      <c r="CZ115" s="94">
        <f t="shared" si="988"/>
        <v>8.4755555128124982</v>
      </c>
      <c r="DA115" s="94">
        <f t="shared" si="988"/>
        <v>8.4755555128124982</v>
      </c>
      <c r="DB115" s="94">
        <f t="shared" si="988"/>
        <v>8.4755555128124982</v>
      </c>
      <c r="DC115" s="94"/>
      <c r="DE115" s="22"/>
      <c r="DF115" s="162">
        <v>9.4910426368963332</v>
      </c>
    </row>
    <row r="116" spans="1:110" s="162" customFormat="1" x14ac:dyDescent="0.2">
      <c r="A116" s="49" t="s">
        <v>504</v>
      </c>
      <c r="E116" s="162">
        <f t="shared" ca="1" si="981"/>
        <v>0.96018403915170236</v>
      </c>
      <c r="F116" s="162">
        <f t="shared" ca="1" si="981"/>
        <v>1.4129025628609673</v>
      </c>
      <c r="G116" s="162">
        <f t="shared" ca="1" si="981"/>
        <v>1.7111128868613048</v>
      </c>
      <c r="H116" s="162">
        <f t="shared" ca="1" si="981"/>
        <v>1.423847326638978</v>
      </c>
      <c r="I116" s="162">
        <f t="shared" ca="1" si="981"/>
        <v>0.56366475462921883</v>
      </c>
      <c r="J116" s="162">
        <f t="shared" ca="1" si="981"/>
        <v>0.46410097005383977</v>
      </c>
      <c r="K116" s="162">
        <f t="shared" ca="1" si="981"/>
        <v>0.51590560051397827</v>
      </c>
      <c r="L116" s="162">
        <f t="shared" ca="1" si="981"/>
        <v>0.8348828886149442</v>
      </c>
      <c r="M116" s="162">
        <f t="shared" ca="1" si="981"/>
        <v>0.48016764525370248</v>
      </c>
      <c r="N116" s="162">
        <f t="shared" ca="1" si="981"/>
        <v>0.4643569278442829</v>
      </c>
      <c r="O116" s="162">
        <f t="shared" ca="1" si="981"/>
        <v>0.56058405135957334</v>
      </c>
      <c r="P116" s="162">
        <f t="shared" ca="1" si="981"/>
        <v>1.0391891758777139</v>
      </c>
      <c r="Q116" s="162">
        <f t="shared" ca="1" si="981"/>
        <v>1.3532126811575533</v>
      </c>
      <c r="R116" s="162">
        <f t="shared" ca="1" si="981"/>
        <v>1.3602494446966236</v>
      </c>
      <c r="S116" s="162">
        <f t="shared" ca="1" si="981"/>
        <v>1.4204423269823343</v>
      </c>
      <c r="T116" s="162">
        <f t="shared" ca="1" si="981"/>
        <v>1.2803535707587426</v>
      </c>
      <c r="U116" s="162">
        <f t="shared" ca="1" si="981"/>
        <v>1.7173308083870775</v>
      </c>
      <c r="V116" s="162">
        <f t="shared" ca="1" si="981"/>
        <v>1.965652457213384</v>
      </c>
      <c r="W116" s="162">
        <f t="shared" ca="1" si="981"/>
        <v>4.5390966218910531</v>
      </c>
      <c r="X116" s="162">
        <f t="shared" ca="1" si="981"/>
        <v>4.3350986605853787</v>
      </c>
      <c r="Y116" s="162">
        <f t="shared" ca="1" si="981"/>
        <v>5.0248458153516946</v>
      </c>
      <c r="Z116" s="162">
        <f t="shared" ca="1" si="981"/>
        <v>6.7117903043621006</v>
      </c>
      <c r="AA116" s="162">
        <f t="shared" ref="AA116" ca="1" si="989">+AA99/AA$112</f>
        <v>6.7117903043621006</v>
      </c>
      <c r="AB116" s="21">
        <f t="shared" ca="1" si="981"/>
        <v>5.746321662527385</v>
      </c>
      <c r="AC116" s="21">
        <f t="shared" ca="1" si="981"/>
        <v>5.4202160839544629</v>
      </c>
      <c r="AD116" s="21">
        <f t="shared" ca="1" si="981"/>
        <v>5.3671479820845942</v>
      </c>
      <c r="AE116" s="21">
        <f t="shared" ca="1" si="981"/>
        <v>5.3359476123648211</v>
      </c>
      <c r="AL116" s="162">
        <f t="shared" si="983"/>
        <v>0.53951201248294567</v>
      </c>
      <c r="AM116" s="162">
        <f t="shared" si="983"/>
        <v>0.54929045538282351</v>
      </c>
      <c r="AN116" s="162">
        <f t="shared" si="983"/>
        <v>0.53652296927547027</v>
      </c>
      <c r="AO116" s="162">
        <f t="shared" si="983"/>
        <v>0.62768072078078263</v>
      </c>
      <c r="AP116" s="162">
        <f t="shared" si="983"/>
        <v>0.86423343805019515</v>
      </c>
      <c r="AQ116" s="162">
        <f t="shared" si="983"/>
        <v>0.93812464870780321</v>
      </c>
      <c r="AR116" s="162">
        <f t="shared" si="983"/>
        <v>1.0483894833715286</v>
      </c>
      <c r="AS116" s="162">
        <f t="shared" si="983"/>
        <v>1.2928926708620789</v>
      </c>
      <c r="AT116" s="162">
        <f t="shared" si="983"/>
        <v>1.4166603844704109</v>
      </c>
      <c r="AU116" s="162">
        <f t="shared" si="983"/>
        <v>1.5099713585039529</v>
      </c>
      <c r="AV116" s="162">
        <f t="shared" si="983"/>
        <v>1.6661513614968826</v>
      </c>
      <c r="AW116" s="162">
        <f t="shared" si="983"/>
        <v>1.720949663905637</v>
      </c>
      <c r="AX116" s="162">
        <f t="shared" si="983"/>
        <v>1.509994610749106</v>
      </c>
      <c r="AY116" s="162">
        <f t="shared" si="983"/>
        <v>1.466110288378065</v>
      </c>
      <c r="AZ116" s="162">
        <f t="shared" si="983"/>
        <v>1.4847805300846788</v>
      </c>
      <c r="BA116" s="162">
        <f t="shared" si="983"/>
        <v>1.79421613711286</v>
      </c>
      <c r="BB116" s="162">
        <f t="shared" si="983"/>
        <v>1.8092861071389288</v>
      </c>
      <c r="BC116" s="162">
        <f t="shared" si="983"/>
        <v>1.7651215518873313</v>
      </c>
      <c r="BD116" s="162">
        <f t="shared" si="983"/>
        <v>1.4271082305044429</v>
      </c>
      <c r="BE116" s="162">
        <f t="shared" si="983"/>
        <v>1.4630657432491843</v>
      </c>
      <c r="BF116" s="162">
        <f t="shared" si="983"/>
        <v>1.5243850750368697</v>
      </c>
      <c r="BG116" s="162">
        <f t="shared" si="983"/>
        <v>1.3267777582030982</v>
      </c>
      <c r="BH116" s="162">
        <f t="shared" si="983"/>
        <v>1.2113171110308469</v>
      </c>
      <c r="BI116" s="162">
        <f t="shared" si="983"/>
        <v>1.3941599677027845</v>
      </c>
      <c r="BJ116" s="162">
        <f t="shared" si="983"/>
        <v>1.5701030050225588</v>
      </c>
      <c r="BK116" s="162">
        <f t="shared" si="983"/>
        <v>1.5587606484282441</v>
      </c>
      <c r="BL116" s="162">
        <f t="shared" si="983"/>
        <v>1.730410777608276</v>
      </c>
      <c r="BM116" s="162">
        <f t="shared" si="983"/>
        <v>1.5266090264023602</v>
      </c>
      <c r="BN116" s="162">
        <f t="shared" si="983"/>
        <v>2.315745017899824</v>
      </c>
      <c r="BO116" s="162">
        <f t="shared" si="983"/>
        <v>2.2307950546397484</v>
      </c>
      <c r="BP116" s="162">
        <f t="shared" si="983"/>
        <v>3.3581330743712403</v>
      </c>
      <c r="BQ116" s="162">
        <f t="shared" si="983"/>
        <v>3.9262495892050104</v>
      </c>
      <c r="BR116" s="162">
        <f t="shared" si="983"/>
        <v>4.140581657755547</v>
      </c>
      <c r="BS116" s="162">
        <f t="shared" si="983"/>
        <v>4.8977236784932439</v>
      </c>
      <c r="BT116" s="162">
        <f t="shared" si="983"/>
        <v>6.4637353966090529</v>
      </c>
      <c r="BU116" s="162">
        <f t="shared" si="983"/>
        <v>5.4340583875241961</v>
      </c>
      <c r="BV116" s="162">
        <f t="shared" si="983"/>
        <v>5.448404963169831</v>
      </c>
      <c r="BW116" s="162">
        <f t="shared" si="983"/>
        <v>4.6824739298394471</v>
      </c>
      <c r="BX116" s="162">
        <f t="shared" si="983"/>
        <v>5.2325466136284131</v>
      </c>
      <c r="BY116" s="162">
        <f t="shared" si="983"/>
        <v>6.0584108019707523</v>
      </c>
      <c r="BZ116" s="162">
        <f t="shared" si="983"/>
        <v>5.9900518072046287</v>
      </c>
      <c r="CA116" s="162">
        <f t="shared" si="983"/>
        <v>5.4613882036245505</v>
      </c>
      <c r="CB116" s="162">
        <f t="shared" si="983"/>
        <v>6.5275218922888349</v>
      </c>
      <c r="CC116" s="162">
        <f t="shared" si="983"/>
        <v>6.8460442482843789</v>
      </c>
      <c r="CD116" s="162">
        <f t="shared" si="983"/>
        <v>7.8958095733290463</v>
      </c>
      <c r="CE116" s="162">
        <f t="shared" si="983"/>
        <v>8.3185667836498762</v>
      </c>
      <c r="CF116" s="162">
        <f t="shared" si="983"/>
        <v>8.2572309579326522</v>
      </c>
      <c r="CG116" s="162">
        <f t="shared" si="983"/>
        <v>7.6803011805423855</v>
      </c>
      <c r="CH116" s="162">
        <f t="shared" si="983"/>
        <v>6.5446224262957973</v>
      </c>
      <c r="CI116" s="162">
        <f t="shared" si="983"/>
        <v>5.6124013259527734</v>
      </c>
      <c r="CJ116" s="162">
        <f t="shared" si="986"/>
        <v>6.6001986473064376</v>
      </c>
      <c r="CK116" s="162">
        <f t="shared" ref="CK116" si="990">+CK99/CK$112</f>
        <v>6.2742544890511862</v>
      </c>
      <c r="CL116" s="162">
        <f t="shared" si="986"/>
        <v>6.8617247945528241</v>
      </c>
      <c r="CM116" s="94">
        <f t="shared" ref="CM116:DB116" si="991">+CL116</f>
        <v>6.8617247945528241</v>
      </c>
      <c r="CN116" s="94">
        <f t="shared" si="991"/>
        <v>6.8617247945528241</v>
      </c>
      <c r="CO116" s="94">
        <f t="shared" si="991"/>
        <v>6.8617247945528241</v>
      </c>
      <c r="CP116" s="94">
        <f t="shared" si="991"/>
        <v>6.8617247945528241</v>
      </c>
      <c r="CQ116" s="94">
        <f t="shared" si="991"/>
        <v>6.8617247945528241</v>
      </c>
      <c r="CR116" s="94">
        <f t="shared" si="991"/>
        <v>6.8617247945528241</v>
      </c>
      <c r="CS116" s="94">
        <f t="shared" si="991"/>
        <v>6.8617247945528241</v>
      </c>
      <c r="CT116" s="94">
        <f t="shared" si="991"/>
        <v>6.8617247945528241</v>
      </c>
      <c r="CU116" s="94">
        <f t="shared" si="991"/>
        <v>6.8617247945528241</v>
      </c>
      <c r="CV116" s="94">
        <f t="shared" si="991"/>
        <v>6.8617247945528241</v>
      </c>
      <c r="CW116" s="94">
        <f t="shared" si="991"/>
        <v>6.8617247945528241</v>
      </c>
      <c r="CX116" s="94">
        <f t="shared" si="991"/>
        <v>6.8617247945528241</v>
      </c>
      <c r="CY116" s="94">
        <f t="shared" si="991"/>
        <v>6.8617247945528241</v>
      </c>
      <c r="CZ116" s="94">
        <f t="shared" si="991"/>
        <v>6.8617247945528241</v>
      </c>
      <c r="DA116" s="94">
        <f t="shared" si="991"/>
        <v>6.8617247945528241</v>
      </c>
      <c r="DB116" s="94">
        <f t="shared" si="991"/>
        <v>6.8617247945528241</v>
      </c>
      <c r="DC116" s="94"/>
      <c r="DE116" s="22"/>
      <c r="DF116" s="162">
        <v>6.7117903043621006</v>
      </c>
    </row>
    <row r="117" spans="1:110" s="4" customFormat="1" x14ac:dyDescent="0.2">
      <c r="A117" s="3"/>
      <c r="AB117" s="17"/>
      <c r="AC117" s="17"/>
      <c r="AD117" s="17"/>
      <c r="AE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E117" s="119"/>
    </row>
    <row r="118" spans="1:110" s="177" customFormat="1" x14ac:dyDescent="0.2">
      <c r="A118" s="177" t="s">
        <v>510</v>
      </c>
      <c r="E118" s="177">
        <f t="shared" ref="E118:Y118" si="992">+E30</f>
        <v>302.85939999999999</v>
      </c>
      <c r="F118" s="177">
        <f t="shared" si="992"/>
        <v>355.55739999999997</v>
      </c>
      <c r="G118" s="177">
        <f t="shared" si="992"/>
        <v>461.41160000000002</v>
      </c>
      <c r="H118" s="177">
        <f t="shared" si="992"/>
        <v>517.97760000000005</v>
      </c>
      <c r="I118" s="177">
        <f t="shared" si="992"/>
        <v>564.65430000000003</v>
      </c>
      <c r="J118" s="177">
        <f t="shared" si="992"/>
        <v>717.09109999999998</v>
      </c>
      <c r="K118" s="177">
        <f t="shared" si="992"/>
        <v>756.88390000000004</v>
      </c>
      <c r="L118" s="177">
        <f t="shared" si="992"/>
        <v>890.79049999999995</v>
      </c>
      <c r="M118" s="177">
        <f t="shared" si="992"/>
        <v>801.86840000000007</v>
      </c>
      <c r="N118" s="177">
        <f t="shared" si="992"/>
        <v>866.12560000000008</v>
      </c>
      <c r="O118" s="177">
        <f t="shared" si="992"/>
        <v>1021.8647000000001</v>
      </c>
      <c r="P118" s="177">
        <f t="shared" si="992"/>
        <v>1144.2148</v>
      </c>
      <c r="Q118" s="177">
        <f t="shared" si="992"/>
        <v>1231.5831000000001</v>
      </c>
      <c r="R118" s="177">
        <f t="shared" si="992"/>
        <v>1368.317</v>
      </c>
      <c r="S118" s="177">
        <f t="shared" si="992"/>
        <v>1413.7678000000001</v>
      </c>
      <c r="T118" s="177">
        <f t="shared" si="992"/>
        <v>1643.2003999999999</v>
      </c>
      <c r="U118" s="177">
        <f t="shared" si="992"/>
        <v>1774.7291</v>
      </c>
      <c r="V118" s="177">
        <f t="shared" si="992"/>
        <v>2042.5215000000001</v>
      </c>
      <c r="W118" s="177">
        <f t="shared" si="992"/>
        <v>2424.2437999999997</v>
      </c>
      <c r="X118" s="177">
        <f t="shared" si="992"/>
        <v>3149.2828</v>
      </c>
      <c r="Y118" s="177">
        <f t="shared" si="992"/>
        <v>3484.1837999999998</v>
      </c>
      <c r="Z118" s="177">
        <f>+Z30</f>
        <v>3917.9885999999997</v>
      </c>
      <c r="AA118" s="177">
        <f>+AA30</f>
        <v>4147.7919000000002</v>
      </c>
      <c r="AB118" s="178">
        <f t="shared" ref="AB118:AE118" si="993">+AB30</f>
        <v>4730.6993000000002</v>
      </c>
      <c r="AC118" s="178">
        <f t="shared" si="993"/>
        <v>5193.8566360000004</v>
      </c>
      <c r="AD118" s="178">
        <f t="shared" si="993"/>
        <v>5733.3173681800008</v>
      </c>
      <c r="AE118" s="178">
        <f t="shared" si="993"/>
        <v>6329.5757310154022</v>
      </c>
      <c r="AL118" s="177">
        <f t="shared" ref="AL118:BQ118" si="994">+SUM(AI28:AL28)</f>
        <v>816.423</v>
      </c>
      <c r="AM118" s="177">
        <f t="shared" si="994"/>
        <v>861.90599999999995</v>
      </c>
      <c r="AN118" s="177">
        <f t="shared" si="994"/>
        <v>897.851</v>
      </c>
      <c r="AO118" s="177">
        <f t="shared" si="994"/>
        <v>933.0809999999999</v>
      </c>
      <c r="AP118" s="177">
        <f t="shared" si="994"/>
        <v>956.53500000000008</v>
      </c>
      <c r="AQ118" s="177">
        <f t="shared" si="994"/>
        <v>983.91000000000008</v>
      </c>
      <c r="AR118" s="177">
        <f t="shared" si="994"/>
        <v>1010.981</v>
      </c>
      <c r="AS118" s="177">
        <f t="shared" si="994"/>
        <v>1034.9270000000001</v>
      </c>
      <c r="AT118" s="177">
        <f t="shared" si="994"/>
        <v>1061.421</v>
      </c>
      <c r="AU118" s="177">
        <f t="shared" si="994"/>
        <v>1083.0259999999998</v>
      </c>
      <c r="AV118" s="177">
        <f t="shared" si="994"/>
        <v>1093.7830000000001</v>
      </c>
      <c r="AW118" s="177">
        <f t="shared" si="994"/>
        <v>1112.6980000000001</v>
      </c>
      <c r="AX118" s="177">
        <f t="shared" si="994"/>
        <v>1160.365</v>
      </c>
      <c r="AY118" s="177">
        <f t="shared" si="994"/>
        <v>1190.4450000000002</v>
      </c>
      <c r="AZ118" s="177">
        <f t="shared" si="994"/>
        <v>1200.9180000000001</v>
      </c>
      <c r="BA118" s="177">
        <f t="shared" si="994"/>
        <v>1195.0170000000001</v>
      </c>
      <c r="BB118" s="177">
        <f t="shared" si="994"/>
        <v>1198.52</v>
      </c>
      <c r="BC118" s="177">
        <f t="shared" si="994"/>
        <v>1168.07</v>
      </c>
      <c r="BD118" s="177">
        <f t="shared" si="994"/>
        <v>1213.9010000000001</v>
      </c>
      <c r="BE118" s="177">
        <f t="shared" si="994"/>
        <v>1242.1610000000001</v>
      </c>
      <c r="BF118" s="177">
        <f t="shared" si="994"/>
        <v>1254.373</v>
      </c>
      <c r="BG118" s="177">
        <f t="shared" si="994"/>
        <v>1377.451</v>
      </c>
      <c r="BH118" s="177">
        <f t="shared" si="994"/>
        <v>1465.4750000000001</v>
      </c>
      <c r="BI118" s="177">
        <f t="shared" si="994"/>
        <v>1542.759</v>
      </c>
      <c r="BJ118" s="177">
        <f t="shared" si="994"/>
        <v>1643.2</v>
      </c>
      <c r="BK118" s="177">
        <f t="shared" si="994"/>
        <v>1682.3940000000002</v>
      </c>
      <c r="BL118" s="177">
        <f t="shared" si="994"/>
        <v>1703.4679999999998</v>
      </c>
      <c r="BM118" s="177">
        <f t="shared" si="994"/>
        <v>1750.0740000000001</v>
      </c>
      <c r="BN118" s="177">
        <f t="shared" si="994"/>
        <v>1774.7280000000001</v>
      </c>
      <c r="BO118" s="177">
        <f t="shared" si="994"/>
        <v>1850.9029999999998</v>
      </c>
      <c r="BP118" s="177">
        <f t="shared" si="994"/>
        <v>1838.05</v>
      </c>
      <c r="BQ118" s="177">
        <f t="shared" si="994"/>
        <v>1957.6350000000002</v>
      </c>
      <c r="BR118" s="177">
        <f t="shared" ref="BR118:CW118" si="995">+SUM(BO28:BR28)</f>
        <v>2042.5209999999997</v>
      </c>
      <c r="BS118" s="177">
        <f t="shared" si="995"/>
        <v>2126.2259999999997</v>
      </c>
      <c r="BT118" s="177">
        <f t="shared" si="995"/>
        <v>2275.672</v>
      </c>
      <c r="BU118" s="177">
        <f t="shared" si="995"/>
        <v>2328.105</v>
      </c>
      <c r="BV118" s="177">
        <f t="shared" si="995"/>
        <v>2424.2400000000002</v>
      </c>
      <c r="BW118" s="177">
        <f t="shared" si="995"/>
        <v>2603.06</v>
      </c>
      <c r="BX118" s="177">
        <f t="shared" si="995"/>
        <v>2819.49</v>
      </c>
      <c r="BY118" s="177">
        <f t="shared" si="995"/>
        <v>3011.55</v>
      </c>
      <c r="BZ118" s="177">
        <f t="shared" si="995"/>
        <v>3149.28</v>
      </c>
      <c r="CA118" s="177">
        <f t="shared" si="995"/>
        <v>3260.67</v>
      </c>
      <c r="CB118" s="177">
        <f t="shared" si="995"/>
        <v>3332.9700000000003</v>
      </c>
      <c r="CC118" s="177">
        <f t="shared" si="995"/>
        <v>3384.7700000000004</v>
      </c>
      <c r="CD118" s="177">
        <f t="shared" si="995"/>
        <v>3484.18</v>
      </c>
      <c r="CE118" s="177">
        <f t="shared" si="995"/>
        <v>3592.38</v>
      </c>
      <c r="CF118" s="177">
        <f t="shared" si="995"/>
        <v>3711.2599999999998</v>
      </c>
      <c r="CG118" s="177">
        <f t="shared" si="995"/>
        <v>3830.24</v>
      </c>
      <c r="CH118" s="177">
        <f t="shared" si="995"/>
        <v>3917.9900000000002</v>
      </c>
      <c r="CI118" s="177">
        <f t="shared" si="995"/>
        <v>4007.53</v>
      </c>
      <c r="CJ118" s="177">
        <f t="shared" si="995"/>
        <v>4091.81</v>
      </c>
      <c r="CK118" s="177">
        <f t="shared" si="995"/>
        <v>4193.04</v>
      </c>
      <c r="CL118" s="177">
        <f t="shared" si="995"/>
        <v>4147.7900000000009</v>
      </c>
      <c r="CM118" s="178">
        <f t="shared" si="995"/>
        <v>4265.9079999999994</v>
      </c>
      <c r="CN118" s="178">
        <f t="shared" si="995"/>
        <v>4384.4960000000001</v>
      </c>
      <c r="CO118" s="178">
        <f t="shared" si="995"/>
        <v>4500.76</v>
      </c>
      <c r="CP118" s="178">
        <f t="shared" si="995"/>
        <v>4730.6993000000002</v>
      </c>
      <c r="CQ118" s="178">
        <f t="shared" si="995"/>
        <v>4848.5482400000001</v>
      </c>
      <c r="CR118" s="178">
        <f t="shared" si="995"/>
        <v>4966.4851799999997</v>
      </c>
      <c r="CS118" s="178">
        <f t="shared" si="995"/>
        <v>5082.2946000000002</v>
      </c>
      <c r="CT118" s="178">
        <f t="shared" si="995"/>
        <v>5193.8566360000004</v>
      </c>
      <c r="CU118" s="178">
        <f t="shared" si="995"/>
        <v>5331.5365642000006</v>
      </c>
      <c r="CV118" s="178">
        <f t="shared" si="995"/>
        <v>5469.0061324000008</v>
      </c>
      <c r="CW118" s="178">
        <f t="shared" si="995"/>
        <v>5603.8629950000013</v>
      </c>
      <c r="CX118" s="178">
        <f t="shared" ref="CX118:DB118" si="996">+SUM(CU28:CX28)</f>
        <v>5733.3173681800008</v>
      </c>
      <c r="CY118" s="178">
        <f t="shared" si="996"/>
        <v>5885.4316634260013</v>
      </c>
      <c r="CZ118" s="178">
        <f t="shared" si="996"/>
        <v>6037.3892890720008</v>
      </c>
      <c r="DA118" s="178">
        <f t="shared" si="996"/>
        <v>6186.463915950002</v>
      </c>
      <c r="DB118" s="178">
        <f t="shared" si="996"/>
        <v>6329.5757310154022</v>
      </c>
      <c r="DE118" s="179"/>
      <c r="DF118" s="177">
        <v>4147.7919000000002</v>
      </c>
    </row>
    <row r="119" spans="1:110" s="163" customFormat="1" x14ac:dyDescent="0.2">
      <c r="A119" s="163" t="s">
        <v>511</v>
      </c>
      <c r="E119" s="163">
        <f t="shared" ref="E119:AE119" ca="1" si="997">+E118/E85</f>
        <v>18.857995018679951</v>
      </c>
      <c r="F119" s="163">
        <f t="shared" ca="1" si="997"/>
        <v>22.139315068493151</v>
      </c>
      <c r="G119" s="163">
        <f t="shared" ca="1" si="997"/>
        <v>28.730485678704859</v>
      </c>
      <c r="H119" s="163">
        <f t="shared" ca="1" si="997"/>
        <v>32.252652552926534</v>
      </c>
      <c r="I119" s="163">
        <f t="shared" ca="1" si="997"/>
        <v>35.159047322540481</v>
      </c>
      <c r="J119" s="163">
        <f t="shared" ca="1" si="997"/>
        <v>44.650753424657537</v>
      </c>
      <c r="K119" s="163">
        <f t="shared" ca="1" si="997"/>
        <v>47.128511830635127</v>
      </c>
      <c r="L119" s="163">
        <f t="shared" ca="1" si="997"/>
        <v>55.466407222914071</v>
      </c>
      <c r="M119" s="163">
        <f t="shared" ca="1" si="997"/>
        <v>49.929539227895397</v>
      </c>
      <c r="N119" s="163">
        <f t="shared" ca="1" si="997"/>
        <v>53.93061021170611</v>
      </c>
      <c r="O119" s="163">
        <f t="shared" ca="1" si="997"/>
        <v>63.627938978829398</v>
      </c>
      <c r="P119" s="163">
        <f t="shared" ca="1" si="997"/>
        <v>71.246251556662514</v>
      </c>
      <c r="Q119" s="163">
        <f t="shared" ca="1" si="997"/>
        <v>76.686369863013709</v>
      </c>
      <c r="R119" s="163">
        <f t="shared" ca="1" si="997"/>
        <v>85.200311332503119</v>
      </c>
      <c r="S119" s="163">
        <f t="shared" ca="1" si="997"/>
        <v>88.030373599003752</v>
      </c>
      <c r="T119" s="163">
        <f t="shared" ca="1" si="997"/>
        <v>102.31633872976339</v>
      </c>
      <c r="U119" s="163">
        <f t="shared" ca="1" si="997"/>
        <v>110.50617061021171</v>
      </c>
      <c r="V119" s="163">
        <f t="shared" ca="1" si="997"/>
        <v>127.18066625155667</v>
      </c>
      <c r="W119" s="163">
        <f t="shared" ca="1" si="997"/>
        <v>150.94917808219176</v>
      </c>
      <c r="X119" s="163">
        <f t="shared" ca="1" si="997"/>
        <v>196.0948194271482</v>
      </c>
      <c r="Y119" s="163">
        <f t="shared" ca="1" si="997"/>
        <v>216.94793275217933</v>
      </c>
      <c r="Z119" s="163">
        <f t="shared" ref="Z119:AA119" ca="1" si="998">+Z118/Z85</f>
        <v>243.95943960149441</v>
      </c>
      <c r="AA119" s="163">
        <f t="shared" ca="1" si="998"/>
        <v>243.95943960149441</v>
      </c>
      <c r="AB119" s="94">
        <f t="shared" ca="1" si="997"/>
        <v>294.56409090909096</v>
      </c>
      <c r="AC119" s="94">
        <f t="shared" ca="1" si="997"/>
        <v>323.40327745952681</v>
      </c>
      <c r="AD119" s="94">
        <f t="shared" ca="1" si="997"/>
        <v>356.99360947571614</v>
      </c>
      <c r="AE119" s="94">
        <f t="shared" ca="1" si="997"/>
        <v>394.12053119647589</v>
      </c>
      <c r="AL119" s="163">
        <f t="shared" ref="AL119:BQ119" si="999">+AL118/AL85</f>
        <v>52.134291187739464</v>
      </c>
      <c r="AM119" s="163">
        <f t="shared" si="999"/>
        <v>55.038697318007657</v>
      </c>
      <c r="AN119" s="163">
        <f t="shared" si="999"/>
        <v>57.33403575989783</v>
      </c>
      <c r="AO119" s="163">
        <f t="shared" si="999"/>
        <v>59.583716475095777</v>
      </c>
      <c r="AP119" s="163">
        <f t="shared" si="999"/>
        <v>61.08141762452108</v>
      </c>
      <c r="AQ119" s="163">
        <f t="shared" si="999"/>
        <v>62.829501915708818</v>
      </c>
      <c r="AR119" s="163">
        <f t="shared" si="999"/>
        <v>64.558173690932307</v>
      </c>
      <c r="AS119" s="163">
        <f t="shared" si="999"/>
        <v>66.087292464878686</v>
      </c>
      <c r="AT119" s="163">
        <f t="shared" si="999"/>
        <v>67.779118773946365</v>
      </c>
      <c r="AU119" s="163">
        <f t="shared" si="999"/>
        <v>69.158748403575984</v>
      </c>
      <c r="AV119" s="163">
        <f t="shared" si="999"/>
        <v>69.845657726692224</v>
      </c>
      <c r="AW119" s="163">
        <f t="shared" si="999"/>
        <v>71.053512132822476</v>
      </c>
      <c r="AX119" s="163">
        <f t="shared" si="999"/>
        <v>74.097381864623244</v>
      </c>
      <c r="AY119" s="163">
        <f t="shared" si="999"/>
        <v>76.018199233716487</v>
      </c>
      <c r="AZ119" s="163">
        <f t="shared" si="999"/>
        <v>76.686973180076635</v>
      </c>
      <c r="BA119" s="163">
        <f t="shared" si="999"/>
        <v>76.310153256704979</v>
      </c>
      <c r="BB119" s="163">
        <f t="shared" si="999"/>
        <v>76.533844189016605</v>
      </c>
      <c r="BC119" s="163">
        <f t="shared" si="999"/>
        <v>74.589399744572148</v>
      </c>
      <c r="BD119" s="163">
        <f t="shared" si="999"/>
        <v>77.516028097062588</v>
      </c>
      <c r="BE119" s="163">
        <f t="shared" si="999"/>
        <v>79.320625798212006</v>
      </c>
      <c r="BF119" s="163">
        <f t="shared" si="999"/>
        <v>80.100446998722859</v>
      </c>
      <c r="BG119" s="163">
        <f t="shared" si="999"/>
        <v>87.959833971902938</v>
      </c>
      <c r="BH119" s="163">
        <f t="shared" si="999"/>
        <v>93.580779054916988</v>
      </c>
      <c r="BI119" s="163">
        <f t="shared" si="999"/>
        <v>98.515900383141769</v>
      </c>
      <c r="BJ119" s="163">
        <f t="shared" si="999"/>
        <v>104.92975734355045</v>
      </c>
      <c r="BK119" s="163">
        <f t="shared" si="999"/>
        <v>107.43256704980844</v>
      </c>
      <c r="BL119" s="163">
        <f t="shared" si="999"/>
        <v>108.77828863346103</v>
      </c>
      <c r="BM119" s="163">
        <f t="shared" si="999"/>
        <v>111.75440613026821</v>
      </c>
      <c r="BN119" s="163">
        <f t="shared" si="999"/>
        <v>113.32873563218391</v>
      </c>
      <c r="BO119" s="163">
        <f t="shared" si="999"/>
        <v>118.19303959131544</v>
      </c>
      <c r="BP119" s="163">
        <f t="shared" si="999"/>
        <v>117.37228607918263</v>
      </c>
      <c r="BQ119" s="163">
        <f t="shared" si="999"/>
        <v>125.00862068965519</v>
      </c>
      <c r="BR119" s="163">
        <f t="shared" ref="BR119:CW119" si="1000">+BR118/BR85</f>
        <v>130.42918263090675</v>
      </c>
      <c r="BS119" s="163">
        <f t="shared" si="1000"/>
        <v>135.77432950191567</v>
      </c>
      <c r="BT119" s="163">
        <f t="shared" si="1000"/>
        <v>145.31749680715197</v>
      </c>
      <c r="BU119" s="163">
        <f t="shared" si="1000"/>
        <v>148.66570881226053</v>
      </c>
      <c r="BV119" s="163">
        <f t="shared" si="1000"/>
        <v>154.80459770114945</v>
      </c>
      <c r="BW119" s="163">
        <f t="shared" si="1000"/>
        <v>166.22349936143038</v>
      </c>
      <c r="BX119" s="163">
        <f t="shared" si="1000"/>
        <v>180.04406130268197</v>
      </c>
      <c r="BY119" s="163">
        <f t="shared" si="1000"/>
        <v>192.30842911877394</v>
      </c>
      <c r="BZ119" s="163">
        <f t="shared" si="1000"/>
        <v>201.10344827586209</v>
      </c>
      <c r="CA119" s="163">
        <f t="shared" si="1000"/>
        <v>208.21647509578546</v>
      </c>
      <c r="CB119" s="163">
        <f t="shared" si="1000"/>
        <v>212.83333333333334</v>
      </c>
      <c r="CC119" s="163">
        <f t="shared" si="1000"/>
        <v>216.14112388250322</v>
      </c>
      <c r="CD119" s="163">
        <f t="shared" si="1000"/>
        <v>222.48914431673052</v>
      </c>
      <c r="CE119" s="163">
        <f t="shared" si="1000"/>
        <v>229.39846743295018</v>
      </c>
      <c r="CF119" s="163">
        <f t="shared" si="1000"/>
        <v>236.98978288633458</v>
      </c>
      <c r="CG119" s="163">
        <f t="shared" si="1000"/>
        <v>244.58748403575987</v>
      </c>
      <c r="CH119" s="163">
        <f t="shared" si="1000"/>
        <v>250.19093231162199</v>
      </c>
      <c r="CI119" s="163">
        <f t="shared" si="1000"/>
        <v>255.9086845466156</v>
      </c>
      <c r="CJ119" s="163">
        <f t="shared" si="1000"/>
        <v>261.2905491698595</v>
      </c>
      <c r="CK119" s="163">
        <f t="shared" ref="CK119:CL119" si="1001">+CK118/CK85</f>
        <v>267.58391831525205</v>
      </c>
      <c r="CL119" s="163">
        <f t="shared" si="1001"/>
        <v>258.26836861768373</v>
      </c>
      <c r="CM119" s="50">
        <f t="shared" si="1000"/>
        <v>265.62316313823163</v>
      </c>
      <c r="CN119" s="50">
        <f t="shared" si="1000"/>
        <v>273.00722291407226</v>
      </c>
      <c r="CO119" s="50">
        <f t="shared" si="1000"/>
        <v>280.2465753424658</v>
      </c>
      <c r="CP119" s="50">
        <f t="shared" si="1000"/>
        <v>294.56409090909096</v>
      </c>
      <c r="CQ119" s="50">
        <f t="shared" si="1000"/>
        <v>301.90213200498135</v>
      </c>
      <c r="CR119" s="50">
        <f t="shared" si="1000"/>
        <v>309.24565255292651</v>
      </c>
      <c r="CS119" s="50">
        <f t="shared" si="1000"/>
        <v>316.45669987546705</v>
      </c>
      <c r="CT119" s="50">
        <f t="shared" si="1000"/>
        <v>323.40327745952681</v>
      </c>
      <c r="CU119" s="50">
        <f t="shared" si="1000"/>
        <v>331.97612479452062</v>
      </c>
      <c r="CV119" s="50">
        <f t="shared" si="1000"/>
        <v>340.53587374844341</v>
      </c>
      <c r="CW119" s="50">
        <f t="shared" si="1000"/>
        <v>348.93293866749701</v>
      </c>
      <c r="CX119" s="50">
        <f t="shared" ref="CX119:DB119" si="1002">+CX118/CX85</f>
        <v>356.99360947571614</v>
      </c>
      <c r="CY119" s="50">
        <f t="shared" si="1002"/>
        <v>366.46523433536748</v>
      </c>
      <c r="CZ119" s="50">
        <f t="shared" si="1002"/>
        <v>375.92710392727281</v>
      </c>
      <c r="DA119" s="50">
        <f t="shared" si="1002"/>
        <v>385.20945927459542</v>
      </c>
      <c r="DB119" s="50">
        <f t="shared" si="1002"/>
        <v>394.12053119647589</v>
      </c>
      <c r="DE119" s="164"/>
      <c r="DF119" s="163">
        <v>243.95943960149441</v>
      </c>
    </row>
    <row r="120" spans="1:110" s="163" customFormat="1" x14ac:dyDescent="0.2">
      <c r="AB120" s="94"/>
      <c r="AC120" s="94"/>
      <c r="AD120" s="94"/>
      <c r="AE120" s="94"/>
      <c r="CM120" s="94"/>
      <c r="CN120" s="94"/>
      <c r="CO120" s="94"/>
      <c r="CP120" s="94"/>
      <c r="CQ120" s="94"/>
      <c r="CR120" s="94"/>
      <c r="CS120" s="94"/>
      <c r="CT120" s="94"/>
      <c r="CU120" s="94"/>
      <c r="CV120" s="94"/>
      <c r="CW120" s="94"/>
      <c r="CX120" s="94"/>
      <c r="CY120" s="94"/>
      <c r="CZ120" s="94"/>
      <c r="DA120" s="94"/>
      <c r="DB120" s="94"/>
      <c r="DE120" s="164"/>
    </row>
    <row r="121" spans="1:110" s="163" customFormat="1" x14ac:dyDescent="0.2">
      <c r="A121" s="163" t="s">
        <v>506</v>
      </c>
      <c r="AB121" s="94"/>
      <c r="AC121" s="94"/>
      <c r="AD121" s="94"/>
      <c r="AE121" s="94"/>
      <c r="CM121" s="94"/>
      <c r="CN121" s="94"/>
      <c r="CO121" s="94"/>
      <c r="CP121" s="94"/>
      <c r="CQ121" s="94"/>
      <c r="CR121" s="94"/>
      <c r="CS121" s="94"/>
      <c r="CT121" s="94"/>
      <c r="CU121" s="94"/>
      <c r="CV121" s="94"/>
      <c r="CW121" s="94"/>
      <c r="CX121" s="94"/>
      <c r="CY121" s="94"/>
      <c r="CZ121" s="94"/>
      <c r="DA121" s="94"/>
      <c r="DB121" s="94"/>
      <c r="DE121" s="164"/>
    </row>
    <row r="122" spans="1:110" s="163" customFormat="1" x14ac:dyDescent="0.2">
      <c r="A122" s="163" t="s">
        <v>507</v>
      </c>
      <c r="E122" s="163">
        <f t="shared" ref="E122:AE124" ca="1" si="1003">+E97/E$119</f>
        <v>1.6510238744447094</v>
      </c>
      <c r="F122" s="163">
        <f t="shared" ca="1" si="1003"/>
        <v>1.8677181237122333</v>
      </c>
      <c r="G122" s="163">
        <f t="shared" ca="1" si="1003"/>
        <v>2.027463115361642</v>
      </c>
      <c r="H122" s="163">
        <f t="shared" ca="1" si="1003"/>
        <v>1.2200546896236437</v>
      </c>
      <c r="I122" s="163">
        <f t="shared" ca="1" si="1003"/>
        <v>0.70963242465345588</v>
      </c>
      <c r="J122" s="163">
        <f t="shared" ca="1" si="1003"/>
        <v>0.41152721041998708</v>
      </c>
      <c r="K122" s="163">
        <f t="shared" ca="1" si="1003"/>
        <v>0.75113765796841481</v>
      </c>
      <c r="L122" s="163">
        <f t="shared" ca="1" si="1003"/>
        <v>1.1971209841146713</v>
      </c>
      <c r="M122" s="163">
        <f t="shared" ca="1" si="1003"/>
        <v>0.61186224572510894</v>
      </c>
      <c r="N122" s="163">
        <f t="shared" ca="1" si="1003"/>
        <v>0.68189475059968196</v>
      </c>
      <c r="O122" s="163">
        <f t="shared" ca="1" si="1003"/>
        <v>1.0085978114323744</v>
      </c>
      <c r="P122" s="163">
        <f t="shared" ca="1" si="1003"/>
        <v>1.4042844053406756</v>
      </c>
      <c r="Q122" s="163">
        <f t="shared" ca="1" si="1003"/>
        <v>1.6261038333507498</v>
      </c>
      <c r="R122" s="163">
        <f t="shared" ca="1" si="1003"/>
        <v>2.0363775353225897</v>
      </c>
      <c r="S122" s="163">
        <f t="shared" ca="1" si="1003"/>
        <v>1.7562120172775186</v>
      </c>
      <c r="T122" s="163">
        <f t="shared" ca="1" si="1003"/>
        <v>1.7572950931608831</v>
      </c>
      <c r="U122" s="163">
        <f t="shared" ca="1" si="1003"/>
        <v>2.3000978008418298</v>
      </c>
      <c r="V122" s="163">
        <f t="shared" ca="1" si="1003"/>
        <v>4.928422050881716</v>
      </c>
      <c r="W122" s="163">
        <f t="shared" ca="1" si="1003"/>
        <v>5.2176501389835472</v>
      </c>
      <c r="X122" s="163">
        <f t="shared" ca="1" si="1003"/>
        <v>5.0253749837899599</v>
      </c>
      <c r="Y122" s="163">
        <f t="shared" ca="1" si="1003"/>
        <v>7.602976341259609</v>
      </c>
      <c r="Z122" s="163">
        <f ca="1">+Z97/Z$119</f>
        <v>6.6494660040613693</v>
      </c>
      <c r="AA122" s="163">
        <f ca="1">+AA97/AA$119</f>
        <v>6.6494660040613693</v>
      </c>
      <c r="AB122" s="50">
        <f t="shared" ref="AB122:AE122" ca="1" si="1004">+AB97/AB$119</f>
        <v>7.0042481880004486</v>
      </c>
      <c r="AC122" s="50">
        <f t="shared" ca="1" si="1004"/>
        <v>6.3796508687460802</v>
      </c>
      <c r="AD122" s="50">
        <f t="shared" ca="1" si="1004"/>
        <v>5.779375163129763</v>
      </c>
      <c r="AE122" s="50">
        <f t="shared" ca="1" si="1004"/>
        <v>5.2349467654895117</v>
      </c>
      <c r="AL122" s="163">
        <f t="shared" ref="AL122:BQ122" si="1005">+AL97/AL119</f>
        <v>0.70538985305411528</v>
      </c>
      <c r="AM122" s="163">
        <f t="shared" si="1005"/>
        <v>0.69632825389311603</v>
      </c>
      <c r="AN122" s="163">
        <f t="shared" si="1005"/>
        <v>0.74126998800469124</v>
      </c>
      <c r="AO122" s="163">
        <f t="shared" si="1005"/>
        <v>1.0846084102023299</v>
      </c>
      <c r="AP122" s="163">
        <f t="shared" si="1005"/>
        <v>1.0506468660320845</v>
      </c>
      <c r="AQ122" s="163">
        <f t="shared" si="1005"/>
        <v>1.2426487178705368</v>
      </c>
      <c r="AR122" s="163">
        <f t="shared" si="1005"/>
        <v>1.7337076562269718</v>
      </c>
      <c r="AS122" s="163">
        <f t="shared" si="1005"/>
        <v>1.5241205418353174</v>
      </c>
      <c r="AT122" s="163">
        <f t="shared" si="1005"/>
        <v>1.4761183357027983</v>
      </c>
      <c r="AU122" s="163">
        <f t="shared" si="1005"/>
        <v>1.7101957847734037</v>
      </c>
      <c r="AV122" s="163">
        <f t="shared" si="1005"/>
        <v>1.983301532388051</v>
      </c>
      <c r="AW122" s="163">
        <f t="shared" si="1005"/>
        <v>1.9636608495746377</v>
      </c>
      <c r="AX122" s="163">
        <f t="shared" si="1005"/>
        <v>1.6829204603723829</v>
      </c>
      <c r="AY122" s="163">
        <f t="shared" si="1005"/>
        <v>1.6473028993359622</v>
      </c>
      <c r="AZ122" s="163">
        <f t="shared" si="1005"/>
        <v>2.3217763410990591</v>
      </c>
      <c r="BA122" s="163">
        <f t="shared" si="1005"/>
        <v>2.2968765297899529</v>
      </c>
      <c r="BB122" s="163">
        <f t="shared" si="1005"/>
        <v>2.2669709308146713</v>
      </c>
      <c r="BC122" s="163">
        <f t="shared" si="1005"/>
        <v>2.0991588689034049</v>
      </c>
      <c r="BD122" s="163">
        <f t="shared" si="1005"/>
        <v>1.8054330624985067</v>
      </c>
      <c r="BE122" s="163">
        <f t="shared" si="1005"/>
        <v>2.1047489013098946</v>
      </c>
      <c r="BF122" s="163">
        <f t="shared" si="1005"/>
        <v>1.9300766199527573</v>
      </c>
      <c r="BG122" s="163">
        <f t="shared" si="1005"/>
        <v>1.4671469257345635</v>
      </c>
      <c r="BH122" s="163">
        <f t="shared" si="1005"/>
        <v>1.5633552261212236</v>
      </c>
      <c r="BI122" s="163">
        <f t="shared" si="1005"/>
        <v>1.5543176218709467</v>
      </c>
      <c r="BJ122" s="163">
        <f t="shared" si="1005"/>
        <v>1.7135272638753651</v>
      </c>
      <c r="BK122" s="163">
        <f t="shared" si="1005"/>
        <v>1.6947840398860192</v>
      </c>
      <c r="BL122" s="163">
        <f t="shared" si="1005"/>
        <v>1.7034649315396595</v>
      </c>
      <c r="BM122" s="163">
        <f t="shared" si="1005"/>
        <v>1.905070299884462</v>
      </c>
      <c r="BN122" s="163">
        <f t="shared" si="1005"/>
        <v>2.2428115745060655</v>
      </c>
      <c r="BO122" s="163">
        <f t="shared" si="1005"/>
        <v>2.9917159354109866</v>
      </c>
      <c r="BP122" s="163">
        <f t="shared" si="1005"/>
        <v>4.2067000353635651</v>
      </c>
      <c r="BQ122" s="163">
        <f t="shared" si="1005"/>
        <v>4.0683194262464655</v>
      </c>
      <c r="BR122" s="163">
        <f t="shared" ref="BR122:DB122" si="1006">+BR97/BR119</f>
        <v>4.8056729894086772</v>
      </c>
      <c r="BS122" s="163">
        <f t="shared" si="1006"/>
        <v>6.1241326180754081</v>
      </c>
      <c r="BT122" s="163">
        <f t="shared" si="1006"/>
        <v>6.4173277168238663</v>
      </c>
      <c r="BU122" s="163">
        <f t="shared" si="1006"/>
        <v>5.9785138556894983</v>
      </c>
      <c r="BV122" s="163">
        <f t="shared" si="1006"/>
        <v>5.0877041877041869</v>
      </c>
      <c r="BW122" s="163">
        <f t="shared" si="1006"/>
        <v>4.7186469001867035</v>
      </c>
      <c r="BX122" s="163">
        <f t="shared" si="1006"/>
        <v>5.3245299681857361</v>
      </c>
      <c r="BY122" s="163">
        <f t="shared" si="1006"/>
        <v>5.0526906410320267</v>
      </c>
      <c r="BZ122" s="163">
        <f t="shared" si="1006"/>
        <v>4.9002143347050753</v>
      </c>
      <c r="CA122" s="163">
        <f t="shared" si="1006"/>
        <v>5.6823073172078136</v>
      </c>
      <c r="CB122" s="163">
        <f t="shared" si="1006"/>
        <v>6.9709475332811275</v>
      </c>
      <c r="CC122" s="163">
        <f t="shared" si="1006"/>
        <v>7.51546013466203</v>
      </c>
      <c r="CD122" s="163">
        <f t="shared" si="1006"/>
        <v>7.4136201344362238</v>
      </c>
      <c r="CE122" s="163">
        <f t="shared" si="1006"/>
        <v>7.6550206269938039</v>
      </c>
      <c r="CF122" s="163">
        <f t="shared" si="1006"/>
        <v>7.9136322973868722</v>
      </c>
      <c r="CG122" s="163">
        <f t="shared" si="1006"/>
        <v>7.5420866577551289</v>
      </c>
      <c r="CH122" s="163">
        <f t="shared" si="1006"/>
        <v>6.4838480955796207</v>
      </c>
      <c r="CI122" s="163">
        <f t="shared" si="1006"/>
        <v>6.5640601567549082</v>
      </c>
      <c r="CJ122" s="163">
        <f t="shared" si="1006"/>
        <v>6.5364017390836828</v>
      </c>
      <c r="CK122" s="163">
        <f t="shared" ref="CK122:CL122" si="1007">+CK97/CK119</f>
        <v>6.8032862791673834</v>
      </c>
      <c r="CL122" s="163">
        <f t="shared" si="1007"/>
        <v>7.9885895862615977</v>
      </c>
      <c r="CM122" s="50">
        <f t="shared" si="1006"/>
        <v>7.7673948899038603</v>
      </c>
      <c r="CN122" s="50">
        <f t="shared" si="1006"/>
        <v>7.5573092095419847</v>
      </c>
      <c r="CO122" s="50">
        <f t="shared" si="1006"/>
        <v>7.3620881806628198</v>
      </c>
      <c r="CP122" s="50">
        <f t="shared" si="1006"/>
        <v>7.0042481880004486</v>
      </c>
      <c r="CQ122" s="50">
        <f t="shared" si="1006"/>
        <v>6.8340027488310593</v>
      </c>
      <c r="CR122" s="50">
        <f t="shared" si="1006"/>
        <v>6.6717186901985279</v>
      </c>
      <c r="CS122" s="50">
        <f t="shared" si="1006"/>
        <v>6.5196913221047819</v>
      </c>
      <c r="CT122" s="50">
        <f t="shared" si="1006"/>
        <v>6.3796508687460802</v>
      </c>
      <c r="CU122" s="50">
        <f t="shared" si="1006"/>
        <v>6.2149047654467156</v>
      </c>
      <c r="CV122" s="50">
        <f t="shared" si="1006"/>
        <v>6.0586862032753181</v>
      </c>
      <c r="CW122" s="50">
        <f t="shared" si="1006"/>
        <v>5.9128840283148261</v>
      </c>
      <c r="CX122" s="50">
        <f t="shared" si="1006"/>
        <v>5.779375163129763</v>
      </c>
      <c r="CY122" s="50">
        <f t="shared" si="1006"/>
        <v>5.6300019938914048</v>
      </c>
      <c r="CZ122" s="50">
        <f t="shared" si="1006"/>
        <v>5.4882980728070843</v>
      </c>
      <c r="DA122" s="50">
        <f t="shared" si="1006"/>
        <v>5.3560470812043421</v>
      </c>
      <c r="DB122" s="50">
        <f t="shared" si="1006"/>
        <v>5.2349467654895117</v>
      </c>
      <c r="DE122" s="106"/>
      <c r="DF122" s="163">
        <v>6.6494660040613693</v>
      </c>
    </row>
    <row r="123" spans="1:110" s="163" customFormat="1" x14ac:dyDescent="0.2">
      <c r="A123" s="163" t="s">
        <v>508</v>
      </c>
      <c r="E123" s="163">
        <f t="shared" ca="1" si="1003"/>
        <v>2.1688413831632762</v>
      </c>
      <c r="F123" s="163">
        <f t="shared" ca="1" si="1003"/>
        <v>2.339729112655228</v>
      </c>
      <c r="G123" s="163">
        <f t="shared" ca="1" si="1003"/>
        <v>2.4277348033729536</v>
      </c>
      <c r="H123" s="163">
        <f t="shared" ca="1" si="1003"/>
        <v>1.9827826531494794</v>
      </c>
      <c r="I123" s="163">
        <f t="shared" ca="1" si="1003"/>
        <v>1.446284921588306</v>
      </c>
      <c r="J123" s="163">
        <f t="shared" ca="1" si="1003"/>
        <v>0.6517247250732856</v>
      </c>
      <c r="K123" s="163">
        <f t="shared" ca="1" si="1003"/>
        <v>0.84556032966218453</v>
      </c>
      <c r="L123" s="163">
        <f t="shared" ca="1" si="1003"/>
        <v>1.3381973651492691</v>
      </c>
      <c r="M123" s="163">
        <f t="shared" ca="1" si="1003"/>
        <v>1.8526107276455837</v>
      </c>
      <c r="N123" s="163">
        <f t="shared" ca="1" si="1003"/>
        <v>0.89374104633323381</v>
      </c>
      <c r="O123" s="163">
        <f t="shared" ca="1" si="1003"/>
        <v>1.1119329202779975</v>
      </c>
      <c r="P123" s="163">
        <f t="shared" ca="1" si="1003"/>
        <v>1.8067617199148271</v>
      </c>
      <c r="Q123" s="163">
        <f t="shared" ca="1" si="1003"/>
        <v>2.0737061916487809</v>
      </c>
      <c r="R123" s="163">
        <f t="shared" ca="1" si="1003"/>
        <v>2.3685359459832771</v>
      </c>
      <c r="S123" s="163">
        <f t="shared" ca="1" si="1003"/>
        <v>2.0620723572852624</v>
      </c>
      <c r="T123" s="163">
        <f t="shared" ca="1" si="1003"/>
        <v>1.7746432510605523</v>
      </c>
      <c r="U123" s="163">
        <f t="shared" ca="1" si="1003"/>
        <v>2.7102558920119133</v>
      </c>
      <c r="V123" s="163">
        <f t="shared" ca="1" si="1003"/>
        <v>5.181212045993151</v>
      </c>
      <c r="W123" s="163">
        <f t="shared" ca="1" si="1003"/>
        <v>6.5742325503730283</v>
      </c>
      <c r="X123" s="163">
        <f t="shared" ca="1" si="1003"/>
        <v>5.4817868373078467</v>
      </c>
      <c r="Y123" s="163">
        <f t="shared" ca="1" si="1003"/>
        <v>8.9191907728863207</v>
      </c>
      <c r="Z123" s="163">
        <f t="shared" ref="Z123:AA124" ca="1" si="1008">+Z98/Z$119</f>
        <v>8.3169563076319317</v>
      </c>
      <c r="AA123" s="163">
        <f t="shared" ca="1" si="1008"/>
        <v>8.3169563076319317</v>
      </c>
      <c r="AB123" s="94">
        <f t="shared" ca="1" si="1003"/>
        <v>8.108637692118009</v>
      </c>
      <c r="AC123" s="94">
        <f t="shared" ca="1" si="1003"/>
        <v>8.6399091593550406</v>
      </c>
      <c r="AD123" s="94">
        <f t="shared" ca="1" si="1003"/>
        <v>9.248792100891194</v>
      </c>
      <c r="AE123" s="94">
        <f t="shared" ca="1" si="1003"/>
        <v>9.8427957734384179</v>
      </c>
      <c r="AL123" s="163">
        <f t="shared" ref="AL123:BQ123" si="1009">+AL98/AL119</f>
        <v>0.92069919637246866</v>
      </c>
      <c r="AM123" s="163">
        <f t="shared" si="1009"/>
        <v>0.79353258940070037</v>
      </c>
      <c r="AN123" s="163">
        <f t="shared" si="1009"/>
        <v>0.77615328155785313</v>
      </c>
      <c r="AO123" s="163">
        <f t="shared" si="1009"/>
        <v>1.1395730917251559</v>
      </c>
      <c r="AP123" s="163">
        <f t="shared" si="1009"/>
        <v>1.1582900782511878</v>
      </c>
      <c r="AQ123" s="163">
        <f t="shared" si="1009"/>
        <v>1.325810287526298</v>
      </c>
      <c r="AR123" s="163">
        <f t="shared" si="1009"/>
        <v>1.9939380660961976</v>
      </c>
      <c r="AS123" s="163">
        <f t="shared" si="1009"/>
        <v>1.7930829903944911</v>
      </c>
      <c r="AT123" s="163">
        <f t="shared" si="1009"/>
        <v>1.6553770841164814</v>
      </c>
      <c r="AU123" s="163">
        <f t="shared" si="1009"/>
        <v>1.9375712125101339</v>
      </c>
      <c r="AV123" s="163">
        <f t="shared" si="1009"/>
        <v>2.1289798799213364</v>
      </c>
      <c r="AW123" s="163">
        <f t="shared" si="1009"/>
        <v>2.2381018928765939</v>
      </c>
      <c r="AX123" s="163">
        <f t="shared" si="1009"/>
        <v>1.94608765345387</v>
      </c>
      <c r="AY123" s="163">
        <f t="shared" si="1009"/>
        <v>1.7528697251867995</v>
      </c>
      <c r="AZ123" s="163">
        <f t="shared" si="1009"/>
        <v>2.5819248275069571</v>
      </c>
      <c r="BA123" s="163">
        <f t="shared" si="1009"/>
        <v>2.6444711665189704</v>
      </c>
      <c r="BB123" s="163">
        <f t="shared" si="1009"/>
        <v>2.4018785668991756</v>
      </c>
      <c r="BC123" s="163">
        <f t="shared" si="1009"/>
        <v>2.4336568013903279</v>
      </c>
      <c r="BD123" s="163">
        <f t="shared" si="1009"/>
        <v>2.1737439873597597</v>
      </c>
      <c r="BE123" s="163">
        <f t="shared" si="1009"/>
        <v>2.1479280866167914</v>
      </c>
      <c r="BF123" s="163">
        <f t="shared" si="1009"/>
        <v>2.1473038721337274</v>
      </c>
      <c r="BG123" s="163">
        <f t="shared" si="1009"/>
        <v>1.9071204710730183</v>
      </c>
      <c r="BH123" s="163">
        <f t="shared" si="1009"/>
        <v>1.8753851140415223</v>
      </c>
      <c r="BI123" s="163">
        <f t="shared" si="1009"/>
        <v>1.6238495448738266</v>
      </c>
      <c r="BJ123" s="163">
        <f t="shared" si="1009"/>
        <v>1.7304433422590066</v>
      </c>
      <c r="BK123" s="163">
        <f t="shared" si="1009"/>
        <v>1.8946768711728643</v>
      </c>
      <c r="BL123" s="163">
        <f t="shared" si="1009"/>
        <v>1.8891637530026983</v>
      </c>
      <c r="BM123" s="163">
        <f t="shared" si="1009"/>
        <v>1.9462319879045114</v>
      </c>
      <c r="BN123" s="163">
        <f t="shared" si="1009"/>
        <v>2.6427542699500992</v>
      </c>
      <c r="BO123" s="163">
        <f t="shared" si="1009"/>
        <v>3.1431630939060557</v>
      </c>
      <c r="BP123" s="163">
        <f t="shared" si="1009"/>
        <v>4.8989418133347842</v>
      </c>
      <c r="BQ123" s="163">
        <f t="shared" si="1009"/>
        <v>4.3700986138886968</v>
      </c>
      <c r="BR123" s="163">
        <f t="shared" ref="BR123:CJ123" si="1010">+BR98/BR119</f>
        <v>5.0521669055055014</v>
      </c>
      <c r="BS123" s="163">
        <f t="shared" si="1010"/>
        <v>6.1957588233800189</v>
      </c>
      <c r="BT123" s="163">
        <f t="shared" si="1010"/>
        <v>6.8290124851033021</v>
      </c>
      <c r="BU123" s="163">
        <f t="shared" si="1010"/>
        <v>6.4197723040842227</v>
      </c>
      <c r="BV123" s="163">
        <f t="shared" si="1010"/>
        <v>6.0495619245619237</v>
      </c>
      <c r="BW123" s="163">
        <f t="shared" si="1010"/>
        <v>5.3776993231043466</v>
      </c>
      <c r="BX123" s="163">
        <f t="shared" si="1010"/>
        <v>5.6813870593617999</v>
      </c>
      <c r="BY123" s="163">
        <f t="shared" si="1010"/>
        <v>5.5897185834537035</v>
      </c>
      <c r="BZ123" s="163">
        <f t="shared" si="1010"/>
        <v>5.1817858367626881</v>
      </c>
      <c r="CA123" s="163">
        <f t="shared" si="1010"/>
        <v>5.8594066556873283</v>
      </c>
      <c r="CB123" s="163">
        <f t="shared" si="1010"/>
        <v>7.1632341425215351</v>
      </c>
      <c r="CC123" s="163">
        <f t="shared" si="1010"/>
        <v>7.5867098798441237</v>
      </c>
      <c r="CD123" s="163">
        <f t="shared" si="1010"/>
        <v>8.6970535391397696</v>
      </c>
      <c r="CE123" s="163">
        <f t="shared" si="1010"/>
        <v>8.3915120338048865</v>
      </c>
      <c r="CF123" s="163">
        <f t="shared" si="1010"/>
        <v>8.5615505246196726</v>
      </c>
      <c r="CG123" s="163">
        <f t="shared" si="1010"/>
        <v>8.1688562596599699</v>
      </c>
      <c r="CH123" s="163">
        <f t="shared" si="1010"/>
        <v>7.6615486512216711</v>
      </c>
      <c r="CI123" s="163">
        <f t="shared" si="1010"/>
        <v>7.2289457596075382</v>
      </c>
      <c r="CJ123" s="163">
        <f t="shared" si="1010"/>
        <v>6.9372964531588721</v>
      </c>
      <c r="CK123" s="163">
        <f t="shared" ref="CK123:CL123" si="1011">+CK98/CK119</f>
        <v>6.8929777679201729</v>
      </c>
      <c r="CL123" s="163">
        <f t="shared" si="1011"/>
        <v>8.4989114685169671</v>
      </c>
      <c r="CM123" s="94">
        <f t="shared" ref="CM123:DB123" si="1012">+CL123</f>
        <v>8.4989114685169671</v>
      </c>
      <c r="CN123" s="94">
        <f t="shared" si="1012"/>
        <v>8.4989114685169671</v>
      </c>
      <c r="CO123" s="94">
        <f t="shared" si="1012"/>
        <v>8.4989114685169671</v>
      </c>
      <c r="CP123" s="94">
        <f t="shared" si="1012"/>
        <v>8.4989114685169671</v>
      </c>
      <c r="CQ123" s="94">
        <f t="shared" si="1012"/>
        <v>8.4989114685169671</v>
      </c>
      <c r="CR123" s="94">
        <f t="shared" si="1012"/>
        <v>8.4989114685169671</v>
      </c>
      <c r="CS123" s="94">
        <f t="shared" si="1012"/>
        <v>8.4989114685169671</v>
      </c>
      <c r="CT123" s="94">
        <f t="shared" si="1012"/>
        <v>8.4989114685169671</v>
      </c>
      <c r="CU123" s="94">
        <f t="shared" si="1012"/>
        <v>8.4989114685169671</v>
      </c>
      <c r="CV123" s="94">
        <f t="shared" si="1012"/>
        <v>8.4989114685169671</v>
      </c>
      <c r="CW123" s="94">
        <f t="shared" si="1012"/>
        <v>8.4989114685169671</v>
      </c>
      <c r="CX123" s="94">
        <f t="shared" si="1012"/>
        <v>8.4989114685169671</v>
      </c>
      <c r="CY123" s="94">
        <f t="shared" si="1012"/>
        <v>8.4989114685169671</v>
      </c>
      <c r="CZ123" s="94">
        <f t="shared" si="1012"/>
        <v>8.4989114685169671</v>
      </c>
      <c r="DA123" s="94">
        <f t="shared" si="1012"/>
        <v>8.4989114685169671</v>
      </c>
      <c r="DB123" s="94">
        <f t="shared" si="1012"/>
        <v>8.4989114685169671</v>
      </c>
      <c r="DE123" s="164"/>
      <c r="DF123" s="163">
        <v>8.3169563076319317</v>
      </c>
    </row>
    <row r="124" spans="1:110" s="163" customFormat="1" x14ac:dyDescent="0.2">
      <c r="A124" s="163" t="s">
        <v>509</v>
      </c>
      <c r="E124" s="163">
        <f t="shared" ca="1" si="1003"/>
        <v>0.78560843744655107</v>
      </c>
      <c r="F124" s="163">
        <f t="shared" ca="1" si="1003"/>
        <v>1.1292128922081217</v>
      </c>
      <c r="G124" s="163">
        <f t="shared" ca="1" si="1003"/>
        <v>1.225179427652014</v>
      </c>
      <c r="H124" s="163">
        <f t="shared" ca="1" si="1003"/>
        <v>1.1502929856426221</v>
      </c>
      <c r="I124" s="163">
        <f t="shared" ca="1" si="1003"/>
        <v>0.45223068344649098</v>
      </c>
      <c r="J124" s="163">
        <f t="shared" ca="1" si="1003"/>
        <v>0.30346632387433059</v>
      </c>
      <c r="K124" s="163">
        <f t="shared" ca="1" si="1003"/>
        <v>0.38723904683399918</v>
      </c>
      <c r="L124" s="163">
        <f t="shared" ca="1" si="1003"/>
        <v>0.64814005088738602</v>
      </c>
      <c r="M124" s="163">
        <f t="shared" ca="1" si="1003"/>
        <v>0.58081849839699373</v>
      </c>
      <c r="N124" s="163">
        <f t="shared" ca="1" si="1003"/>
        <v>0.54699918810851444</v>
      </c>
      <c r="O124" s="163">
        <f t="shared" ca="1" si="1003"/>
        <v>0.57207573566246084</v>
      </c>
      <c r="P124" s="163">
        <f t="shared" ca="1" si="1003"/>
        <v>0.90355630778416784</v>
      </c>
      <c r="Q124" s="163">
        <f t="shared" ca="1" si="1003"/>
        <v>1.3007526654108843</v>
      </c>
      <c r="R124" s="163">
        <f t="shared" ca="1" si="1003"/>
        <v>1.3556288491628767</v>
      </c>
      <c r="S124" s="163">
        <f t="shared" ca="1" si="1003"/>
        <v>1.4483637270561684</v>
      </c>
      <c r="T124" s="163">
        <f t="shared" ca="1" si="1003"/>
        <v>1.1532859899498564</v>
      </c>
      <c r="U124" s="163">
        <f t="shared" ca="1" si="1003"/>
        <v>1.3890627025837352</v>
      </c>
      <c r="V124" s="163">
        <f t="shared" ca="1" si="1003"/>
        <v>1.7416169181083283</v>
      </c>
      <c r="W124" s="163">
        <f t="shared" ca="1" si="1003"/>
        <v>3.9958813135873545</v>
      </c>
      <c r="X124" s="163">
        <f t="shared" ca="1" si="1003"/>
        <v>3.4142921366096433</v>
      </c>
      <c r="Y124" s="163">
        <f t="shared" ca="1" si="1003"/>
        <v>4.2159885480209169</v>
      </c>
      <c r="Z124" s="163">
        <f t="shared" ca="1" si="1008"/>
        <v>5.8815104770851034</v>
      </c>
      <c r="AA124" s="163">
        <f t="shared" ca="1" si="1008"/>
        <v>5.8815104770851034</v>
      </c>
      <c r="AB124" s="94">
        <f t="shared" ca="1" si="1003"/>
        <v>6.0461847552534822</v>
      </c>
      <c r="AC124" s="94">
        <f t="shared" ca="1" si="1003"/>
        <v>6.1935490172477063</v>
      </c>
      <c r="AD124" s="94">
        <f t="shared" ca="1" si="1003"/>
        <v>6.6148382424386494</v>
      </c>
      <c r="AE124" s="94">
        <f t="shared" ca="1" si="1003"/>
        <v>7.0773266376478965</v>
      </c>
      <c r="AL124" s="163">
        <f t="shared" ref="AL124:BQ124" si="1013">+AL99/AL119</f>
        <v>0.67422034901025563</v>
      </c>
      <c r="AM124" s="163">
        <f t="shared" si="1013"/>
        <v>0.66316976561249141</v>
      </c>
      <c r="AN124" s="163">
        <f t="shared" si="1013"/>
        <v>0.63487594266754721</v>
      </c>
      <c r="AO124" s="163">
        <f t="shared" si="1013"/>
        <v>0.71034508258125517</v>
      </c>
      <c r="AP124" s="163">
        <f t="shared" si="1013"/>
        <v>0.94218507425237952</v>
      </c>
      <c r="AQ124" s="163">
        <f t="shared" si="1013"/>
        <v>1.0245982864286367</v>
      </c>
      <c r="AR124" s="163">
        <f t="shared" si="1013"/>
        <v>1.1493509769224151</v>
      </c>
      <c r="AS124" s="163">
        <f t="shared" si="1013"/>
        <v>1.4147954396783538</v>
      </c>
      <c r="AT124" s="163">
        <f t="shared" si="1013"/>
        <v>1.3278425808420975</v>
      </c>
      <c r="AU124" s="163">
        <f t="shared" si="1013"/>
        <v>1.4423337943872079</v>
      </c>
      <c r="AV124" s="163">
        <f t="shared" si="1013"/>
        <v>1.6751220306038763</v>
      </c>
      <c r="AW124" s="163">
        <f t="shared" si="1013"/>
        <v>1.773311356720332</v>
      </c>
      <c r="AX124" s="163">
        <f t="shared" si="1013"/>
        <v>1.5405402610385526</v>
      </c>
      <c r="AY124" s="163">
        <f t="shared" si="1013"/>
        <v>1.5193730075727983</v>
      </c>
      <c r="AZ124" s="163">
        <f t="shared" si="1013"/>
        <v>1.6176150245062526</v>
      </c>
      <c r="BA124" s="163">
        <f t="shared" si="1013"/>
        <v>2.0180800775219097</v>
      </c>
      <c r="BB124" s="163">
        <f t="shared" si="1013"/>
        <v>2.0585663985582219</v>
      </c>
      <c r="BC124" s="163">
        <f t="shared" si="1013"/>
        <v>2.0914499987158308</v>
      </c>
      <c r="BD124" s="163">
        <f t="shared" si="1013"/>
        <v>1.6448211180318657</v>
      </c>
      <c r="BE124" s="163">
        <f t="shared" si="1013"/>
        <v>1.6877703453900097</v>
      </c>
      <c r="BF124" s="163">
        <f t="shared" si="1013"/>
        <v>1.7518628828904959</v>
      </c>
      <c r="BG124" s="163">
        <f t="shared" si="1013"/>
        <v>1.4324720080786904</v>
      </c>
      <c r="BH124" s="163">
        <f t="shared" si="1013"/>
        <v>1.2609426977601119</v>
      </c>
      <c r="BI124" s="163">
        <f t="shared" si="1013"/>
        <v>1.423628058562614</v>
      </c>
      <c r="BJ124" s="163">
        <f t="shared" si="1013"/>
        <v>1.4142794547224928</v>
      </c>
      <c r="BK124" s="163">
        <f t="shared" si="1013"/>
        <v>1.4288032410957241</v>
      </c>
      <c r="BL124" s="163">
        <f t="shared" si="1013"/>
        <v>1.6087769186154366</v>
      </c>
      <c r="BM124" s="163">
        <f t="shared" si="1013"/>
        <v>1.4393168517445547</v>
      </c>
      <c r="BN124" s="163">
        <f t="shared" si="1013"/>
        <v>1.8730906933344154</v>
      </c>
      <c r="BO124" s="163">
        <f t="shared" si="1013"/>
        <v>1.8740528271875947</v>
      </c>
      <c r="BP124" s="163">
        <f t="shared" si="1013"/>
        <v>2.9706757161121842</v>
      </c>
      <c r="BQ124" s="163">
        <f t="shared" si="1013"/>
        <v>3.5701537824977585</v>
      </c>
      <c r="BR124" s="163">
        <f t="shared" ref="BR124:CJ124" si="1014">+BR99/BR119</f>
        <v>3.6686575070709191</v>
      </c>
      <c r="BS124" s="163">
        <f t="shared" si="1014"/>
        <v>4.4424818904481471</v>
      </c>
      <c r="BT124" s="163">
        <f t="shared" si="1014"/>
        <v>5.62251633803114</v>
      </c>
      <c r="BU124" s="163">
        <f t="shared" si="1014"/>
        <v>4.8161745282107127</v>
      </c>
      <c r="BV124" s="163">
        <f t="shared" si="1014"/>
        <v>4.7963691713691707</v>
      </c>
      <c r="BW124" s="163">
        <f t="shared" si="1014"/>
        <v>4.0278600954261528</v>
      </c>
      <c r="BX124" s="163">
        <f t="shared" si="1014"/>
        <v>4.296864858538247</v>
      </c>
      <c r="BY124" s="163">
        <f t="shared" si="1014"/>
        <v>4.8712113363550333</v>
      </c>
      <c r="BZ124" s="163">
        <f t="shared" si="1014"/>
        <v>4.7177211934156373</v>
      </c>
      <c r="CA124" s="163">
        <f t="shared" si="1014"/>
        <v>4.3927839983807004</v>
      </c>
      <c r="CB124" s="163">
        <f t="shared" si="1014"/>
        <v>5.3205951448707909</v>
      </c>
      <c r="CC124" s="163">
        <f t="shared" si="1014"/>
        <v>5.7649834405291926</v>
      </c>
      <c r="CD124" s="163">
        <f t="shared" si="1014"/>
        <v>6.6248176041421516</v>
      </c>
      <c r="CE124" s="163">
        <f t="shared" si="1014"/>
        <v>7.1787750739064355</v>
      </c>
      <c r="CF124" s="163">
        <f t="shared" si="1014"/>
        <v>7.1469325781540514</v>
      </c>
      <c r="CG124" s="163">
        <f t="shared" si="1014"/>
        <v>6.7669039015831913</v>
      </c>
      <c r="CH124" s="163">
        <f t="shared" si="1014"/>
        <v>5.7350199974987168</v>
      </c>
      <c r="CI124" s="163">
        <f t="shared" si="1014"/>
        <v>5.0916599501438533</v>
      </c>
      <c r="CJ124" s="163">
        <f t="shared" si="1014"/>
        <v>6.1387601086071939</v>
      </c>
      <c r="CK124" s="163">
        <f t="shared" ref="CK124:CL124" si="1015">+CK99/CK119</f>
        <v>5.9908308768816898</v>
      </c>
      <c r="CL124" s="163">
        <f t="shared" si="1015"/>
        <v>6.8806335421995799</v>
      </c>
      <c r="CM124" s="94">
        <f t="shared" ref="CM124:DB124" si="1016">+CL124</f>
        <v>6.8806335421995799</v>
      </c>
      <c r="CN124" s="94">
        <f t="shared" si="1016"/>
        <v>6.8806335421995799</v>
      </c>
      <c r="CO124" s="94">
        <f t="shared" si="1016"/>
        <v>6.8806335421995799</v>
      </c>
      <c r="CP124" s="94">
        <f t="shared" si="1016"/>
        <v>6.8806335421995799</v>
      </c>
      <c r="CQ124" s="94">
        <f t="shared" si="1016"/>
        <v>6.8806335421995799</v>
      </c>
      <c r="CR124" s="94">
        <f t="shared" si="1016"/>
        <v>6.8806335421995799</v>
      </c>
      <c r="CS124" s="94">
        <f t="shared" si="1016"/>
        <v>6.8806335421995799</v>
      </c>
      <c r="CT124" s="94">
        <f t="shared" si="1016"/>
        <v>6.8806335421995799</v>
      </c>
      <c r="CU124" s="94">
        <f t="shared" si="1016"/>
        <v>6.8806335421995799</v>
      </c>
      <c r="CV124" s="94">
        <f t="shared" si="1016"/>
        <v>6.8806335421995799</v>
      </c>
      <c r="CW124" s="94">
        <f t="shared" si="1016"/>
        <v>6.8806335421995799</v>
      </c>
      <c r="CX124" s="94">
        <f t="shared" si="1016"/>
        <v>6.8806335421995799</v>
      </c>
      <c r="CY124" s="94">
        <f t="shared" si="1016"/>
        <v>6.8806335421995799</v>
      </c>
      <c r="CZ124" s="94">
        <f t="shared" si="1016"/>
        <v>6.8806335421995799</v>
      </c>
      <c r="DA124" s="94">
        <f t="shared" si="1016"/>
        <v>6.8806335421995799</v>
      </c>
      <c r="DB124" s="94">
        <f t="shared" si="1016"/>
        <v>6.8806335421995799</v>
      </c>
      <c r="DE124" s="164"/>
      <c r="DF124" s="163">
        <v>5.8815104770851034</v>
      </c>
    </row>
    <row r="125" spans="1:110" s="4" customFormat="1" x14ac:dyDescent="0.2">
      <c r="A125" s="3"/>
      <c r="AB125" s="17"/>
      <c r="AC125" s="17"/>
      <c r="AD125" s="17"/>
      <c r="AE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E125" s="119"/>
    </row>
    <row r="126" spans="1:110" s="4" customFormat="1" x14ac:dyDescent="0.2">
      <c r="A126" s="3"/>
      <c r="AB126" s="17"/>
      <c r="AC126" s="17"/>
      <c r="AD126" s="17"/>
      <c r="AE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E126" s="119"/>
    </row>
    <row r="127" spans="1:110" s="162" customFormat="1" x14ac:dyDescent="0.2">
      <c r="A127" s="49" t="s">
        <v>340</v>
      </c>
      <c r="B127" s="162">
        <f t="shared" ref="B127:AE127" si="1017">+B98*B85</f>
        <v>22.241714999999999</v>
      </c>
      <c r="C127" s="162">
        <f t="shared" si="1017"/>
        <v>26.971090500000006</v>
      </c>
      <c r="D127" s="162">
        <f t="shared" si="1017"/>
        <v>39.826320000000003</v>
      </c>
      <c r="E127" s="162">
        <f t="shared" ca="1" si="1017"/>
        <v>656.85399999999993</v>
      </c>
      <c r="F127" s="162">
        <f t="shared" ca="1" si="1017"/>
        <v>831.9079999999999</v>
      </c>
      <c r="G127" s="162">
        <f t="shared" ca="1" si="1017"/>
        <v>1120.1849999999999</v>
      </c>
      <c r="H127" s="162">
        <f t="shared" ca="1" si="1017"/>
        <v>1027.037</v>
      </c>
      <c r="I127" s="162">
        <f t="shared" ca="1" si="1017"/>
        <v>816.65099999999995</v>
      </c>
      <c r="J127" s="162">
        <f t="shared" ca="1" si="1017"/>
        <v>467.346</v>
      </c>
      <c r="K127" s="162">
        <f t="shared" ca="1" si="1017"/>
        <v>639.99099999999999</v>
      </c>
      <c r="L127" s="162">
        <f t="shared" ca="1" si="1017"/>
        <v>1192.0534999999998</v>
      </c>
      <c r="M127" s="162">
        <f t="shared" ca="1" si="1017"/>
        <v>1485.55</v>
      </c>
      <c r="N127" s="162">
        <f t="shared" ca="1" si="1017"/>
        <v>774.09199999999998</v>
      </c>
      <c r="O127" s="162">
        <f t="shared" ca="1" si="1017"/>
        <v>1136.2449999999999</v>
      </c>
      <c r="P127" s="162">
        <f t="shared" ca="1" si="1017"/>
        <v>2067.3235</v>
      </c>
      <c r="Q127" s="162">
        <f t="shared" ca="1" si="1017"/>
        <v>2553.9414999999999</v>
      </c>
      <c r="R127" s="162">
        <f t="shared" ca="1" si="1017"/>
        <v>3240.9079999999999</v>
      </c>
      <c r="S127" s="162">
        <f t="shared" ca="1" si="1017"/>
        <v>2915.2914999999998</v>
      </c>
      <c r="T127" s="162">
        <f t="shared" ca="1" si="1017"/>
        <v>2916.0944999999997</v>
      </c>
      <c r="U127" s="162">
        <f t="shared" ca="1" si="1017"/>
        <v>4809.9699999999993</v>
      </c>
      <c r="V127" s="162">
        <f t="shared" ca="1" si="1017"/>
        <v>10582.736999999999</v>
      </c>
      <c r="W127" s="162">
        <f t="shared" ca="1" si="1017"/>
        <v>15937.5425</v>
      </c>
      <c r="X127" s="162">
        <f t="shared" ca="1" si="1017"/>
        <v>17263.697</v>
      </c>
      <c r="Y127" s="162">
        <f t="shared" ca="1" si="1017"/>
        <v>31076.1</v>
      </c>
      <c r="Z127" s="162">
        <f t="shared" ca="1" si="1017"/>
        <v>32585.739999999998</v>
      </c>
      <c r="AA127" s="162">
        <f t="shared" ref="AA127" ca="1" si="1018">+AA98*AA85</f>
        <v>32585.739999999998</v>
      </c>
      <c r="AB127" s="21">
        <f t="shared" ca="1" si="1017"/>
        <v>38359.526654056288</v>
      </c>
      <c r="AC127" s="21">
        <f t="shared" ca="1" si="1017"/>
        <v>44874.449521753355</v>
      </c>
      <c r="AD127" s="21">
        <f t="shared" ca="1" si="1017"/>
        <v>53026.26038672548</v>
      </c>
      <c r="AE127" s="21">
        <f t="shared" ca="1" si="1017"/>
        <v>62300.721252896794</v>
      </c>
      <c r="AL127" s="162">
        <f t="shared" ref="AL127:BQ127" si="1019">+AL98*AL85</f>
        <v>751.68000000000006</v>
      </c>
      <c r="AM127" s="162">
        <f t="shared" si="1019"/>
        <v>683.95049999999992</v>
      </c>
      <c r="AN127" s="162">
        <f t="shared" si="1019"/>
        <v>696.87</v>
      </c>
      <c r="AO127" s="162">
        <f t="shared" si="1019"/>
        <v>1063.3140000000001</v>
      </c>
      <c r="AP127" s="162">
        <f t="shared" si="1019"/>
        <v>1107.9449999999999</v>
      </c>
      <c r="AQ127" s="162">
        <f t="shared" si="1019"/>
        <v>1304.4780000000001</v>
      </c>
      <c r="AR127" s="162">
        <f t="shared" si="1019"/>
        <v>2015.8335</v>
      </c>
      <c r="AS127" s="162">
        <f t="shared" si="1019"/>
        <v>1855.71</v>
      </c>
      <c r="AT127" s="162">
        <f t="shared" si="1019"/>
        <v>1757.0520000000001</v>
      </c>
      <c r="AU127" s="162">
        <f t="shared" si="1019"/>
        <v>2098.44</v>
      </c>
      <c r="AV127" s="162">
        <f t="shared" si="1019"/>
        <v>2328.6419999999998</v>
      </c>
      <c r="AW127" s="162">
        <f t="shared" si="1019"/>
        <v>2490.3315000000002</v>
      </c>
      <c r="AX127" s="162">
        <f t="shared" si="1019"/>
        <v>2258.172</v>
      </c>
      <c r="AY127" s="162">
        <f t="shared" si="1019"/>
        <v>2086.6950000000002</v>
      </c>
      <c r="AZ127" s="162">
        <f t="shared" si="1019"/>
        <v>3100.68</v>
      </c>
      <c r="BA127" s="162">
        <f t="shared" si="1019"/>
        <v>3160.1880000000001</v>
      </c>
      <c r="BB127" s="162">
        <f t="shared" si="1019"/>
        <v>2878.6994999999997</v>
      </c>
      <c r="BC127" s="162">
        <f t="shared" si="1019"/>
        <v>2842.6815000000001</v>
      </c>
      <c r="BD127" s="162">
        <f t="shared" si="1019"/>
        <v>2638.71</v>
      </c>
      <c r="BE127" s="162">
        <f t="shared" si="1019"/>
        <v>2668.0725000000002</v>
      </c>
      <c r="BF127" s="162">
        <f t="shared" si="1019"/>
        <v>2693.52</v>
      </c>
      <c r="BG127" s="162">
        <f t="shared" si="1019"/>
        <v>2626.9650000000001</v>
      </c>
      <c r="BH127" s="162">
        <f t="shared" si="1019"/>
        <v>2748.33</v>
      </c>
      <c r="BI127" s="162">
        <f t="shared" si="1019"/>
        <v>2505.2084999999997</v>
      </c>
      <c r="BJ127" s="162">
        <f t="shared" si="1019"/>
        <v>2843.4645</v>
      </c>
      <c r="BK127" s="162">
        <f t="shared" si="1019"/>
        <v>3187.5930000000003</v>
      </c>
      <c r="BL127" s="162">
        <f t="shared" si="1019"/>
        <v>3218.13</v>
      </c>
      <c r="BM127" s="162">
        <f t="shared" si="1019"/>
        <v>3406.05</v>
      </c>
      <c r="BN127" s="162">
        <f t="shared" si="1019"/>
        <v>4690.17</v>
      </c>
      <c r="BO127" s="162">
        <f t="shared" si="1019"/>
        <v>5817.69</v>
      </c>
      <c r="BP127" s="162">
        <f t="shared" si="1019"/>
        <v>9004.5</v>
      </c>
      <c r="BQ127" s="162">
        <f t="shared" si="1019"/>
        <v>8555.0579999999991</v>
      </c>
      <c r="BR127" s="162">
        <f t="shared" ref="BR127:CJ127" si="1020">+BR98*BR85</f>
        <v>10319.157000000001</v>
      </c>
      <c r="BS127" s="162">
        <f t="shared" si="1020"/>
        <v>13173.583500000001</v>
      </c>
      <c r="BT127" s="162">
        <f t="shared" si="1020"/>
        <v>15540.592500000001</v>
      </c>
      <c r="BU127" s="162">
        <f t="shared" si="1020"/>
        <v>14945.904</v>
      </c>
      <c r="BV127" s="162">
        <f t="shared" si="1020"/>
        <v>14665.59</v>
      </c>
      <c r="BW127" s="162">
        <f t="shared" si="1020"/>
        <v>13998.474</v>
      </c>
      <c r="BX127" s="162">
        <f t="shared" si="1020"/>
        <v>16018.614</v>
      </c>
      <c r="BY127" s="162">
        <f t="shared" si="1020"/>
        <v>16833.717000000001</v>
      </c>
      <c r="BZ127" s="162">
        <f t="shared" si="1020"/>
        <v>16318.8945</v>
      </c>
      <c r="CA127" s="162">
        <f t="shared" si="1020"/>
        <v>19105.591500000002</v>
      </c>
      <c r="CB127" s="162">
        <f t="shared" si="1020"/>
        <v>23874.844499999999</v>
      </c>
      <c r="CC127" s="162">
        <f t="shared" si="1020"/>
        <v>25679.268</v>
      </c>
      <c r="CD127" s="162">
        <f t="shared" si="1020"/>
        <v>30302.1</v>
      </c>
      <c r="CE127" s="162">
        <f t="shared" si="1020"/>
        <v>30145.5</v>
      </c>
      <c r="CF127" s="162">
        <f t="shared" si="1020"/>
        <v>31774.14</v>
      </c>
      <c r="CG127" s="162">
        <f t="shared" si="1020"/>
        <v>31288.68</v>
      </c>
      <c r="CH127" s="162">
        <f t="shared" si="1020"/>
        <v>30017.870999999999</v>
      </c>
      <c r="CI127" s="162">
        <f t="shared" si="1020"/>
        <v>28970.217000000001</v>
      </c>
      <c r="CJ127" s="162">
        <f t="shared" si="1020"/>
        <v>28386.099000000002</v>
      </c>
      <c r="CK127" s="162">
        <f t="shared" ref="CK127:CL127" si="1021">+CK98*CK85</f>
        <v>28902.531500000001</v>
      </c>
      <c r="CL127" s="162">
        <f t="shared" si="1021"/>
        <v>35251.699999999997</v>
      </c>
      <c r="CM127" s="21">
        <f t="shared" ref="CM127:DB127" si="1022">+CM98*CM85</f>
        <v>35550.952723845439</v>
      </c>
      <c r="CN127" s="21">
        <f t="shared" si="1022"/>
        <v>35336.866082647444</v>
      </c>
      <c r="CO127" s="21">
        <f t="shared" si="1022"/>
        <v>35329.837070774352</v>
      </c>
      <c r="CP127" s="21">
        <f t="shared" si="1022"/>
        <v>38359.526654056288</v>
      </c>
      <c r="CQ127" s="21">
        <f t="shared" si="1022"/>
        <v>39734.194553700283</v>
      </c>
      <c r="CR127" s="21">
        <f t="shared" si="1022"/>
        <v>41262.63548728374</v>
      </c>
      <c r="CS127" s="21">
        <f t="shared" si="1022"/>
        <v>42982.449456138289</v>
      </c>
      <c r="CT127" s="21">
        <f t="shared" si="1022"/>
        <v>44874.449521753355</v>
      </c>
      <c r="CU127" s="21">
        <f t="shared" si="1022"/>
        <v>46844.659704481666</v>
      </c>
      <c r="CV127" s="21">
        <f t="shared" si="1022"/>
        <v>48875.545545383313</v>
      </c>
      <c r="CW127" s="21">
        <f t="shared" si="1022"/>
        <v>50959.515697011986</v>
      </c>
      <c r="CX127" s="21">
        <f t="shared" si="1022"/>
        <v>53026.26038672548</v>
      </c>
      <c r="CY127" s="21">
        <f t="shared" si="1022"/>
        <v>55332.299295373959</v>
      </c>
      <c r="CZ127" s="21">
        <f t="shared" si="1022"/>
        <v>57667.596392061641</v>
      </c>
      <c r="DA127" s="21">
        <f t="shared" si="1022"/>
        <v>60006.849685654372</v>
      </c>
      <c r="DB127" s="21">
        <f t="shared" si="1022"/>
        <v>62300.721252896794</v>
      </c>
      <c r="DE127" s="22"/>
      <c r="DF127" s="162">
        <v>32585.739999999998</v>
      </c>
    </row>
    <row r="128" spans="1:110" s="162" customFormat="1" x14ac:dyDescent="0.2">
      <c r="A128" s="49" t="s">
        <v>341</v>
      </c>
      <c r="B128" s="162">
        <f t="shared" ref="B128:AE128" si="1023">+B99*B85</f>
        <v>13.136262</v>
      </c>
      <c r="C128" s="162">
        <f t="shared" si="1023"/>
        <v>12.044250000000002</v>
      </c>
      <c r="D128" s="162">
        <f t="shared" si="1023"/>
        <v>23.807467500000001</v>
      </c>
      <c r="E128" s="162">
        <f t="shared" ca="1" si="1023"/>
        <v>237.92889999999997</v>
      </c>
      <c r="F128" s="162">
        <f t="shared" ca="1" si="1023"/>
        <v>401.49999999999994</v>
      </c>
      <c r="G128" s="162">
        <f t="shared" ca="1" si="1023"/>
        <v>565.31200000000001</v>
      </c>
      <c r="H128" s="162">
        <f t="shared" ca="1" si="1023"/>
        <v>595.82600000000002</v>
      </c>
      <c r="I128" s="162">
        <f t="shared" ca="1" si="1023"/>
        <v>255.35399999999998</v>
      </c>
      <c r="J128" s="162">
        <f t="shared" ca="1" si="1023"/>
        <v>217.613</v>
      </c>
      <c r="K128" s="162">
        <f t="shared" ca="1" si="1023"/>
        <v>293.09499999999997</v>
      </c>
      <c r="L128" s="162">
        <f t="shared" ca="1" si="1023"/>
        <v>577.35699999999997</v>
      </c>
      <c r="M128" s="162">
        <f t="shared" ca="1" si="1023"/>
        <v>465.73999999999995</v>
      </c>
      <c r="N128" s="162">
        <f t="shared" ca="1" si="1023"/>
        <v>473.77</v>
      </c>
      <c r="O128" s="162">
        <f t="shared" ca="1" si="1023"/>
        <v>584.58399999999995</v>
      </c>
      <c r="P128" s="162">
        <f t="shared" ca="1" si="1023"/>
        <v>1033.8625</v>
      </c>
      <c r="Q128" s="162">
        <f t="shared" ca="1" si="1023"/>
        <v>1601.9849999999999</v>
      </c>
      <c r="R128" s="162">
        <f t="shared" ca="1" si="1023"/>
        <v>1854.9299999999998</v>
      </c>
      <c r="S128" s="162">
        <f t="shared" ca="1" si="1023"/>
        <v>2047.6499999999999</v>
      </c>
      <c r="T128" s="162">
        <f t="shared" ca="1" si="1023"/>
        <v>1895.08</v>
      </c>
      <c r="U128" s="162">
        <f t="shared" ca="1" si="1023"/>
        <v>2465.2099999999996</v>
      </c>
      <c r="V128" s="162">
        <f t="shared" ca="1" si="1023"/>
        <v>3557.2899999999995</v>
      </c>
      <c r="W128" s="162">
        <f t="shared" ca="1" si="1023"/>
        <v>9686.9904999999981</v>
      </c>
      <c r="X128" s="162">
        <f t="shared" ca="1" si="1023"/>
        <v>10752.571499999998</v>
      </c>
      <c r="Y128" s="162">
        <f t="shared" ca="1" si="1023"/>
        <v>14689.278999999999</v>
      </c>
      <c r="Z128" s="162">
        <f t="shared" ca="1" si="1023"/>
        <v>23043.690999999995</v>
      </c>
      <c r="AA128" s="162">
        <f t="shared" ref="AA128" ca="1" si="1024">+AA99*AA85</f>
        <v>23043.690999999995</v>
      </c>
      <c r="AB128" s="21">
        <f t="shared" ca="1" si="1023"/>
        <v>28602.681989348323</v>
      </c>
      <c r="AC128" s="21">
        <f t="shared" ca="1" si="1023"/>
        <v>32168.405663623278</v>
      </c>
      <c r="AD128" s="21">
        <f t="shared" ca="1" si="1023"/>
        <v>37924.966983074781</v>
      </c>
      <c r="AE128" s="21">
        <f t="shared" ca="1" si="1023"/>
        <v>44796.474926124967</v>
      </c>
      <c r="AL128" s="162">
        <f t="shared" ref="AL128:BQ128" si="1025">+AL99*AL85</f>
        <v>550.44899999999996</v>
      </c>
      <c r="AM128" s="162">
        <f t="shared" si="1025"/>
        <v>571.59</v>
      </c>
      <c r="AN128" s="162">
        <f t="shared" si="1025"/>
        <v>570.024</v>
      </c>
      <c r="AO128" s="162">
        <f t="shared" si="1025"/>
        <v>662.80950000000007</v>
      </c>
      <c r="AP128" s="162">
        <f t="shared" si="1025"/>
        <v>901.23299999999995</v>
      </c>
      <c r="AQ128" s="162">
        <f t="shared" si="1025"/>
        <v>1008.1125</v>
      </c>
      <c r="AR128" s="162">
        <f t="shared" si="1025"/>
        <v>1161.972</v>
      </c>
      <c r="AS128" s="162">
        <f t="shared" si="1025"/>
        <v>1464.21</v>
      </c>
      <c r="AT128" s="162">
        <f t="shared" si="1025"/>
        <v>1409.4</v>
      </c>
      <c r="AU128" s="162">
        <f t="shared" si="1025"/>
        <v>1562.085</v>
      </c>
      <c r="AV128" s="162">
        <f t="shared" si="1025"/>
        <v>1832.22</v>
      </c>
      <c r="AW128" s="162">
        <f t="shared" si="1025"/>
        <v>1973.16</v>
      </c>
      <c r="AX128" s="162">
        <f t="shared" si="1025"/>
        <v>1787.5890000000002</v>
      </c>
      <c r="AY128" s="162">
        <f t="shared" si="1025"/>
        <v>1808.73</v>
      </c>
      <c r="AZ128" s="162">
        <f t="shared" si="1025"/>
        <v>1942.623</v>
      </c>
      <c r="BA128" s="162">
        <f t="shared" si="1025"/>
        <v>2411.64</v>
      </c>
      <c r="BB128" s="162">
        <f t="shared" si="1025"/>
        <v>2467.2330000000002</v>
      </c>
      <c r="BC128" s="162">
        <f t="shared" si="1025"/>
        <v>2442.96</v>
      </c>
      <c r="BD128" s="162">
        <f t="shared" si="1025"/>
        <v>1996.65</v>
      </c>
      <c r="BE128" s="162">
        <f t="shared" si="1025"/>
        <v>2096.4825000000001</v>
      </c>
      <c r="BF128" s="162">
        <f t="shared" si="1025"/>
        <v>2197.4894999999997</v>
      </c>
      <c r="BG128" s="162">
        <f t="shared" si="1025"/>
        <v>1973.16</v>
      </c>
      <c r="BH128" s="162">
        <f t="shared" si="1025"/>
        <v>1847.88</v>
      </c>
      <c r="BI128" s="162">
        <f t="shared" si="1025"/>
        <v>2196.3150000000001</v>
      </c>
      <c r="BJ128" s="162">
        <f t="shared" si="1025"/>
        <v>2323.944</v>
      </c>
      <c r="BK128" s="162">
        <f t="shared" si="1025"/>
        <v>2403.81</v>
      </c>
      <c r="BL128" s="162">
        <f t="shared" si="1025"/>
        <v>2740.5</v>
      </c>
      <c r="BM128" s="162">
        <f t="shared" si="1025"/>
        <v>2518.9110000000001</v>
      </c>
      <c r="BN128" s="162">
        <f t="shared" si="1025"/>
        <v>3324.2265000000002</v>
      </c>
      <c r="BO128" s="162">
        <f t="shared" si="1025"/>
        <v>3468.69</v>
      </c>
      <c r="BP128" s="162">
        <f t="shared" si="1025"/>
        <v>5460.2505000000001</v>
      </c>
      <c r="BQ128" s="162">
        <f t="shared" si="1025"/>
        <v>6989.058</v>
      </c>
      <c r="BR128" s="162">
        <f t="shared" ref="BR128:CJ128" si="1026">+BR99*BR85</f>
        <v>7493.31</v>
      </c>
      <c r="BS128" s="162">
        <f t="shared" si="1026"/>
        <v>9445.7204999999994</v>
      </c>
      <c r="BT128" s="162">
        <f t="shared" si="1026"/>
        <v>12795.002999999999</v>
      </c>
      <c r="BU128" s="162">
        <f t="shared" si="1026"/>
        <v>11212.56</v>
      </c>
      <c r="BV128" s="162">
        <f t="shared" si="1026"/>
        <v>11627.55</v>
      </c>
      <c r="BW128" s="162">
        <f t="shared" si="1026"/>
        <v>10484.761500000001</v>
      </c>
      <c r="BX128" s="162">
        <f t="shared" si="1026"/>
        <v>12114.967500000001</v>
      </c>
      <c r="BY128" s="162">
        <f t="shared" si="1026"/>
        <v>14669.896499999999</v>
      </c>
      <c r="BZ128" s="162">
        <f t="shared" si="1026"/>
        <v>14857.424999999999</v>
      </c>
      <c r="CA128" s="162">
        <f t="shared" si="1026"/>
        <v>14323.419</v>
      </c>
      <c r="CB128" s="162">
        <f t="shared" si="1026"/>
        <v>17733.384000000002</v>
      </c>
      <c r="CC128" s="162">
        <f t="shared" si="1026"/>
        <v>19513.143</v>
      </c>
      <c r="CD128" s="162">
        <f t="shared" si="1026"/>
        <v>23082.057000000001</v>
      </c>
      <c r="CE128" s="162">
        <f t="shared" si="1026"/>
        <v>25788.887999999999</v>
      </c>
      <c r="CF128" s="162">
        <f t="shared" si="1026"/>
        <v>26524.125</v>
      </c>
      <c r="CG128" s="162">
        <f t="shared" si="1026"/>
        <v>25918.865999999998</v>
      </c>
      <c r="CH128" s="162">
        <f t="shared" si="1026"/>
        <v>22469.751</v>
      </c>
      <c r="CI128" s="162">
        <f t="shared" si="1026"/>
        <v>20404.98</v>
      </c>
      <c r="CJ128" s="162">
        <f t="shared" si="1026"/>
        <v>25118.639999999999</v>
      </c>
      <c r="CK128" s="162">
        <f t="shared" ref="CK128:CL128" si="1027">+CK99*CK85</f>
        <v>25119.7935</v>
      </c>
      <c r="CL128" s="162">
        <f t="shared" si="1027"/>
        <v>28539.422999999995</v>
      </c>
      <c r="CM128" s="21">
        <f t="shared" ref="CM128:DB128" si="1028">+CM99*CM85</f>
        <v>28781.695005881335</v>
      </c>
      <c r="CN128" s="21">
        <f t="shared" si="1028"/>
        <v>28608.372606910543</v>
      </c>
      <c r="CO128" s="21">
        <f t="shared" si="1028"/>
        <v>28602.681989348323</v>
      </c>
      <c r="CP128" s="21">
        <f t="shared" si="1028"/>
        <v>31055.488310064113</v>
      </c>
      <c r="CQ128" s="21">
        <f t="shared" si="1028"/>
        <v>32168.405663623278</v>
      </c>
      <c r="CR128" s="21">
        <f t="shared" si="1028"/>
        <v>33405.81612422668</v>
      </c>
      <c r="CS128" s="21">
        <f t="shared" si="1028"/>
        <v>34798.160276095921</v>
      </c>
      <c r="CT128" s="21">
        <f t="shared" si="1028"/>
        <v>36329.904566119272</v>
      </c>
      <c r="CU128" s="21">
        <f t="shared" si="1028"/>
        <v>37924.966983074781</v>
      </c>
      <c r="CV128" s="21">
        <f t="shared" si="1028"/>
        <v>39569.151804748719</v>
      </c>
      <c r="CW128" s="21">
        <f t="shared" si="1028"/>
        <v>41256.313152334915</v>
      </c>
      <c r="CX128" s="21">
        <f t="shared" si="1028"/>
        <v>42929.528938601601</v>
      </c>
      <c r="CY128" s="21">
        <f t="shared" si="1028"/>
        <v>44796.474926124967</v>
      </c>
      <c r="CZ128" s="21">
        <f t="shared" si="1028"/>
        <v>46687.108049436516</v>
      </c>
      <c r="DA128" s="21">
        <f t="shared" si="1028"/>
        <v>48580.944070110301</v>
      </c>
      <c r="DB128" s="21">
        <f t="shared" si="1028"/>
        <v>50438.039499981889</v>
      </c>
      <c r="DE128" s="22"/>
      <c r="DF128" s="162">
        <v>23043.690999999995</v>
      </c>
    </row>
    <row r="129" spans="1:110" s="162" customFormat="1" x14ac:dyDescent="0.2">
      <c r="A129" s="49" t="s">
        <v>80</v>
      </c>
      <c r="B129" s="162">
        <f>+B188</f>
        <v>5.8308999999999989</v>
      </c>
      <c r="C129" s="162">
        <f t="shared" ref="C129:W129" si="1029">+C188</f>
        <v>10.380099999999999</v>
      </c>
      <c r="D129" s="162">
        <f t="shared" si="1029"/>
        <v>6.4606000000000012</v>
      </c>
      <c r="E129" s="162">
        <f t="shared" si="1029"/>
        <v>37.045000000000002</v>
      </c>
      <c r="F129" s="162">
        <f t="shared" si="1029"/>
        <v>55.552600000000005</v>
      </c>
      <c r="G129" s="162">
        <f t="shared" si="1029"/>
        <v>84.025399999999991</v>
      </c>
      <c r="H129" s="162">
        <f t="shared" si="1029"/>
        <v>153.98160000000001</v>
      </c>
      <c r="I129" s="162">
        <f t="shared" si="1029"/>
        <v>181.3929</v>
      </c>
      <c r="J129" s="162">
        <f t="shared" si="1029"/>
        <v>134.92110000000002</v>
      </c>
      <c r="K129" s="162">
        <f t="shared" si="1029"/>
        <v>58.917700000000011</v>
      </c>
      <c r="L129" s="162">
        <f t="shared" si="1029"/>
        <v>-38.905900000000031</v>
      </c>
      <c r="M129" s="162">
        <f t="shared" si="1029"/>
        <v>-447.46499999999997</v>
      </c>
      <c r="N129" s="162">
        <f t="shared" si="1029"/>
        <v>-500.80480000000006</v>
      </c>
      <c r="O129" s="162">
        <f t="shared" si="1029"/>
        <v>-415.85980000000006</v>
      </c>
      <c r="P129" s="162">
        <f t="shared" si="1029"/>
        <v>-264.60149999999999</v>
      </c>
      <c r="Q129" s="162">
        <f t="shared" si="1029"/>
        <v>-66.761599999999987</v>
      </c>
      <c r="R129" s="162">
        <f t="shared" si="1029"/>
        <v>-189.48780000000002</v>
      </c>
      <c r="S129" s="162">
        <f t="shared" si="1029"/>
        <v>-384.39640000000003</v>
      </c>
      <c r="T129" s="162">
        <f t="shared" si="1029"/>
        <v>-371.64929999999998</v>
      </c>
      <c r="U129" s="162">
        <f t="shared" si="1029"/>
        <v>-335.26709999999997</v>
      </c>
      <c r="V129" s="162">
        <f t="shared" si="1029"/>
        <v>-663.18190000000004</v>
      </c>
      <c r="W129" s="162">
        <f t="shared" si="1029"/>
        <v>-32.212900000000005</v>
      </c>
      <c r="X129" s="162">
        <f t="shared" ref="X129:Y129" si="1030">+X188</f>
        <v>277.24099999999999</v>
      </c>
      <c r="Y129" s="162">
        <f t="shared" si="1030"/>
        <v>-103.04750000000001</v>
      </c>
      <c r="Z129" s="162">
        <f t="shared" ref="Z129:AA129" si="1031">+Z188</f>
        <v>-432.75360000000001</v>
      </c>
      <c r="AA129" s="162">
        <f t="shared" si="1031"/>
        <v>-884.77870000000007</v>
      </c>
      <c r="AB129" s="21">
        <f t="shared" ref="AB129:AD129" si="1032">+AB188</f>
        <v>-1400.9067029489283</v>
      </c>
      <c r="AC129" s="21">
        <f t="shared" si="1032"/>
        <v>-2242.5523542090118</v>
      </c>
      <c r="AD129" s="21">
        <f t="shared" si="1032"/>
        <v>-3221.6507442682228</v>
      </c>
      <c r="AE129" s="21">
        <f t="shared" ref="AE129" si="1033">+AE188</f>
        <v>-4369.8468604883774</v>
      </c>
      <c r="AL129" s="162">
        <f t="shared" ref="AL129:AM129" si="1034">+AL188</f>
        <v>-506.392</v>
      </c>
      <c r="AM129" s="162">
        <f t="shared" si="1034"/>
        <v>-492.2518221346956</v>
      </c>
      <c r="AN129" s="162">
        <f t="shared" ref="AN129:AO129" si="1035">+AN188</f>
        <v>-399.75599999999997</v>
      </c>
      <c r="AO129" s="162">
        <f t="shared" si="1035"/>
        <v>-414.35760885432512</v>
      </c>
      <c r="AP129" s="162">
        <f t="shared" ref="AP129:CD129" si="1036">+AP188</f>
        <v>-426.86500000000001</v>
      </c>
      <c r="AQ129" s="162">
        <f t="shared" si="1036"/>
        <v>-412.66803334237403</v>
      </c>
      <c r="AR129" s="162">
        <f t="shared" si="1036"/>
        <v>-444.178</v>
      </c>
      <c r="AS129" s="162">
        <f t="shared" si="1036"/>
        <v>-490.90557075979984</v>
      </c>
      <c r="AT129" s="162">
        <f t="shared" si="1036"/>
        <v>-264.68999999999994</v>
      </c>
      <c r="AU129" s="162">
        <f t="shared" si="1036"/>
        <v>-267.63847856067628</v>
      </c>
      <c r="AV129" s="162">
        <f t="shared" si="1036"/>
        <v>-103.81800000000001</v>
      </c>
      <c r="AW129" s="162">
        <f t="shared" si="1036"/>
        <v>-165.84349481985467</v>
      </c>
      <c r="AX129" s="162">
        <f t="shared" si="1036"/>
        <v>-67.161000000000001</v>
      </c>
      <c r="AY129" s="162">
        <f t="shared" si="1036"/>
        <v>-102.93512076271884</v>
      </c>
      <c r="AZ129" s="162">
        <f t="shared" si="1036"/>
        <v>-155.80500000000001</v>
      </c>
      <c r="BA129" s="162">
        <f t="shared" si="1036"/>
        <v>-217.29285310858143</v>
      </c>
      <c r="BB129" s="162">
        <f t="shared" si="1036"/>
        <v>-189.488</v>
      </c>
      <c r="BC129" s="162">
        <f t="shared" si="1036"/>
        <v>-236.73870497809071</v>
      </c>
      <c r="BD129" s="162">
        <f t="shared" si="1036"/>
        <v>-348.81300000000005</v>
      </c>
      <c r="BE129" s="162">
        <f t="shared" si="1036"/>
        <v>-425.51680278360823</v>
      </c>
      <c r="BF129" s="162">
        <f t="shared" si="1036"/>
        <v>-384.39600000000002</v>
      </c>
      <c r="BG129" s="162">
        <f t="shared" si="1036"/>
        <v>-317.80862584700793</v>
      </c>
      <c r="BH129" s="162">
        <f t="shared" si="1036"/>
        <v>-383.40499999999997</v>
      </c>
      <c r="BI129" s="162">
        <f t="shared" si="1036"/>
        <v>-485.96525612218426</v>
      </c>
      <c r="BJ129" s="162">
        <f t="shared" si="1036"/>
        <v>-371.649</v>
      </c>
      <c r="BK129" s="162">
        <f t="shared" si="1036"/>
        <v>-405.4423113877516</v>
      </c>
      <c r="BL129" s="162">
        <f t="shared" si="1036"/>
        <v>-511.84000000000009</v>
      </c>
      <c r="BM129" s="162">
        <f t="shared" si="1036"/>
        <v>-606.59212917573177</v>
      </c>
      <c r="BN129" s="162">
        <f t="shared" si="1036"/>
        <v>-335.26699999999994</v>
      </c>
      <c r="BO129" s="162">
        <f t="shared" si="1036"/>
        <v>-374.45458274586383</v>
      </c>
      <c r="BP129" s="162">
        <f t="shared" si="1036"/>
        <v>-453.16899999999998</v>
      </c>
      <c r="BQ129" s="162">
        <f t="shared" si="1036"/>
        <v>-455.55977457593514</v>
      </c>
      <c r="BR129" s="162">
        <f t="shared" si="1036"/>
        <v>-663.18100000000004</v>
      </c>
      <c r="BS129" s="162">
        <f t="shared" si="1036"/>
        <v>-701.42211207198363</v>
      </c>
      <c r="BT129" s="162">
        <f t="shared" si="1036"/>
        <v>-740.86599999999999</v>
      </c>
      <c r="BU129" s="162">
        <f t="shared" si="1036"/>
        <v>-816.44839132561015</v>
      </c>
      <c r="BV129" s="162">
        <f t="shared" si="1036"/>
        <v>-32.200000000000003</v>
      </c>
      <c r="BW129" s="162">
        <f t="shared" si="1036"/>
        <v>52.895133927856548</v>
      </c>
      <c r="BX129" s="162">
        <f t="shared" si="1036"/>
        <v>153.24</v>
      </c>
      <c r="BY129" s="162">
        <f t="shared" si="1036"/>
        <v>29.845126877841437</v>
      </c>
      <c r="BZ129" s="162">
        <f t="shared" si="1036"/>
        <v>277.25</v>
      </c>
      <c r="CA129" s="162">
        <f t="shared" si="1036"/>
        <v>269.7460641200546</v>
      </c>
      <c r="CB129" s="162">
        <f t="shared" si="1036"/>
        <v>33.810000000000059</v>
      </c>
      <c r="CC129" s="162">
        <f t="shared" si="1036"/>
        <v>-134.24886134234589</v>
      </c>
      <c r="CD129" s="162">
        <f t="shared" si="1036"/>
        <v>-103.05000000000001</v>
      </c>
      <c r="CE129" s="162">
        <f t="shared" ref="CE129:CF129" si="1037">+CE188</f>
        <v>-141.94673737713691</v>
      </c>
      <c r="CF129" s="162">
        <f t="shared" si="1037"/>
        <v>-335.21999999999997</v>
      </c>
      <c r="CG129" s="162">
        <f t="shared" ref="CG129:CH129" si="1038">+CG188</f>
        <v>-535.47415852171605</v>
      </c>
      <c r="CH129" s="162">
        <f t="shared" si="1038"/>
        <v>-432.75360000000001</v>
      </c>
      <c r="CI129" s="162">
        <f t="shared" ref="CI129:CJ129" si="1039">+CI188</f>
        <v>-508.91126747061605</v>
      </c>
      <c r="CJ129" s="162">
        <f t="shared" si="1039"/>
        <v>-586.82999999999993</v>
      </c>
      <c r="CK129" s="162">
        <f t="shared" ref="CK129:CL129" si="1040">+CK188</f>
        <v>-856.01624573693459</v>
      </c>
      <c r="CL129" s="162">
        <f t="shared" si="1040"/>
        <v>-884.78</v>
      </c>
      <c r="CM129" s="21">
        <f t="shared" ref="CM129:DB129" si="1041">+CM188</f>
        <v>-612.77798060536429</v>
      </c>
      <c r="CN129" s="21">
        <f t="shared" si="1041"/>
        <v>-854.52814273611773</v>
      </c>
      <c r="CO129" s="21">
        <f t="shared" si="1041"/>
        <v>-1112.7471263164443</v>
      </c>
      <c r="CP129" s="21">
        <f t="shared" si="1041"/>
        <v>-1400.9067029489283</v>
      </c>
      <c r="CQ129" s="21">
        <f t="shared" si="1041"/>
        <v>-1340.2754214150746</v>
      </c>
      <c r="CR129" s="21">
        <f t="shared" si="1041"/>
        <v>-1612.4883134283634</v>
      </c>
      <c r="CS129" s="21">
        <f t="shared" si="1041"/>
        <v>-1908.9460063864881</v>
      </c>
      <c r="CT129" s="21">
        <f t="shared" si="1041"/>
        <v>-2242.5523542090118</v>
      </c>
      <c r="CU129" s="21">
        <f t="shared" si="1041"/>
        <v>-2179.2152149539925</v>
      </c>
      <c r="CV129" s="21">
        <f t="shared" si="1041"/>
        <v>-2493.3090145254369</v>
      </c>
      <c r="CW129" s="21">
        <f t="shared" si="1041"/>
        <v>-2836.7745550595155</v>
      </c>
      <c r="CX129" s="21">
        <f t="shared" si="1041"/>
        <v>-3221.6507442682228</v>
      </c>
      <c r="CY129" s="21">
        <f t="shared" si="1041"/>
        <v>-3168.6441959275012</v>
      </c>
      <c r="CZ129" s="21">
        <f t="shared" si="1041"/>
        <v>-3531.2122193636515</v>
      </c>
      <c r="DA129" s="21">
        <f t="shared" si="1041"/>
        <v>-3927.7578620537583</v>
      </c>
      <c r="DB129" s="21">
        <f t="shared" si="1041"/>
        <v>-4369.8468604883774</v>
      </c>
      <c r="DE129" s="22"/>
      <c r="DF129" s="162">
        <v>-884.77870000000007</v>
      </c>
    </row>
    <row r="130" spans="1:110" s="162" customFormat="1" x14ac:dyDescent="0.2">
      <c r="A130" s="49" t="s">
        <v>342</v>
      </c>
      <c r="B130" s="162">
        <f>+B127+B129</f>
        <v>28.072614999999999</v>
      </c>
      <c r="C130" s="162">
        <f t="shared" ref="C130:W130" si="1042">+C127+C129</f>
        <v>37.351190500000001</v>
      </c>
      <c r="D130" s="162">
        <f t="shared" si="1042"/>
        <v>46.286920000000002</v>
      </c>
      <c r="E130" s="162">
        <f t="shared" ca="1" si="1042"/>
        <v>693.89899999999989</v>
      </c>
      <c r="F130" s="162">
        <f t="shared" ca="1" si="1042"/>
        <v>887.46059999999989</v>
      </c>
      <c r="G130" s="162">
        <f t="shared" ca="1" si="1042"/>
        <v>1204.2103999999999</v>
      </c>
      <c r="H130" s="162">
        <f t="shared" ca="1" si="1042"/>
        <v>1181.0186000000001</v>
      </c>
      <c r="I130" s="162">
        <f t="shared" ca="1" si="1042"/>
        <v>998.04389999999989</v>
      </c>
      <c r="J130" s="162">
        <f t="shared" ca="1" si="1042"/>
        <v>602.26710000000003</v>
      </c>
      <c r="K130" s="162">
        <f t="shared" ca="1" si="1042"/>
        <v>698.90869999999995</v>
      </c>
      <c r="L130" s="162">
        <f t="shared" ca="1" si="1042"/>
        <v>1153.1475999999998</v>
      </c>
      <c r="M130" s="162">
        <f t="shared" ca="1" si="1042"/>
        <v>1038.085</v>
      </c>
      <c r="N130" s="162">
        <f t="shared" ca="1" si="1042"/>
        <v>273.28719999999993</v>
      </c>
      <c r="O130" s="162">
        <f t="shared" ca="1" si="1042"/>
        <v>720.38519999999983</v>
      </c>
      <c r="P130" s="162">
        <f t="shared" ca="1" si="1042"/>
        <v>1802.722</v>
      </c>
      <c r="Q130" s="162">
        <f t="shared" ca="1" si="1042"/>
        <v>2487.1799000000001</v>
      </c>
      <c r="R130" s="162">
        <f t="shared" ca="1" si="1042"/>
        <v>3051.4202</v>
      </c>
      <c r="S130" s="162">
        <f t="shared" ca="1" si="1042"/>
        <v>2530.8950999999997</v>
      </c>
      <c r="T130" s="162">
        <f t="shared" ca="1" si="1042"/>
        <v>2544.4451999999997</v>
      </c>
      <c r="U130" s="162">
        <f t="shared" ca="1" si="1042"/>
        <v>4474.7028999999993</v>
      </c>
      <c r="V130" s="162">
        <f t="shared" ca="1" si="1042"/>
        <v>9919.5550999999996</v>
      </c>
      <c r="W130" s="162">
        <f t="shared" ca="1" si="1042"/>
        <v>15905.329599999999</v>
      </c>
      <c r="X130" s="162">
        <f t="shared" ref="X130:Y130" ca="1" si="1043">+X127+X129</f>
        <v>17540.938000000002</v>
      </c>
      <c r="Y130" s="162">
        <f t="shared" ca="1" si="1043"/>
        <v>30973.052499999998</v>
      </c>
      <c r="Z130" s="162">
        <f t="shared" ref="Z130:AA130" ca="1" si="1044">+Z127+Z129</f>
        <v>32152.986399999998</v>
      </c>
      <c r="AA130" s="162">
        <f t="shared" ca="1" si="1044"/>
        <v>32152.986399999998</v>
      </c>
      <c r="AB130" s="21">
        <f t="shared" ref="AB130:AD130" ca="1" si="1045">+AB127+AB129</f>
        <v>36958.619951107357</v>
      </c>
      <c r="AC130" s="21">
        <f t="shared" ca="1" si="1045"/>
        <v>42631.897167544346</v>
      </c>
      <c r="AD130" s="21">
        <f t="shared" ca="1" si="1045"/>
        <v>49804.609642457261</v>
      </c>
      <c r="AE130" s="21">
        <f t="shared" ref="AE130" ca="1" si="1046">+AE127+AE129</f>
        <v>57930.874392408419</v>
      </c>
      <c r="AL130" s="162">
        <f t="shared" ref="AL130" si="1047">+AL127+AL129</f>
        <v>245.28800000000007</v>
      </c>
      <c r="AM130" s="162">
        <f t="shared" ref="AM130:AO130" si="1048">+AM127+AM129</f>
        <v>191.69867786530432</v>
      </c>
      <c r="AN130" s="162">
        <f t="shared" si="1048"/>
        <v>297.11400000000003</v>
      </c>
      <c r="AO130" s="162">
        <f t="shared" si="1048"/>
        <v>648.95639114567496</v>
      </c>
      <c r="AP130" s="162">
        <f t="shared" ref="AP130:CD130" si="1049">+AP127+AP129</f>
        <v>681.07999999999993</v>
      </c>
      <c r="AQ130" s="162">
        <f t="shared" si="1049"/>
        <v>891.80996665762609</v>
      </c>
      <c r="AR130" s="162">
        <f t="shared" si="1049"/>
        <v>1571.6554999999998</v>
      </c>
      <c r="AS130" s="162">
        <f t="shared" si="1049"/>
        <v>1364.8044292402001</v>
      </c>
      <c r="AT130" s="162">
        <f t="shared" si="1049"/>
        <v>1492.3620000000001</v>
      </c>
      <c r="AU130" s="162">
        <f t="shared" si="1049"/>
        <v>1830.8015214393238</v>
      </c>
      <c r="AV130" s="162">
        <f t="shared" si="1049"/>
        <v>2224.8239999999996</v>
      </c>
      <c r="AW130" s="162">
        <f t="shared" si="1049"/>
        <v>2324.4880051801456</v>
      </c>
      <c r="AX130" s="162">
        <f t="shared" si="1049"/>
        <v>2191.011</v>
      </c>
      <c r="AY130" s="162">
        <f t="shared" si="1049"/>
        <v>1983.7598792372814</v>
      </c>
      <c r="AZ130" s="162">
        <f t="shared" si="1049"/>
        <v>2944.875</v>
      </c>
      <c r="BA130" s="162">
        <f t="shared" si="1049"/>
        <v>2942.8951468914188</v>
      </c>
      <c r="BB130" s="162">
        <f t="shared" si="1049"/>
        <v>2689.2114999999999</v>
      </c>
      <c r="BC130" s="162">
        <f t="shared" si="1049"/>
        <v>2605.9427950219097</v>
      </c>
      <c r="BD130" s="162">
        <f t="shared" si="1049"/>
        <v>2289.8969999999999</v>
      </c>
      <c r="BE130" s="162">
        <f t="shared" si="1049"/>
        <v>2242.5556972163922</v>
      </c>
      <c r="BF130" s="162">
        <f t="shared" si="1049"/>
        <v>2309.1239999999998</v>
      </c>
      <c r="BG130" s="162">
        <f t="shared" si="1049"/>
        <v>2309.1563741529922</v>
      </c>
      <c r="BH130" s="162">
        <f t="shared" si="1049"/>
        <v>2364.9250000000002</v>
      </c>
      <c r="BI130" s="162">
        <f t="shared" si="1049"/>
        <v>2019.2432438778155</v>
      </c>
      <c r="BJ130" s="162">
        <f t="shared" si="1049"/>
        <v>2471.8155000000002</v>
      </c>
      <c r="BK130" s="162">
        <f t="shared" si="1049"/>
        <v>2782.1506886122488</v>
      </c>
      <c r="BL130" s="162">
        <f t="shared" si="1049"/>
        <v>2706.29</v>
      </c>
      <c r="BM130" s="162">
        <f t="shared" si="1049"/>
        <v>2799.4578708242684</v>
      </c>
      <c r="BN130" s="162">
        <f t="shared" si="1049"/>
        <v>4354.9030000000002</v>
      </c>
      <c r="BO130" s="162">
        <f t="shared" si="1049"/>
        <v>5443.2354172541354</v>
      </c>
      <c r="BP130" s="162">
        <f t="shared" si="1049"/>
        <v>8551.3310000000001</v>
      </c>
      <c r="BQ130" s="162">
        <f t="shared" si="1049"/>
        <v>8099.498225424064</v>
      </c>
      <c r="BR130" s="162">
        <f t="shared" si="1049"/>
        <v>9655.9760000000006</v>
      </c>
      <c r="BS130" s="162">
        <f t="shared" si="1049"/>
        <v>12472.161387928018</v>
      </c>
      <c r="BT130" s="162">
        <f t="shared" si="1049"/>
        <v>14799.726500000001</v>
      </c>
      <c r="BU130" s="162">
        <f t="shared" si="1049"/>
        <v>14129.455608674391</v>
      </c>
      <c r="BV130" s="162">
        <f t="shared" si="1049"/>
        <v>14633.39</v>
      </c>
      <c r="BW130" s="162">
        <f t="shared" si="1049"/>
        <v>14051.369133927858</v>
      </c>
      <c r="BX130" s="162">
        <f t="shared" si="1049"/>
        <v>16171.853999999999</v>
      </c>
      <c r="BY130" s="162">
        <f t="shared" si="1049"/>
        <v>16863.562126877841</v>
      </c>
      <c r="BZ130" s="162">
        <f t="shared" si="1049"/>
        <v>16596.144500000002</v>
      </c>
      <c r="CA130" s="162">
        <f t="shared" si="1049"/>
        <v>19375.337564120058</v>
      </c>
      <c r="CB130" s="162">
        <f t="shared" si="1049"/>
        <v>23908.654500000001</v>
      </c>
      <c r="CC130" s="162">
        <f t="shared" si="1049"/>
        <v>25545.019138657655</v>
      </c>
      <c r="CD130" s="162">
        <f t="shared" si="1049"/>
        <v>30199.05</v>
      </c>
      <c r="CE130" s="162">
        <f t="shared" ref="CE130:CF130" si="1050">+CE127+CE129</f>
        <v>30003.553262622863</v>
      </c>
      <c r="CF130" s="162">
        <f t="shared" si="1050"/>
        <v>31438.92</v>
      </c>
      <c r="CG130" s="162">
        <f t="shared" ref="CG130:CH130" si="1051">+CG127+CG129</f>
        <v>30753.205841478284</v>
      </c>
      <c r="CH130" s="162">
        <f t="shared" si="1051"/>
        <v>29585.117399999999</v>
      </c>
      <c r="CI130" s="162">
        <f t="shared" ref="CI130:CJ130" si="1052">+CI127+CI129</f>
        <v>28461.305732529385</v>
      </c>
      <c r="CJ130" s="162">
        <f t="shared" si="1052"/>
        <v>27799.269</v>
      </c>
      <c r="CK130" s="162">
        <f t="shared" ref="CK130:CL130" si="1053">+CK127+CK129</f>
        <v>28046.515254263068</v>
      </c>
      <c r="CL130" s="162">
        <f t="shared" si="1053"/>
        <v>34366.92</v>
      </c>
      <c r="CM130" s="21">
        <f t="shared" ref="CM130:DB130" si="1054">+CM127+CM129</f>
        <v>34938.174743240073</v>
      </c>
      <c r="CN130" s="21">
        <f t="shared" si="1054"/>
        <v>34482.337939911326</v>
      </c>
      <c r="CO130" s="21">
        <f t="shared" si="1054"/>
        <v>34217.089944457912</v>
      </c>
      <c r="CP130" s="21">
        <f t="shared" si="1054"/>
        <v>36958.619951107357</v>
      </c>
      <c r="CQ130" s="21">
        <f t="shared" si="1054"/>
        <v>38393.919132285206</v>
      </c>
      <c r="CR130" s="21">
        <f t="shared" si="1054"/>
        <v>39650.147173855374</v>
      </c>
      <c r="CS130" s="21">
        <f t="shared" si="1054"/>
        <v>41073.503449751799</v>
      </c>
      <c r="CT130" s="21">
        <f t="shared" si="1054"/>
        <v>42631.897167544346</v>
      </c>
      <c r="CU130" s="21">
        <f t="shared" si="1054"/>
        <v>44665.444489527676</v>
      </c>
      <c r="CV130" s="21">
        <f t="shared" si="1054"/>
        <v>46382.236530857874</v>
      </c>
      <c r="CW130" s="21">
        <f t="shared" si="1054"/>
        <v>48122.741141952472</v>
      </c>
      <c r="CX130" s="21">
        <f t="shared" si="1054"/>
        <v>49804.609642457261</v>
      </c>
      <c r="CY130" s="21">
        <f t="shared" si="1054"/>
        <v>52163.655099446456</v>
      </c>
      <c r="CZ130" s="21">
        <f t="shared" si="1054"/>
        <v>54136.384172697988</v>
      </c>
      <c r="DA130" s="21">
        <f t="shared" si="1054"/>
        <v>56079.091823600611</v>
      </c>
      <c r="DB130" s="21">
        <f t="shared" si="1054"/>
        <v>57930.874392408419</v>
      </c>
      <c r="DE130" s="22"/>
      <c r="DF130" s="162">
        <v>32152.986399999998</v>
      </c>
    </row>
    <row r="131" spans="1:110" s="162" customFormat="1" x14ac:dyDescent="0.2">
      <c r="A131" s="49" t="s">
        <v>345</v>
      </c>
      <c r="B131" s="162">
        <f>+B128+B129</f>
        <v>18.967161999999998</v>
      </c>
      <c r="C131" s="162">
        <f t="shared" ref="C131:W131" si="1055">+C128+C129</f>
        <v>22.42435</v>
      </c>
      <c r="D131" s="162">
        <f t="shared" si="1055"/>
        <v>30.268067500000001</v>
      </c>
      <c r="E131" s="162">
        <f t="shared" ca="1" si="1055"/>
        <v>274.97389999999996</v>
      </c>
      <c r="F131" s="162">
        <f t="shared" ca="1" si="1055"/>
        <v>457.05259999999993</v>
      </c>
      <c r="G131" s="162">
        <f t="shared" ca="1" si="1055"/>
        <v>649.3374</v>
      </c>
      <c r="H131" s="162">
        <f t="shared" ca="1" si="1055"/>
        <v>749.80760000000009</v>
      </c>
      <c r="I131" s="162">
        <f t="shared" ca="1" si="1055"/>
        <v>436.74689999999998</v>
      </c>
      <c r="J131" s="162">
        <f t="shared" ca="1" si="1055"/>
        <v>352.53410000000002</v>
      </c>
      <c r="K131" s="162">
        <f t="shared" ca="1" si="1055"/>
        <v>352.0127</v>
      </c>
      <c r="L131" s="162">
        <f t="shared" ca="1" si="1055"/>
        <v>538.4511</v>
      </c>
      <c r="M131" s="162">
        <f t="shared" ca="1" si="1055"/>
        <v>18.274999999999977</v>
      </c>
      <c r="N131" s="162">
        <f t="shared" ca="1" si="1055"/>
        <v>-27.034800000000075</v>
      </c>
      <c r="O131" s="162">
        <f t="shared" ca="1" si="1055"/>
        <v>168.72419999999988</v>
      </c>
      <c r="P131" s="162">
        <f t="shared" ca="1" si="1055"/>
        <v>769.26099999999997</v>
      </c>
      <c r="Q131" s="162">
        <f t="shared" ca="1" si="1055"/>
        <v>1535.2233999999999</v>
      </c>
      <c r="R131" s="162">
        <f t="shared" ca="1" si="1055"/>
        <v>1665.4421999999997</v>
      </c>
      <c r="S131" s="162">
        <f t="shared" ca="1" si="1055"/>
        <v>1663.2535999999998</v>
      </c>
      <c r="T131" s="162">
        <f t="shared" ca="1" si="1055"/>
        <v>1523.4306999999999</v>
      </c>
      <c r="U131" s="162">
        <f t="shared" ca="1" si="1055"/>
        <v>2129.9428999999996</v>
      </c>
      <c r="V131" s="162">
        <f t="shared" ca="1" si="1055"/>
        <v>2894.1080999999995</v>
      </c>
      <c r="W131" s="162">
        <f t="shared" ca="1" si="1055"/>
        <v>9654.7775999999976</v>
      </c>
      <c r="X131" s="162">
        <f t="shared" ref="X131:Y131" ca="1" si="1056">+X128+X129</f>
        <v>11029.812499999998</v>
      </c>
      <c r="Y131" s="162">
        <f t="shared" ca="1" si="1056"/>
        <v>14586.231499999998</v>
      </c>
      <c r="Z131" s="162">
        <f t="shared" ref="Z131:AA131" ca="1" si="1057">+Z128+Z129</f>
        <v>22610.937399999995</v>
      </c>
      <c r="AA131" s="162">
        <f t="shared" ca="1" si="1057"/>
        <v>22610.937399999995</v>
      </c>
      <c r="AB131" s="21">
        <f t="shared" ref="AB131:AD131" ca="1" si="1058">+AB128+AB129</f>
        <v>27201.775286399396</v>
      </c>
      <c r="AC131" s="21">
        <f t="shared" ca="1" si="1058"/>
        <v>29925.853309414266</v>
      </c>
      <c r="AD131" s="21">
        <f t="shared" ca="1" si="1058"/>
        <v>34703.316238806561</v>
      </c>
      <c r="AE131" s="21">
        <f t="shared" ref="AE131" ca="1" si="1059">+AE128+AE129</f>
        <v>40426.628065636593</v>
      </c>
      <c r="AL131" s="162">
        <f t="shared" ref="AL131:AM131" si="1060">+AL128+AL129</f>
        <v>44.05699999999996</v>
      </c>
      <c r="AM131" s="162">
        <f t="shared" si="1060"/>
        <v>79.338177865304431</v>
      </c>
      <c r="AN131" s="162">
        <f t="shared" ref="AN131:AO131" si="1061">+AN128+AN129</f>
        <v>170.26800000000003</v>
      </c>
      <c r="AO131" s="162">
        <f t="shared" si="1061"/>
        <v>248.45189114567495</v>
      </c>
      <c r="AP131" s="162">
        <f t="shared" ref="AP131:CD131" si="1062">+AP128+AP129</f>
        <v>474.36799999999994</v>
      </c>
      <c r="AQ131" s="162">
        <f t="shared" si="1062"/>
        <v>595.44446665762598</v>
      </c>
      <c r="AR131" s="162">
        <f t="shared" si="1062"/>
        <v>717.79399999999998</v>
      </c>
      <c r="AS131" s="162">
        <f t="shared" si="1062"/>
        <v>973.30442924020019</v>
      </c>
      <c r="AT131" s="162">
        <f t="shared" si="1062"/>
        <v>1144.71</v>
      </c>
      <c r="AU131" s="162">
        <f t="shared" si="1062"/>
        <v>1294.4465214393238</v>
      </c>
      <c r="AV131" s="162">
        <f t="shared" si="1062"/>
        <v>1728.402</v>
      </c>
      <c r="AW131" s="162">
        <f t="shared" si="1062"/>
        <v>1807.3165051801454</v>
      </c>
      <c r="AX131" s="162">
        <f t="shared" si="1062"/>
        <v>1720.4280000000001</v>
      </c>
      <c r="AY131" s="162">
        <f t="shared" si="1062"/>
        <v>1705.7948792372813</v>
      </c>
      <c r="AZ131" s="162">
        <f t="shared" si="1062"/>
        <v>1786.818</v>
      </c>
      <c r="BA131" s="162">
        <f t="shared" si="1062"/>
        <v>2194.3471468914186</v>
      </c>
      <c r="BB131" s="162">
        <f t="shared" si="1062"/>
        <v>2277.7450000000003</v>
      </c>
      <c r="BC131" s="162">
        <f t="shared" si="1062"/>
        <v>2206.2212950219091</v>
      </c>
      <c r="BD131" s="162">
        <f t="shared" si="1062"/>
        <v>1647.837</v>
      </c>
      <c r="BE131" s="162">
        <f t="shared" si="1062"/>
        <v>1670.9656972163918</v>
      </c>
      <c r="BF131" s="162">
        <f t="shared" si="1062"/>
        <v>1813.0934999999997</v>
      </c>
      <c r="BG131" s="162">
        <f t="shared" si="1062"/>
        <v>1655.3513741529921</v>
      </c>
      <c r="BH131" s="162">
        <f t="shared" si="1062"/>
        <v>1464.4750000000001</v>
      </c>
      <c r="BI131" s="162">
        <f t="shared" si="1062"/>
        <v>1710.3497438778159</v>
      </c>
      <c r="BJ131" s="162">
        <f t="shared" si="1062"/>
        <v>1952.2950000000001</v>
      </c>
      <c r="BK131" s="162">
        <f t="shared" si="1062"/>
        <v>1998.3676886122485</v>
      </c>
      <c r="BL131" s="162">
        <f t="shared" si="1062"/>
        <v>2228.66</v>
      </c>
      <c r="BM131" s="162">
        <f t="shared" si="1062"/>
        <v>1912.3188708242683</v>
      </c>
      <c r="BN131" s="162">
        <f t="shared" si="1062"/>
        <v>2988.9595000000004</v>
      </c>
      <c r="BO131" s="162">
        <f t="shared" si="1062"/>
        <v>3094.2354172541363</v>
      </c>
      <c r="BP131" s="162">
        <f t="shared" si="1062"/>
        <v>5007.0815000000002</v>
      </c>
      <c r="BQ131" s="162">
        <f t="shared" si="1062"/>
        <v>6533.4982254240649</v>
      </c>
      <c r="BR131" s="162">
        <f t="shared" si="1062"/>
        <v>6830.1290000000008</v>
      </c>
      <c r="BS131" s="162">
        <f t="shared" si="1062"/>
        <v>8744.2983879280164</v>
      </c>
      <c r="BT131" s="162">
        <f t="shared" si="1062"/>
        <v>12054.136999999999</v>
      </c>
      <c r="BU131" s="162">
        <f t="shared" si="1062"/>
        <v>10396.11160867439</v>
      </c>
      <c r="BV131" s="162">
        <f t="shared" si="1062"/>
        <v>11595.349999999999</v>
      </c>
      <c r="BW131" s="162">
        <f t="shared" si="1062"/>
        <v>10537.656633927858</v>
      </c>
      <c r="BX131" s="162">
        <f t="shared" si="1062"/>
        <v>12268.2075</v>
      </c>
      <c r="BY131" s="162">
        <f t="shared" si="1062"/>
        <v>14699.74162687784</v>
      </c>
      <c r="BZ131" s="162">
        <f t="shared" si="1062"/>
        <v>15134.674999999999</v>
      </c>
      <c r="CA131" s="162">
        <f t="shared" si="1062"/>
        <v>14593.165064120054</v>
      </c>
      <c r="CB131" s="162">
        <f t="shared" si="1062"/>
        <v>17767.194000000003</v>
      </c>
      <c r="CC131" s="162">
        <f t="shared" si="1062"/>
        <v>19378.894138657655</v>
      </c>
      <c r="CD131" s="162">
        <f t="shared" si="1062"/>
        <v>22979.007000000001</v>
      </c>
      <c r="CE131" s="162">
        <f t="shared" ref="CE131:CF131" si="1063">+CE128+CE129</f>
        <v>25646.941262622862</v>
      </c>
      <c r="CF131" s="162">
        <f t="shared" si="1063"/>
        <v>26188.904999999999</v>
      </c>
      <c r="CG131" s="162">
        <f t="shared" ref="CG131:CH131" si="1064">+CG128+CG129</f>
        <v>25383.391841478282</v>
      </c>
      <c r="CH131" s="162">
        <f t="shared" si="1064"/>
        <v>22036.9974</v>
      </c>
      <c r="CI131" s="162">
        <f t="shared" ref="CI131:CJ131" si="1065">+CI128+CI129</f>
        <v>19896.068732529384</v>
      </c>
      <c r="CJ131" s="162">
        <f t="shared" si="1065"/>
        <v>24531.809999999998</v>
      </c>
      <c r="CK131" s="162">
        <f t="shared" ref="CK131:CL131" si="1066">+CK128+CK129</f>
        <v>24263.777254263066</v>
      </c>
      <c r="CL131" s="162">
        <f t="shared" si="1066"/>
        <v>27654.642999999996</v>
      </c>
      <c r="CM131" s="21">
        <f t="shared" ref="CM131:DB131" si="1067">+CM128+CM129</f>
        <v>28168.917025275969</v>
      </c>
      <c r="CN131" s="21">
        <f t="shared" si="1067"/>
        <v>27753.844464174425</v>
      </c>
      <c r="CO131" s="21">
        <f t="shared" si="1067"/>
        <v>27489.934863031878</v>
      </c>
      <c r="CP131" s="21">
        <f t="shared" si="1067"/>
        <v>29654.581607115186</v>
      </c>
      <c r="CQ131" s="21">
        <f t="shared" si="1067"/>
        <v>30828.130242208204</v>
      </c>
      <c r="CR131" s="21">
        <f t="shared" si="1067"/>
        <v>31793.327810798317</v>
      </c>
      <c r="CS131" s="21">
        <f t="shared" si="1067"/>
        <v>32889.214269709431</v>
      </c>
      <c r="CT131" s="21">
        <f t="shared" si="1067"/>
        <v>34087.352211910264</v>
      </c>
      <c r="CU131" s="21">
        <f t="shared" si="1067"/>
        <v>35745.75176812079</v>
      </c>
      <c r="CV131" s="21">
        <f t="shared" si="1067"/>
        <v>37075.84279022328</v>
      </c>
      <c r="CW131" s="21">
        <f t="shared" si="1067"/>
        <v>38419.538597275401</v>
      </c>
      <c r="CX131" s="21">
        <f t="shared" si="1067"/>
        <v>39707.878194333382</v>
      </c>
      <c r="CY131" s="21">
        <f t="shared" si="1067"/>
        <v>41627.830730197464</v>
      </c>
      <c r="CZ131" s="21">
        <f t="shared" si="1067"/>
        <v>43155.895830072863</v>
      </c>
      <c r="DA131" s="21">
        <f t="shared" si="1067"/>
        <v>44653.186208056541</v>
      </c>
      <c r="DB131" s="21">
        <f t="shared" si="1067"/>
        <v>46068.192639493514</v>
      </c>
      <c r="DE131" s="22"/>
      <c r="DF131" s="162">
        <v>22610.937399999995</v>
      </c>
    </row>
    <row r="132" spans="1:110" s="162" customFormat="1" x14ac:dyDescent="0.2">
      <c r="A132" s="49" t="s">
        <v>13</v>
      </c>
      <c r="B132" s="162">
        <f t="shared" ref="B132:AE132" si="1068">+B48</f>
        <v>37.824799999999996</v>
      </c>
      <c r="C132" s="162">
        <f t="shared" si="1068"/>
        <v>49.99980000000005</v>
      </c>
      <c r="D132" s="162">
        <f t="shared" si="1068"/>
        <v>61.250200000000007</v>
      </c>
      <c r="E132" s="162">
        <f t="shared" si="1068"/>
        <v>64.828000000000003</v>
      </c>
      <c r="F132" s="162">
        <f t="shared" si="1068"/>
        <v>67.294100000000014</v>
      </c>
      <c r="G132" s="162">
        <f t="shared" si="1068"/>
        <v>87.410399999999981</v>
      </c>
      <c r="H132" s="162">
        <f t="shared" si="1068"/>
        <v>82.852200000000039</v>
      </c>
      <c r="I132" s="162">
        <f t="shared" si="1068"/>
        <v>63.606299999999976</v>
      </c>
      <c r="J132" s="162">
        <f t="shared" si="1068"/>
        <v>56.853200000000015</v>
      </c>
      <c r="K132" s="162">
        <f t="shared" si="1068"/>
        <v>166.99290000000002</v>
      </c>
      <c r="L132" s="162">
        <f t="shared" si="1068"/>
        <v>192.35949999999991</v>
      </c>
      <c r="M132" s="162">
        <f t="shared" si="1068"/>
        <v>100.31800000000015</v>
      </c>
      <c r="N132" s="162">
        <f t="shared" si="1068"/>
        <v>105.64110000000005</v>
      </c>
      <c r="O132" s="162">
        <f t="shared" si="1068"/>
        <v>148.19439999999997</v>
      </c>
      <c r="P132" s="162">
        <f t="shared" si="1068"/>
        <v>180.12010000000009</v>
      </c>
      <c r="Q132" s="162">
        <f t="shared" si="1068"/>
        <v>206.0309000000002</v>
      </c>
      <c r="R132" s="162">
        <f t="shared" si="1068"/>
        <v>228.76660000000004</v>
      </c>
      <c r="S132" s="162">
        <f t="shared" si="1068"/>
        <v>199.12939999999992</v>
      </c>
      <c r="T132" s="162">
        <f t="shared" si="1068"/>
        <v>305.8431999999998</v>
      </c>
      <c r="U132" s="162">
        <f t="shared" si="1068"/>
        <v>377.57429999999999</v>
      </c>
      <c r="V132" s="162">
        <f t="shared" si="1068"/>
        <v>556.17539999999997</v>
      </c>
      <c r="W132" s="162">
        <f t="shared" si="1068"/>
        <v>542.60899999999992</v>
      </c>
      <c r="X132" s="162">
        <f t="shared" si="1068"/>
        <v>695.75250000000028</v>
      </c>
      <c r="Y132" s="162">
        <f t="shared" si="1068"/>
        <v>892.48309999999969</v>
      </c>
      <c r="Z132" s="162">
        <f t="shared" si="1068"/>
        <v>1031.1200999999994</v>
      </c>
      <c r="AA132" s="162">
        <f t="shared" ref="AA132" si="1069">+AA48</f>
        <v>1105.7584000000006</v>
      </c>
      <c r="AB132" s="21">
        <f t="shared" si="1068"/>
        <v>1226.7384168579417</v>
      </c>
      <c r="AC132" s="21">
        <f t="shared" si="1068"/>
        <v>1369.0946700818063</v>
      </c>
      <c r="AD132" s="21">
        <f t="shared" si="1068"/>
        <v>1547.0328152137376</v>
      </c>
      <c r="AE132" s="21">
        <f t="shared" si="1068"/>
        <v>1749.6829051845434</v>
      </c>
      <c r="AL132" s="162">
        <f t="shared" ref="AL132:BQ132" si="1070">+SUM(AI48:AL48)</f>
        <v>103.848</v>
      </c>
      <c r="AM132" s="162">
        <f t="shared" si="1070"/>
        <v>124.25599999999997</v>
      </c>
      <c r="AN132" s="162">
        <f t="shared" si="1070"/>
        <v>141.44900000000001</v>
      </c>
      <c r="AO132" s="162">
        <f t="shared" si="1070"/>
        <v>158.75</v>
      </c>
      <c r="AP132" s="162">
        <f t="shared" si="1070"/>
        <v>150.09200000000004</v>
      </c>
      <c r="AQ132" s="162">
        <f t="shared" si="1070"/>
        <v>157.56200000000007</v>
      </c>
      <c r="AR132" s="162">
        <f t="shared" si="1070"/>
        <v>166.09600000000003</v>
      </c>
      <c r="AS132" s="162">
        <f t="shared" si="1070"/>
        <v>169.32300000000001</v>
      </c>
      <c r="AT132" s="162">
        <f t="shared" si="1070"/>
        <v>193.77800000000002</v>
      </c>
      <c r="AU132" s="162">
        <f t="shared" si="1070"/>
        <v>195.81499999999997</v>
      </c>
      <c r="AV132" s="162">
        <f t="shared" si="1070"/>
        <v>188.37100000000007</v>
      </c>
      <c r="AW132" s="162">
        <f t="shared" si="1070"/>
        <v>207.87200000000004</v>
      </c>
      <c r="AX132" s="162">
        <f t="shared" si="1070"/>
        <v>221.3600000000001</v>
      </c>
      <c r="AY132" s="162">
        <f t="shared" si="1070"/>
        <v>240.67600000000013</v>
      </c>
      <c r="AZ132" s="162">
        <f t="shared" si="1070"/>
        <v>250.71500000000009</v>
      </c>
      <c r="BA132" s="162">
        <f t="shared" si="1070"/>
        <v>230.81400000000014</v>
      </c>
      <c r="BB132" s="162">
        <f t="shared" si="1070"/>
        <v>221.9850000000001</v>
      </c>
      <c r="BC132" s="162">
        <f t="shared" si="1070"/>
        <v>183.84100000000009</v>
      </c>
      <c r="BD132" s="162">
        <f t="shared" si="1070"/>
        <v>197.44700000000003</v>
      </c>
      <c r="BE132" s="162">
        <f t="shared" si="1070"/>
        <v>210.32400000000004</v>
      </c>
      <c r="BF132" s="162">
        <f t="shared" si="1070"/>
        <v>202.78600000000003</v>
      </c>
      <c r="BG132" s="162">
        <f t="shared" si="1070"/>
        <v>252.53899999999999</v>
      </c>
      <c r="BH132" s="162">
        <f t="shared" si="1070"/>
        <v>260.27500000000003</v>
      </c>
      <c r="BI132" s="162">
        <f t="shared" si="1070"/>
        <v>279.63700000000006</v>
      </c>
      <c r="BJ132" s="162">
        <f t="shared" si="1070"/>
        <v>305.84000000000003</v>
      </c>
      <c r="BK132" s="162">
        <f t="shared" si="1070"/>
        <v>320.99900000000002</v>
      </c>
      <c r="BL132" s="162">
        <f t="shared" si="1070"/>
        <v>339.75699999999995</v>
      </c>
      <c r="BM132" s="162">
        <f t="shared" si="1070"/>
        <v>351.37499999999994</v>
      </c>
      <c r="BN132" s="162">
        <f t="shared" si="1070"/>
        <v>377.57299999999987</v>
      </c>
      <c r="BO132" s="162">
        <f t="shared" si="1070"/>
        <v>437.01499999999987</v>
      </c>
      <c r="BP132" s="162">
        <f t="shared" si="1070"/>
        <v>446.85399999999993</v>
      </c>
      <c r="BQ132" s="162">
        <f t="shared" si="1070"/>
        <v>528.25199999999995</v>
      </c>
      <c r="BR132" s="162">
        <f t="shared" ref="BR132:CW132" si="1071">+SUM(BO48:BR48)</f>
        <v>560.40900000000011</v>
      </c>
      <c r="BS132" s="162">
        <f t="shared" si="1071"/>
        <v>568.67700000000013</v>
      </c>
      <c r="BT132" s="162">
        <f t="shared" si="1071"/>
        <v>585.32799999999997</v>
      </c>
      <c r="BU132" s="162">
        <f t="shared" si="1071"/>
        <v>542.43499999999995</v>
      </c>
      <c r="BV132" s="162">
        <f t="shared" si="1071"/>
        <v>543.45999999999992</v>
      </c>
      <c r="BW132" s="162">
        <f t="shared" si="1071"/>
        <v>552.52999999999986</v>
      </c>
      <c r="BX132" s="162">
        <f t="shared" si="1071"/>
        <v>610.3599999999999</v>
      </c>
      <c r="BY132" s="162">
        <f t="shared" si="1071"/>
        <v>657.0300000000002</v>
      </c>
      <c r="BZ132" s="162">
        <f t="shared" si="1071"/>
        <v>695.75000000000023</v>
      </c>
      <c r="CA132" s="162">
        <f t="shared" si="1071"/>
        <v>755.10000000000025</v>
      </c>
      <c r="CB132" s="162">
        <f t="shared" si="1071"/>
        <v>814.06000000000017</v>
      </c>
      <c r="CC132" s="162">
        <f t="shared" si="1071"/>
        <v>862.41</v>
      </c>
      <c r="CD132" s="162">
        <f t="shared" si="1071"/>
        <v>896.8900000000001</v>
      </c>
      <c r="CE132" s="162">
        <f t="shared" si="1071"/>
        <v>945.15</v>
      </c>
      <c r="CF132" s="162">
        <f t="shared" si="1071"/>
        <v>972.13000000000011</v>
      </c>
      <c r="CG132" s="162">
        <f t="shared" si="1071"/>
        <v>1003.52</v>
      </c>
      <c r="CH132" s="162">
        <f t="shared" si="1071"/>
        <v>1031.8399999999997</v>
      </c>
      <c r="CI132" s="162">
        <f t="shared" si="1071"/>
        <v>1052.3400000000001</v>
      </c>
      <c r="CJ132" s="162">
        <f t="shared" si="1071"/>
        <v>1091.42</v>
      </c>
      <c r="CK132" s="162">
        <f t="shared" si="1071"/>
        <v>1132.73</v>
      </c>
      <c r="CL132" s="162">
        <f t="shared" si="1071"/>
        <v>1107.4200000000003</v>
      </c>
      <c r="CM132" s="21">
        <f t="shared" si="1071"/>
        <v>1127.9501896124277</v>
      </c>
      <c r="CN132" s="21">
        <f t="shared" si="1071"/>
        <v>1134.50996509165</v>
      </c>
      <c r="CO132" s="21">
        <f t="shared" si="1071"/>
        <v>1142.2449331709699</v>
      </c>
      <c r="CP132" s="21">
        <f t="shared" si="1071"/>
        <v>1226.738416857942</v>
      </c>
      <c r="CQ132" s="21">
        <f t="shared" si="1071"/>
        <v>1255.758346635479</v>
      </c>
      <c r="CR132" s="21">
        <f t="shared" si="1071"/>
        <v>1287.2418215554869</v>
      </c>
      <c r="CS132" s="21">
        <f t="shared" si="1071"/>
        <v>1324.9754341378434</v>
      </c>
      <c r="CT132" s="21">
        <f t="shared" si="1071"/>
        <v>1369.0946700818067</v>
      </c>
      <c r="CU132" s="21">
        <f t="shared" si="1071"/>
        <v>1411.8116444602072</v>
      </c>
      <c r="CV132" s="21">
        <f t="shared" si="1071"/>
        <v>1456.5630432645762</v>
      </c>
      <c r="CW132" s="21">
        <f t="shared" si="1071"/>
        <v>1502.426971406423</v>
      </c>
      <c r="CX132" s="21">
        <f t="shared" ref="CX132:DB132" si="1072">+SUM(CU48:CX48)</f>
        <v>1547.0328152137374</v>
      </c>
      <c r="CY132" s="21">
        <f t="shared" si="1072"/>
        <v>1597.8192548258121</v>
      </c>
      <c r="CZ132" s="21">
        <f t="shared" si="1072"/>
        <v>1649.3940519145092</v>
      </c>
      <c r="DA132" s="21">
        <f t="shared" si="1072"/>
        <v>1700.507068964178</v>
      </c>
      <c r="DB132" s="21">
        <f t="shared" si="1072"/>
        <v>1749.6829051845434</v>
      </c>
      <c r="DE132" s="22"/>
      <c r="DF132" s="162">
        <v>1105.7584000000006</v>
      </c>
    </row>
    <row r="133" spans="1:110" s="162" customFormat="1" x14ac:dyDescent="0.2">
      <c r="A133" s="49" t="s">
        <v>343</v>
      </c>
      <c r="B133" s="162">
        <f>+B130/B132</f>
        <v>0.74217484296017433</v>
      </c>
      <c r="C133" s="162">
        <f t="shared" ref="C133:W133" si="1073">+C130/C132</f>
        <v>0.74702679810719175</v>
      </c>
      <c r="D133" s="162">
        <f t="shared" si="1073"/>
        <v>0.75570234872702446</v>
      </c>
      <c r="E133" s="162">
        <f t="shared" ca="1" si="1073"/>
        <v>10.703692848769048</v>
      </c>
      <c r="F133" s="162">
        <f t="shared" ca="1" si="1073"/>
        <v>13.18779209470072</v>
      </c>
      <c r="G133" s="162">
        <f t="shared" ca="1" si="1073"/>
        <v>13.776511719429269</v>
      </c>
      <c r="H133" s="162">
        <f t="shared" ca="1" si="1073"/>
        <v>14.254523114654765</v>
      </c>
      <c r="I133" s="162">
        <f t="shared" ca="1" si="1073"/>
        <v>15.690959857749943</v>
      </c>
      <c r="J133" s="162">
        <f t="shared" ca="1" si="1073"/>
        <v>10.593372052936331</v>
      </c>
      <c r="K133" s="162">
        <f t="shared" ca="1" si="1073"/>
        <v>4.1852599721305506</v>
      </c>
      <c r="L133" s="162">
        <f t="shared" ca="1" si="1073"/>
        <v>5.9947525336674312</v>
      </c>
      <c r="M133" s="162">
        <f t="shared" ca="1" si="1073"/>
        <v>10.347943539544234</v>
      </c>
      <c r="N133" s="162">
        <f t="shared" ca="1" si="1073"/>
        <v>2.5869401208431171</v>
      </c>
      <c r="O133" s="162">
        <f t="shared" ca="1" si="1073"/>
        <v>4.8610824700528488</v>
      </c>
      <c r="P133" s="162">
        <f t="shared" ca="1" si="1073"/>
        <v>10.008444365731526</v>
      </c>
      <c r="Q133" s="162">
        <f t="shared" ca="1" si="1073"/>
        <v>12.071878053243458</v>
      </c>
      <c r="R133" s="162">
        <f t="shared" ca="1" si="1073"/>
        <v>13.338573900210955</v>
      </c>
      <c r="S133" s="162">
        <f t="shared" ca="1" si="1073"/>
        <v>12.70980126490614</v>
      </c>
      <c r="T133" s="162">
        <f t="shared" ca="1" si="1073"/>
        <v>8.3194434272202269</v>
      </c>
      <c r="U133" s="162">
        <f t="shared" ca="1" si="1073"/>
        <v>11.851185051524956</v>
      </c>
      <c r="V133" s="162">
        <f t="shared" ca="1" si="1073"/>
        <v>17.835299979107312</v>
      </c>
      <c r="W133" s="162">
        <f t="shared" ca="1" si="1073"/>
        <v>29.31269035345894</v>
      </c>
      <c r="X133" s="162">
        <f t="shared" ref="X133:Y133" ca="1" si="1074">+X130/X132</f>
        <v>25.211462409405637</v>
      </c>
      <c r="Y133" s="162">
        <f t="shared" ca="1" si="1074"/>
        <v>34.704357427048208</v>
      </c>
      <c r="Z133" s="162">
        <f t="shared" ref="Z133:AA133" ca="1" si="1075">+Z130/Z132</f>
        <v>31.182581350125947</v>
      </c>
      <c r="AA133" s="162">
        <f t="shared" ca="1" si="1075"/>
        <v>31.182581350125947</v>
      </c>
      <c r="AB133" s="21">
        <f t="shared" ref="AB133:AD133" ca="1" si="1076">+AB130/AB132</f>
        <v>30.127547522127713</v>
      </c>
      <c r="AC133" s="21">
        <f t="shared" ca="1" si="1076"/>
        <v>31.138750372168932</v>
      </c>
      <c r="AD133" s="21">
        <f t="shared" ca="1" si="1076"/>
        <v>32.193634907205421</v>
      </c>
      <c r="AE133" s="21">
        <f t="shared" ref="AE133" ca="1" si="1077">+AE130/AE132</f>
        <v>33.10935611289996</v>
      </c>
      <c r="AL133" s="162">
        <f t="shared" ref="AL133" si="1078">+AL130/AL132</f>
        <v>2.3619906016485639</v>
      </c>
      <c r="AM133" s="162">
        <f t="shared" ref="AM133:AO133" si="1079">+AM130/AM132</f>
        <v>1.5427720018776105</v>
      </c>
      <c r="AN133" s="162">
        <f t="shared" si="1079"/>
        <v>2.1005026546670531</v>
      </c>
      <c r="AO133" s="162">
        <f t="shared" si="1079"/>
        <v>4.0879142749333859</v>
      </c>
      <c r="AP133" s="162">
        <f t="shared" ref="AP133:CD133" si="1080">+AP130/AP132</f>
        <v>4.5377501798896658</v>
      </c>
      <c r="AQ133" s="162">
        <f t="shared" si="1080"/>
        <v>5.6600574164939879</v>
      </c>
      <c r="AR133" s="162">
        <f t="shared" si="1080"/>
        <v>9.4623320248530938</v>
      </c>
      <c r="AS133" s="162">
        <f t="shared" si="1080"/>
        <v>8.0603605490110617</v>
      </c>
      <c r="AT133" s="162">
        <f t="shared" si="1080"/>
        <v>7.7014005717883345</v>
      </c>
      <c r="AU133" s="162">
        <f t="shared" si="1080"/>
        <v>9.3496490127892358</v>
      </c>
      <c r="AV133" s="162">
        <f t="shared" si="1080"/>
        <v>11.810862606239807</v>
      </c>
      <c r="AW133" s="162">
        <f t="shared" si="1080"/>
        <v>11.182304519993771</v>
      </c>
      <c r="AX133" s="162">
        <f t="shared" si="1080"/>
        <v>9.8979535598120663</v>
      </c>
      <c r="AY133" s="162">
        <f t="shared" si="1080"/>
        <v>8.242449929520518</v>
      </c>
      <c r="AZ133" s="162">
        <f t="shared" si="1080"/>
        <v>11.745906706818495</v>
      </c>
      <c r="BA133" s="162">
        <f t="shared" si="1080"/>
        <v>12.750072122537702</v>
      </c>
      <c r="BB133" s="162">
        <f t="shared" si="1080"/>
        <v>12.114383854764956</v>
      </c>
      <c r="BC133" s="162">
        <f t="shared" si="1080"/>
        <v>14.174981614666523</v>
      </c>
      <c r="BD133" s="162">
        <f t="shared" si="1080"/>
        <v>11.597527437742784</v>
      </c>
      <c r="BE133" s="162">
        <f t="shared" si="1080"/>
        <v>10.662386114834216</v>
      </c>
      <c r="BF133" s="162">
        <f t="shared" si="1080"/>
        <v>11.386999102502143</v>
      </c>
      <c r="BG133" s="162">
        <f t="shared" si="1080"/>
        <v>9.1437614552722248</v>
      </c>
      <c r="BH133" s="162">
        <f t="shared" si="1080"/>
        <v>9.0862549226779361</v>
      </c>
      <c r="BI133" s="162">
        <f t="shared" si="1080"/>
        <v>7.2209444525503246</v>
      </c>
      <c r="BJ133" s="162">
        <f t="shared" si="1080"/>
        <v>8.0820543421396813</v>
      </c>
      <c r="BK133" s="162">
        <f t="shared" si="1080"/>
        <v>8.6671631021038955</v>
      </c>
      <c r="BL133" s="162">
        <f t="shared" si="1080"/>
        <v>7.9653693669298953</v>
      </c>
      <c r="BM133" s="162">
        <f t="shared" si="1080"/>
        <v>7.9671515356080223</v>
      </c>
      <c r="BN133" s="162">
        <f t="shared" si="1080"/>
        <v>11.533936483805785</v>
      </c>
      <c r="BO133" s="162">
        <f t="shared" si="1080"/>
        <v>12.455488752683859</v>
      </c>
      <c r="BP133" s="162">
        <f t="shared" si="1080"/>
        <v>19.136744887591924</v>
      </c>
      <c r="BQ133" s="162">
        <f t="shared" si="1080"/>
        <v>15.332640908929951</v>
      </c>
      <c r="BR133" s="162">
        <f t="shared" si="1080"/>
        <v>17.230230064113886</v>
      </c>
      <c r="BS133" s="162">
        <f t="shared" si="1080"/>
        <v>21.93188996201361</v>
      </c>
      <c r="BT133" s="162">
        <f t="shared" si="1080"/>
        <v>25.28450116857557</v>
      </c>
      <c r="BU133" s="162">
        <f t="shared" si="1080"/>
        <v>26.048200445536132</v>
      </c>
      <c r="BV133" s="162">
        <f t="shared" si="1080"/>
        <v>26.926342325102127</v>
      </c>
      <c r="BW133" s="162">
        <f t="shared" si="1080"/>
        <v>25.430961457165875</v>
      </c>
      <c r="BX133" s="162">
        <f t="shared" si="1080"/>
        <v>26.495599318435026</v>
      </c>
      <c r="BY133" s="162">
        <f t="shared" si="1080"/>
        <v>25.666350283667164</v>
      </c>
      <c r="BZ133" s="162">
        <f t="shared" si="1080"/>
        <v>23.853603305785118</v>
      </c>
      <c r="CA133" s="162">
        <f t="shared" si="1080"/>
        <v>25.659300177618928</v>
      </c>
      <c r="CB133" s="162">
        <f t="shared" si="1080"/>
        <v>29.369646586246709</v>
      </c>
      <c r="CC133" s="162">
        <f t="shared" si="1080"/>
        <v>29.620504329330199</v>
      </c>
      <c r="CD133" s="162">
        <f t="shared" si="1080"/>
        <v>33.67085149795404</v>
      </c>
      <c r="CE133" s="162">
        <f t="shared" ref="CE133:CF133" si="1081">+CE130/CE132</f>
        <v>31.744752962622719</v>
      </c>
      <c r="CF133" s="162">
        <f t="shared" si="1081"/>
        <v>32.340242560151417</v>
      </c>
      <c r="CG133" s="162">
        <f t="shared" ref="CG133:CH133" si="1082">+CG130/CG132</f>
        <v>30.645334264865955</v>
      </c>
      <c r="CH133" s="162">
        <f t="shared" si="1082"/>
        <v>28.672194720111651</v>
      </c>
      <c r="CI133" s="162">
        <f t="shared" ref="CI133:CJ133" si="1083">+CI130/CI132</f>
        <v>27.045732113698406</v>
      </c>
      <c r="CJ133" s="162">
        <f t="shared" si="1083"/>
        <v>25.470734456029756</v>
      </c>
      <c r="CK133" s="162">
        <f t="shared" ref="CK133:CL133" si="1084">+CK130/CK132</f>
        <v>24.76010633978359</v>
      </c>
      <c r="CL133" s="162">
        <f t="shared" si="1084"/>
        <v>31.033320691336609</v>
      </c>
      <c r="CM133" s="21">
        <f t="shared" ref="CM133:DB133" si="1085">+CM130/CM132</f>
        <v>30.974926964855687</v>
      </c>
      <c r="CN133" s="21">
        <f t="shared" si="1085"/>
        <v>30.394037074082213</v>
      </c>
      <c r="CO133" s="21">
        <f t="shared" si="1085"/>
        <v>29.956000635930451</v>
      </c>
      <c r="CP133" s="21">
        <f t="shared" si="1085"/>
        <v>30.12754752212771</v>
      </c>
      <c r="CQ133" s="21">
        <f t="shared" si="1085"/>
        <v>30.574289420534647</v>
      </c>
      <c r="CR133" s="21">
        <f t="shared" si="1085"/>
        <v>30.802407527392663</v>
      </c>
      <c r="CS133" s="21">
        <f t="shared" si="1085"/>
        <v>30.999445266302747</v>
      </c>
      <c r="CT133" s="21">
        <f t="shared" si="1085"/>
        <v>31.138750372168921</v>
      </c>
      <c r="CU133" s="21">
        <f t="shared" si="1085"/>
        <v>31.636971309019827</v>
      </c>
      <c r="CV133" s="21">
        <f t="shared" si="1085"/>
        <v>31.843617579986073</v>
      </c>
      <c r="CW133" s="21">
        <f t="shared" si="1085"/>
        <v>32.030003492885072</v>
      </c>
      <c r="CX133" s="21">
        <f t="shared" si="1085"/>
        <v>32.193634907205428</v>
      </c>
      <c r="CY133" s="21">
        <f t="shared" si="1085"/>
        <v>32.646780880815669</v>
      </c>
      <c r="CZ133" s="21">
        <f t="shared" si="1085"/>
        <v>32.821983388299479</v>
      </c>
      <c r="DA133" s="21">
        <f t="shared" si="1085"/>
        <v>32.977864571747894</v>
      </c>
      <c r="DB133" s="21">
        <f t="shared" si="1085"/>
        <v>33.10935611289996</v>
      </c>
      <c r="DE133" s="22"/>
      <c r="DF133" s="162">
        <v>31.182581350125947</v>
      </c>
    </row>
    <row r="134" spans="1:110" s="162" customFormat="1" x14ac:dyDescent="0.2">
      <c r="A134" s="49" t="s">
        <v>344</v>
      </c>
      <c r="B134" s="162">
        <f>+B131/B132</f>
        <v>0.50144778029229498</v>
      </c>
      <c r="C134" s="162">
        <f t="shared" ref="C134:W134" si="1086">+C131/C132</f>
        <v>0.44848879395517538</v>
      </c>
      <c r="D134" s="162">
        <f t="shared" si="1086"/>
        <v>0.49417091699292404</v>
      </c>
      <c r="E134" s="162">
        <f t="shared" ca="1" si="1086"/>
        <v>4.2415915962238531</v>
      </c>
      <c r="F134" s="162">
        <f t="shared" ca="1" si="1086"/>
        <v>6.7918673405246501</v>
      </c>
      <c r="G134" s="162">
        <f t="shared" ca="1" si="1086"/>
        <v>7.4286057494302753</v>
      </c>
      <c r="H134" s="162">
        <f t="shared" ca="1" si="1086"/>
        <v>9.0499419448125664</v>
      </c>
      <c r="I134" s="162">
        <f t="shared" ca="1" si="1086"/>
        <v>6.8664094594403409</v>
      </c>
      <c r="J134" s="162">
        <f t="shared" ca="1" si="1086"/>
        <v>6.2007784961972225</v>
      </c>
      <c r="K134" s="162">
        <f t="shared" ca="1" si="1086"/>
        <v>2.1079500984772404</v>
      </c>
      <c r="L134" s="162">
        <f t="shared" ca="1" si="1086"/>
        <v>2.7991916177781717</v>
      </c>
      <c r="M134" s="162">
        <f t="shared" ca="1" si="1086"/>
        <v>0.1821706971829577</v>
      </c>
      <c r="N134" s="162">
        <f t="shared" ca="1" si="1086"/>
        <v>-0.25591176161550822</v>
      </c>
      <c r="O134" s="162">
        <f t="shared" ca="1" si="1086"/>
        <v>1.1385329000286104</v>
      </c>
      <c r="P134" s="162">
        <f t="shared" ca="1" si="1086"/>
        <v>4.2708226344533431</v>
      </c>
      <c r="Q134" s="162">
        <f t="shared" ca="1" si="1086"/>
        <v>7.4514230632395355</v>
      </c>
      <c r="R134" s="162">
        <f t="shared" ca="1" si="1086"/>
        <v>7.2800933353033157</v>
      </c>
      <c r="S134" s="162">
        <f t="shared" ca="1" si="1086"/>
        <v>8.3526269852668698</v>
      </c>
      <c r="T134" s="162">
        <f t="shared" ca="1" si="1086"/>
        <v>4.9810840979953159</v>
      </c>
      <c r="U134" s="162">
        <f t="shared" ca="1" si="1086"/>
        <v>5.6411225552162838</v>
      </c>
      <c r="V134" s="162">
        <f t="shared" ca="1" si="1086"/>
        <v>5.2035888318685073</v>
      </c>
      <c r="W134" s="162">
        <f t="shared" ca="1" si="1086"/>
        <v>17.793250019811687</v>
      </c>
      <c r="X134" s="162">
        <f t="shared" ref="X134:Y134" ca="1" si="1087">+X131/X132</f>
        <v>15.853069158932227</v>
      </c>
      <c r="Y134" s="162">
        <f t="shared" ca="1" si="1087"/>
        <v>16.343425998766815</v>
      </c>
      <c r="Z134" s="162">
        <f t="shared" ref="Z134:AA134" ca="1" si="1088">+Z131/Z132</f>
        <v>21.928519674866195</v>
      </c>
      <c r="AA134" s="162">
        <f t="shared" ca="1" si="1088"/>
        <v>21.928519674866195</v>
      </c>
      <c r="AB134" s="21">
        <f t="shared" ref="AB134:AD134" ca="1" si="1089">+AB131/AB132</f>
        <v>22.174063282432773</v>
      </c>
      <c r="AC134" s="21">
        <f t="shared" ca="1" si="1089"/>
        <v>21.858132942425474</v>
      </c>
      <c r="AD134" s="21">
        <f t="shared" ca="1" si="1089"/>
        <v>22.432178488736167</v>
      </c>
      <c r="AE134" s="21">
        <f t="shared" ref="AE134" ca="1" si="1090">+AE131/AE132</f>
        <v>23.10511690195241</v>
      </c>
      <c r="AL134" s="162">
        <f t="shared" ref="AL134:AM134" si="1091">+AL131/AL132</f>
        <v>0.42424505045836186</v>
      </c>
      <c r="AM134" s="162">
        <f t="shared" si="1091"/>
        <v>0.63850580950058311</v>
      </c>
      <c r="AN134" s="162">
        <f t="shared" ref="AN134:AO134" si="1092">+AN131/AN132</f>
        <v>1.2037412777750285</v>
      </c>
      <c r="AO134" s="162">
        <f t="shared" si="1092"/>
        <v>1.5650512828074012</v>
      </c>
      <c r="AP134" s="162">
        <f t="shared" ref="AP134:CD134" si="1093">+AP131/AP132</f>
        <v>3.1605148842043533</v>
      </c>
      <c r="AQ134" s="162">
        <f t="shared" si="1093"/>
        <v>3.7791121378100412</v>
      </c>
      <c r="AR134" s="162">
        <f t="shared" si="1093"/>
        <v>4.3215610249494256</v>
      </c>
      <c r="AS134" s="162">
        <f t="shared" si="1093"/>
        <v>5.7482115792904693</v>
      </c>
      <c r="AT134" s="162">
        <f t="shared" si="1093"/>
        <v>5.9073269411388285</v>
      </c>
      <c r="AU134" s="162">
        <f t="shared" si="1093"/>
        <v>6.6105585447454178</v>
      </c>
      <c r="AV134" s="162">
        <f t="shared" si="1093"/>
        <v>9.1755206480827702</v>
      </c>
      <c r="AW134" s="162">
        <f t="shared" si="1093"/>
        <v>8.6943720423151998</v>
      </c>
      <c r="AX134" s="162">
        <f t="shared" si="1093"/>
        <v>7.7720816769063941</v>
      </c>
      <c r="AY134" s="162">
        <f t="shared" si="1093"/>
        <v>7.0875154948448555</v>
      </c>
      <c r="AZ134" s="162">
        <f t="shared" si="1093"/>
        <v>7.1268890971820564</v>
      </c>
      <c r="BA134" s="162">
        <f t="shared" si="1093"/>
        <v>9.5069932798331873</v>
      </c>
      <c r="BB134" s="162">
        <f t="shared" si="1093"/>
        <v>10.260805910309251</v>
      </c>
      <c r="BC134" s="162">
        <f t="shared" si="1093"/>
        <v>12.000703298077729</v>
      </c>
      <c r="BD134" s="162">
        <f t="shared" si="1093"/>
        <v>8.3457180914371936</v>
      </c>
      <c r="BE134" s="162">
        <f t="shared" si="1093"/>
        <v>7.944721939561779</v>
      </c>
      <c r="BF134" s="162">
        <f t="shared" si="1093"/>
        <v>8.94092047774501</v>
      </c>
      <c r="BG134" s="162">
        <f t="shared" si="1093"/>
        <v>6.5548345964504184</v>
      </c>
      <c r="BH134" s="162">
        <f t="shared" si="1093"/>
        <v>5.6266448948227836</v>
      </c>
      <c r="BI134" s="162">
        <f t="shared" si="1093"/>
        <v>6.116321316127034</v>
      </c>
      <c r="BJ134" s="162">
        <f t="shared" si="1093"/>
        <v>6.383386738163745</v>
      </c>
      <c r="BK134" s="162">
        <f t="shared" si="1093"/>
        <v>6.2254639067792992</v>
      </c>
      <c r="BL134" s="162">
        <f t="shared" si="1093"/>
        <v>6.5595705165750822</v>
      </c>
      <c r="BM134" s="162">
        <f t="shared" si="1093"/>
        <v>5.4423873947328882</v>
      </c>
      <c r="BN134" s="162">
        <f t="shared" si="1093"/>
        <v>7.9162426868446669</v>
      </c>
      <c r="BO134" s="162">
        <f t="shared" si="1093"/>
        <v>7.080387211546828</v>
      </c>
      <c r="BP134" s="162">
        <f t="shared" si="1093"/>
        <v>11.205184467409939</v>
      </c>
      <c r="BQ134" s="162">
        <f t="shared" si="1093"/>
        <v>12.36814669026159</v>
      </c>
      <c r="BR134" s="162">
        <f t="shared" si="1093"/>
        <v>12.187757512816532</v>
      </c>
      <c r="BS134" s="162">
        <f t="shared" si="1093"/>
        <v>15.376564179539553</v>
      </c>
      <c r="BT134" s="162">
        <f t="shared" si="1093"/>
        <v>20.593815775086789</v>
      </c>
      <c r="BU134" s="162">
        <f t="shared" si="1093"/>
        <v>19.165635714278007</v>
      </c>
      <c r="BV134" s="162">
        <f t="shared" si="1093"/>
        <v>21.336160895006074</v>
      </c>
      <c r="BW134" s="162">
        <f t="shared" si="1093"/>
        <v>19.071646125871645</v>
      </c>
      <c r="BX134" s="162">
        <f t="shared" si="1093"/>
        <v>20.099953306245499</v>
      </c>
      <c r="BY134" s="162">
        <f t="shared" si="1093"/>
        <v>22.373014362932949</v>
      </c>
      <c r="BZ134" s="162">
        <f t="shared" si="1093"/>
        <v>21.753036291771462</v>
      </c>
      <c r="CA134" s="162">
        <f t="shared" si="1093"/>
        <v>19.326135696093299</v>
      </c>
      <c r="CB134" s="162">
        <f t="shared" si="1093"/>
        <v>21.825410903373214</v>
      </c>
      <c r="CC134" s="162">
        <f t="shared" si="1093"/>
        <v>22.470627820477102</v>
      </c>
      <c r="CD134" s="162">
        <f t="shared" si="1093"/>
        <v>25.620763973285463</v>
      </c>
      <c r="CE134" s="162">
        <f t="shared" ref="CE134:CF134" si="1094">+CE131/CE132</f>
        <v>27.135313191157874</v>
      </c>
      <c r="CF134" s="162">
        <f t="shared" si="1094"/>
        <v>26.939714852951763</v>
      </c>
      <c r="CG134" s="162">
        <f t="shared" ref="CG134:CH134" si="1095">+CG131/CG132</f>
        <v>25.294355709381261</v>
      </c>
      <c r="CH134" s="162">
        <f t="shared" si="1095"/>
        <v>21.35699081252908</v>
      </c>
      <c r="CI134" s="162">
        <f t="shared" ref="CI134:CJ134" si="1096">+CI131/CI132</f>
        <v>18.906502397066898</v>
      </c>
      <c r="CJ134" s="162">
        <f t="shared" si="1096"/>
        <v>22.47696578768943</v>
      </c>
      <c r="CK134" s="162">
        <f t="shared" ref="CK134:CL134" si="1097">+CK131/CK132</f>
        <v>21.420618553638612</v>
      </c>
      <c r="CL134" s="162">
        <f t="shared" si="1097"/>
        <v>24.972136136244593</v>
      </c>
      <c r="CM134" s="21">
        <f t="shared" ref="CM134:DB134" si="1098">+CM131/CM132</f>
        <v>24.973546956851902</v>
      </c>
      <c r="CN134" s="21">
        <f t="shared" si="1098"/>
        <v>24.463288396001321</v>
      </c>
      <c r="CO134" s="21">
        <f t="shared" si="1098"/>
        <v>24.066585077088028</v>
      </c>
      <c r="CP134" s="21">
        <f t="shared" si="1098"/>
        <v>24.173516700544667</v>
      </c>
      <c r="CQ134" s="21">
        <f t="shared" si="1098"/>
        <v>24.549412970103059</v>
      </c>
      <c r="CR134" s="21">
        <f t="shared" si="1098"/>
        <v>24.698799618225312</v>
      </c>
      <c r="CS134" s="21">
        <f t="shared" si="1098"/>
        <v>24.822508721537407</v>
      </c>
      <c r="CT134" s="21">
        <f t="shared" si="1098"/>
        <v>24.897732024530825</v>
      </c>
      <c r="CU134" s="21">
        <f t="shared" si="1098"/>
        <v>25.319065690089161</v>
      </c>
      <c r="CV134" s="21">
        <f t="shared" si="1098"/>
        <v>25.454334408434299</v>
      </c>
      <c r="CW134" s="21">
        <f t="shared" si="1098"/>
        <v>25.57165128719091</v>
      </c>
      <c r="CX134" s="21">
        <f t="shared" si="1098"/>
        <v>25.667120828879998</v>
      </c>
      <c r="CY134" s="21">
        <f t="shared" si="1098"/>
        <v>26.052903421004</v>
      </c>
      <c r="CZ134" s="21">
        <f t="shared" si="1098"/>
        <v>26.164697138309858</v>
      </c>
      <c r="DA134" s="21">
        <f t="shared" si="1098"/>
        <v>26.25874777177841</v>
      </c>
      <c r="DB134" s="21">
        <f t="shared" si="1098"/>
        <v>26.32945232704013</v>
      </c>
      <c r="DE134" s="22"/>
      <c r="DF134" s="162">
        <v>21.928519674866195</v>
      </c>
    </row>
    <row r="135" spans="1:110" s="10" customFormat="1" x14ac:dyDescent="0.2">
      <c r="A135" s="149" t="s">
        <v>490</v>
      </c>
      <c r="AB135" s="20"/>
      <c r="AC135" s="20"/>
      <c r="AD135" s="20"/>
      <c r="AE135" s="20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E135" s="126"/>
    </row>
    <row r="136" spans="1:110" x14ac:dyDescent="0.2">
      <c r="A136" s="152" t="s">
        <v>491</v>
      </c>
      <c r="AA136" s="2"/>
      <c r="CL136" s="2"/>
    </row>
    <row r="137" spans="1:110" s="23" customFormat="1" outlineLevel="1" x14ac:dyDescent="0.2">
      <c r="A137" s="23" t="s">
        <v>41</v>
      </c>
      <c r="B137" s="23">
        <f>'Annual Raw'!C41</f>
        <v>16.059000000000001</v>
      </c>
      <c r="C137" s="23">
        <f>'Annual Raw'!D41</f>
        <v>16.059000000000001</v>
      </c>
      <c r="D137" s="23">
        <f>'Annual Raw'!E41</f>
        <v>16.059000000000001</v>
      </c>
      <c r="E137" s="23">
        <f>'Annual Raw'!F41</f>
        <v>16.059000000000001</v>
      </c>
      <c r="F137" s="23">
        <f>'Annual Raw'!G41</f>
        <v>16.059000000000001</v>
      </c>
      <c r="G137" s="23">
        <f>'Annual Raw'!H41</f>
        <v>16.073599999999999</v>
      </c>
      <c r="H137" s="23">
        <f>'Annual Raw'!I41</f>
        <v>16.865300000000001</v>
      </c>
      <c r="I137" s="23">
        <f>'Annual Raw'!J41</f>
        <v>16.865300000000001</v>
      </c>
      <c r="J137" s="23">
        <f>'Annual Raw'!K41</f>
        <v>16.865300000000001</v>
      </c>
      <c r="K137" s="23">
        <f>'Annual Raw'!L41</f>
        <v>16.865300000000001</v>
      </c>
      <c r="L137" s="23">
        <f>'Annual Raw'!M41</f>
        <v>16.903400000000001</v>
      </c>
      <c r="M137" s="23">
        <f>'Annual Raw'!N41</f>
        <v>16.941500000000001</v>
      </c>
      <c r="N137" s="23">
        <f>'Annual Raw'!O41</f>
        <v>16.941500000000001</v>
      </c>
      <c r="O137" s="23">
        <f>'Annual Raw'!P41</f>
        <v>16.946300000000001</v>
      </c>
      <c r="P137" s="23">
        <f>'Annual Raw'!Q41</f>
        <v>16.961600000000001</v>
      </c>
      <c r="Q137" s="23">
        <f>'Annual Raw'!R41</f>
        <v>16.963999999999999</v>
      </c>
      <c r="R137" s="23">
        <f>'Annual Raw'!S41</f>
        <v>16.963999999999999</v>
      </c>
      <c r="S137" s="23">
        <f>'Annual Raw'!T41</f>
        <v>16.713999999999999</v>
      </c>
      <c r="T137" s="23">
        <f>'Annual Raw'!U41</f>
        <v>16.0473</v>
      </c>
      <c r="U137" s="23">
        <f>'Annual Raw'!V41</f>
        <v>15.4564</v>
      </c>
      <c r="V137" s="23">
        <f>'Annual Raw'!W41</f>
        <v>15.4564</v>
      </c>
      <c r="W137" s="23">
        <f>'Annual Raw'!X41</f>
        <v>15.4564</v>
      </c>
      <c r="X137" s="23">
        <f>'Annual Raw'!Y41</f>
        <v>15.4755</v>
      </c>
      <c r="Y137" s="23">
        <f>'Annual Raw'!Z41</f>
        <v>15.519500000000001</v>
      </c>
      <c r="Z137" s="23">
        <f>'Annual Raw'!AA41</f>
        <v>15.5677</v>
      </c>
      <c r="AA137" s="23">
        <f>'Annual Raw'!AB41</f>
        <v>16.055900000000001</v>
      </c>
      <c r="AB137" s="24">
        <f>+CP137</f>
        <v>16.059999999999999</v>
      </c>
      <c r="AC137" s="24">
        <f>+CT137</f>
        <v>16.059999999999999</v>
      </c>
      <c r="AD137" s="24">
        <f>+CX137</f>
        <v>16.059999999999999</v>
      </c>
      <c r="AE137" s="24">
        <f>+DB137</f>
        <v>16.059999999999999</v>
      </c>
      <c r="AJ137" s="23">
        <f>+'QTR Raw'!D56</f>
        <v>16.942</v>
      </c>
      <c r="AK137" s="23">
        <f t="shared" ref="AK137:CE137" si="1099">+AJ137</f>
        <v>16.942</v>
      </c>
      <c r="AL137" s="23">
        <f>+'QTR Raw'!F56</f>
        <v>16.942</v>
      </c>
      <c r="AM137" s="23">
        <f t="shared" si="1099"/>
        <v>16.942</v>
      </c>
      <c r="AN137" s="23">
        <f>+'QTR Raw'!H56</f>
        <v>16.942</v>
      </c>
      <c r="AO137" s="23">
        <f t="shared" si="1099"/>
        <v>16.942</v>
      </c>
      <c r="AP137" s="23">
        <f>+'QTR Raw'!J56</f>
        <v>16.946000000000002</v>
      </c>
      <c r="AQ137" s="23">
        <f t="shared" si="1099"/>
        <v>16.946000000000002</v>
      </c>
      <c r="AR137" s="23">
        <f>+'QTR Raw'!L56</f>
        <v>16.962</v>
      </c>
      <c r="AS137" s="23">
        <f t="shared" si="1099"/>
        <v>16.962</v>
      </c>
      <c r="AT137" s="23">
        <f>+'QTR Raw'!N56</f>
        <v>16.962</v>
      </c>
      <c r="AU137" s="23">
        <f t="shared" si="1099"/>
        <v>16.962</v>
      </c>
      <c r="AV137" s="23">
        <f>+'QTR Raw'!P56</f>
        <v>16.963999999999999</v>
      </c>
      <c r="AW137" s="23">
        <f t="shared" si="1099"/>
        <v>16.963999999999999</v>
      </c>
      <c r="AX137" s="23">
        <f>+'QTR Raw'!R56</f>
        <v>16.963999999999999</v>
      </c>
      <c r="AY137" s="23">
        <f t="shared" si="1099"/>
        <v>16.963999999999999</v>
      </c>
      <c r="AZ137" s="23">
        <f>+'QTR Raw'!T56</f>
        <v>16.963999999999999</v>
      </c>
      <c r="BA137" s="23">
        <f t="shared" si="1099"/>
        <v>16.963999999999999</v>
      </c>
      <c r="BB137" s="23">
        <f>+'QTR Raw'!V56</f>
        <v>16.963999999999999</v>
      </c>
      <c r="BC137" s="23">
        <f t="shared" si="1099"/>
        <v>16.963999999999999</v>
      </c>
      <c r="BD137" s="23">
        <f>+'QTR Raw'!X56</f>
        <v>16.713999999999999</v>
      </c>
      <c r="BE137" s="23">
        <f t="shared" si="1099"/>
        <v>16.713999999999999</v>
      </c>
      <c r="BF137" s="23">
        <f>+'QTR Raw'!Z56</f>
        <v>16.713999999999999</v>
      </c>
      <c r="BG137" s="23">
        <f t="shared" si="1099"/>
        <v>16.713999999999999</v>
      </c>
      <c r="BH137" s="23">
        <f>+'QTR Raw'!AB56</f>
        <v>16.713999999999999</v>
      </c>
      <c r="BI137" s="23">
        <f t="shared" si="1099"/>
        <v>16.713999999999999</v>
      </c>
      <c r="BJ137" s="23">
        <f>+'QTR Raw'!AD56</f>
        <v>16.047000000000001</v>
      </c>
      <c r="BK137" s="23">
        <f t="shared" si="1099"/>
        <v>16.047000000000001</v>
      </c>
      <c r="BL137" s="23">
        <f>+'QTR Raw'!AF56</f>
        <v>16.047000000000001</v>
      </c>
      <c r="BM137" s="23">
        <f t="shared" si="1099"/>
        <v>16.047000000000001</v>
      </c>
      <c r="BN137" s="23">
        <f>+'QTR Raw'!AH56</f>
        <v>15.456</v>
      </c>
      <c r="BO137" s="23">
        <f t="shared" si="1099"/>
        <v>15.456</v>
      </c>
      <c r="BP137" s="23">
        <f>+'QTR Raw'!AJ56</f>
        <v>15.456</v>
      </c>
      <c r="BQ137" s="23">
        <f t="shared" si="1099"/>
        <v>15.456</v>
      </c>
      <c r="BR137" s="23">
        <f>+'QTR Raw'!AL56</f>
        <v>15.456</v>
      </c>
      <c r="BS137" s="23">
        <f t="shared" si="1099"/>
        <v>15.456</v>
      </c>
      <c r="BT137" s="23">
        <f>+'QTR Raw'!AN56</f>
        <v>15.456</v>
      </c>
      <c r="BU137" s="23">
        <f t="shared" si="1099"/>
        <v>15.456</v>
      </c>
      <c r="BV137" s="23">
        <f>+'QTR Raw'!AP56</f>
        <v>15.46</v>
      </c>
      <c r="BW137" s="23">
        <f t="shared" si="1099"/>
        <v>15.46</v>
      </c>
      <c r="BX137" s="23">
        <f>+'QTR Raw'!AR56</f>
        <v>15.47</v>
      </c>
      <c r="BY137" s="23">
        <f t="shared" si="1099"/>
        <v>15.47</v>
      </c>
      <c r="BZ137" s="23">
        <f>+'QTR Raw'!AT56</f>
        <v>15.48</v>
      </c>
      <c r="CA137" s="23">
        <f t="shared" si="1099"/>
        <v>15.48</v>
      </c>
      <c r="CB137" s="23">
        <f>+'QTR Raw'!AV56</f>
        <v>15.5</v>
      </c>
      <c r="CC137" s="23">
        <f t="shared" si="1099"/>
        <v>15.5</v>
      </c>
      <c r="CD137" s="23">
        <f>+'QTR Raw'!AX56</f>
        <v>15.52</v>
      </c>
      <c r="CE137" s="23">
        <f t="shared" si="1099"/>
        <v>15.52</v>
      </c>
      <c r="CF137" s="23">
        <f>+'QTR Raw'!AZ56</f>
        <v>15.53</v>
      </c>
      <c r="CG137" s="23">
        <f t="shared" ref="CG137:CG138" si="1100">+CF137</f>
        <v>15.53</v>
      </c>
      <c r="CH137" s="23">
        <f>Z137</f>
        <v>15.5677</v>
      </c>
      <c r="CI137" s="23">
        <f>CH137</f>
        <v>15.5677</v>
      </c>
      <c r="CJ137" s="23">
        <f>+'QTR Raw'!BD56</f>
        <v>15.66</v>
      </c>
      <c r="CK137" s="24">
        <f t="shared" ref="CK137:DB137" si="1101">CJ137</f>
        <v>15.66</v>
      </c>
      <c r="CL137" s="23">
        <f>+'QTR Raw'!BF56</f>
        <v>16.059999999999999</v>
      </c>
      <c r="CM137" s="24">
        <f t="shared" si="1101"/>
        <v>16.059999999999999</v>
      </c>
      <c r="CN137" s="24">
        <f t="shared" si="1101"/>
        <v>16.059999999999999</v>
      </c>
      <c r="CO137" s="24">
        <f t="shared" si="1101"/>
        <v>16.059999999999999</v>
      </c>
      <c r="CP137" s="24">
        <f t="shared" si="1101"/>
        <v>16.059999999999999</v>
      </c>
      <c r="CQ137" s="24">
        <f t="shared" si="1101"/>
        <v>16.059999999999999</v>
      </c>
      <c r="CR137" s="24">
        <f t="shared" si="1101"/>
        <v>16.059999999999999</v>
      </c>
      <c r="CS137" s="24">
        <f t="shared" si="1101"/>
        <v>16.059999999999999</v>
      </c>
      <c r="CT137" s="24">
        <f t="shared" si="1101"/>
        <v>16.059999999999999</v>
      </c>
      <c r="CU137" s="24">
        <f t="shared" si="1101"/>
        <v>16.059999999999999</v>
      </c>
      <c r="CV137" s="24">
        <f t="shared" si="1101"/>
        <v>16.059999999999999</v>
      </c>
      <c r="CW137" s="24">
        <f t="shared" si="1101"/>
        <v>16.059999999999999</v>
      </c>
      <c r="CX137" s="24">
        <f t="shared" si="1101"/>
        <v>16.059999999999999</v>
      </c>
      <c r="CY137" s="24">
        <f t="shared" si="1101"/>
        <v>16.059999999999999</v>
      </c>
      <c r="CZ137" s="24">
        <f t="shared" si="1101"/>
        <v>16.059999999999999</v>
      </c>
      <c r="DA137" s="24">
        <f t="shared" si="1101"/>
        <v>16.059999999999999</v>
      </c>
      <c r="DB137" s="24">
        <f t="shared" si="1101"/>
        <v>16.059999999999999</v>
      </c>
      <c r="DE137" s="123"/>
      <c r="DF137" s="23">
        <v>16.055900000000001</v>
      </c>
    </row>
    <row r="138" spans="1:110" s="23" customFormat="1" outlineLevel="1" x14ac:dyDescent="0.2">
      <c r="A138" s="23" t="s">
        <v>42</v>
      </c>
      <c r="B138" s="23">
        <f>'Annual Raw'!C42</f>
        <v>0</v>
      </c>
      <c r="C138" s="23">
        <f>'Annual Raw'!D42</f>
        <v>0</v>
      </c>
      <c r="D138" s="23">
        <f>'Annual Raw'!E42</f>
        <v>0</v>
      </c>
      <c r="E138" s="23">
        <f>'Annual Raw'!F42</f>
        <v>0</v>
      </c>
      <c r="F138" s="23">
        <f>'Annual Raw'!G42</f>
        <v>0</v>
      </c>
      <c r="G138" s="23">
        <f>'Annual Raw'!H42</f>
        <v>0</v>
      </c>
      <c r="H138" s="23">
        <f>'Annual Raw'!I42</f>
        <v>0.39040000000000002</v>
      </c>
      <c r="I138" s="23">
        <f>'Annual Raw'!J42</f>
        <v>0.44479999999999997</v>
      </c>
      <c r="J138" s="23">
        <f>'Annual Raw'!K42</f>
        <v>0.443</v>
      </c>
      <c r="K138" s="23">
        <f>'Annual Raw'!L42</f>
        <v>0.43880000000000002</v>
      </c>
      <c r="L138" s="23">
        <f>'Annual Raw'!M42</f>
        <v>0.32829999999999998</v>
      </c>
      <c r="M138" s="23">
        <f>'Annual Raw'!N42</f>
        <v>0.17960000000000001</v>
      </c>
      <c r="N138" s="23">
        <f>'Annual Raw'!O42</f>
        <v>0.11070000000000001</v>
      </c>
      <c r="O138" s="23">
        <f>'Annual Raw'!P42</f>
        <v>4.4400000000000002E-2</v>
      </c>
      <c r="P138" s="23">
        <f>'Annual Raw'!Q42</f>
        <v>0</v>
      </c>
      <c r="Q138" s="23">
        <f>'Annual Raw'!R42</f>
        <v>0</v>
      </c>
      <c r="R138" s="23">
        <f>'Annual Raw'!S42</f>
        <v>0</v>
      </c>
      <c r="S138" s="23">
        <f>'Annual Raw'!T42</f>
        <v>0</v>
      </c>
      <c r="T138" s="23">
        <f>'Annual Raw'!U42</f>
        <v>0</v>
      </c>
      <c r="U138" s="23">
        <f>'Annual Raw'!V42</f>
        <v>0</v>
      </c>
      <c r="V138" s="23">
        <f>'Annual Raw'!W42</f>
        <v>0</v>
      </c>
      <c r="W138" s="23">
        <f>'Annual Raw'!X42</f>
        <v>62.653500000000001</v>
      </c>
      <c r="X138" s="23">
        <f>'Annual Raw'!Y42</f>
        <v>121.621</v>
      </c>
      <c r="Y138" s="23">
        <f>'Annual Raw'!Z42</f>
        <v>139.83869999999999</v>
      </c>
      <c r="Z138" s="23">
        <f>'Annual Raw'!AA42</f>
        <v>168.02850000000001</v>
      </c>
      <c r="AA138" s="23">
        <f>'Annual Raw'!AB42</f>
        <v>0</v>
      </c>
      <c r="AB138" s="24">
        <f t="shared" ref="AB138:AB139" si="1102">+CP138</f>
        <v>0</v>
      </c>
      <c r="AC138" s="24">
        <f t="shared" ref="AC138:AC139" si="1103">+CT138</f>
        <v>0</v>
      </c>
      <c r="AD138" s="24">
        <f t="shared" ref="AD138:AD139" si="1104">+CX138</f>
        <v>0</v>
      </c>
      <c r="AE138" s="24">
        <f t="shared" ref="AE138:AE139" si="1105">+DB138</f>
        <v>0</v>
      </c>
      <c r="AJ138" s="23">
        <f>+'QTR Raw'!D57</f>
        <v>0</v>
      </c>
      <c r="AK138" s="23">
        <f t="shared" ref="AK138:CE138" si="1106">+AJ138</f>
        <v>0</v>
      </c>
      <c r="AL138" s="23">
        <f>+'QTR Raw'!F57</f>
        <v>0</v>
      </c>
      <c r="AM138" s="23">
        <f t="shared" si="1106"/>
        <v>0</v>
      </c>
      <c r="AN138" s="23">
        <f>+'QTR Raw'!H57</f>
        <v>0</v>
      </c>
      <c r="AO138" s="23">
        <f t="shared" si="1106"/>
        <v>0</v>
      </c>
      <c r="AP138" s="23">
        <f>+'QTR Raw'!J57</f>
        <v>0</v>
      </c>
      <c r="AQ138" s="23">
        <f t="shared" si="1106"/>
        <v>0</v>
      </c>
      <c r="AR138" s="23">
        <f>+'QTR Raw'!L57</f>
        <v>0</v>
      </c>
      <c r="AS138" s="23">
        <f t="shared" si="1106"/>
        <v>0</v>
      </c>
      <c r="AT138" s="23">
        <f>+'QTR Raw'!N57</f>
        <v>0</v>
      </c>
      <c r="AU138" s="23">
        <f t="shared" si="1106"/>
        <v>0</v>
      </c>
      <c r="AV138" s="23">
        <f>+'QTR Raw'!P57</f>
        <v>0</v>
      </c>
      <c r="AW138" s="23">
        <f t="shared" si="1106"/>
        <v>0</v>
      </c>
      <c r="AX138" s="23">
        <f>+'QTR Raw'!R57</f>
        <v>0</v>
      </c>
      <c r="AY138" s="23">
        <f t="shared" si="1106"/>
        <v>0</v>
      </c>
      <c r="AZ138" s="23">
        <f>+'QTR Raw'!T57</f>
        <v>0</v>
      </c>
      <c r="BA138" s="23">
        <f t="shared" si="1106"/>
        <v>0</v>
      </c>
      <c r="BB138" s="23">
        <f>+'QTR Raw'!V57</f>
        <v>0</v>
      </c>
      <c r="BC138" s="23">
        <f t="shared" si="1106"/>
        <v>0</v>
      </c>
      <c r="BD138" s="23">
        <f>+'QTR Raw'!X57</f>
        <v>0</v>
      </c>
      <c r="BE138" s="23">
        <f t="shared" si="1106"/>
        <v>0</v>
      </c>
      <c r="BF138" s="23">
        <f>+'QTR Raw'!Z57</f>
        <v>0</v>
      </c>
      <c r="BG138" s="23">
        <f t="shared" si="1106"/>
        <v>0</v>
      </c>
      <c r="BH138" s="23">
        <f>+'QTR Raw'!AB57</f>
        <v>0</v>
      </c>
      <c r="BI138" s="23">
        <f t="shared" si="1106"/>
        <v>0</v>
      </c>
      <c r="BJ138" s="23">
        <f>+'QTR Raw'!AD57</f>
        <v>0</v>
      </c>
      <c r="BK138" s="23">
        <f t="shared" si="1106"/>
        <v>0</v>
      </c>
      <c r="BL138" s="23">
        <f>+'QTR Raw'!AF57</f>
        <v>0</v>
      </c>
      <c r="BM138" s="23">
        <f t="shared" si="1106"/>
        <v>0</v>
      </c>
      <c r="BN138" s="23">
        <f>+'QTR Raw'!AH57</f>
        <v>0</v>
      </c>
      <c r="BO138" s="23">
        <f t="shared" si="1106"/>
        <v>0</v>
      </c>
      <c r="BP138" s="23">
        <f>+'QTR Raw'!AJ57</f>
        <v>0</v>
      </c>
      <c r="BQ138" s="23">
        <f t="shared" si="1106"/>
        <v>0</v>
      </c>
      <c r="BR138" s="23">
        <f>+'QTR Raw'!AL57</f>
        <v>0</v>
      </c>
      <c r="BS138" s="23">
        <f t="shared" si="1106"/>
        <v>0</v>
      </c>
      <c r="BT138" s="23">
        <f>+'QTR Raw'!AN57</f>
        <v>0</v>
      </c>
      <c r="BU138" s="23">
        <f t="shared" si="1106"/>
        <v>0</v>
      </c>
      <c r="BV138" s="23">
        <f>+'QTR Raw'!AP57</f>
        <v>0</v>
      </c>
      <c r="BW138" s="23">
        <f t="shared" si="1106"/>
        <v>0</v>
      </c>
      <c r="BX138" s="23">
        <f>+'QTR Raw'!AR57</f>
        <v>0</v>
      </c>
      <c r="BY138" s="23">
        <f t="shared" si="1106"/>
        <v>0</v>
      </c>
      <c r="BZ138" s="23">
        <f>+'QTR Raw'!AT57</f>
        <v>0</v>
      </c>
      <c r="CA138" s="23">
        <f t="shared" si="1106"/>
        <v>0</v>
      </c>
      <c r="CB138" s="23">
        <f>+'QTR Raw'!AV57</f>
        <v>0</v>
      </c>
      <c r="CC138" s="23">
        <f t="shared" si="1106"/>
        <v>0</v>
      </c>
      <c r="CD138" s="23">
        <f>+'QTR Raw'!AX57</f>
        <v>0</v>
      </c>
      <c r="CE138" s="23">
        <f t="shared" si="1106"/>
        <v>0</v>
      </c>
      <c r="CF138" s="23">
        <f>+'QTR Raw'!AZ57</f>
        <v>0</v>
      </c>
      <c r="CG138" s="23">
        <f t="shared" si="1100"/>
        <v>0</v>
      </c>
      <c r="CH138" s="23">
        <f t="shared" ref="CH138:CH139" si="1107">Z138</f>
        <v>168.02850000000001</v>
      </c>
      <c r="CI138" s="23">
        <f>CH138</f>
        <v>168.02850000000001</v>
      </c>
      <c r="CJ138" s="23">
        <f>+'QTR Raw'!BD57</f>
        <v>0</v>
      </c>
      <c r="CK138" s="24">
        <f t="shared" ref="CK138:DB138" si="1108">CJ138</f>
        <v>0</v>
      </c>
      <c r="CL138" s="23">
        <f>+'QTR Raw'!BF57</f>
        <v>0</v>
      </c>
      <c r="CM138" s="24">
        <f t="shared" si="1108"/>
        <v>0</v>
      </c>
      <c r="CN138" s="24">
        <f t="shared" si="1108"/>
        <v>0</v>
      </c>
      <c r="CO138" s="24">
        <f t="shared" si="1108"/>
        <v>0</v>
      </c>
      <c r="CP138" s="24">
        <f t="shared" si="1108"/>
        <v>0</v>
      </c>
      <c r="CQ138" s="24">
        <f t="shared" si="1108"/>
        <v>0</v>
      </c>
      <c r="CR138" s="24">
        <f t="shared" si="1108"/>
        <v>0</v>
      </c>
      <c r="CS138" s="24">
        <f t="shared" si="1108"/>
        <v>0</v>
      </c>
      <c r="CT138" s="24">
        <f t="shared" si="1108"/>
        <v>0</v>
      </c>
      <c r="CU138" s="24">
        <f t="shared" si="1108"/>
        <v>0</v>
      </c>
      <c r="CV138" s="24">
        <f t="shared" si="1108"/>
        <v>0</v>
      </c>
      <c r="CW138" s="24">
        <f t="shared" si="1108"/>
        <v>0</v>
      </c>
      <c r="CX138" s="24">
        <f t="shared" si="1108"/>
        <v>0</v>
      </c>
      <c r="CY138" s="24">
        <f t="shared" si="1108"/>
        <v>0</v>
      </c>
      <c r="CZ138" s="24">
        <f t="shared" si="1108"/>
        <v>0</v>
      </c>
      <c r="DA138" s="24">
        <f t="shared" si="1108"/>
        <v>0</v>
      </c>
      <c r="DB138" s="24">
        <f t="shared" si="1108"/>
        <v>0</v>
      </c>
      <c r="DE138" s="123"/>
      <c r="DF138" s="23">
        <v>0</v>
      </c>
    </row>
    <row r="139" spans="1:110" s="23" customFormat="1" outlineLevel="1" x14ac:dyDescent="0.2">
      <c r="A139" s="23" t="s">
        <v>43</v>
      </c>
      <c r="B139" s="23">
        <f>'Annual Raw'!C43</f>
        <v>143.85069999999999</v>
      </c>
      <c r="C139" s="23">
        <f>'Annual Raw'!D43</f>
        <v>173.56270000000001</v>
      </c>
      <c r="D139" s="23">
        <f>'Annual Raw'!E43</f>
        <v>209.14590000000001</v>
      </c>
      <c r="E139" s="23">
        <f>'Annual Raw'!F43</f>
        <v>231.73609999999999</v>
      </c>
      <c r="F139" s="23">
        <f>'Annual Raw'!G43</f>
        <v>268.1078</v>
      </c>
      <c r="G139" s="23">
        <f>'Annual Raw'!H43</f>
        <v>314.3032</v>
      </c>
      <c r="H139" s="23">
        <f>'Annual Raw'!I43</f>
        <v>401.2063</v>
      </c>
      <c r="I139" s="23">
        <f>'Annual Raw'!J43</f>
        <v>435.71449999999999</v>
      </c>
      <c r="J139" s="23">
        <f>'Annual Raw'!K43</f>
        <v>451.58319999999998</v>
      </c>
      <c r="K139" s="23">
        <f>'Annual Raw'!L43</f>
        <v>550.8134</v>
      </c>
      <c r="L139" s="23">
        <f>'Annual Raw'!M43</f>
        <v>674.31079999999997</v>
      </c>
      <c r="M139" s="23">
        <f>'Annual Raw'!N43</f>
        <v>952.83180000000004</v>
      </c>
      <c r="N139" s="23">
        <f>'Annual Raw'!O43</f>
        <v>1003.2190000000001</v>
      </c>
      <c r="O139" s="23">
        <f>'Annual Raw'!P43</f>
        <v>1025.8217</v>
      </c>
      <c r="P139" s="23">
        <f>'Annual Raw'!Q43</f>
        <v>977.9126</v>
      </c>
      <c r="Q139" s="23">
        <f>'Annual Raw'!R43</f>
        <v>1166.8742999999999</v>
      </c>
      <c r="R139" s="23">
        <f>'Annual Raw'!S43</f>
        <v>1346.7049999999999</v>
      </c>
      <c r="S139" s="23">
        <f>'Annual Raw'!T43</f>
        <v>1424.8440000000001</v>
      </c>
      <c r="T139" s="23">
        <f>'Annual Raw'!U43</f>
        <v>1464.0751</v>
      </c>
      <c r="U139" s="23">
        <f>'Annual Raw'!V43</f>
        <v>1420.0328999999999</v>
      </c>
      <c r="V139" s="23">
        <f>'Annual Raw'!W43</f>
        <v>1794.2683999999999</v>
      </c>
      <c r="W139" s="23">
        <f>'Annual Raw'!X43</f>
        <v>2056.0131000000001</v>
      </c>
      <c r="X139" s="23">
        <f>'Annual Raw'!Y43</f>
        <v>2343.2557000000002</v>
      </c>
      <c r="Y139" s="23">
        <f>'Annual Raw'!Z43</f>
        <v>2767.9711000000002</v>
      </c>
      <c r="Z139" s="23">
        <f>'Annual Raw'!AA43</f>
        <v>3249.7188999999998</v>
      </c>
      <c r="AA139" s="23">
        <f>'Annual Raw'!AB43</f>
        <v>4143.1638999999996</v>
      </c>
      <c r="AB139" s="24">
        <f t="shared" si="1102"/>
        <v>4961.5036779734501</v>
      </c>
      <c r="AC139" s="24">
        <f t="shared" si="1103"/>
        <v>5918.8335845660895</v>
      </c>
      <c r="AD139" s="24">
        <f t="shared" si="1104"/>
        <v>7050.0703004253601</v>
      </c>
      <c r="AE139" s="24">
        <f t="shared" si="1105"/>
        <v>8379.163900309577</v>
      </c>
      <c r="AJ139" s="23">
        <f>+'QTR Raw'!D58</f>
        <v>980.173</v>
      </c>
      <c r="AK139" s="23">
        <f>+AJ139+AK68</f>
        <v>1002.047</v>
      </c>
      <c r="AL139" s="23">
        <f>+'QTR Raw'!F58</f>
        <v>1003.33</v>
      </c>
      <c r="AM139" s="23">
        <f>+AL139+AM68</f>
        <v>1023.655</v>
      </c>
      <c r="AN139" s="23">
        <f>+'QTR Raw'!H58</f>
        <v>1045.499</v>
      </c>
      <c r="AO139" s="23">
        <f>+AN139+AO68</f>
        <v>1039.0240000000001</v>
      </c>
      <c r="AP139" s="23">
        <f>+'QTR Raw'!J58</f>
        <v>1025.866</v>
      </c>
      <c r="AQ139" s="23">
        <f>+AP139+AQ68</f>
        <v>1057.6579999999999</v>
      </c>
      <c r="AR139" s="23">
        <f>+'QTR Raw'!L58</f>
        <v>1091.3779999999999</v>
      </c>
      <c r="AS139" s="23">
        <f>+AR139+AS68</f>
        <v>1115.5449999999998</v>
      </c>
      <c r="AT139" s="23">
        <f>+'QTR Raw'!N58</f>
        <v>977.91300000000001</v>
      </c>
      <c r="AU139" s="23">
        <f>+AT139+AU68</f>
        <v>1017.551</v>
      </c>
      <c r="AV139" s="23">
        <f>+'QTR Raw'!P58</f>
        <v>1082.7080000000001</v>
      </c>
      <c r="AW139" s="23">
        <f>+AV139+AW68</f>
        <v>1129.5890000000002</v>
      </c>
      <c r="AX139" s="23">
        <f>+'QTR Raw'!R58</f>
        <v>1166.874</v>
      </c>
      <c r="AY139" s="23">
        <f>+AX139+AY68</f>
        <v>1216.729</v>
      </c>
      <c r="AZ139" s="23">
        <f>+'QTR Raw'!T58</f>
        <v>1291.393</v>
      </c>
      <c r="BA139" s="23">
        <f>+AZ139+BA68</f>
        <v>1327.155</v>
      </c>
      <c r="BB139" s="23">
        <f>+'QTR Raw'!V58</f>
        <v>1346.6859999999999</v>
      </c>
      <c r="BC139" s="23">
        <f>+BB139+BC68</f>
        <v>1367.0539999999999</v>
      </c>
      <c r="BD139" s="23">
        <f>+'QTR Raw'!X58</f>
        <v>1382.374</v>
      </c>
      <c r="BE139" s="23">
        <f>+BD139+BE68</f>
        <v>1416.2240000000002</v>
      </c>
      <c r="BF139" s="23">
        <f>+'QTR Raw'!Z58</f>
        <v>1424.8440000000001</v>
      </c>
      <c r="BG139" s="23">
        <f>+BF139+BG68</f>
        <v>1470.4680000000001</v>
      </c>
      <c r="BH139" s="23">
        <f>+'QTR Raw'!AB58</f>
        <v>1508.799</v>
      </c>
      <c r="BI139" s="23">
        <f>+BH139+BI68</f>
        <v>1558.654</v>
      </c>
      <c r="BJ139" s="23">
        <f>+'QTR Raw'!AD58</f>
        <v>1464.075</v>
      </c>
      <c r="BK139" s="23">
        <f>+BJ139+BK68</f>
        <v>1526.0820000000001</v>
      </c>
      <c r="BL139" s="23">
        <f>+'QTR Raw'!AF58</f>
        <v>1567.681</v>
      </c>
      <c r="BM139" s="23">
        <f>+BL139+BM68</f>
        <v>1633.9570000000001</v>
      </c>
      <c r="BN139" s="23">
        <f>+'QTR Raw'!AH58</f>
        <v>1420.0329999999999</v>
      </c>
      <c r="BO139" s="23">
        <f>+BN139+BO68</f>
        <v>1539.4559999999999</v>
      </c>
      <c r="BP139" s="23">
        <f>+'QTR Raw'!AJ58</f>
        <v>1610.5219999999999</v>
      </c>
      <c r="BQ139" s="23">
        <f>+BP139+BQ68</f>
        <v>1764.6289999999999</v>
      </c>
      <c r="BR139" s="23">
        <f>+'QTR Raw'!AL58</f>
        <v>1794.268</v>
      </c>
      <c r="BS139" s="23">
        <f>+BR139+BS68</f>
        <v>1913.1380000000001</v>
      </c>
      <c r="BT139" s="23">
        <f>+'QTR Raw'!AN58</f>
        <v>1964.05</v>
      </c>
      <c r="BU139" s="23">
        <f>+BT139+BU68</f>
        <v>2047.9299999999998</v>
      </c>
      <c r="BV139" s="23">
        <f>+'QTR Raw'!AP58</f>
        <v>2118.66</v>
      </c>
      <c r="BW139" s="23">
        <f>+BV139+BW68</f>
        <v>2223.69</v>
      </c>
      <c r="BX139" s="23">
        <f>+'QTR Raw'!AR58</f>
        <v>2299.84</v>
      </c>
      <c r="BY139" s="23">
        <f>+BX139+BY68</f>
        <v>2405.94</v>
      </c>
      <c r="BZ139" s="23">
        <f>+'QTR Raw'!AT58</f>
        <v>2464.87</v>
      </c>
      <c r="CA139" s="23">
        <f>+BZ139+CA68</f>
        <v>2607.19</v>
      </c>
      <c r="CB139" s="23">
        <f>+'QTR Raw'!AV58</f>
        <v>2701.21</v>
      </c>
      <c r="CC139" s="23">
        <f>+CB139+CC68</f>
        <v>2834.78</v>
      </c>
      <c r="CD139" s="23">
        <f>+'QTR Raw'!AX58</f>
        <v>2907.81</v>
      </c>
      <c r="CE139" s="23">
        <f>+CD139+CE68</f>
        <v>3084.64</v>
      </c>
      <c r="CF139" s="23">
        <f>+'QTR Raw'!AZ58</f>
        <v>3196.7</v>
      </c>
      <c r="CG139" s="23">
        <f>+CF139+CG68</f>
        <v>3359.1899999999996</v>
      </c>
      <c r="CH139" s="23">
        <f t="shared" si="1107"/>
        <v>3249.7188999999998</v>
      </c>
      <c r="CI139" s="23">
        <f>CH139+CI68</f>
        <v>3452.0989</v>
      </c>
      <c r="CJ139" s="23">
        <f>+'QTR Raw'!BD58</f>
        <v>3790.08</v>
      </c>
      <c r="CK139" s="24">
        <f t="shared" ref="CK139:DB139" si="1109">CJ139+CK68</f>
        <v>3987.97</v>
      </c>
      <c r="CL139" s="23">
        <f>+'QTR Raw'!BF58</f>
        <v>4143.16</v>
      </c>
      <c r="CM139" s="24">
        <f t="shared" si="1109"/>
        <v>4357.0934622296372</v>
      </c>
      <c r="CN139" s="24">
        <f t="shared" si="1109"/>
        <v>4565.6545422779045</v>
      </c>
      <c r="CO139" s="24">
        <f t="shared" si="1109"/>
        <v>4768.3197386899838</v>
      </c>
      <c r="CP139" s="24">
        <f t="shared" si="1109"/>
        <v>4961.5036779734501</v>
      </c>
      <c r="CQ139" s="24">
        <f t="shared" si="1109"/>
        <v>5204.7636435025688</v>
      </c>
      <c r="CR139" s="24">
        <f t="shared" si="1109"/>
        <v>5445.9317467405126</v>
      </c>
      <c r="CS139" s="24">
        <f t="shared" si="1109"/>
        <v>5685.2866265627945</v>
      </c>
      <c r="CT139" s="24">
        <f t="shared" si="1109"/>
        <v>5918.8335845660895</v>
      </c>
      <c r="CU139" s="24">
        <f t="shared" si="1109"/>
        <v>6204.1250658085055</v>
      </c>
      <c r="CV139" s="24">
        <f t="shared" si="1109"/>
        <v>6488.6191100460874</v>
      </c>
      <c r="CW139" s="24">
        <f t="shared" si="1109"/>
        <v>6772.4324060018835</v>
      </c>
      <c r="CX139" s="24">
        <f t="shared" si="1109"/>
        <v>7050.0703004253601</v>
      </c>
      <c r="CY139" s="24">
        <f t="shared" si="1109"/>
        <v>7384.5577057747732</v>
      </c>
      <c r="CZ139" s="24">
        <f t="shared" si="1109"/>
        <v>7718.8718542200804</v>
      </c>
      <c r="DA139" s="24">
        <f t="shared" si="1109"/>
        <v>8052.5896539841315</v>
      </c>
      <c r="DB139" s="24">
        <f t="shared" si="1109"/>
        <v>8379.163900309577</v>
      </c>
      <c r="DE139" s="123"/>
      <c r="DF139" s="23">
        <v>4143.1638999999996</v>
      </c>
    </row>
    <row r="140" spans="1:110" s="22" customFormat="1" x14ac:dyDescent="0.2">
      <c r="A140" s="22" t="s">
        <v>44</v>
      </c>
      <c r="B140" s="22">
        <f>B137+B138+B139</f>
        <v>159.90969999999999</v>
      </c>
      <c r="C140" s="22">
        <f t="shared" ref="C140:V140" si="1110">C137+C138+C139</f>
        <v>189.6217</v>
      </c>
      <c r="D140" s="22">
        <f t="shared" si="1110"/>
        <v>225.20490000000001</v>
      </c>
      <c r="E140" s="22">
        <f t="shared" si="1110"/>
        <v>247.79509999999999</v>
      </c>
      <c r="F140" s="22">
        <f t="shared" si="1110"/>
        <v>284.16680000000002</v>
      </c>
      <c r="G140" s="22">
        <f t="shared" si="1110"/>
        <v>330.3768</v>
      </c>
      <c r="H140" s="22">
        <f t="shared" si="1110"/>
        <v>418.46199999999999</v>
      </c>
      <c r="I140" s="22">
        <f t="shared" si="1110"/>
        <v>453.02459999999996</v>
      </c>
      <c r="J140" s="22">
        <f t="shared" si="1110"/>
        <v>468.89149999999995</v>
      </c>
      <c r="K140" s="22">
        <f t="shared" si="1110"/>
        <v>568.11749999999995</v>
      </c>
      <c r="L140" s="22">
        <f t="shared" si="1110"/>
        <v>691.54250000000002</v>
      </c>
      <c r="M140" s="22">
        <f>M137+M138+M139</f>
        <v>969.9529</v>
      </c>
      <c r="N140" s="22">
        <f t="shared" si="1110"/>
        <v>1020.2712</v>
      </c>
      <c r="O140" s="22">
        <f t="shared" si="1110"/>
        <v>1042.8124</v>
      </c>
      <c r="P140" s="22">
        <f t="shared" si="1110"/>
        <v>994.87419999999997</v>
      </c>
      <c r="Q140" s="22">
        <f t="shared" si="1110"/>
        <v>1183.8382999999999</v>
      </c>
      <c r="R140" s="22">
        <f t="shared" si="1110"/>
        <v>1363.6689999999999</v>
      </c>
      <c r="S140" s="22">
        <f t="shared" si="1110"/>
        <v>1441.558</v>
      </c>
      <c r="T140" s="22">
        <f t="shared" si="1110"/>
        <v>1480.1224</v>
      </c>
      <c r="U140" s="22">
        <f t="shared" si="1110"/>
        <v>1435.4893</v>
      </c>
      <c r="V140" s="22">
        <f t="shared" si="1110"/>
        <v>1809.7248</v>
      </c>
      <c r="W140" s="22">
        <f t="shared" ref="W140" si="1111">W137+W138+W139</f>
        <v>2134.123</v>
      </c>
      <c r="X140" s="22">
        <f t="shared" ref="X140:Y140" si="1112">X137+X138+X139</f>
        <v>2480.3522000000003</v>
      </c>
      <c r="Y140" s="22">
        <f t="shared" si="1112"/>
        <v>2923.3293000000003</v>
      </c>
      <c r="Z140" s="22">
        <f t="shared" ref="Z140:AA140" si="1113">Z137+Z138+Z139</f>
        <v>3433.3150999999998</v>
      </c>
      <c r="AA140" s="22">
        <f t="shared" si="1113"/>
        <v>4159.2197999999999</v>
      </c>
      <c r="AB140" s="21">
        <f t="shared" ref="AB140:AD140" si="1114">AB137+AB138+AB139</f>
        <v>4977.5636779734505</v>
      </c>
      <c r="AC140" s="21">
        <f t="shared" si="1114"/>
        <v>5934.8935845660899</v>
      </c>
      <c r="AD140" s="21">
        <f t="shared" si="1114"/>
        <v>7066.1303004253605</v>
      </c>
      <c r="AE140" s="21">
        <f t="shared" ref="AE140" si="1115">AE137+AE138+AE139</f>
        <v>8395.2239003095765</v>
      </c>
      <c r="AJ140" s="22">
        <f t="shared" ref="AJ140" si="1116">AJ137+AJ138+AJ139</f>
        <v>997.11500000000001</v>
      </c>
      <c r="AK140" s="22">
        <f t="shared" ref="AK140" si="1117">AK137+AK138+AK139</f>
        <v>1018.989</v>
      </c>
      <c r="AL140" s="22">
        <f t="shared" ref="AL140:AM140" si="1118">AL137+AL138+AL139</f>
        <v>1020.272</v>
      </c>
      <c r="AM140" s="22">
        <f t="shared" si="1118"/>
        <v>1040.597</v>
      </c>
      <c r="AN140" s="22">
        <f t="shared" ref="AN140:AO140" si="1119">AN137+AN138+AN139</f>
        <v>1062.441</v>
      </c>
      <c r="AO140" s="22">
        <f t="shared" si="1119"/>
        <v>1055.9660000000001</v>
      </c>
      <c r="AP140" s="22">
        <f t="shared" ref="AP140:CE140" si="1120">AP137+AP138+AP139</f>
        <v>1042.8119999999999</v>
      </c>
      <c r="AQ140" s="22">
        <f t="shared" si="1120"/>
        <v>1074.6039999999998</v>
      </c>
      <c r="AR140" s="22">
        <f t="shared" si="1120"/>
        <v>1108.3399999999999</v>
      </c>
      <c r="AS140" s="22">
        <f t="shared" si="1120"/>
        <v>1132.5069999999998</v>
      </c>
      <c r="AT140" s="22">
        <f t="shared" si="1120"/>
        <v>994.875</v>
      </c>
      <c r="AU140" s="22">
        <f t="shared" si="1120"/>
        <v>1034.5130000000001</v>
      </c>
      <c r="AV140" s="22">
        <f t="shared" si="1120"/>
        <v>1099.672</v>
      </c>
      <c r="AW140" s="22">
        <f t="shared" si="1120"/>
        <v>1146.5530000000001</v>
      </c>
      <c r="AX140" s="22">
        <f t="shared" si="1120"/>
        <v>1183.838</v>
      </c>
      <c r="AY140" s="22">
        <f t="shared" si="1120"/>
        <v>1233.693</v>
      </c>
      <c r="AZ140" s="22">
        <f t="shared" si="1120"/>
        <v>1308.357</v>
      </c>
      <c r="BA140" s="22">
        <f t="shared" si="1120"/>
        <v>1344.1189999999999</v>
      </c>
      <c r="BB140" s="22">
        <f t="shared" si="1120"/>
        <v>1363.6499999999999</v>
      </c>
      <c r="BC140" s="22">
        <f t="shared" si="1120"/>
        <v>1384.0179999999998</v>
      </c>
      <c r="BD140" s="22">
        <f t="shared" si="1120"/>
        <v>1399.088</v>
      </c>
      <c r="BE140" s="22">
        <f t="shared" si="1120"/>
        <v>1432.9380000000001</v>
      </c>
      <c r="BF140" s="22">
        <f t="shared" si="1120"/>
        <v>1441.558</v>
      </c>
      <c r="BG140" s="22">
        <f t="shared" si="1120"/>
        <v>1487.182</v>
      </c>
      <c r="BH140" s="22">
        <f t="shared" si="1120"/>
        <v>1525.5129999999999</v>
      </c>
      <c r="BI140" s="22">
        <f t="shared" si="1120"/>
        <v>1575.3679999999999</v>
      </c>
      <c r="BJ140" s="22">
        <f t="shared" si="1120"/>
        <v>1480.1220000000001</v>
      </c>
      <c r="BK140" s="22">
        <f t="shared" si="1120"/>
        <v>1542.1290000000001</v>
      </c>
      <c r="BL140" s="22">
        <f t="shared" si="1120"/>
        <v>1583.7280000000001</v>
      </c>
      <c r="BM140" s="22">
        <f t="shared" si="1120"/>
        <v>1650.0040000000001</v>
      </c>
      <c r="BN140" s="22">
        <f t="shared" si="1120"/>
        <v>1435.4889999999998</v>
      </c>
      <c r="BO140" s="22">
        <f t="shared" si="1120"/>
        <v>1554.9119999999998</v>
      </c>
      <c r="BP140" s="22">
        <f t="shared" si="1120"/>
        <v>1625.9779999999998</v>
      </c>
      <c r="BQ140" s="22">
        <f t="shared" si="1120"/>
        <v>1780.0849999999998</v>
      </c>
      <c r="BR140" s="22">
        <f t="shared" si="1120"/>
        <v>1809.7239999999999</v>
      </c>
      <c r="BS140" s="22">
        <f t="shared" si="1120"/>
        <v>1928.5940000000001</v>
      </c>
      <c r="BT140" s="22">
        <f t="shared" si="1120"/>
        <v>1979.5059999999999</v>
      </c>
      <c r="BU140" s="22">
        <f t="shared" si="1120"/>
        <v>2063.386</v>
      </c>
      <c r="BV140" s="22">
        <f t="shared" si="1120"/>
        <v>2134.12</v>
      </c>
      <c r="BW140" s="22">
        <f t="shared" si="1120"/>
        <v>2239.15</v>
      </c>
      <c r="BX140" s="22">
        <f t="shared" si="1120"/>
        <v>2315.31</v>
      </c>
      <c r="BY140" s="22">
        <f t="shared" si="1120"/>
        <v>2421.41</v>
      </c>
      <c r="BZ140" s="22">
        <f t="shared" si="1120"/>
        <v>2480.35</v>
      </c>
      <c r="CA140" s="22">
        <f t="shared" si="1120"/>
        <v>2622.67</v>
      </c>
      <c r="CB140" s="22">
        <f t="shared" si="1120"/>
        <v>2716.71</v>
      </c>
      <c r="CC140" s="22">
        <f t="shared" si="1120"/>
        <v>2850.28</v>
      </c>
      <c r="CD140" s="22">
        <f t="shared" si="1120"/>
        <v>2923.33</v>
      </c>
      <c r="CE140" s="22">
        <f t="shared" si="1120"/>
        <v>3100.16</v>
      </c>
      <c r="CF140" s="22">
        <f t="shared" ref="CF140:CG140" si="1121">CF137+CF138+CF139</f>
        <v>3212.23</v>
      </c>
      <c r="CG140" s="22">
        <f t="shared" si="1121"/>
        <v>3374.72</v>
      </c>
      <c r="CH140" s="22">
        <f t="shared" ref="CH140:CI140" si="1122">CH137+CH138+CH139</f>
        <v>3433.3150999999998</v>
      </c>
      <c r="CI140" s="22">
        <f t="shared" si="1122"/>
        <v>3635.6950999999999</v>
      </c>
      <c r="CJ140" s="22">
        <f t="shared" ref="CJ140:DB140" si="1123">CJ137+CJ138+CJ139</f>
        <v>3805.74</v>
      </c>
      <c r="CK140" s="21">
        <f t="shared" si="1123"/>
        <v>4003.6299999999997</v>
      </c>
      <c r="CL140" s="22">
        <f t="shared" ref="CL140" si="1124">CL137+CL138+CL139</f>
        <v>4159.22</v>
      </c>
      <c r="CM140" s="21">
        <f t="shared" si="1123"/>
        <v>4373.1534622296376</v>
      </c>
      <c r="CN140" s="21">
        <f t="shared" si="1123"/>
        <v>4581.7145422779049</v>
      </c>
      <c r="CO140" s="21">
        <f t="shared" si="1123"/>
        <v>4784.3797386899842</v>
      </c>
      <c r="CP140" s="21">
        <f t="shared" si="1123"/>
        <v>4977.5636779734505</v>
      </c>
      <c r="CQ140" s="21">
        <f t="shared" si="1123"/>
        <v>5220.8236435025692</v>
      </c>
      <c r="CR140" s="21">
        <f t="shared" si="1123"/>
        <v>5461.991746740513</v>
      </c>
      <c r="CS140" s="21">
        <f t="shared" si="1123"/>
        <v>5701.3466265627949</v>
      </c>
      <c r="CT140" s="21">
        <f t="shared" si="1123"/>
        <v>5934.8935845660899</v>
      </c>
      <c r="CU140" s="21">
        <f t="shared" si="1123"/>
        <v>6220.1850658085059</v>
      </c>
      <c r="CV140" s="21">
        <f t="shared" si="1123"/>
        <v>6504.6791100460878</v>
      </c>
      <c r="CW140" s="21">
        <f t="shared" si="1123"/>
        <v>6788.4924060018839</v>
      </c>
      <c r="CX140" s="21">
        <f t="shared" si="1123"/>
        <v>7066.1303004253605</v>
      </c>
      <c r="CY140" s="21">
        <f t="shared" si="1123"/>
        <v>7400.6177057747736</v>
      </c>
      <c r="CZ140" s="21">
        <f t="shared" si="1123"/>
        <v>7734.9318542200808</v>
      </c>
      <c r="DA140" s="21">
        <f t="shared" si="1123"/>
        <v>8068.6496539841319</v>
      </c>
      <c r="DB140" s="21">
        <f t="shared" si="1123"/>
        <v>8395.2239003095765</v>
      </c>
      <c r="DE140" s="126"/>
      <c r="DF140" s="22">
        <v>4159.2197999999999</v>
      </c>
    </row>
    <row r="141" spans="1:110" s="22" customFormat="1" x14ac:dyDescent="0.2">
      <c r="AB141" s="21"/>
      <c r="AC141" s="21"/>
      <c r="AD141" s="21"/>
      <c r="AE141" s="21"/>
      <c r="CK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E141" s="126"/>
    </row>
    <row r="142" spans="1:110" s="23" customFormat="1" x14ac:dyDescent="0.2">
      <c r="A142" s="23" t="s">
        <v>23</v>
      </c>
      <c r="B142" s="23">
        <f>'Annual Raw'!C45</f>
        <v>0</v>
      </c>
      <c r="C142" s="23">
        <f>'Annual Raw'!D45</f>
        <v>0</v>
      </c>
      <c r="D142" s="23">
        <f>'Annual Raw'!E45</f>
        <v>0</v>
      </c>
      <c r="E142" s="23">
        <f>'Annual Raw'!F45</f>
        <v>0</v>
      </c>
      <c r="F142" s="23">
        <f>'Annual Raw'!G45</f>
        <v>0</v>
      </c>
      <c r="G142" s="23">
        <f>'Annual Raw'!H45</f>
        <v>0</v>
      </c>
      <c r="H142" s="23">
        <f>'Annual Raw'!I45</f>
        <v>0</v>
      </c>
      <c r="I142" s="23">
        <f>'Annual Raw'!J45</f>
        <v>0</v>
      </c>
      <c r="J142" s="23">
        <f>'Annual Raw'!K45</f>
        <v>0</v>
      </c>
      <c r="K142" s="23">
        <f>'Annual Raw'!L45</f>
        <v>0</v>
      </c>
      <c r="L142" s="23">
        <f>'Annual Raw'!M45</f>
        <v>0</v>
      </c>
      <c r="M142" s="23">
        <f>'Annual Raw'!N45</f>
        <v>0</v>
      </c>
      <c r="N142" s="23">
        <f>'Annual Raw'!O45</f>
        <v>0</v>
      </c>
      <c r="O142" s="23">
        <f>'Annual Raw'!P45</f>
        <v>0</v>
      </c>
      <c r="P142" s="23">
        <f>'Annual Raw'!Q45</f>
        <v>0</v>
      </c>
      <c r="Q142" s="23">
        <f>'Annual Raw'!R45</f>
        <v>1.665</v>
      </c>
      <c r="R142" s="23">
        <f>'Annual Raw'!S45</f>
        <v>2.1804999999999999</v>
      </c>
      <c r="S142" s="23">
        <f>'Annual Raw'!T45</f>
        <v>2.7717999999999998</v>
      </c>
      <c r="T142" s="23">
        <f>'Annual Raw'!U45</f>
        <v>2.8033000000000001</v>
      </c>
      <c r="U142" s="23">
        <f>'Annual Raw'!V45</f>
        <v>2.5009999999999999</v>
      </c>
      <c r="V142" s="23">
        <f>'Annual Raw'!W45</f>
        <v>3.7050999999999998</v>
      </c>
      <c r="W142" s="23">
        <f>'Annual Raw'!X45</f>
        <v>4.4898999999999996</v>
      </c>
      <c r="X142" s="23">
        <f>'Annual Raw'!Y45</f>
        <v>0</v>
      </c>
      <c r="Y142" s="23">
        <f>'Annual Raw'!Z45</f>
        <v>0</v>
      </c>
      <c r="Z142" s="23">
        <f>'Annual Raw'!AA45</f>
        <v>0</v>
      </c>
      <c r="AA142" s="23">
        <f>'Annual Raw'!AB45</f>
        <v>0</v>
      </c>
      <c r="AB142" s="24">
        <f>+CP142</f>
        <v>0</v>
      </c>
      <c r="AC142" s="24">
        <f>+CT142</f>
        <v>0</v>
      </c>
      <c r="AD142" s="24">
        <f>+CX142</f>
        <v>0</v>
      </c>
      <c r="AE142" s="24">
        <f>+DB142</f>
        <v>0</v>
      </c>
      <c r="AJ142" s="23">
        <f>+'QTR Raw'!D60</f>
        <v>0</v>
      </c>
      <c r="AK142" s="23">
        <f t="shared" ref="AK142:CE142" si="1125">+AJ142</f>
        <v>0</v>
      </c>
      <c r="AL142" s="23">
        <f>+'QTR Raw'!F60</f>
        <v>0</v>
      </c>
      <c r="AM142" s="23">
        <f t="shared" si="1125"/>
        <v>0</v>
      </c>
      <c r="AN142" s="23">
        <f>+'QTR Raw'!H60</f>
        <v>0</v>
      </c>
      <c r="AO142" s="23">
        <f t="shared" si="1125"/>
        <v>0</v>
      </c>
      <c r="AP142" s="23">
        <f>+'QTR Raw'!J60</f>
        <v>0</v>
      </c>
      <c r="AQ142" s="23">
        <f t="shared" si="1125"/>
        <v>0</v>
      </c>
      <c r="AR142" s="23">
        <f>+'QTR Raw'!L60</f>
        <v>0</v>
      </c>
      <c r="AS142" s="23">
        <f t="shared" si="1125"/>
        <v>0</v>
      </c>
      <c r="AT142" s="23">
        <f>+'QTR Raw'!N60</f>
        <v>0</v>
      </c>
      <c r="AU142" s="23">
        <f t="shared" si="1125"/>
        <v>0</v>
      </c>
      <c r="AV142" s="23">
        <f>+'QTR Raw'!P60</f>
        <v>0</v>
      </c>
      <c r="AW142" s="23">
        <f t="shared" si="1125"/>
        <v>0</v>
      </c>
      <c r="AX142" s="23">
        <f>+'QTR Raw'!R60</f>
        <v>1.665</v>
      </c>
      <c r="AY142" s="23">
        <f t="shared" si="1125"/>
        <v>1.665</v>
      </c>
      <c r="AZ142" s="23">
        <f>+'QTR Raw'!T60</f>
        <v>0</v>
      </c>
      <c r="BA142" s="23">
        <f t="shared" si="1125"/>
        <v>0</v>
      </c>
      <c r="BB142" s="23">
        <f>+'QTR Raw'!V60</f>
        <v>2.181</v>
      </c>
      <c r="BC142" s="23">
        <f t="shared" si="1125"/>
        <v>2.181</v>
      </c>
      <c r="BD142" s="23">
        <f>+'QTR Raw'!X60</f>
        <v>0</v>
      </c>
      <c r="BE142" s="23">
        <f t="shared" si="1125"/>
        <v>0</v>
      </c>
      <c r="BF142" s="23">
        <f>+'QTR Raw'!Z60</f>
        <v>2.7719999999999998</v>
      </c>
      <c r="BG142" s="23">
        <f t="shared" si="1125"/>
        <v>2.7719999999999998</v>
      </c>
      <c r="BH142" s="22">
        <f>+'QTR Raw'!AB60</f>
        <v>0</v>
      </c>
      <c r="BI142" s="23">
        <f t="shared" si="1125"/>
        <v>0</v>
      </c>
      <c r="BJ142" s="23">
        <f>+'QTR Raw'!AD60</f>
        <v>2.8029999999999999</v>
      </c>
      <c r="BK142" s="23">
        <f t="shared" si="1125"/>
        <v>2.8029999999999999</v>
      </c>
      <c r="BL142" s="23">
        <f>+'QTR Raw'!AF60</f>
        <v>2.9009999999999998</v>
      </c>
      <c r="BM142" s="23">
        <f t="shared" si="1125"/>
        <v>2.9009999999999998</v>
      </c>
      <c r="BN142" s="23">
        <f>+'QTR Raw'!AH60</f>
        <v>2.5009999999999999</v>
      </c>
      <c r="BO142" s="23">
        <f t="shared" si="1125"/>
        <v>2.5009999999999999</v>
      </c>
      <c r="BP142" s="23">
        <f>+'QTR Raw'!AJ60</f>
        <v>2.87</v>
      </c>
      <c r="BQ142" s="23">
        <f t="shared" si="1125"/>
        <v>2.87</v>
      </c>
      <c r="BR142" s="23">
        <f>+'QTR Raw'!AL60</f>
        <v>3.7050000000000001</v>
      </c>
      <c r="BS142" s="23">
        <f t="shared" si="1125"/>
        <v>3.7050000000000001</v>
      </c>
      <c r="BT142" s="23">
        <f>+'QTR Raw'!AN60</f>
        <v>3.9350000000000001</v>
      </c>
      <c r="BU142" s="23">
        <f t="shared" si="1125"/>
        <v>3.9350000000000001</v>
      </c>
      <c r="BV142" s="23">
        <f>+'QTR Raw'!AP60</f>
        <v>4.49</v>
      </c>
      <c r="BW142" s="23">
        <f t="shared" si="1125"/>
        <v>4.49</v>
      </c>
      <c r="BX142" s="23">
        <f>+'QTR Raw'!AR60</f>
        <v>0</v>
      </c>
      <c r="BY142" s="23">
        <f t="shared" si="1125"/>
        <v>0</v>
      </c>
      <c r="BZ142" s="23">
        <f>+'QTR Raw'!AT60</f>
        <v>0</v>
      </c>
      <c r="CA142" s="23">
        <f t="shared" si="1125"/>
        <v>0</v>
      </c>
      <c r="CB142" s="23">
        <f>+'QTR Raw'!AV60</f>
        <v>0</v>
      </c>
      <c r="CC142" s="23">
        <f t="shared" si="1125"/>
        <v>0</v>
      </c>
      <c r="CD142" s="23">
        <f>+'QTR Raw'!AX60</f>
        <v>0</v>
      </c>
      <c r="CE142" s="23">
        <f t="shared" si="1125"/>
        <v>0</v>
      </c>
      <c r="CF142" s="23">
        <f>+'QTR Raw'!AZ60</f>
        <v>0</v>
      </c>
      <c r="CG142" s="23">
        <f t="shared" ref="CG142:CI142" si="1126">+CF142</f>
        <v>0</v>
      </c>
      <c r="CH142" s="23">
        <f t="shared" ref="CH142:CH147" si="1127">Z142</f>
        <v>0</v>
      </c>
      <c r="CI142" s="23">
        <f t="shared" si="1126"/>
        <v>0</v>
      </c>
      <c r="CJ142" s="23">
        <f>+'QTR Raw'!BD60</f>
        <v>0</v>
      </c>
      <c r="CK142" s="24">
        <f t="shared" ref="CK142" si="1128">+CJ142</f>
        <v>0</v>
      </c>
      <c r="CL142" s="23">
        <f>+'QTR Raw'!BF60</f>
        <v>0</v>
      </c>
      <c r="CM142" s="24">
        <f t="shared" ref="CM142" si="1129">+CL142</f>
        <v>0</v>
      </c>
      <c r="CN142" s="24">
        <f t="shared" ref="CN142" si="1130">+CM142</f>
        <v>0</v>
      </c>
      <c r="CO142" s="24">
        <f t="shared" ref="CO142" si="1131">+CN142</f>
        <v>0</v>
      </c>
      <c r="CP142" s="24">
        <f t="shared" ref="CP142" si="1132">+CO142</f>
        <v>0</v>
      </c>
      <c r="CQ142" s="24">
        <f t="shared" ref="CQ142" si="1133">+CP142</f>
        <v>0</v>
      </c>
      <c r="CR142" s="24">
        <f t="shared" ref="CR142" si="1134">+CQ142</f>
        <v>0</v>
      </c>
      <c r="CS142" s="24">
        <f t="shared" ref="CS142" si="1135">+CR142</f>
        <v>0</v>
      </c>
      <c r="CT142" s="24">
        <f t="shared" ref="CT142" si="1136">+CS142</f>
        <v>0</v>
      </c>
      <c r="CU142" s="24">
        <f t="shared" ref="CU142" si="1137">+CT142</f>
        <v>0</v>
      </c>
      <c r="CV142" s="24">
        <f t="shared" ref="CV142" si="1138">+CU142</f>
        <v>0</v>
      </c>
      <c r="CW142" s="24">
        <f t="shared" ref="CW142" si="1139">+CV142</f>
        <v>0</v>
      </c>
      <c r="CX142" s="24">
        <f t="shared" ref="CX142" si="1140">+CW142</f>
        <v>0</v>
      </c>
      <c r="CY142" s="24">
        <f t="shared" ref="CY142" si="1141">+CX142</f>
        <v>0</v>
      </c>
      <c r="CZ142" s="24">
        <f t="shared" ref="CZ142" si="1142">+CY142</f>
        <v>0</v>
      </c>
      <c r="DA142" s="24">
        <f t="shared" ref="DA142" si="1143">+CZ142</f>
        <v>0</v>
      </c>
      <c r="DB142" s="24">
        <f t="shared" ref="DB142" si="1144">+DA142</f>
        <v>0</v>
      </c>
      <c r="DE142" s="123"/>
      <c r="DF142" s="23">
        <v>0</v>
      </c>
    </row>
    <row r="143" spans="1:110" s="23" customFormat="1" x14ac:dyDescent="0.2">
      <c r="AB143" s="24"/>
      <c r="AC143" s="24"/>
      <c r="AD143" s="24"/>
      <c r="AE143" s="24"/>
      <c r="BH143" s="22"/>
      <c r="CK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</row>
    <row r="144" spans="1:110" s="23" customFormat="1" outlineLevel="1" x14ac:dyDescent="0.2">
      <c r="A144" s="23" t="s">
        <v>45</v>
      </c>
      <c r="B144" s="23">
        <f>'Annual Raw'!C47</f>
        <v>3.7235999999999998</v>
      </c>
      <c r="C144" s="23">
        <f>'Annual Raw'!D47</f>
        <v>9.3788</v>
      </c>
      <c r="D144" s="23">
        <f>'Annual Raw'!E47</f>
        <v>7.2771999999999997</v>
      </c>
      <c r="E144" s="23">
        <f>'Annual Raw'!F47</f>
        <v>33.007199999999997</v>
      </c>
      <c r="F144" s="23">
        <f>'Annual Raw'!G47</f>
        <v>37.961500000000001</v>
      </c>
      <c r="G144" s="23">
        <f>'Annual Raw'!H47</f>
        <v>62.981200000000001</v>
      </c>
      <c r="H144" s="23">
        <f>'Annual Raw'!I47</f>
        <v>84.196899999999999</v>
      </c>
      <c r="I144" s="23">
        <f>'Annual Raw'!J47</f>
        <v>154.4958</v>
      </c>
      <c r="J144" s="23">
        <f>'Annual Raw'!K47</f>
        <v>134.298</v>
      </c>
      <c r="K144" s="23">
        <f>'Annual Raw'!L47</f>
        <v>98.491399999999999</v>
      </c>
      <c r="L144" s="23">
        <f>'Annual Raw'!M47</f>
        <v>0.54039999999999999</v>
      </c>
      <c r="M144" s="23">
        <f>'Annual Raw'!N47</f>
        <v>0.4027</v>
      </c>
      <c r="N144" s="23">
        <f>'Annual Raw'!O47</f>
        <v>0.21759999999999999</v>
      </c>
      <c r="O144" s="23">
        <f>'Annual Raw'!P47</f>
        <v>8.8400000000000006E-2</v>
      </c>
      <c r="P144" s="23">
        <f>'Annual Raw'!Q47</f>
        <v>0</v>
      </c>
      <c r="Q144" s="23">
        <f>'Annual Raw'!R47</f>
        <v>0</v>
      </c>
      <c r="R144" s="23">
        <f>'Annual Raw'!S47</f>
        <v>0</v>
      </c>
      <c r="S144" s="23">
        <f>'Annual Raw'!T47</f>
        <v>0</v>
      </c>
      <c r="T144" s="23">
        <f>'Annual Raw'!U47</f>
        <v>0</v>
      </c>
      <c r="U144" s="23">
        <f>'Annual Raw'!V47</f>
        <v>0</v>
      </c>
      <c r="V144" s="23">
        <f>'Annual Raw'!W47</f>
        <v>0</v>
      </c>
      <c r="W144" s="23">
        <f>'Annual Raw'!X47</f>
        <v>0</v>
      </c>
      <c r="X144" s="23">
        <f>'Annual Raw'!Y47</f>
        <v>383.22030000000001</v>
      </c>
      <c r="Y144" s="23">
        <f>'Annual Raw'!Z47</f>
        <v>23.6387</v>
      </c>
      <c r="Z144" s="23">
        <f>'Annual Raw'!AA47</f>
        <v>0</v>
      </c>
      <c r="AA144" s="23">
        <f>'Annual Raw'!AB47</f>
        <v>0</v>
      </c>
      <c r="AB144" s="24">
        <f t="shared" ref="AB144:AB147" si="1145">+CP144</f>
        <v>0</v>
      </c>
      <c r="AC144" s="24">
        <f t="shared" ref="AC144:AC147" si="1146">+CT144</f>
        <v>0</v>
      </c>
      <c r="AD144" s="24">
        <f t="shared" ref="AD144:AD147" si="1147">+CX144</f>
        <v>0</v>
      </c>
      <c r="AE144" s="24">
        <f t="shared" ref="AE144:AE147" si="1148">+DB144</f>
        <v>0</v>
      </c>
      <c r="AJ144" s="23">
        <f>+'QTR Raw'!D62</f>
        <v>0</v>
      </c>
      <c r="AK144" s="23">
        <f t="shared" ref="AK144:CC147" si="1149">+AJ144</f>
        <v>0</v>
      </c>
      <c r="AL144" s="23">
        <f>+'QTR Raw'!F62</f>
        <v>0</v>
      </c>
      <c r="AM144" s="23">
        <f t="shared" si="1149"/>
        <v>0</v>
      </c>
      <c r="AN144" s="23">
        <f>+'QTR Raw'!H62</f>
        <v>0</v>
      </c>
      <c r="AO144" s="23">
        <f t="shared" si="1149"/>
        <v>0</v>
      </c>
      <c r="AP144" s="23">
        <f>+'QTR Raw'!J62</f>
        <v>0</v>
      </c>
      <c r="AQ144" s="23">
        <f t="shared" si="1149"/>
        <v>0</v>
      </c>
      <c r="AR144" s="23">
        <f>+'QTR Raw'!L62</f>
        <v>0</v>
      </c>
      <c r="AS144" s="23">
        <f t="shared" si="1149"/>
        <v>0</v>
      </c>
      <c r="AT144" s="23">
        <f>+'QTR Raw'!N62</f>
        <v>0</v>
      </c>
      <c r="AU144" s="23">
        <f t="shared" si="1149"/>
        <v>0</v>
      </c>
      <c r="AV144" s="23">
        <f>+'QTR Raw'!P62</f>
        <v>0</v>
      </c>
      <c r="AW144" s="23">
        <f t="shared" si="1149"/>
        <v>0</v>
      </c>
      <c r="AX144" s="23">
        <f>+'QTR Raw'!R62</f>
        <v>0</v>
      </c>
      <c r="AY144" s="23">
        <f t="shared" si="1149"/>
        <v>0</v>
      </c>
      <c r="AZ144" s="23">
        <f>+'QTR Raw'!T62</f>
        <v>0</v>
      </c>
      <c r="BA144" s="23">
        <f t="shared" si="1149"/>
        <v>0</v>
      </c>
      <c r="BB144" s="23">
        <f>+'QTR Raw'!V62</f>
        <v>0</v>
      </c>
      <c r="BC144" s="23">
        <f t="shared" si="1149"/>
        <v>0</v>
      </c>
      <c r="BD144" s="23">
        <f>+'QTR Raw'!X62</f>
        <v>0</v>
      </c>
      <c r="BE144" s="23">
        <f t="shared" si="1149"/>
        <v>0</v>
      </c>
      <c r="BF144" s="23">
        <f>+'QTR Raw'!Z62</f>
        <v>0</v>
      </c>
      <c r="BG144" s="23">
        <f t="shared" si="1149"/>
        <v>0</v>
      </c>
      <c r="BH144" s="22">
        <f>+'QTR Raw'!AB62</f>
        <v>0</v>
      </c>
      <c r="BI144" s="23">
        <f t="shared" si="1149"/>
        <v>0</v>
      </c>
      <c r="BJ144" s="23">
        <f>+'QTR Raw'!AD62</f>
        <v>0</v>
      </c>
      <c r="BK144" s="23">
        <f t="shared" si="1149"/>
        <v>0</v>
      </c>
      <c r="BL144" s="23">
        <f>+'QTR Raw'!AF62</f>
        <v>0</v>
      </c>
      <c r="BM144" s="23">
        <f t="shared" si="1149"/>
        <v>0</v>
      </c>
      <c r="BN144" s="23">
        <f>+'QTR Raw'!AH62</f>
        <v>0</v>
      </c>
      <c r="BO144" s="23">
        <f t="shared" si="1149"/>
        <v>0</v>
      </c>
      <c r="BP144" s="23">
        <f>+'QTR Raw'!AJ62</f>
        <v>0</v>
      </c>
      <c r="BQ144" s="23">
        <f t="shared" si="1149"/>
        <v>0</v>
      </c>
      <c r="BR144" s="23">
        <f>+'QTR Raw'!AL62</f>
        <v>0</v>
      </c>
      <c r="BS144" s="23">
        <f t="shared" si="1149"/>
        <v>0</v>
      </c>
      <c r="BT144" s="23">
        <f>+'QTR Raw'!AN62</f>
        <v>0</v>
      </c>
      <c r="BU144" s="23">
        <f t="shared" si="1149"/>
        <v>0</v>
      </c>
      <c r="BV144" s="23">
        <f>+'QTR Raw'!AP62</f>
        <v>0</v>
      </c>
      <c r="BW144" s="23">
        <f t="shared" si="1149"/>
        <v>0</v>
      </c>
      <c r="BX144" s="23">
        <f>+'QTR Raw'!AR62</f>
        <v>0</v>
      </c>
      <c r="BY144" s="23">
        <f t="shared" si="1149"/>
        <v>0</v>
      </c>
      <c r="BZ144" s="23">
        <f>+'QTR Raw'!AT62</f>
        <v>0</v>
      </c>
      <c r="CA144" s="23">
        <f t="shared" si="1149"/>
        <v>0</v>
      </c>
      <c r="CB144" s="23">
        <f>+'QTR Raw'!AV62</f>
        <v>0</v>
      </c>
      <c r="CC144" s="23">
        <f t="shared" si="1149"/>
        <v>0</v>
      </c>
      <c r="CD144" s="23">
        <f>+'QTR Raw'!AX62</f>
        <v>0</v>
      </c>
      <c r="CE144" s="23">
        <f t="shared" ref="CE144:CE147" si="1150">+CD144</f>
        <v>0</v>
      </c>
      <c r="CF144" s="23">
        <f>+'QTR Raw'!AZ62</f>
        <v>0</v>
      </c>
      <c r="CG144" s="23">
        <f t="shared" ref="CG144:CI147" si="1151">+CF144</f>
        <v>0</v>
      </c>
      <c r="CH144" s="23">
        <f t="shared" si="1127"/>
        <v>0</v>
      </c>
      <c r="CI144" s="23">
        <f t="shared" si="1151"/>
        <v>0</v>
      </c>
      <c r="CJ144" s="23">
        <f>+'QTR Raw'!BD62</f>
        <v>0</v>
      </c>
      <c r="CK144" s="24">
        <f t="shared" ref="CK144:CK147" si="1152">+CJ144</f>
        <v>0</v>
      </c>
      <c r="CL144" s="23">
        <f>+'QTR Raw'!BF62</f>
        <v>0</v>
      </c>
      <c r="CM144" s="24">
        <f t="shared" ref="CM144:CM147" si="1153">+CL144</f>
        <v>0</v>
      </c>
      <c r="CN144" s="24">
        <f t="shared" ref="CN144:CN147" si="1154">+CM144</f>
        <v>0</v>
      </c>
      <c r="CO144" s="24">
        <f t="shared" ref="CO144:CO147" si="1155">+CN144</f>
        <v>0</v>
      </c>
      <c r="CP144" s="24">
        <f t="shared" ref="CP144:CP147" si="1156">+CO144</f>
        <v>0</v>
      </c>
      <c r="CQ144" s="24">
        <f t="shared" ref="CQ144:CQ147" si="1157">+CP144</f>
        <v>0</v>
      </c>
      <c r="CR144" s="24">
        <f t="shared" ref="CR144:CR147" si="1158">+CQ144</f>
        <v>0</v>
      </c>
      <c r="CS144" s="24">
        <f t="shared" ref="CS144:CS147" si="1159">+CR144</f>
        <v>0</v>
      </c>
      <c r="CT144" s="24">
        <f t="shared" ref="CT144:CT147" si="1160">+CS144</f>
        <v>0</v>
      </c>
      <c r="CU144" s="24">
        <f t="shared" ref="CU144:CU147" si="1161">+CT144</f>
        <v>0</v>
      </c>
      <c r="CV144" s="24">
        <f t="shared" ref="CV144:CV147" si="1162">+CU144</f>
        <v>0</v>
      </c>
      <c r="CW144" s="24">
        <f t="shared" ref="CW144:CW147" si="1163">+CV144</f>
        <v>0</v>
      </c>
      <c r="CX144" s="24">
        <f t="shared" ref="CX144:CX147" si="1164">+CW144</f>
        <v>0</v>
      </c>
      <c r="CY144" s="24">
        <f t="shared" ref="CY144:CY147" si="1165">+CX144</f>
        <v>0</v>
      </c>
      <c r="CZ144" s="24">
        <f t="shared" ref="CZ144:CZ147" si="1166">+CY144</f>
        <v>0</v>
      </c>
      <c r="DA144" s="24">
        <f t="shared" ref="DA144:DA147" si="1167">+CZ144</f>
        <v>0</v>
      </c>
      <c r="DB144" s="24">
        <f t="shared" ref="DB144:DB147" si="1168">+DA144</f>
        <v>0</v>
      </c>
      <c r="DE144" s="123"/>
      <c r="DF144" s="23">
        <v>0</v>
      </c>
    </row>
    <row r="145" spans="1:110" s="23" customFormat="1" outlineLevel="1" x14ac:dyDescent="0.2">
      <c r="A145" s="23" t="s">
        <v>46</v>
      </c>
      <c r="B145" s="23">
        <f>'Annual Raw'!C48</f>
        <v>8.3310999999999993</v>
      </c>
      <c r="C145" s="23">
        <f>'Annual Raw'!D48</f>
        <v>8.1639999999999997</v>
      </c>
      <c r="D145" s="23">
        <f>'Annual Raw'!E48</f>
        <v>9.0716000000000001</v>
      </c>
      <c r="E145" s="23">
        <f>'Annual Raw'!F48</f>
        <v>9.8484999999999996</v>
      </c>
      <c r="F145" s="23">
        <f>'Annual Raw'!G48</f>
        <v>27.0824</v>
      </c>
      <c r="G145" s="23">
        <f>'Annual Raw'!H48</f>
        <v>32.644500000000001</v>
      </c>
      <c r="H145" s="23">
        <f>'Annual Raw'!I48</f>
        <v>90.170400000000001</v>
      </c>
      <c r="I145" s="23">
        <f>'Annual Raw'!J48</f>
        <v>41.857999999999997</v>
      </c>
      <c r="J145" s="23">
        <f>'Annual Raw'!K48</f>
        <v>44.468499999999999</v>
      </c>
      <c r="K145" s="23">
        <f>'Annual Raw'!L48</f>
        <v>38.288200000000003</v>
      </c>
      <c r="L145" s="23">
        <f>'Annual Raw'!M48</f>
        <v>11.985099999999999</v>
      </c>
      <c r="M145" s="23">
        <f>'Annual Raw'!N48</f>
        <v>12.142300000000001</v>
      </c>
      <c r="N145" s="23">
        <f>'Annual Raw'!O48</f>
        <v>7.0250000000000004</v>
      </c>
      <c r="O145" s="23">
        <f>'Annual Raw'!P48</f>
        <v>0.4</v>
      </c>
      <c r="P145" s="23">
        <f>'Annual Raw'!Q48</f>
        <v>0.4</v>
      </c>
      <c r="Q145" s="23">
        <f>'Annual Raw'!R48</f>
        <v>0</v>
      </c>
      <c r="R145" s="23">
        <f>'Annual Raw'!S48</f>
        <v>0</v>
      </c>
      <c r="S145" s="23">
        <f>'Annual Raw'!T48</f>
        <v>0</v>
      </c>
      <c r="T145" s="23">
        <f>'Annual Raw'!U48</f>
        <v>0</v>
      </c>
      <c r="U145" s="23">
        <f>'Annual Raw'!V48</f>
        <v>0</v>
      </c>
      <c r="V145" s="23">
        <f>'Annual Raw'!W48</f>
        <v>0</v>
      </c>
      <c r="W145" s="23">
        <f>'Annual Raw'!X48</f>
        <v>0</v>
      </c>
      <c r="X145" s="23">
        <f>'Annual Raw'!Y48</f>
        <v>0</v>
      </c>
      <c r="Y145" s="23">
        <f>'Annual Raw'!Z48</f>
        <v>0</v>
      </c>
      <c r="Z145" s="23">
        <f>'Annual Raw'!AA48</f>
        <v>0</v>
      </c>
      <c r="AA145" s="23">
        <f>'Annual Raw'!AB48</f>
        <v>0</v>
      </c>
      <c r="AB145" s="24">
        <f t="shared" si="1145"/>
        <v>0</v>
      </c>
      <c r="AC145" s="24">
        <f t="shared" si="1146"/>
        <v>0</v>
      </c>
      <c r="AD145" s="24">
        <f t="shared" si="1147"/>
        <v>0</v>
      </c>
      <c r="AE145" s="24">
        <f t="shared" si="1148"/>
        <v>0</v>
      </c>
      <c r="AJ145" s="23">
        <f>+'QTR Raw'!D63</f>
        <v>8.3859999999999992</v>
      </c>
      <c r="AK145" s="23">
        <f t="shared" si="1149"/>
        <v>8.3859999999999992</v>
      </c>
      <c r="AL145" s="23">
        <f>+'QTR Raw'!F63</f>
        <v>7.2430000000000003</v>
      </c>
      <c r="AM145" s="23">
        <f t="shared" si="1149"/>
        <v>7.2430000000000003</v>
      </c>
      <c r="AN145" s="23">
        <f>+'QTR Raw'!H63</f>
        <v>6.6870000000000003</v>
      </c>
      <c r="AO145" s="23">
        <f t="shared" si="1149"/>
        <v>6.6870000000000003</v>
      </c>
      <c r="AP145" s="23">
        <f>+'QTR Raw'!J63</f>
        <v>0.48799999999999999</v>
      </c>
      <c r="AQ145" s="23">
        <f t="shared" si="1149"/>
        <v>0.48799999999999999</v>
      </c>
      <c r="AR145" s="23">
        <f>+'QTR Raw'!L63</f>
        <v>0.42499999999999999</v>
      </c>
      <c r="AS145" s="23">
        <f t="shared" si="1149"/>
        <v>0.42499999999999999</v>
      </c>
      <c r="AT145" s="23">
        <f>+'QTR Raw'!N63</f>
        <v>0.4</v>
      </c>
      <c r="AU145" s="23">
        <f t="shared" si="1149"/>
        <v>0.4</v>
      </c>
      <c r="AV145" s="23">
        <f>+'QTR Raw'!P63</f>
        <v>0</v>
      </c>
      <c r="AW145" s="23">
        <f t="shared" si="1149"/>
        <v>0</v>
      </c>
      <c r="AX145" s="23">
        <f>+'QTR Raw'!R63</f>
        <v>0</v>
      </c>
      <c r="AY145" s="23">
        <f t="shared" si="1149"/>
        <v>0</v>
      </c>
      <c r="AZ145" s="23">
        <f>+'QTR Raw'!T63</f>
        <v>0</v>
      </c>
      <c r="BA145" s="23">
        <f t="shared" si="1149"/>
        <v>0</v>
      </c>
      <c r="BB145" s="23">
        <f>+'QTR Raw'!V63</f>
        <v>0</v>
      </c>
      <c r="BC145" s="23">
        <f t="shared" si="1149"/>
        <v>0</v>
      </c>
      <c r="BD145" s="23">
        <f>+'QTR Raw'!X63</f>
        <v>0</v>
      </c>
      <c r="BE145" s="23">
        <f t="shared" si="1149"/>
        <v>0</v>
      </c>
      <c r="BF145" s="23">
        <f>+'QTR Raw'!Z63</f>
        <v>0</v>
      </c>
      <c r="BG145" s="23">
        <f t="shared" si="1149"/>
        <v>0</v>
      </c>
      <c r="BH145" s="23">
        <f>+'QTR Raw'!AB63</f>
        <v>0</v>
      </c>
      <c r="BI145" s="23">
        <f t="shared" si="1149"/>
        <v>0</v>
      </c>
      <c r="BJ145" s="23">
        <f>+'QTR Raw'!AD63</f>
        <v>0</v>
      </c>
      <c r="BK145" s="23">
        <f t="shared" si="1149"/>
        <v>0</v>
      </c>
      <c r="BL145" s="23">
        <f>+'QTR Raw'!AF63</f>
        <v>0</v>
      </c>
      <c r="BM145" s="23">
        <f t="shared" si="1149"/>
        <v>0</v>
      </c>
      <c r="BN145" s="23">
        <f>+'QTR Raw'!AH63</f>
        <v>0</v>
      </c>
      <c r="BO145" s="23">
        <f t="shared" si="1149"/>
        <v>0</v>
      </c>
      <c r="BP145" s="23">
        <f>+'QTR Raw'!AJ63</f>
        <v>0</v>
      </c>
      <c r="BQ145" s="23">
        <f t="shared" si="1149"/>
        <v>0</v>
      </c>
      <c r="BR145" s="23">
        <f>+'QTR Raw'!AL63</f>
        <v>0</v>
      </c>
      <c r="BS145" s="23">
        <f t="shared" si="1149"/>
        <v>0</v>
      </c>
      <c r="BT145" s="23">
        <f>+'QTR Raw'!AN63</f>
        <v>0</v>
      </c>
      <c r="BU145" s="23">
        <f t="shared" si="1149"/>
        <v>0</v>
      </c>
      <c r="BV145" s="23">
        <f>+'QTR Raw'!AP63</f>
        <v>0</v>
      </c>
      <c r="BW145" s="23">
        <f t="shared" si="1149"/>
        <v>0</v>
      </c>
      <c r="BX145" s="23">
        <f>+'QTR Raw'!AR63</f>
        <v>232.08</v>
      </c>
      <c r="BY145" s="23">
        <f t="shared" si="1149"/>
        <v>232.08</v>
      </c>
      <c r="BZ145" s="23">
        <f>+'QTR Raw'!AT63</f>
        <v>383.22</v>
      </c>
      <c r="CA145" s="23">
        <f t="shared" si="1149"/>
        <v>383.22</v>
      </c>
      <c r="CB145" s="23">
        <f>+'QTR Raw'!AV63</f>
        <v>279.08</v>
      </c>
      <c r="CC145" s="23">
        <f t="shared" si="1149"/>
        <v>279.08</v>
      </c>
      <c r="CD145" s="23">
        <f>+'QTR Raw'!AX63</f>
        <v>23.64</v>
      </c>
      <c r="CE145" s="23">
        <f t="shared" si="1150"/>
        <v>23.64</v>
      </c>
      <c r="CF145" s="23">
        <f>+'QTR Raw'!AZ63</f>
        <v>0</v>
      </c>
      <c r="CG145" s="23">
        <f t="shared" si="1151"/>
        <v>0</v>
      </c>
      <c r="CH145" s="23">
        <f t="shared" si="1127"/>
        <v>0</v>
      </c>
      <c r="CI145" s="23">
        <f t="shared" si="1151"/>
        <v>0</v>
      </c>
      <c r="CJ145" s="23">
        <f>+'QTR Raw'!BD63</f>
        <v>0</v>
      </c>
      <c r="CK145" s="24">
        <f t="shared" si="1152"/>
        <v>0</v>
      </c>
      <c r="CL145" s="23">
        <f>+'QTR Raw'!BF63</f>
        <v>0</v>
      </c>
      <c r="CM145" s="24">
        <f t="shared" si="1153"/>
        <v>0</v>
      </c>
      <c r="CN145" s="24">
        <f t="shared" si="1154"/>
        <v>0</v>
      </c>
      <c r="CO145" s="24">
        <f t="shared" si="1155"/>
        <v>0</v>
      </c>
      <c r="CP145" s="24">
        <f t="shared" si="1156"/>
        <v>0</v>
      </c>
      <c r="CQ145" s="24">
        <f t="shared" si="1157"/>
        <v>0</v>
      </c>
      <c r="CR145" s="24">
        <f t="shared" si="1158"/>
        <v>0</v>
      </c>
      <c r="CS145" s="24">
        <f t="shared" si="1159"/>
        <v>0</v>
      </c>
      <c r="CT145" s="24">
        <f t="shared" si="1160"/>
        <v>0</v>
      </c>
      <c r="CU145" s="24">
        <f t="shared" si="1161"/>
        <v>0</v>
      </c>
      <c r="CV145" s="24">
        <f t="shared" si="1162"/>
        <v>0</v>
      </c>
      <c r="CW145" s="24">
        <f t="shared" si="1163"/>
        <v>0</v>
      </c>
      <c r="CX145" s="24">
        <f t="shared" si="1164"/>
        <v>0</v>
      </c>
      <c r="CY145" s="24">
        <f t="shared" si="1165"/>
        <v>0</v>
      </c>
      <c r="CZ145" s="24">
        <f t="shared" si="1166"/>
        <v>0</v>
      </c>
      <c r="DA145" s="24">
        <f t="shared" si="1167"/>
        <v>0</v>
      </c>
      <c r="DB145" s="24">
        <f t="shared" si="1168"/>
        <v>0</v>
      </c>
      <c r="DE145" s="123"/>
      <c r="DF145" s="23">
        <v>0</v>
      </c>
    </row>
    <row r="146" spans="1:110" s="23" customFormat="1" outlineLevel="1" x14ac:dyDescent="0.2">
      <c r="A146" s="23" t="s">
        <v>47</v>
      </c>
      <c r="B146" s="23">
        <f>'Annual Raw'!C87+'Annual Raw'!C88+'Annual Raw'!C89+'Annual Raw'!C90</f>
        <v>0</v>
      </c>
      <c r="C146" s="23">
        <f>'Annual Raw'!D87+'Annual Raw'!D88+'Annual Raw'!D89+'Annual Raw'!D90</f>
        <v>0</v>
      </c>
      <c r="D146" s="23">
        <f>'Annual Raw'!E87+'Annual Raw'!E88+'Annual Raw'!E89+'Annual Raw'!E90</f>
        <v>0</v>
      </c>
      <c r="E146" s="23">
        <f>'Annual Raw'!F87+'Annual Raw'!F88+'Annual Raw'!F89+'Annual Raw'!F90</f>
        <v>0</v>
      </c>
      <c r="F146" s="23">
        <f>'Annual Raw'!G87+'Annual Raw'!G88+'Annual Raw'!G89+'Annual Raw'!G90</f>
        <v>0</v>
      </c>
      <c r="G146" s="23">
        <f>'Annual Raw'!H87+'Annual Raw'!H88+'Annual Raw'!H89+'Annual Raw'!H90</f>
        <v>0</v>
      </c>
      <c r="H146" s="23">
        <f>'Annual Raw'!I87+'Annual Raw'!I88+'Annual Raw'!I89+'Annual Raw'!I90</f>
        <v>0</v>
      </c>
      <c r="I146" s="23">
        <f>'Annual Raw'!J87+'Annual Raw'!J88+'Annual Raw'!J89+'Annual Raw'!J90</f>
        <v>0</v>
      </c>
      <c r="J146" s="23">
        <f>'Annual Raw'!K87+'Annual Raw'!K88+'Annual Raw'!K89+'Annual Raw'!K90</f>
        <v>0</v>
      </c>
      <c r="K146" s="23">
        <f>'Annual Raw'!L87+'Annual Raw'!L88+'Annual Raw'!L89+'Annual Raw'!L90</f>
        <v>0</v>
      </c>
      <c r="L146" s="23">
        <f>'Annual Raw'!M87+'Annual Raw'!M88+'Annual Raw'!M89+'Annual Raw'!M90</f>
        <v>23.136900000000001</v>
      </c>
      <c r="M146" s="23">
        <f>'Annual Raw'!N87+'Annual Raw'!N88+'Annual Raw'!N89+'Annual Raw'!N90</f>
        <v>3.2178</v>
      </c>
      <c r="N146" s="23">
        <f>'Annual Raw'!O87+'Annual Raw'!O88+'Annual Raw'!O89+'Annual Raw'!O90</f>
        <v>5.5875000000000004</v>
      </c>
      <c r="O146" s="23">
        <f>'Annual Raw'!P87+'Annual Raw'!P88+'Annual Raw'!P89+'Annual Raw'!P90</f>
        <v>11.0052</v>
      </c>
      <c r="P146" s="23">
        <f>'Annual Raw'!Q87+'Annual Raw'!Q88+'Annual Raw'!Q89+'Annual Raw'!Q90</f>
        <v>8.8300000000000003E-2</v>
      </c>
      <c r="Q146" s="23">
        <f>'Annual Raw'!R87+'Annual Raw'!R88+'Annual Raw'!R89+'Annual Raw'!R90</f>
        <v>0.4</v>
      </c>
      <c r="R146" s="23">
        <f>'Annual Raw'!S87+'Annual Raw'!S88+'Annual Raw'!S89+'Annual Raw'!S90</f>
        <v>0</v>
      </c>
      <c r="S146" s="23">
        <f>'Annual Raw'!T87+'Annual Raw'!T88+'Annual Raw'!T89+'Annual Raw'!T90</f>
        <v>0</v>
      </c>
      <c r="T146" s="23">
        <f>'Annual Raw'!U87+'Annual Raw'!U88+'Annual Raw'!U89+'Annual Raw'!U90</f>
        <v>0</v>
      </c>
      <c r="U146" s="23">
        <f>'Annual Raw'!V87+'Annual Raw'!V88+'Annual Raw'!V89+'Annual Raw'!V90</f>
        <v>0</v>
      </c>
      <c r="V146" s="23">
        <f>'Annual Raw'!W87+'Annual Raw'!W88+'Annual Raw'!W89+'Annual Raw'!W90</f>
        <v>0</v>
      </c>
      <c r="W146" s="23">
        <f>'Annual Raw'!X87+'Annual Raw'!X88+'Annual Raw'!X89+'Annual Raw'!X90</f>
        <v>0</v>
      </c>
      <c r="X146" s="23">
        <f>'Annual Raw'!Y87+'Annual Raw'!Y88+'Annual Raw'!Y89+'Annual Raw'!Y90</f>
        <v>137</v>
      </c>
      <c r="Y146" s="23">
        <f>'Annual Raw'!Z87+'Annual Raw'!Z88+'Annual Raw'!Z89+'Annual Raw'!Z90</f>
        <v>318.15980000000002</v>
      </c>
      <c r="Z146" s="23">
        <f>'Annual Raw'!AA87+'Annual Raw'!AA88+'Annual Raw'!AA89+'Annual Raw'!AA90</f>
        <v>0</v>
      </c>
      <c r="AA146" s="23">
        <f>'Annual Raw'!AB87+'Annual Raw'!AB88+'Annual Raw'!AB89+'Annual Raw'!AB90</f>
        <v>0</v>
      </c>
      <c r="AB146" s="24">
        <f t="shared" si="1145"/>
        <v>0</v>
      </c>
      <c r="AC146" s="24">
        <f t="shared" si="1146"/>
        <v>0</v>
      </c>
      <c r="AD146" s="24">
        <f t="shared" si="1147"/>
        <v>0</v>
      </c>
      <c r="AE146" s="24">
        <f t="shared" si="1148"/>
        <v>0</v>
      </c>
      <c r="AJ146" s="23">
        <f>+'QTR Raw'!D90</f>
        <v>0</v>
      </c>
      <c r="AK146" s="23">
        <f t="shared" si="1149"/>
        <v>0</v>
      </c>
      <c r="AL146" s="23">
        <f>+'QTR Raw'!F90</f>
        <v>0</v>
      </c>
      <c r="AM146" s="23">
        <f t="shared" si="1149"/>
        <v>0</v>
      </c>
      <c r="AN146" s="23">
        <f>+'QTR Raw'!H90</f>
        <v>0</v>
      </c>
      <c r="AO146" s="23">
        <f t="shared" si="1149"/>
        <v>0</v>
      </c>
      <c r="AP146" s="23">
        <f>+'QTR Raw'!J90</f>
        <v>0</v>
      </c>
      <c r="AQ146" s="23">
        <f t="shared" si="1149"/>
        <v>0</v>
      </c>
      <c r="AR146" s="23">
        <f>+'QTR Raw'!L90</f>
        <v>0</v>
      </c>
      <c r="AS146" s="23">
        <f t="shared" si="1149"/>
        <v>0</v>
      </c>
      <c r="AT146" s="23">
        <f>+'QTR Raw'!N90</f>
        <v>0</v>
      </c>
      <c r="AU146" s="23">
        <f t="shared" si="1149"/>
        <v>0</v>
      </c>
      <c r="AV146" s="23">
        <f>+'QTR Raw'!P90</f>
        <v>0</v>
      </c>
      <c r="AW146" s="23">
        <f t="shared" si="1149"/>
        <v>0</v>
      </c>
      <c r="AX146" s="23">
        <f>+'QTR Raw'!R90</f>
        <v>0</v>
      </c>
      <c r="AY146" s="23">
        <f t="shared" si="1149"/>
        <v>0</v>
      </c>
      <c r="AZ146" s="23">
        <f>+'QTR Raw'!T90</f>
        <v>0</v>
      </c>
      <c r="BA146" s="23">
        <f t="shared" si="1149"/>
        <v>0</v>
      </c>
      <c r="BB146" s="23">
        <f>+'QTR Raw'!V90</f>
        <v>0</v>
      </c>
      <c r="BC146" s="23">
        <f t="shared" si="1149"/>
        <v>0</v>
      </c>
      <c r="BD146" s="23">
        <f>+'QTR Raw'!X90</f>
        <v>0</v>
      </c>
      <c r="BE146" s="23">
        <f t="shared" si="1149"/>
        <v>0</v>
      </c>
      <c r="BF146" s="23">
        <f>+'QTR Raw'!Z90</f>
        <v>0</v>
      </c>
      <c r="BG146" s="23">
        <f t="shared" si="1149"/>
        <v>0</v>
      </c>
      <c r="BH146" s="22">
        <f>+'QTR Raw'!AB90</f>
        <v>0</v>
      </c>
      <c r="BI146" s="23">
        <f t="shared" si="1149"/>
        <v>0</v>
      </c>
      <c r="BJ146" s="23">
        <f>+'QTR Raw'!AD90</f>
        <v>0</v>
      </c>
      <c r="BK146" s="23">
        <f t="shared" si="1149"/>
        <v>0</v>
      </c>
      <c r="BL146" s="23">
        <f>+'QTR Raw'!AF90</f>
        <v>0</v>
      </c>
      <c r="BM146" s="23">
        <f t="shared" si="1149"/>
        <v>0</v>
      </c>
      <c r="BN146" s="23">
        <f>+'QTR Raw'!AH90</f>
        <v>0</v>
      </c>
      <c r="BO146" s="23">
        <f t="shared" si="1149"/>
        <v>0</v>
      </c>
      <c r="BP146" s="23">
        <f>+'QTR Raw'!AJ90</f>
        <v>0</v>
      </c>
      <c r="BQ146" s="23">
        <f t="shared" si="1149"/>
        <v>0</v>
      </c>
      <c r="BR146" s="23">
        <f>+'QTR Raw'!AL90</f>
        <v>0</v>
      </c>
      <c r="BS146" s="23">
        <f t="shared" si="1149"/>
        <v>0</v>
      </c>
      <c r="BT146" s="23">
        <f>+'QTR Raw'!AN90</f>
        <v>0</v>
      </c>
      <c r="BU146" s="23">
        <f t="shared" si="1149"/>
        <v>0</v>
      </c>
      <c r="BV146" s="23">
        <f>+'QTR Raw'!AP90</f>
        <v>0</v>
      </c>
      <c r="BW146" s="23">
        <f t="shared" si="1149"/>
        <v>0</v>
      </c>
      <c r="BX146" s="23">
        <f>+'QTR Raw'!AR90</f>
        <v>0</v>
      </c>
      <c r="BY146" s="23">
        <f t="shared" si="1149"/>
        <v>0</v>
      </c>
      <c r="BZ146" s="23">
        <f>+'QTR Raw'!AT90</f>
        <v>0</v>
      </c>
      <c r="CA146" s="23">
        <f t="shared" si="1149"/>
        <v>0</v>
      </c>
      <c r="CB146" s="23">
        <f>+'QTR Raw'!AV90</f>
        <v>0</v>
      </c>
      <c r="CC146" s="23">
        <f t="shared" si="1149"/>
        <v>0</v>
      </c>
      <c r="CD146" s="23">
        <f>+'QTR Raw'!AX90</f>
        <v>0</v>
      </c>
      <c r="CE146" s="23">
        <f t="shared" si="1150"/>
        <v>0</v>
      </c>
      <c r="CF146" s="23">
        <f>+'QTR Raw'!AZ90</f>
        <v>0</v>
      </c>
      <c r="CG146" s="23">
        <f t="shared" si="1151"/>
        <v>0</v>
      </c>
      <c r="CH146" s="23">
        <f>+Z146</f>
        <v>0</v>
      </c>
      <c r="CI146" s="23">
        <f t="shared" si="1151"/>
        <v>0</v>
      </c>
      <c r="CJ146" s="23">
        <f>+'QTR Raw'!BD90</f>
        <v>0</v>
      </c>
      <c r="CK146" s="24">
        <f t="shared" si="1152"/>
        <v>0</v>
      </c>
      <c r="CL146" s="23">
        <f>+'QTR Raw'!BF90</f>
        <v>0</v>
      </c>
      <c r="CM146" s="24">
        <f t="shared" si="1153"/>
        <v>0</v>
      </c>
      <c r="CN146" s="24">
        <f t="shared" si="1154"/>
        <v>0</v>
      </c>
      <c r="CO146" s="24">
        <f t="shared" si="1155"/>
        <v>0</v>
      </c>
      <c r="CP146" s="24">
        <f t="shared" si="1156"/>
        <v>0</v>
      </c>
      <c r="CQ146" s="24">
        <f t="shared" si="1157"/>
        <v>0</v>
      </c>
      <c r="CR146" s="24">
        <f t="shared" si="1158"/>
        <v>0</v>
      </c>
      <c r="CS146" s="24">
        <f t="shared" si="1159"/>
        <v>0</v>
      </c>
      <c r="CT146" s="24">
        <f t="shared" si="1160"/>
        <v>0</v>
      </c>
      <c r="CU146" s="24">
        <f t="shared" si="1161"/>
        <v>0</v>
      </c>
      <c r="CV146" s="24">
        <f t="shared" si="1162"/>
        <v>0</v>
      </c>
      <c r="CW146" s="24">
        <f t="shared" si="1163"/>
        <v>0</v>
      </c>
      <c r="CX146" s="24">
        <f t="shared" si="1164"/>
        <v>0</v>
      </c>
      <c r="CY146" s="24">
        <f t="shared" si="1165"/>
        <v>0</v>
      </c>
      <c r="CZ146" s="24">
        <f t="shared" si="1166"/>
        <v>0</v>
      </c>
      <c r="DA146" s="24">
        <f t="shared" si="1167"/>
        <v>0</v>
      </c>
      <c r="DB146" s="24">
        <f t="shared" si="1168"/>
        <v>0</v>
      </c>
      <c r="DE146" s="123"/>
      <c r="DF146" s="23">
        <v>0</v>
      </c>
    </row>
    <row r="147" spans="1:110" s="23" customFormat="1" outlineLevel="1" x14ac:dyDescent="0.2">
      <c r="A147" s="23" t="s">
        <v>48</v>
      </c>
      <c r="B147" s="23">
        <f>'Annual Raw'!C56</f>
        <v>0</v>
      </c>
      <c r="C147" s="23">
        <f>'Annual Raw'!D56</f>
        <v>0</v>
      </c>
      <c r="D147" s="23">
        <f>'Annual Raw'!E56</f>
        <v>0</v>
      </c>
      <c r="E147" s="23">
        <f>'Annual Raw'!F56</f>
        <v>0</v>
      </c>
      <c r="F147" s="23">
        <f>'Annual Raw'!G56</f>
        <v>0</v>
      </c>
      <c r="G147" s="23">
        <f>'Annual Raw'!H56</f>
        <v>0</v>
      </c>
      <c r="H147" s="23">
        <f>'Annual Raw'!I56</f>
        <v>0</v>
      </c>
      <c r="I147" s="23">
        <f>'Annual Raw'!J56</f>
        <v>0</v>
      </c>
      <c r="J147" s="23">
        <f>'Annual Raw'!K56</f>
        <v>0</v>
      </c>
      <c r="K147" s="23">
        <f>'Annual Raw'!L56</f>
        <v>0</v>
      </c>
      <c r="L147" s="23">
        <f>'Annual Raw'!M56</f>
        <v>133.36369999999999</v>
      </c>
      <c r="M147" s="23">
        <f>'Annual Raw'!N56</f>
        <v>55.226500000000001</v>
      </c>
      <c r="N147" s="23">
        <f>'Annual Raw'!O56</f>
        <v>37.277999999999999</v>
      </c>
      <c r="O147" s="23">
        <f>'Annual Raw'!P56</f>
        <v>81.709599999999995</v>
      </c>
      <c r="P147" s="23">
        <f>'Annual Raw'!Q56</f>
        <v>126.87949999999999</v>
      </c>
      <c r="Q147" s="23">
        <f>'Annual Raw'!R56</f>
        <v>193.02369999999999</v>
      </c>
      <c r="R147" s="23">
        <f>'Annual Raw'!S56</f>
        <v>48.860300000000002</v>
      </c>
      <c r="S147" s="23">
        <f>'Annual Raw'!T56</f>
        <v>29.2928</v>
      </c>
      <c r="T147" s="23">
        <f>'Annual Raw'!U56</f>
        <v>25.797699999999999</v>
      </c>
      <c r="U147" s="23">
        <f>'Annual Raw'!V56</f>
        <v>29.493600000000001</v>
      </c>
      <c r="V147" s="23">
        <f>'Annual Raw'!W56</f>
        <v>32.644599999999997</v>
      </c>
      <c r="W147" s="23">
        <f>'Annual Raw'!X56</f>
        <v>26.315000000000001</v>
      </c>
      <c r="X147" s="23">
        <f>'Annual Raw'!Y56</f>
        <v>28.018000000000001</v>
      </c>
      <c r="Y147" s="23">
        <f>'Annual Raw'!Z56</f>
        <v>15.342499999999999</v>
      </c>
      <c r="Z147" s="23">
        <f>'Annual Raw'!AA56</f>
        <v>13.803800000000001</v>
      </c>
      <c r="AA147" s="23">
        <f>'Annual Raw'!AB56</f>
        <v>0</v>
      </c>
      <c r="AB147" s="24">
        <f t="shared" si="1145"/>
        <v>0</v>
      </c>
      <c r="AC147" s="24">
        <f t="shared" si="1146"/>
        <v>0</v>
      </c>
      <c r="AD147" s="24">
        <f t="shared" si="1147"/>
        <v>0</v>
      </c>
      <c r="AE147" s="24">
        <f t="shared" si="1148"/>
        <v>0</v>
      </c>
      <c r="AJ147" s="23">
        <f>+'QTR Raw'!D88</f>
        <v>37.823999999999998</v>
      </c>
      <c r="AK147" s="23">
        <f t="shared" si="1149"/>
        <v>37.823999999999998</v>
      </c>
      <c r="AL147" s="23">
        <f>+'QTR Raw'!F88</f>
        <v>37.277999999999999</v>
      </c>
      <c r="AM147" s="23">
        <f t="shared" si="1149"/>
        <v>37.277999999999999</v>
      </c>
      <c r="AN147" s="23">
        <f>+'QTR Raw'!H88</f>
        <v>75.61</v>
      </c>
      <c r="AO147" s="23">
        <f t="shared" si="1149"/>
        <v>75.61</v>
      </c>
      <c r="AP147" s="23">
        <f>+'QTR Raw'!J88</f>
        <v>81.709999999999994</v>
      </c>
      <c r="AQ147" s="23">
        <f t="shared" si="1149"/>
        <v>81.709999999999994</v>
      </c>
      <c r="AR147" s="23">
        <f>+'QTR Raw'!L88</f>
        <v>82.117999999999995</v>
      </c>
      <c r="AS147" s="23">
        <f t="shared" si="1149"/>
        <v>82.117999999999995</v>
      </c>
      <c r="AT147" s="23">
        <f>+'QTR Raw'!N88</f>
        <v>126.88</v>
      </c>
      <c r="AU147" s="23">
        <f t="shared" si="1149"/>
        <v>126.88</v>
      </c>
      <c r="AV147" s="23">
        <f>+'QTR Raw'!P88</f>
        <v>141.72999999999999</v>
      </c>
      <c r="AW147" s="23">
        <f t="shared" si="1149"/>
        <v>141.72999999999999</v>
      </c>
      <c r="AX147" s="23">
        <f>+'QTR Raw'!R88</f>
        <v>193.024</v>
      </c>
      <c r="AY147" s="23">
        <f t="shared" si="1149"/>
        <v>193.024</v>
      </c>
      <c r="AZ147" s="23">
        <f>+'QTR Raw'!T88</f>
        <v>118.64100000000001</v>
      </c>
      <c r="BA147" s="23">
        <f t="shared" si="1149"/>
        <v>118.64100000000001</v>
      </c>
      <c r="BB147" s="23">
        <f>+'QTR Raw'!V88</f>
        <v>48.86</v>
      </c>
      <c r="BC147" s="23">
        <f t="shared" si="1149"/>
        <v>48.86</v>
      </c>
      <c r="BD147" s="23">
        <f>+'QTR Raw'!X88</f>
        <v>51.088999999999999</v>
      </c>
      <c r="BE147" s="23">
        <f t="shared" si="1149"/>
        <v>51.088999999999999</v>
      </c>
      <c r="BF147" s="23">
        <f>+'QTR Raw'!Z88</f>
        <v>29.292999999999999</v>
      </c>
      <c r="BG147" s="23">
        <f t="shared" si="1149"/>
        <v>29.292999999999999</v>
      </c>
      <c r="BH147" s="23">
        <f>+'QTR Raw'!AB88</f>
        <v>42.887</v>
      </c>
      <c r="BI147" s="23">
        <f t="shared" si="1149"/>
        <v>42.887</v>
      </c>
      <c r="BJ147" s="23">
        <f>+'QTR Raw'!AD88</f>
        <v>25.797999999999998</v>
      </c>
      <c r="BK147" s="23">
        <f t="shared" si="1149"/>
        <v>25.797999999999998</v>
      </c>
      <c r="BL147" s="23">
        <f>+'QTR Raw'!AF88</f>
        <v>47.113999999999997</v>
      </c>
      <c r="BM147" s="23">
        <f t="shared" si="1149"/>
        <v>47.113999999999997</v>
      </c>
      <c r="BN147" s="23">
        <f>+'QTR Raw'!AH88</f>
        <v>29.494</v>
      </c>
      <c r="BO147" s="23">
        <f t="shared" si="1149"/>
        <v>29.494</v>
      </c>
      <c r="BP147" s="23">
        <f>+'QTR Raw'!AJ88</f>
        <v>30.57</v>
      </c>
      <c r="BQ147" s="23">
        <f t="shared" si="1149"/>
        <v>30.57</v>
      </c>
      <c r="BR147" s="23">
        <f>+'QTR Raw'!AL88</f>
        <v>32.645000000000003</v>
      </c>
      <c r="BS147" s="23">
        <f t="shared" si="1149"/>
        <v>32.645000000000003</v>
      </c>
      <c r="BT147" s="23">
        <f>+'QTR Raw'!AN88</f>
        <v>26.440999999999999</v>
      </c>
      <c r="BU147" s="23">
        <f t="shared" si="1149"/>
        <v>26.440999999999999</v>
      </c>
      <c r="BV147" s="23">
        <f>+'QTR Raw'!AP88</f>
        <v>26.32</v>
      </c>
      <c r="BW147" s="23">
        <f t="shared" si="1149"/>
        <v>26.32</v>
      </c>
      <c r="BX147" s="23">
        <f>+'QTR Raw'!AR88</f>
        <v>117.98</v>
      </c>
      <c r="BY147" s="23">
        <f t="shared" si="1149"/>
        <v>117.98</v>
      </c>
      <c r="BZ147" s="23">
        <f>+'QTR Raw'!AT88</f>
        <v>165.02</v>
      </c>
      <c r="CA147" s="23">
        <f t="shared" si="1149"/>
        <v>165.02</v>
      </c>
      <c r="CB147" s="23">
        <f>+'QTR Raw'!AV88</f>
        <v>148.02000000000001</v>
      </c>
      <c r="CC147" s="23">
        <f t="shared" si="1149"/>
        <v>148.02000000000001</v>
      </c>
      <c r="CD147" s="23">
        <f>+'QTR Raw'!AX88</f>
        <v>333.5</v>
      </c>
      <c r="CE147" s="23">
        <f t="shared" si="1150"/>
        <v>333.5</v>
      </c>
      <c r="CF147" s="23">
        <f>+'QTR Raw'!AZ88</f>
        <v>81.64</v>
      </c>
      <c r="CG147" s="23">
        <f t="shared" si="1151"/>
        <v>81.64</v>
      </c>
      <c r="CH147" s="23">
        <f t="shared" si="1127"/>
        <v>13.803800000000001</v>
      </c>
      <c r="CI147" s="23">
        <f t="shared" si="1151"/>
        <v>13.803800000000001</v>
      </c>
      <c r="CJ147" s="23">
        <f>+'QTR Raw'!BD88</f>
        <v>7.32</v>
      </c>
      <c r="CK147" s="24">
        <f t="shared" si="1152"/>
        <v>7.32</v>
      </c>
      <c r="CL147" s="23">
        <f>+'QTR Raw'!BF88</f>
        <v>0</v>
      </c>
      <c r="CM147" s="24">
        <f t="shared" si="1153"/>
        <v>0</v>
      </c>
      <c r="CN147" s="24">
        <f t="shared" si="1154"/>
        <v>0</v>
      </c>
      <c r="CO147" s="24">
        <f t="shared" si="1155"/>
        <v>0</v>
      </c>
      <c r="CP147" s="24">
        <f t="shared" si="1156"/>
        <v>0</v>
      </c>
      <c r="CQ147" s="24">
        <f t="shared" si="1157"/>
        <v>0</v>
      </c>
      <c r="CR147" s="24">
        <f t="shared" si="1158"/>
        <v>0</v>
      </c>
      <c r="CS147" s="24">
        <f t="shared" si="1159"/>
        <v>0</v>
      </c>
      <c r="CT147" s="24">
        <f t="shared" si="1160"/>
        <v>0</v>
      </c>
      <c r="CU147" s="24">
        <f t="shared" si="1161"/>
        <v>0</v>
      </c>
      <c r="CV147" s="24">
        <f t="shared" si="1162"/>
        <v>0</v>
      </c>
      <c r="CW147" s="24">
        <f t="shared" si="1163"/>
        <v>0</v>
      </c>
      <c r="CX147" s="24">
        <f t="shared" si="1164"/>
        <v>0</v>
      </c>
      <c r="CY147" s="24">
        <f t="shared" si="1165"/>
        <v>0</v>
      </c>
      <c r="CZ147" s="24">
        <f t="shared" si="1166"/>
        <v>0</v>
      </c>
      <c r="DA147" s="24">
        <f t="shared" si="1167"/>
        <v>0</v>
      </c>
      <c r="DB147" s="24">
        <f t="shared" si="1168"/>
        <v>0</v>
      </c>
      <c r="DE147" s="123"/>
      <c r="DF147" s="23">
        <v>0</v>
      </c>
    </row>
    <row r="148" spans="1:110" s="22" customFormat="1" x14ac:dyDescent="0.2">
      <c r="A148" s="22" t="s">
        <v>49</v>
      </c>
      <c r="B148" s="22">
        <f>SUM(B144:B147)</f>
        <v>12.054699999999999</v>
      </c>
      <c r="C148" s="22">
        <f t="shared" ref="C148:V148" si="1169">SUM(C144:C147)</f>
        <v>17.5428</v>
      </c>
      <c r="D148" s="22">
        <f t="shared" si="1169"/>
        <v>16.348800000000001</v>
      </c>
      <c r="E148" s="22">
        <f t="shared" si="1169"/>
        <v>42.855699999999999</v>
      </c>
      <c r="F148" s="22">
        <f t="shared" si="1169"/>
        <v>65.043900000000008</v>
      </c>
      <c r="G148" s="22">
        <f t="shared" si="1169"/>
        <v>95.625699999999995</v>
      </c>
      <c r="H148" s="22">
        <f t="shared" si="1169"/>
        <v>174.3673</v>
      </c>
      <c r="I148" s="22">
        <f t="shared" si="1169"/>
        <v>196.35380000000001</v>
      </c>
      <c r="J148" s="22">
        <f t="shared" si="1169"/>
        <v>178.76650000000001</v>
      </c>
      <c r="K148" s="22">
        <f t="shared" si="1169"/>
        <v>136.77960000000002</v>
      </c>
      <c r="L148" s="22">
        <f t="shared" si="1169"/>
        <v>169.02609999999999</v>
      </c>
      <c r="M148" s="22">
        <f t="shared" si="1169"/>
        <v>70.9893</v>
      </c>
      <c r="N148" s="22">
        <f t="shared" si="1169"/>
        <v>50.1081</v>
      </c>
      <c r="O148" s="22">
        <f t="shared" si="1169"/>
        <v>93.203199999999995</v>
      </c>
      <c r="P148" s="22">
        <f t="shared" si="1169"/>
        <v>127.36779999999999</v>
      </c>
      <c r="Q148" s="22">
        <f t="shared" si="1169"/>
        <v>193.4237</v>
      </c>
      <c r="R148" s="22">
        <f t="shared" si="1169"/>
        <v>48.860300000000002</v>
      </c>
      <c r="S148" s="22">
        <f t="shared" si="1169"/>
        <v>29.2928</v>
      </c>
      <c r="T148" s="22">
        <f t="shared" si="1169"/>
        <v>25.797699999999999</v>
      </c>
      <c r="U148" s="22">
        <f t="shared" si="1169"/>
        <v>29.493600000000001</v>
      </c>
      <c r="V148" s="22">
        <f t="shared" si="1169"/>
        <v>32.644599999999997</v>
      </c>
      <c r="W148" s="22">
        <f t="shared" ref="W148" si="1170">SUM(W144:W147)</f>
        <v>26.315000000000001</v>
      </c>
      <c r="X148" s="22">
        <f t="shared" ref="X148:Y148" si="1171">SUM(X144:X147)</f>
        <v>548.23829999999998</v>
      </c>
      <c r="Y148" s="22">
        <f t="shared" si="1171"/>
        <v>357.14099999999996</v>
      </c>
      <c r="Z148" s="22">
        <f t="shared" ref="Z148:AA148" si="1172">SUM(Z144:Z147)</f>
        <v>13.803800000000001</v>
      </c>
      <c r="AA148" s="22">
        <f t="shared" si="1172"/>
        <v>0</v>
      </c>
      <c r="AB148" s="21">
        <f t="shared" ref="AB148:AD148" si="1173">SUM(AB144:AB147)</f>
        <v>0</v>
      </c>
      <c r="AC148" s="21">
        <f t="shared" si="1173"/>
        <v>0</v>
      </c>
      <c r="AD148" s="21">
        <f t="shared" si="1173"/>
        <v>0</v>
      </c>
      <c r="AE148" s="21">
        <f t="shared" ref="AE148" si="1174">SUM(AE144:AE147)</f>
        <v>0</v>
      </c>
      <c r="AJ148" s="22">
        <f t="shared" ref="AJ148" si="1175">SUM(AJ144:AJ147)</f>
        <v>46.209999999999994</v>
      </c>
      <c r="AK148" s="22">
        <f t="shared" ref="AK148" si="1176">SUM(AK144:AK147)</f>
        <v>46.209999999999994</v>
      </c>
      <c r="AL148" s="22">
        <f t="shared" ref="AL148:AM148" si="1177">SUM(AL144:AL147)</f>
        <v>44.521000000000001</v>
      </c>
      <c r="AM148" s="22">
        <f t="shared" si="1177"/>
        <v>44.521000000000001</v>
      </c>
      <c r="AN148" s="22">
        <f t="shared" ref="AN148:AO148" si="1178">SUM(AN144:AN147)</f>
        <v>82.296999999999997</v>
      </c>
      <c r="AO148" s="22">
        <f t="shared" si="1178"/>
        <v>82.296999999999997</v>
      </c>
      <c r="AP148" s="22">
        <f t="shared" ref="AP148:CE148" si="1179">SUM(AP144:AP147)</f>
        <v>82.197999999999993</v>
      </c>
      <c r="AQ148" s="22">
        <f t="shared" si="1179"/>
        <v>82.197999999999993</v>
      </c>
      <c r="AR148" s="22">
        <f t="shared" si="1179"/>
        <v>82.542999999999992</v>
      </c>
      <c r="AS148" s="22">
        <f t="shared" si="1179"/>
        <v>82.542999999999992</v>
      </c>
      <c r="AT148" s="22">
        <f t="shared" si="1179"/>
        <v>127.28</v>
      </c>
      <c r="AU148" s="22">
        <f t="shared" si="1179"/>
        <v>127.28</v>
      </c>
      <c r="AV148" s="22">
        <f t="shared" si="1179"/>
        <v>141.72999999999999</v>
      </c>
      <c r="AW148" s="22">
        <f t="shared" si="1179"/>
        <v>141.72999999999999</v>
      </c>
      <c r="AX148" s="22">
        <f t="shared" si="1179"/>
        <v>193.024</v>
      </c>
      <c r="AY148" s="22">
        <f t="shared" si="1179"/>
        <v>193.024</v>
      </c>
      <c r="AZ148" s="22">
        <f t="shared" si="1179"/>
        <v>118.64100000000001</v>
      </c>
      <c r="BA148" s="22">
        <f t="shared" si="1179"/>
        <v>118.64100000000001</v>
      </c>
      <c r="BB148" s="22">
        <f t="shared" si="1179"/>
        <v>48.86</v>
      </c>
      <c r="BC148" s="22">
        <f t="shared" si="1179"/>
        <v>48.86</v>
      </c>
      <c r="BD148" s="22">
        <f t="shared" si="1179"/>
        <v>51.088999999999999</v>
      </c>
      <c r="BE148" s="22">
        <f t="shared" si="1179"/>
        <v>51.088999999999999</v>
      </c>
      <c r="BF148" s="22">
        <f t="shared" si="1179"/>
        <v>29.292999999999999</v>
      </c>
      <c r="BG148" s="22">
        <f t="shared" si="1179"/>
        <v>29.292999999999999</v>
      </c>
      <c r="BH148" s="22">
        <f t="shared" ref="BH148" si="1180">SUM(BH144:BH147)</f>
        <v>42.887</v>
      </c>
      <c r="BI148" s="22">
        <f t="shared" si="1179"/>
        <v>42.887</v>
      </c>
      <c r="BJ148" s="22">
        <f t="shared" si="1179"/>
        <v>25.797999999999998</v>
      </c>
      <c r="BK148" s="22">
        <f t="shared" si="1179"/>
        <v>25.797999999999998</v>
      </c>
      <c r="BL148" s="22">
        <f t="shared" si="1179"/>
        <v>47.113999999999997</v>
      </c>
      <c r="BM148" s="22">
        <f t="shared" si="1179"/>
        <v>47.113999999999997</v>
      </c>
      <c r="BN148" s="22">
        <f t="shared" si="1179"/>
        <v>29.494</v>
      </c>
      <c r="BO148" s="22">
        <f t="shared" si="1179"/>
        <v>29.494</v>
      </c>
      <c r="BP148" s="22">
        <f t="shared" si="1179"/>
        <v>30.57</v>
      </c>
      <c r="BQ148" s="22">
        <f t="shared" si="1179"/>
        <v>30.57</v>
      </c>
      <c r="BR148" s="22">
        <f t="shared" si="1179"/>
        <v>32.645000000000003</v>
      </c>
      <c r="BS148" s="22">
        <f t="shared" si="1179"/>
        <v>32.645000000000003</v>
      </c>
      <c r="BT148" s="22">
        <f t="shared" si="1179"/>
        <v>26.440999999999999</v>
      </c>
      <c r="BU148" s="22">
        <f t="shared" si="1179"/>
        <v>26.440999999999999</v>
      </c>
      <c r="BV148" s="22">
        <f t="shared" si="1179"/>
        <v>26.32</v>
      </c>
      <c r="BW148" s="22">
        <f t="shared" si="1179"/>
        <v>26.32</v>
      </c>
      <c r="BX148" s="22">
        <f t="shared" si="1179"/>
        <v>350.06</v>
      </c>
      <c r="BY148" s="22">
        <f t="shared" si="1179"/>
        <v>350.06</v>
      </c>
      <c r="BZ148" s="22">
        <f t="shared" si="1179"/>
        <v>548.24</v>
      </c>
      <c r="CA148" s="22">
        <f t="shared" si="1179"/>
        <v>548.24</v>
      </c>
      <c r="CB148" s="22">
        <f t="shared" si="1179"/>
        <v>427.1</v>
      </c>
      <c r="CC148" s="22">
        <f t="shared" si="1179"/>
        <v>427.1</v>
      </c>
      <c r="CD148" s="22">
        <f t="shared" si="1179"/>
        <v>357.14</v>
      </c>
      <c r="CE148" s="22">
        <f t="shared" si="1179"/>
        <v>357.14</v>
      </c>
      <c r="CF148" s="22">
        <f t="shared" ref="CF148:CG148" si="1181">SUM(CF144:CF147)</f>
        <v>81.64</v>
      </c>
      <c r="CG148" s="22">
        <f t="shared" si="1181"/>
        <v>81.64</v>
      </c>
      <c r="CH148" s="22">
        <f t="shared" ref="CH148:CI148" si="1182">SUM(CH144:CH147)</f>
        <v>13.803800000000001</v>
      </c>
      <c r="CI148" s="22">
        <f t="shared" si="1182"/>
        <v>13.803800000000001</v>
      </c>
      <c r="CJ148" s="22">
        <f t="shared" ref="CJ148:DB148" si="1183">SUM(CJ144:CJ147)</f>
        <v>7.32</v>
      </c>
      <c r="CK148" s="21">
        <f t="shared" si="1183"/>
        <v>7.32</v>
      </c>
      <c r="CL148" s="22">
        <f t="shared" ref="CL148" si="1184">SUM(CL144:CL147)</f>
        <v>0</v>
      </c>
      <c r="CM148" s="21">
        <f t="shared" si="1183"/>
        <v>0</v>
      </c>
      <c r="CN148" s="21">
        <f t="shared" si="1183"/>
        <v>0</v>
      </c>
      <c r="CO148" s="21">
        <f t="shared" si="1183"/>
        <v>0</v>
      </c>
      <c r="CP148" s="21">
        <f t="shared" si="1183"/>
        <v>0</v>
      </c>
      <c r="CQ148" s="21">
        <f t="shared" si="1183"/>
        <v>0</v>
      </c>
      <c r="CR148" s="21">
        <f t="shared" si="1183"/>
        <v>0</v>
      </c>
      <c r="CS148" s="21">
        <f t="shared" si="1183"/>
        <v>0</v>
      </c>
      <c r="CT148" s="21">
        <f t="shared" si="1183"/>
        <v>0</v>
      </c>
      <c r="CU148" s="21">
        <f t="shared" si="1183"/>
        <v>0</v>
      </c>
      <c r="CV148" s="21">
        <f t="shared" si="1183"/>
        <v>0</v>
      </c>
      <c r="CW148" s="21">
        <f t="shared" si="1183"/>
        <v>0</v>
      </c>
      <c r="CX148" s="21">
        <f t="shared" si="1183"/>
        <v>0</v>
      </c>
      <c r="CY148" s="21">
        <f t="shared" si="1183"/>
        <v>0</v>
      </c>
      <c r="CZ148" s="21">
        <f t="shared" si="1183"/>
        <v>0</v>
      </c>
      <c r="DA148" s="21">
        <f t="shared" si="1183"/>
        <v>0</v>
      </c>
      <c r="DB148" s="21">
        <f t="shared" si="1183"/>
        <v>0</v>
      </c>
      <c r="DE148" s="126"/>
      <c r="DF148" s="22">
        <v>0</v>
      </c>
    </row>
    <row r="149" spans="1:110" s="26" customFormat="1" x14ac:dyDescent="0.2">
      <c r="A149" s="26" t="s">
        <v>437</v>
      </c>
      <c r="B149" s="26">
        <f>B148+B140+B142</f>
        <v>171.96439999999998</v>
      </c>
      <c r="C149" s="26">
        <f t="shared" ref="C149:V149" si="1185">C148+C140+C142</f>
        <v>207.1645</v>
      </c>
      <c r="D149" s="26">
        <f>D148+D140+D142</f>
        <v>241.55370000000002</v>
      </c>
      <c r="E149" s="26">
        <f t="shared" si="1185"/>
        <v>290.6508</v>
      </c>
      <c r="F149" s="26">
        <f t="shared" si="1185"/>
        <v>349.21070000000003</v>
      </c>
      <c r="G149" s="26">
        <f t="shared" si="1185"/>
        <v>426.0025</v>
      </c>
      <c r="H149" s="26">
        <f t="shared" si="1185"/>
        <v>592.82929999999999</v>
      </c>
      <c r="I149" s="26">
        <f t="shared" si="1185"/>
        <v>649.37839999999994</v>
      </c>
      <c r="J149" s="26">
        <f t="shared" si="1185"/>
        <v>647.6579999999999</v>
      </c>
      <c r="K149" s="26">
        <f t="shared" si="1185"/>
        <v>704.89709999999991</v>
      </c>
      <c r="L149" s="26">
        <f t="shared" si="1185"/>
        <v>860.56860000000006</v>
      </c>
      <c r="M149" s="26">
        <f t="shared" si="1185"/>
        <v>1040.9422</v>
      </c>
      <c r="N149" s="26">
        <f t="shared" si="1185"/>
        <v>1070.3793000000001</v>
      </c>
      <c r="O149" s="26">
        <f t="shared" si="1185"/>
        <v>1136.0155999999999</v>
      </c>
      <c r="P149" s="26">
        <f t="shared" si="1185"/>
        <v>1122.242</v>
      </c>
      <c r="Q149" s="26">
        <f t="shared" si="1185"/>
        <v>1378.9269999999999</v>
      </c>
      <c r="R149" s="26">
        <f t="shared" si="1185"/>
        <v>1414.7097999999999</v>
      </c>
      <c r="S149" s="26">
        <f t="shared" si="1185"/>
        <v>1473.6225999999999</v>
      </c>
      <c r="T149" s="26">
        <f t="shared" si="1185"/>
        <v>1508.7234000000001</v>
      </c>
      <c r="U149" s="26">
        <f t="shared" si="1185"/>
        <v>1467.4838999999999</v>
      </c>
      <c r="V149" s="26">
        <f t="shared" si="1185"/>
        <v>1846.0744999999999</v>
      </c>
      <c r="W149" s="26">
        <f t="shared" ref="W149" si="1186">W148+W140+W142</f>
        <v>2164.9279000000001</v>
      </c>
      <c r="X149" s="26">
        <f t="shared" ref="X149:Y149" si="1187">X148+X140+X142</f>
        <v>3028.5905000000002</v>
      </c>
      <c r="Y149" s="26">
        <f t="shared" si="1187"/>
        <v>3280.4703000000004</v>
      </c>
      <c r="Z149" s="26">
        <f t="shared" ref="Z149:AA149" si="1188">Z148+Z140+Z142</f>
        <v>3447.1188999999999</v>
      </c>
      <c r="AA149" s="26">
        <f t="shared" si="1188"/>
        <v>4159.2197999999999</v>
      </c>
      <c r="AB149" s="27">
        <f t="shared" ref="AB149:AD149" si="1189">AB148+AB140+AB142</f>
        <v>4977.5636779734505</v>
      </c>
      <c r="AC149" s="27">
        <f t="shared" si="1189"/>
        <v>5934.8935845660899</v>
      </c>
      <c r="AD149" s="27">
        <f t="shared" si="1189"/>
        <v>7066.1303004253605</v>
      </c>
      <c r="AE149" s="27">
        <f t="shared" ref="AE149" si="1190">AE148+AE140+AE142</f>
        <v>8395.2239003095765</v>
      </c>
      <c r="AJ149" s="26">
        <f t="shared" ref="AJ149" si="1191">AJ148+AJ140+AJ142</f>
        <v>1043.325</v>
      </c>
      <c r="AK149" s="26">
        <f t="shared" ref="AK149" si="1192">AK148+AK140+AK142</f>
        <v>1065.1990000000001</v>
      </c>
      <c r="AL149" s="26">
        <f t="shared" ref="AL149" si="1193">AL148+AL140+AL142</f>
        <v>1064.7930000000001</v>
      </c>
      <c r="AM149" s="26">
        <f t="shared" ref="AM149:AO149" si="1194">AM148+AM140+AM142</f>
        <v>1085.1179999999999</v>
      </c>
      <c r="AN149" s="26">
        <f t="shared" si="1194"/>
        <v>1144.7380000000001</v>
      </c>
      <c r="AO149" s="26">
        <f t="shared" si="1194"/>
        <v>1138.2630000000001</v>
      </c>
      <c r="AP149" s="26">
        <f t="shared" ref="AP149:CE149" si="1195">AP148+AP140+AP142</f>
        <v>1125.01</v>
      </c>
      <c r="AQ149" s="26">
        <f t="shared" si="1195"/>
        <v>1156.8019999999999</v>
      </c>
      <c r="AR149" s="26">
        <f t="shared" si="1195"/>
        <v>1190.8829999999998</v>
      </c>
      <c r="AS149" s="26">
        <f t="shared" si="1195"/>
        <v>1215.0499999999997</v>
      </c>
      <c r="AT149" s="26">
        <f t="shared" si="1195"/>
        <v>1122.155</v>
      </c>
      <c r="AU149" s="26">
        <f t="shared" si="1195"/>
        <v>1161.7930000000001</v>
      </c>
      <c r="AV149" s="26">
        <f t="shared" si="1195"/>
        <v>1241.402</v>
      </c>
      <c r="AW149" s="26">
        <f t="shared" si="1195"/>
        <v>1288.2830000000001</v>
      </c>
      <c r="AX149" s="26">
        <f t="shared" si="1195"/>
        <v>1378.527</v>
      </c>
      <c r="AY149" s="26">
        <f t="shared" si="1195"/>
        <v>1428.3820000000001</v>
      </c>
      <c r="AZ149" s="26">
        <f t="shared" si="1195"/>
        <v>1426.998</v>
      </c>
      <c r="BA149" s="26">
        <f t="shared" si="1195"/>
        <v>1462.76</v>
      </c>
      <c r="BB149" s="26">
        <f t="shared" si="1195"/>
        <v>1414.6909999999998</v>
      </c>
      <c r="BC149" s="26">
        <f t="shared" si="1195"/>
        <v>1435.0589999999997</v>
      </c>
      <c r="BD149" s="26">
        <f t="shared" si="1195"/>
        <v>1450.1769999999999</v>
      </c>
      <c r="BE149" s="26">
        <f t="shared" si="1195"/>
        <v>1484.027</v>
      </c>
      <c r="BF149" s="26">
        <f t="shared" si="1195"/>
        <v>1473.6229999999998</v>
      </c>
      <c r="BG149" s="26">
        <f t="shared" si="1195"/>
        <v>1519.2469999999998</v>
      </c>
      <c r="BH149" s="26">
        <f t="shared" ref="BH149" si="1196">BH148+BH140+BH142</f>
        <v>1568.3999999999999</v>
      </c>
      <c r="BI149" s="26">
        <f t="shared" si="1195"/>
        <v>1618.2549999999999</v>
      </c>
      <c r="BJ149" s="26">
        <f t="shared" si="1195"/>
        <v>1508.7230000000002</v>
      </c>
      <c r="BK149" s="26">
        <f t="shared" si="1195"/>
        <v>1570.7300000000002</v>
      </c>
      <c r="BL149" s="26">
        <f t="shared" si="1195"/>
        <v>1633.7430000000002</v>
      </c>
      <c r="BM149" s="26">
        <f t="shared" si="1195"/>
        <v>1700.0190000000002</v>
      </c>
      <c r="BN149" s="26">
        <f t="shared" si="1195"/>
        <v>1467.4839999999997</v>
      </c>
      <c r="BO149" s="26">
        <f t="shared" si="1195"/>
        <v>1586.9069999999997</v>
      </c>
      <c r="BP149" s="26">
        <f t="shared" si="1195"/>
        <v>1659.4179999999997</v>
      </c>
      <c r="BQ149" s="26">
        <f t="shared" si="1195"/>
        <v>1813.5249999999996</v>
      </c>
      <c r="BR149" s="26">
        <f t="shared" si="1195"/>
        <v>1846.0739999999998</v>
      </c>
      <c r="BS149" s="26">
        <f t="shared" si="1195"/>
        <v>1964.944</v>
      </c>
      <c r="BT149" s="26">
        <f t="shared" si="1195"/>
        <v>2009.8819999999998</v>
      </c>
      <c r="BU149" s="26">
        <f t="shared" si="1195"/>
        <v>2093.7619999999997</v>
      </c>
      <c r="BV149" s="26">
        <f t="shared" si="1195"/>
        <v>2164.9299999999998</v>
      </c>
      <c r="BW149" s="26">
        <f t="shared" si="1195"/>
        <v>2269.96</v>
      </c>
      <c r="BX149" s="26">
        <f t="shared" si="1195"/>
        <v>2665.37</v>
      </c>
      <c r="BY149" s="26">
        <f t="shared" si="1195"/>
        <v>2771.47</v>
      </c>
      <c r="BZ149" s="26">
        <f t="shared" si="1195"/>
        <v>3028.59</v>
      </c>
      <c r="CA149" s="26">
        <f t="shared" si="1195"/>
        <v>3170.91</v>
      </c>
      <c r="CB149" s="26">
        <f t="shared" si="1195"/>
        <v>3143.81</v>
      </c>
      <c r="CC149" s="26">
        <f t="shared" si="1195"/>
        <v>3277.38</v>
      </c>
      <c r="CD149" s="26">
        <f t="shared" si="1195"/>
        <v>3280.47</v>
      </c>
      <c r="CE149" s="26">
        <f t="shared" si="1195"/>
        <v>3457.2999999999997</v>
      </c>
      <c r="CF149" s="26">
        <f t="shared" ref="CF149:CG149" si="1197">CF148+CF140+CF142</f>
        <v>3293.87</v>
      </c>
      <c r="CG149" s="26">
        <f t="shared" si="1197"/>
        <v>3456.3599999999997</v>
      </c>
      <c r="CH149" s="26">
        <f t="shared" ref="CH149:CI149" si="1198">CH148+CH140+CH142</f>
        <v>3447.1188999999999</v>
      </c>
      <c r="CI149" s="26">
        <f t="shared" si="1198"/>
        <v>3649.4989</v>
      </c>
      <c r="CJ149" s="26">
        <f t="shared" ref="CJ149:DB149" si="1199">CJ148+CJ140+CJ142</f>
        <v>3813.06</v>
      </c>
      <c r="CK149" s="27">
        <f t="shared" si="1199"/>
        <v>4010.95</v>
      </c>
      <c r="CL149" s="26">
        <f t="shared" ref="CL149" si="1200">CL148+CL140+CL142</f>
        <v>4159.22</v>
      </c>
      <c r="CM149" s="27">
        <f t="shared" si="1199"/>
        <v>4373.1534622296376</v>
      </c>
      <c r="CN149" s="27">
        <f t="shared" si="1199"/>
        <v>4581.7145422779049</v>
      </c>
      <c r="CO149" s="27">
        <f t="shared" si="1199"/>
        <v>4784.3797386899842</v>
      </c>
      <c r="CP149" s="27">
        <f t="shared" si="1199"/>
        <v>4977.5636779734505</v>
      </c>
      <c r="CQ149" s="27">
        <f t="shared" si="1199"/>
        <v>5220.8236435025692</v>
      </c>
      <c r="CR149" s="27">
        <f t="shared" si="1199"/>
        <v>5461.991746740513</v>
      </c>
      <c r="CS149" s="27">
        <f t="shared" si="1199"/>
        <v>5701.3466265627949</v>
      </c>
      <c r="CT149" s="27">
        <f t="shared" si="1199"/>
        <v>5934.8935845660899</v>
      </c>
      <c r="CU149" s="27">
        <f t="shared" si="1199"/>
        <v>6220.1850658085059</v>
      </c>
      <c r="CV149" s="27">
        <f t="shared" si="1199"/>
        <v>6504.6791100460878</v>
      </c>
      <c r="CW149" s="27">
        <f t="shared" si="1199"/>
        <v>6788.4924060018839</v>
      </c>
      <c r="CX149" s="27">
        <f t="shared" si="1199"/>
        <v>7066.1303004253605</v>
      </c>
      <c r="CY149" s="27">
        <f t="shared" si="1199"/>
        <v>7400.6177057747736</v>
      </c>
      <c r="CZ149" s="27">
        <f t="shared" si="1199"/>
        <v>7734.9318542200808</v>
      </c>
      <c r="DA149" s="27">
        <f t="shared" si="1199"/>
        <v>8068.6496539841319</v>
      </c>
      <c r="DB149" s="27">
        <f t="shared" si="1199"/>
        <v>8395.2239003095765</v>
      </c>
      <c r="DE149" s="121"/>
      <c r="DF149" s="26">
        <v>4159.2197999999999</v>
      </c>
    </row>
    <row r="150" spans="1:110" s="23" customFormat="1" x14ac:dyDescent="0.2">
      <c r="AB150" s="24"/>
      <c r="AC150" s="24"/>
      <c r="AD150" s="24"/>
      <c r="AE150" s="24"/>
      <c r="CK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</row>
    <row r="151" spans="1:110" s="23" customFormat="1" outlineLevel="1" x14ac:dyDescent="0.2">
      <c r="A151" s="23" t="s">
        <v>50</v>
      </c>
      <c r="B151" s="23">
        <f>'Annual Raw'!C62</f>
        <v>91.495000000000005</v>
      </c>
      <c r="C151" s="23">
        <f>'Annual Raw'!D62</f>
        <v>118.87139999999999</v>
      </c>
      <c r="D151" s="23">
        <f>'Annual Raw'!E62</f>
        <v>137.6207</v>
      </c>
      <c r="E151" s="23">
        <f>'Annual Raw'!F62-E155</f>
        <v>184.84819999999999</v>
      </c>
      <c r="F151" s="23">
        <f>'Annual Raw'!G62-F155</f>
        <v>197.16460000000001</v>
      </c>
      <c r="G151" s="23">
        <f>'Annual Raw'!H62-G155</f>
        <v>206.79769999999999</v>
      </c>
      <c r="H151" s="23">
        <f>'Annual Raw'!I62-H155</f>
        <v>294.98839999999996</v>
      </c>
      <c r="I151" s="23">
        <f>'Annual Raw'!J62-I155</f>
        <v>343.0145</v>
      </c>
      <c r="J151" s="23">
        <f>'Annual Raw'!K62-J155</f>
        <v>349.66569999999996</v>
      </c>
      <c r="K151" s="23">
        <f>'Annual Raw'!L62-K155</f>
        <v>369.76589999999999</v>
      </c>
      <c r="L151" s="23">
        <f>'Annual Raw'!M62-L155</f>
        <v>403.34399999999999</v>
      </c>
      <c r="M151" s="23">
        <f>'Annual Raw'!N62-M155</f>
        <v>439.60419999999999</v>
      </c>
      <c r="N151" s="23">
        <f>'Annual Raw'!O62-N155</f>
        <v>520.56150000000002</v>
      </c>
      <c r="O151" s="23">
        <f>'Annual Raw'!P62-O155</f>
        <v>523.63639999999998</v>
      </c>
      <c r="P151" s="23">
        <f>'Annual Raw'!Q62-P155</f>
        <v>584.76690000000008</v>
      </c>
      <c r="Q151" s="23">
        <f>'Annual Raw'!R62-Q155</f>
        <v>700.61270000000002</v>
      </c>
      <c r="R151" s="23">
        <f>'Annual Raw'!S62-R155</f>
        <v>985.40670000000011</v>
      </c>
      <c r="S151" s="23">
        <f>'Annual Raw'!T62-S155</f>
        <v>1000.6182</v>
      </c>
      <c r="T151" s="23">
        <f>'Annual Raw'!U62-T155</f>
        <v>1031.6876999999999</v>
      </c>
      <c r="U151" s="23">
        <f>'Annual Raw'!V62-U155</f>
        <v>1124.2945</v>
      </c>
      <c r="V151" s="23">
        <f>'Annual Raw'!W62-V155</f>
        <v>1125.0955999999999</v>
      </c>
      <c r="W151" s="23">
        <f>'Annual Raw'!X62-W155</f>
        <v>1818.7422999999999</v>
      </c>
      <c r="X151" s="23">
        <f>'Annual Raw'!Y62-X155</f>
        <v>2550.3077000000003</v>
      </c>
      <c r="Y151" s="23">
        <f>'Annual Raw'!Z62-Y155</f>
        <v>2777.7716</v>
      </c>
      <c r="Z151" s="23">
        <f>'Annual Raw'!AA62-Z155</f>
        <v>2907.0642000000003</v>
      </c>
      <c r="AA151" s="23">
        <f>'Annual Raw'!AB62-AA155</f>
        <v>2962.4378000000002</v>
      </c>
      <c r="AB151" s="24">
        <f t="shared" ref="AB151:AB157" si="1201">+CP151</f>
        <v>3120.8027999999999</v>
      </c>
      <c r="AC151" s="24">
        <f t="shared" ref="AC151:AC157" si="1202">+CT151</f>
        <v>3240.8027999999999</v>
      </c>
      <c r="AD151" s="24">
        <f t="shared" ref="AD151:AD157" si="1203">+CX151</f>
        <v>3360.8027999999999</v>
      </c>
      <c r="AE151" s="24">
        <f t="shared" ref="AE151:AE157" si="1204">+DB151</f>
        <v>3480.8027999999999</v>
      </c>
      <c r="AJ151" s="23">
        <f>+'QTR Raw'!D68</f>
        <v>290.38099999999997</v>
      </c>
      <c r="AL151" s="23">
        <f>+'QTR Raw'!F68</f>
        <v>322.31299999999999</v>
      </c>
      <c r="AN151" s="23">
        <f>+'QTR Raw'!H68</f>
        <v>298.49400000000003</v>
      </c>
      <c r="AP151" s="23">
        <f>+'QTR Raw'!J68</f>
        <v>340.00599999999997</v>
      </c>
      <c r="AR151" s="23">
        <f>+'QTR Raw'!L68</f>
        <v>329.78399999999999</v>
      </c>
      <c r="AT151" s="23">
        <f>+'QTR Raw'!N68</f>
        <v>383.73399999999998</v>
      </c>
      <c r="AV151" s="23">
        <f>+'QTR Raw'!P68</f>
        <v>449.66199999999998</v>
      </c>
      <c r="AX151" s="23">
        <f>+'QTR Raw'!R68</f>
        <v>387.78500000000003</v>
      </c>
      <c r="AZ151" s="23">
        <f>+'QTR Raw'!T68</f>
        <v>391.17399999999998</v>
      </c>
      <c r="BB151" s="23">
        <f>+'QTR Raw'!V68</f>
        <v>626.30399999999997</v>
      </c>
      <c r="BD151" s="23">
        <f>+'QTR Raw'!X68</f>
        <v>585.41099999999994</v>
      </c>
      <c r="BF151" s="23">
        <f>+'QTR Raw'!Z68</f>
        <v>586.36300000000006</v>
      </c>
      <c r="BH151" s="23">
        <f>+'QTR Raw'!AB68</f>
        <v>572.85199999999998</v>
      </c>
      <c r="BJ151" s="23">
        <f>+'QTR Raw'!AD68</f>
        <v>567.79499999999996</v>
      </c>
      <c r="BL151" s="23">
        <f>+'QTR Raw'!AF68</f>
        <v>585.37699999999995</v>
      </c>
      <c r="BN151" s="23">
        <f>+'QTR Raw'!AH68</f>
        <v>598.12199999999996</v>
      </c>
      <c r="BP151" s="23">
        <f>+'QTR Raw'!AJ68</f>
        <v>592.27700000000004</v>
      </c>
      <c r="BR151" s="23">
        <f>+'QTR Raw'!AL68</f>
        <v>551.51599999999996</v>
      </c>
      <c r="BT151" s="23">
        <f>+'QTR Raw'!AN68</f>
        <v>600.70399999999995</v>
      </c>
      <c r="BV151" s="23">
        <f>+'QTR Raw'!AP68</f>
        <v>1190.8599999999999</v>
      </c>
      <c r="BX151" s="23">
        <f>+'QTR Raw'!AR68</f>
        <v>1525.06</v>
      </c>
      <c r="BZ151" s="23">
        <f>+'QTR Raw'!AT68</f>
        <v>1825.67</v>
      </c>
      <c r="CB151" s="23">
        <f>+'QTR Raw'!AV68</f>
        <v>1832.2</v>
      </c>
      <c r="CD151" s="23">
        <f>+'QTR Raw'!AX68</f>
        <v>1935.29</v>
      </c>
      <c r="CF151" s="23">
        <f>+'QTR Raw'!AZ68</f>
        <v>1935.18</v>
      </c>
      <c r="CH151" s="23">
        <f t="shared" ref="CH151:CH157" si="1205">Z151</f>
        <v>2907.0642000000003</v>
      </c>
      <c r="CI151" s="23">
        <f>CH151</f>
        <v>2907.0642000000003</v>
      </c>
      <c r="CJ151" s="23">
        <f>+CJ152+CJ154</f>
        <v>2964.0428000000002</v>
      </c>
      <c r="CK151" s="24">
        <f>+CJ151</f>
        <v>2964.0428000000002</v>
      </c>
      <c r="CL151" s="23">
        <f>+CL152+CL154</f>
        <v>3000.8027999999999</v>
      </c>
      <c r="CM151" s="24">
        <f t="shared" ref="CM151:DB151" si="1206">+CL151+30</f>
        <v>3030.8027999999999</v>
      </c>
      <c r="CN151" s="24">
        <f t="shared" si="1206"/>
        <v>3060.8027999999999</v>
      </c>
      <c r="CO151" s="24">
        <f t="shared" si="1206"/>
        <v>3090.8027999999999</v>
      </c>
      <c r="CP151" s="24">
        <f t="shared" si="1206"/>
        <v>3120.8027999999999</v>
      </c>
      <c r="CQ151" s="24">
        <f t="shared" si="1206"/>
        <v>3150.8027999999999</v>
      </c>
      <c r="CR151" s="24">
        <f t="shared" si="1206"/>
        <v>3180.8027999999999</v>
      </c>
      <c r="CS151" s="24">
        <f t="shared" si="1206"/>
        <v>3210.8027999999999</v>
      </c>
      <c r="CT151" s="24">
        <f t="shared" si="1206"/>
        <v>3240.8027999999999</v>
      </c>
      <c r="CU151" s="24">
        <f t="shared" si="1206"/>
        <v>3270.8027999999999</v>
      </c>
      <c r="CV151" s="24">
        <f t="shared" si="1206"/>
        <v>3300.8027999999999</v>
      </c>
      <c r="CW151" s="24">
        <f t="shared" si="1206"/>
        <v>3330.8027999999999</v>
      </c>
      <c r="CX151" s="24">
        <f t="shared" si="1206"/>
        <v>3360.8027999999999</v>
      </c>
      <c r="CY151" s="24">
        <f t="shared" si="1206"/>
        <v>3390.8027999999999</v>
      </c>
      <c r="CZ151" s="24">
        <f t="shared" si="1206"/>
        <v>3420.8027999999999</v>
      </c>
      <c r="DA151" s="24">
        <f t="shared" si="1206"/>
        <v>3450.8027999999999</v>
      </c>
      <c r="DB151" s="24">
        <f t="shared" si="1206"/>
        <v>3480.8027999999999</v>
      </c>
      <c r="DE151" s="123"/>
      <c r="DF151" s="23">
        <v>2962.4378000000002</v>
      </c>
    </row>
    <row r="152" spans="1:110" s="23" customFormat="1" outlineLevel="1" x14ac:dyDescent="0.2">
      <c r="A152" s="23" t="s">
        <v>51</v>
      </c>
      <c r="B152" s="23">
        <f>'Annual Raw'!C63</f>
        <v>35.385199999999998</v>
      </c>
      <c r="C152" s="23">
        <f>'Annual Raw'!D63</f>
        <v>41.038400000000003</v>
      </c>
      <c r="D152" s="23">
        <f>'Annual Raw'!E63</f>
        <v>47.8767</v>
      </c>
      <c r="E152" s="23">
        <f>'Annual Raw'!F63</f>
        <v>56.7241</v>
      </c>
      <c r="F152" s="23">
        <f>'Annual Raw'!G63</f>
        <v>62.828800000000001</v>
      </c>
      <c r="G152" s="23">
        <f>'Annual Raw'!H63</f>
        <v>72.294300000000007</v>
      </c>
      <c r="H152" s="23">
        <f>'Annual Raw'!I63</f>
        <v>83.942099999999996</v>
      </c>
      <c r="I152" s="23">
        <f>'Annual Raw'!J63</f>
        <v>100.625</v>
      </c>
      <c r="J152" s="23">
        <f>'Annual Raw'!K63</f>
        <v>119.85680000000001</v>
      </c>
      <c r="K152" s="23">
        <f>'Annual Raw'!L63</f>
        <v>139.89240000000001</v>
      </c>
      <c r="L152" s="23">
        <f>'Annual Raw'!M63</f>
        <v>161.85149999999999</v>
      </c>
      <c r="M152" s="23">
        <f>'Annual Raw'!N63</f>
        <v>180.1919</v>
      </c>
      <c r="N152" s="23">
        <f>'Annual Raw'!O63</f>
        <v>203.05549999999999</v>
      </c>
      <c r="O152" s="23">
        <f>'Annual Raw'!P63</f>
        <v>229.9881</v>
      </c>
      <c r="P152" s="23">
        <f>'Annual Raw'!Q63</f>
        <v>273.1062</v>
      </c>
      <c r="Q152" s="23">
        <f>'Annual Raw'!R63</f>
        <v>313.53289999999998</v>
      </c>
      <c r="R152" s="23">
        <f>'Annual Raw'!S63</f>
        <v>359.10239999999999</v>
      </c>
      <c r="S152" s="23">
        <f>'Annual Raw'!T63</f>
        <v>414.25479999999999</v>
      </c>
      <c r="T152" s="23">
        <f>'Annual Raw'!U63</f>
        <v>463.89350000000002</v>
      </c>
      <c r="U152" s="23">
        <f>'Annual Raw'!V63</f>
        <v>526.17229999999995</v>
      </c>
      <c r="V152" s="23">
        <f>'Annual Raw'!W63</f>
        <v>548.90219999999999</v>
      </c>
      <c r="W152" s="23">
        <f>'Annual Raw'!X63</f>
        <v>599.20709999999997</v>
      </c>
      <c r="X152" s="23">
        <f>'Annual Raw'!Y63</f>
        <v>706.75660000000005</v>
      </c>
      <c r="Y152" s="23">
        <f>'Annual Raw'!Z63</f>
        <v>830.83370000000002</v>
      </c>
      <c r="Z152" s="23">
        <f>'Annual Raw'!AA63</f>
        <v>996.33280000000002</v>
      </c>
      <c r="AA152" s="23">
        <f>'Annual Raw'!AB63</f>
        <v>1134.4804999999999</v>
      </c>
      <c r="AB152" s="24">
        <f t="shared" si="1201"/>
        <v>1374.2738905218548</v>
      </c>
      <c r="AC152" s="24">
        <f t="shared" si="1202"/>
        <v>1561.8219173793168</v>
      </c>
      <c r="AD152" s="24">
        <f t="shared" si="1203"/>
        <v>1742.3026964981525</v>
      </c>
      <c r="AE152" s="24">
        <f t="shared" si="1204"/>
        <v>1916.4556423797585</v>
      </c>
      <c r="AJ152" s="23">
        <f>+'QTR Raw'!D69</f>
        <v>0</v>
      </c>
      <c r="AL152" s="23">
        <f>+'QTR Raw'!F69</f>
        <v>0</v>
      </c>
      <c r="AN152" s="23">
        <f>+'QTR Raw'!H69</f>
        <v>0</v>
      </c>
      <c r="AP152" s="23">
        <f>+'QTR Raw'!J69</f>
        <v>0</v>
      </c>
      <c r="AR152" s="23">
        <f>+'QTR Raw'!L69</f>
        <v>0</v>
      </c>
      <c r="AT152" s="23">
        <f>+'QTR Raw'!N69</f>
        <v>0</v>
      </c>
      <c r="AV152" s="23">
        <f>+'QTR Raw'!P69</f>
        <v>0</v>
      </c>
      <c r="AX152" s="23">
        <f>+'QTR Raw'!R69</f>
        <v>0</v>
      </c>
      <c r="AZ152" s="23">
        <f>+'QTR Raw'!T69</f>
        <v>0</v>
      </c>
      <c r="BB152" s="23">
        <f>+'QTR Raw'!V69</f>
        <v>0</v>
      </c>
      <c r="BD152" s="23">
        <f>+'QTR Raw'!X69</f>
        <v>0</v>
      </c>
      <c r="BF152" s="23">
        <f>+'QTR Raw'!Z69</f>
        <v>0</v>
      </c>
      <c r="BH152" s="23">
        <f>+'QTR Raw'!AB69</f>
        <v>0</v>
      </c>
      <c r="BJ152" s="23">
        <f>+'QTR Raw'!AD69</f>
        <v>0</v>
      </c>
      <c r="BL152" s="23">
        <f>+'QTR Raw'!AF69</f>
        <v>0</v>
      </c>
      <c r="BN152" s="23">
        <f>+'QTR Raw'!AH69</f>
        <v>0</v>
      </c>
      <c r="BP152" s="23">
        <f>+'QTR Raw'!AJ69</f>
        <v>0</v>
      </c>
      <c r="BR152" s="23">
        <f>+'QTR Raw'!AL69</f>
        <v>0</v>
      </c>
      <c r="BT152" s="23">
        <f>+'QTR Raw'!AN69</f>
        <v>0</v>
      </c>
      <c r="BV152" s="23">
        <f>+'QTR Raw'!AP69</f>
        <v>0</v>
      </c>
      <c r="BX152" s="23">
        <f>+'QTR Raw'!AR69</f>
        <v>0</v>
      </c>
      <c r="BZ152" s="23">
        <f>+'QTR Raw'!AT69</f>
        <v>0</v>
      </c>
      <c r="CB152" s="23">
        <f>+'QTR Raw'!AV69</f>
        <v>0</v>
      </c>
      <c r="CD152" s="23">
        <f>+'QTR Raw'!AX69</f>
        <v>0</v>
      </c>
      <c r="CF152" s="23">
        <f>+'QTR Raw'!AZ69</f>
        <v>0</v>
      </c>
      <c r="CH152" s="23">
        <f t="shared" si="1205"/>
        <v>996.33280000000002</v>
      </c>
      <c r="CI152" s="23">
        <f t="shared" ref="CI152:DB152" si="1207">CH152+CI52</f>
        <v>1039.0328</v>
      </c>
      <c r="CJ152" s="23">
        <f t="shared" si="1207"/>
        <v>1083.4728</v>
      </c>
      <c r="CK152" s="24">
        <f t="shared" si="1207"/>
        <v>1128.8227999999999</v>
      </c>
      <c r="CL152" s="23">
        <f t="shared" si="1207"/>
        <v>1178.8327999999999</v>
      </c>
      <c r="CM152" s="24">
        <f t="shared" si="1207"/>
        <v>1228.4817356589399</v>
      </c>
      <c r="CN152" s="24">
        <f t="shared" si="1207"/>
        <v>1277.5952350909952</v>
      </c>
      <c r="CO152" s="24">
        <f t="shared" si="1207"/>
        <v>1326.187889007746</v>
      </c>
      <c r="CP152" s="24">
        <f t="shared" si="1207"/>
        <v>1374.2738905218548</v>
      </c>
      <c r="CQ152" s="24">
        <f t="shared" si="1207"/>
        <v>1421.8670459816917</v>
      </c>
      <c r="CR152" s="24">
        <f t="shared" si="1207"/>
        <v>1468.9807855107158</v>
      </c>
      <c r="CS152" s="24">
        <f t="shared" si="1207"/>
        <v>1515.6281732596556</v>
      </c>
      <c r="CT152" s="24">
        <f t="shared" si="1207"/>
        <v>1561.8219173793168</v>
      </c>
      <c r="CU152" s="24">
        <f t="shared" si="1207"/>
        <v>1607.5743797216301</v>
      </c>
      <c r="CV152" s="24">
        <f t="shared" si="1207"/>
        <v>1652.8975852763435</v>
      </c>
      <c r="CW152" s="24">
        <f t="shared" si="1207"/>
        <v>1697.8032313505635</v>
      </c>
      <c r="CX152" s="24">
        <f t="shared" si="1207"/>
        <v>1742.3026964981525</v>
      </c>
      <c r="CY152" s="24">
        <f t="shared" si="1207"/>
        <v>1786.4070492057992</v>
      </c>
      <c r="CZ152" s="24">
        <f t="shared" si="1207"/>
        <v>1830.1270563423921</v>
      </c>
      <c r="DA152" s="24">
        <f t="shared" si="1207"/>
        <v>1873.4731913781463</v>
      </c>
      <c r="DB152" s="24">
        <f t="shared" si="1207"/>
        <v>1916.4556423797585</v>
      </c>
      <c r="DE152" s="123"/>
      <c r="DF152" s="23">
        <v>1134.4804999999999</v>
      </c>
    </row>
    <row r="153" spans="1:110" s="23" customFormat="1" outlineLevel="1" x14ac:dyDescent="0.2">
      <c r="A153" s="23" t="s">
        <v>52</v>
      </c>
      <c r="B153" s="23">
        <f>'Annual Raw'!C64</f>
        <v>0</v>
      </c>
      <c r="C153" s="23">
        <f>'Annual Raw'!D64</f>
        <v>0</v>
      </c>
      <c r="D153" s="23">
        <f>'Annual Raw'!E64</f>
        <v>0</v>
      </c>
      <c r="E153" s="23">
        <f>'Annual Raw'!F64</f>
        <v>0</v>
      </c>
      <c r="F153" s="23">
        <f>'Annual Raw'!G64</f>
        <v>0</v>
      </c>
      <c r="G153" s="23">
        <f>'Annual Raw'!H64</f>
        <v>0</v>
      </c>
      <c r="H153" s="23">
        <f>'Annual Raw'!I64</f>
        <v>0</v>
      </c>
      <c r="I153" s="23">
        <f>'Annual Raw'!J64</f>
        <v>0</v>
      </c>
      <c r="J153" s="23">
        <f>'Annual Raw'!K64</f>
        <v>0</v>
      </c>
      <c r="K153" s="23">
        <f>'Annual Raw'!L64</f>
        <v>0</v>
      </c>
      <c r="L153" s="23">
        <f>'Annual Raw'!M64</f>
        <v>0</v>
      </c>
      <c r="M153" s="23">
        <f>'Annual Raw'!N64</f>
        <v>0</v>
      </c>
      <c r="N153" s="23">
        <f>'Annual Raw'!O64</f>
        <v>0</v>
      </c>
      <c r="O153" s="23">
        <f>'Annual Raw'!P64</f>
        <v>0</v>
      </c>
      <c r="P153" s="23">
        <f>'Annual Raw'!Q64</f>
        <v>0</v>
      </c>
      <c r="Q153" s="23">
        <f>'Annual Raw'!R64</f>
        <v>0</v>
      </c>
      <c r="R153" s="23">
        <f>'Annual Raw'!S64</f>
        <v>0</v>
      </c>
      <c r="S153" s="23">
        <f>'Annual Raw'!T64</f>
        <v>0</v>
      </c>
      <c r="T153" s="23">
        <f>'Annual Raw'!U64</f>
        <v>0</v>
      </c>
      <c r="U153" s="23">
        <f>'Annual Raw'!V64</f>
        <v>0</v>
      </c>
      <c r="V153" s="23">
        <f>'Annual Raw'!W64</f>
        <v>0</v>
      </c>
      <c r="W153" s="23">
        <f>'Annual Raw'!X64</f>
        <v>0</v>
      </c>
      <c r="X153" s="23">
        <f>'Annual Raw'!Y64</f>
        <v>0</v>
      </c>
      <c r="Y153" s="23">
        <f>'Annual Raw'!Z64</f>
        <v>0</v>
      </c>
      <c r="Z153" s="23">
        <f>'Annual Raw'!AA64</f>
        <v>0</v>
      </c>
      <c r="AA153" s="23">
        <f>'Annual Raw'!AB64</f>
        <v>0</v>
      </c>
      <c r="AB153" s="24">
        <f t="shared" si="1201"/>
        <v>0</v>
      </c>
      <c r="AC153" s="24">
        <f t="shared" si="1202"/>
        <v>0</v>
      </c>
      <c r="AD153" s="24">
        <f t="shared" si="1203"/>
        <v>0</v>
      </c>
      <c r="AE153" s="24">
        <f t="shared" si="1204"/>
        <v>0</v>
      </c>
      <c r="AJ153" s="23">
        <f>+'QTR Raw'!D70</f>
        <v>0</v>
      </c>
      <c r="AL153" s="23">
        <f>+'QTR Raw'!F70</f>
        <v>0</v>
      </c>
      <c r="AN153" s="23">
        <f>+'QTR Raw'!H70</f>
        <v>0</v>
      </c>
      <c r="AP153" s="23">
        <f>+'QTR Raw'!J70</f>
        <v>0</v>
      </c>
      <c r="AR153" s="23">
        <f>+'QTR Raw'!L70</f>
        <v>0</v>
      </c>
      <c r="AT153" s="23">
        <f>+'QTR Raw'!N70</f>
        <v>0</v>
      </c>
      <c r="AV153" s="23">
        <f>+'QTR Raw'!P70</f>
        <v>0</v>
      </c>
      <c r="AX153" s="23">
        <f>+'QTR Raw'!R70</f>
        <v>0</v>
      </c>
      <c r="AZ153" s="23">
        <f>+'QTR Raw'!T70</f>
        <v>0</v>
      </c>
      <c r="BB153" s="23">
        <f>+'QTR Raw'!V70</f>
        <v>0</v>
      </c>
      <c r="BD153" s="23">
        <f>+'QTR Raw'!X70</f>
        <v>0</v>
      </c>
      <c r="BF153" s="23">
        <f>+'QTR Raw'!Z70</f>
        <v>0</v>
      </c>
      <c r="BH153" s="23">
        <f>+'QTR Raw'!AB70</f>
        <v>0</v>
      </c>
      <c r="BJ153" s="23">
        <f>+'QTR Raw'!AD70</f>
        <v>0</v>
      </c>
      <c r="BL153" s="23">
        <f>+'QTR Raw'!AF70</f>
        <v>0</v>
      </c>
      <c r="BN153" s="23">
        <f>+'QTR Raw'!AH70</f>
        <v>0</v>
      </c>
      <c r="BP153" s="23">
        <f>+'QTR Raw'!AJ70</f>
        <v>0</v>
      </c>
      <c r="BR153" s="23">
        <f>+'QTR Raw'!AL70</f>
        <v>0</v>
      </c>
      <c r="BT153" s="23">
        <f>+'QTR Raw'!AN70</f>
        <v>0</v>
      </c>
      <c r="BV153" s="23">
        <f>+'QTR Raw'!AP70</f>
        <v>0</v>
      </c>
      <c r="BX153" s="23">
        <f>+'QTR Raw'!AR70</f>
        <v>0</v>
      </c>
      <c r="BZ153" s="23">
        <f>+'QTR Raw'!AT70</f>
        <v>0</v>
      </c>
      <c r="CB153" s="23">
        <f>+'QTR Raw'!AV70</f>
        <v>0</v>
      </c>
      <c r="CD153" s="23">
        <f>+'QTR Raw'!AX70</f>
        <v>0</v>
      </c>
      <c r="CF153" s="23">
        <f>+'QTR Raw'!AZ70</f>
        <v>0</v>
      </c>
      <c r="CH153" s="23">
        <f t="shared" si="1205"/>
        <v>0</v>
      </c>
      <c r="CI153" s="23">
        <f>CH153</f>
        <v>0</v>
      </c>
      <c r="CJ153" s="23">
        <f>+'QTR Raw'!BD70</f>
        <v>0</v>
      </c>
      <c r="CK153" s="24">
        <f t="shared" ref="CK153:DB153" si="1208">CJ153</f>
        <v>0</v>
      </c>
      <c r="CL153" s="23">
        <f>+'QTR Raw'!BF70</f>
        <v>0</v>
      </c>
      <c r="CM153" s="24">
        <f t="shared" si="1208"/>
        <v>0</v>
      </c>
      <c r="CN153" s="24">
        <f t="shared" si="1208"/>
        <v>0</v>
      </c>
      <c r="CO153" s="24">
        <f t="shared" si="1208"/>
        <v>0</v>
      </c>
      <c r="CP153" s="24">
        <f t="shared" si="1208"/>
        <v>0</v>
      </c>
      <c r="CQ153" s="24">
        <f t="shared" si="1208"/>
        <v>0</v>
      </c>
      <c r="CR153" s="24">
        <f t="shared" si="1208"/>
        <v>0</v>
      </c>
      <c r="CS153" s="24">
        <f t="shared" si="1208"/>
        <v>0</v>
      </c>
      <c r="CT153" s="24">
        <f t="shared" si="1208"/>
        <v>0</v>
      </c>
      <c r="CU153" s="24">
        <f t="shared" si="1208"/>
        <v>0</v>
      </c>
      <c r="CV153" s="24">
        <f t="shared" si="1208"/>
        <v>0</v>
      </c>
      <c r="CW153" s="24">
        <f t="shared" si="1208"/>
        <v>0</v>
      </c>
      <c r="CX153" s="24">
        <f t="shared" si="1208"/>
        <v>0</v>
      </c>
      <c r="CY153" s="24">
        <f t="shared" si="1208"/>
        <v>0</v>
      </c>
      <c r="CZ153" s="24">
        <f t="shared" si="1208"/>
        <v>0</v>
      </c>
      <c r="DA153" s="24">
        <f t="shared" si="1208"/>
        <v>0</v>
      </c>
      <c r="DB153" s="24">
        <f t="shared" si="1208"/>
        <v>0</v>
      </c>
      <c r="DE153" s="123"/>
      <c r="DF153" s="23">
        <v>0</v>
      </c>
    </row>
    <row r="154" spans="1:110" s="22" customFormat="1" outlineLevel="1" x14ac:dyDescent="0.2">
      <c r="A154" s="22" t="s">
        <v>53</v>
      </c>
      <c r="B154" s="22">
        <f>+B151-B152-B153</f>
        <v>56.109800000000007</v>
      </c>
      <c r="C154" s="22">
        <f t="shared" ref="C154:W154" si="1209">+C151-C152-C153</f>
        <v>77.832999999999998</v>
      </c>
      <c r="D154" s="22">
        <f t="shared" si="1209"/>
        <v>89.744</v>
      </c>
      <c r="E154" s="22">
        <f t="shared" si="1209"/>
        <v>128.1241</v>
      </c>
      <c r="F154" s="22">
        <f t="shared" si="1209"/>
        <v>134.33580000000001</v>
      </c>
      <c r="G154" s="22">
        <f t="shared" si="1209"/>
        <v>134.5034</v>
      </c>
      <c r="H154" s="22">
        <f t="shared" si="1209"/>
        <v>211.04629999999997</v>
      </c>
      <c r="I154" s="22">
        <f t="shared" si="1209"/>
        <v>242.3895</v>
      </c>
      <c r="J154" s="22">
        <f t="shared" si="1209"/>
        <v>229.80889999999994</v>
      </c>
      <c r="K154" s="22">
        <f t="shared" si="1209"/>
        <v>229.87349999999998</v>
      </c>
      <c r="L154" s="22">
        <f t="shared" si="1209"/>
        <v>241.49250000000001</v>
      </c>
      <c r="M154" s="22">
        <f t="shared" si="1209"/>
        <v>259.41229999999996</v>
      </c>
      <c r="N154" s="22">
        <f t="shared" si="1209"/>
        <v>317.50600000000003</v>
      </c>
      <c r="O154" s="22">
        <f t="shared" si="1209"/>
        <v>293.64829999999995</v>
      </c>
      <c r="P154" s="22">
        <f t="shared" si="1209"/>
        <v>311.66070000000008</v>
      </c>
      <c r="Q154" s="22">
        <f t="shared" si="1209"/>
        <v>387.07980000000003</v>
      </c>
      <c r="R154" s="22">
        <f t="shared" si="1209"/>
        <v>626.30430000000013</v>
      </c>
      <c r="S154" s="22">
        <f t="shared" si="1209"/>
        <v>586.36339999999996</v>
      </c>
      <c r="T154" s="22">
        <f t="shared" si="1209"/>
        <v>567.79419999999993</v>
      </c>
      <c r="U154" s="22">
        <f t="shared" si="1209"/>
        <v>598.12220000000002</v>
      </c>
      <c r="V154" s="22">
        <f t="shared" si="1209"/>
        <v>576.19339999999988</v>
      </c>
      <c r="W154" s="22">
        <f t="shared" si="1209"/>
        <v>1219.5351999999998</v>
      </c>
      <c r="X154" s="22">
        <f t="shared" ref="X154:Y154" si="1210">+X151-X152-X153</f>
        <v>1843.5511000000001</v>
      </c>
      <c r="Y154" s="22">
        <f t="shared" si="1210"/>
        <v>1946.9378999999999</v>
      </c>
      <c r="Z154" s="22">
        <f t="shared" ref="Z154:AE154" si="1211">+Z151-Z152-Z153</f>
        <v>1910.7314000000001</v>
      </c>
      <c r="AA154" s="22">
        <f t="shared" ref="AA154" si="1212">+AA151-AA152-AA153</f>
        <v>1827.9573000000003</v>
      </c>
      <c r="AB154" s="21">
        <f t="shared" si="1211"/>
        <v>1746.5289094781451</v>
      </c>
      <c r="AC154" s="21">
        <f t="shared" si="1211"/>
        <v>1678.9808826206831</v>
      </c>
      <c r="AD154" s="21">
        <f t="shared" si="1211"/>
        <v>1618.5001035018474</v>
      </c>
      <c r="AE154" s="21">
        <f t="shared" si="1211"/>
        <v>1564.3471576202414</v>
      </c>
      <c r="AJ154" s="22">
        <f t="shared" ref="AJ154:AL154" si="1213">+AJ151-AJ152-AJ153</f>
        <v>290.38099999999997</v>
      </c>
      <c r="AK154" s="22">
        <f t="shared" ref="AK154:CE154" si="1214">+AJ154</f>
        <v>290.38099999999997</v>
      </c>
      <c r="AL154" s="22">
        <f t="shared" si="1213"/>
        <v>322.31299999999999</v>
      </c>
      <c r="AM154" s="22">
        <f t="shared" si="1214"/>
        <v>322.31299999999999</v>
      </c>
      <c r="AN154" s="22">
        <f t="shared" ref="AN154" si="1215">+AN151-AN152-AN153</f>
        <v>298.49400000000003</v>
      </c>
      <c r="AO154" s="22">
        <f t="shared" si="1214"/>
        <v>298.49400000000003</v>
      </c>
      <c r="AP154" s="22">
        <f t="shared" ref="AP154:CD154" si="1216">+AP151-AP152-AP153</f>
        <v>340.00599999999997</v>
      </c>
      <c r="AQ154" s="22">
        <f t="shared" si="1214"/>
        <v>340.00599999999997</v>
      </c>
      <c r="AR154" s="22">
        <f t="shared" si="1216"/>
        <v>329.78399999999999</v>
      </c>
      <c r="AS154" s="22">
        <f t="shared" si="1214"/>
        <v>329.78399999999999</v>
      </c>
      <c r="AT154" s="22">
        <f t="shared" si="1216"/>
        <v>383.73399999999998</v>
      </c>
      <c r="AU154" s="22">
        <f t="shared" si="1214"/>
        <v>383.73399999999998</v>
      </c>
      <c r="AV154" s="22">
        <f t="shared" si="1216"/>
        <v>449.66199999999998</v>
      </c>
      <c r="AW154" s="22">
        <f t="shared" si="1214"/>
        <v>449.66199999999998</v>
      </c>
      <c r="AX154" s="22">
        <f t="shared" si="1216"/>
        <v>387.78500000000003</v>
      </c>
      <c r="AY154" s="22">
        <f t="shared" si="1214"/>
        <v>387.78500000000003</v>
      </c>
      <c r="AZ154" s="22">
        <f t="shared" si="1216"/>
        <v>391.17399999999998</v>
      </c>
      <c r="BA154" s="22">
        <f t="shared" si="1214"/>
        <v>391.17399999999998</v>
      </c>
      <c r="BB154" s="22">
        <f t="shared" si="1216"/>
        <v>626.30399999999997</v>
      </c>
      <c r="BC154" s="22">
        <f t="shared" si="1214"/>
        <v>626.30399999999997</v>
      </c>
      <c r="BD154" s="22">
        <f t="shared" si="1216"/>
        <v>585.41099999999994</v>
      </c>
      <c r="BE154" s="22">
        <f t="shared" si="1214"/>
        <v>585.41099999999994</v>
      </c>
      <c r="BF154" s="22">
        <f t="shared" si="1216"/>
        <v>586.36300000000006</v>
      </c>
      <c r="BG154" s="22">
        <f t="shared" si="1214"/>
        <v>586.36300000000006</v>
      </c>
      <c r="BH154" s="22">
        <f t="shared" si="1216"/>
        <v>572.85199999999998</v>
      </c>
      <c r="BI154" s="22">
        <f t="shared" si="1214"/>
        <v>572.85199999999998</v>
      </c>
      <c r="BJ154" s="22">
        <f t="shared" si="1216"/>
        <v>567.79499999999996</v>
      </c>
      <c r="BK154" s="22">
        <f t="shared" si="1214"/>
        <v>567.79499999999996</v>
      </c>
      <c r="BL154" s="22">
        <f t="shared" si="1216"/>
        <v>585.37699999999995</v>
      </c>
      <c r="BM154" s="22">
        <f t="shared" si="1214"/>
        <v>585.37699999999995</v>
      </c>
      <c r="BN154" s="22">
        <f t="shared" si="1216"/>
        <v>598.12199999999996</v>
      </c>
      <c r="BO154" s="22">
        <f t="shared" si="1214"/>
        <v>598.12199999999996</v>
      </c>
      <c r="BP154" s="22">
        <f t="shared" si="1216"/>
        <v>592.27700000000004</v>
      </c>
      <c r="BQ154" s="22">
        <f t="shared" si="1214"/>
        <v>592.27700000000004</v>
      </c>
      <c r="BR154" s="22">
        <f t="shared" si="1216"/>
        <v>551.51599999999996</v>
      </c>
      <c r="BS154" s="22">
        <f t="shared" si="1214"/>
        <v>551.51599999999996</v>
      </c>
      <c r="BT154" s="22">
        <f t="shared" si="1216"/>
        <v>600.70399999999995</v>
      </c>
      <c r="BU154" s="22">
        <f t="shared" si="1214"/>
        <v>600.70399999999995</v>
      </c>
      <c r="BV154" s="22">
        <f t="shared" si="1216"/>
        <v>1190.8599999999999</v>
      </c>
      <c r="BW154" s="22">
        <f t="shared" si="1214"/>
        <v>1190.8599999999999</v>
      </c>
      <c r="BX154" s="22">
        <f t="shared" si="1216"/>
        <v>1525.06</v>
      </c>
      <c r="BY154" s="22">
        <f t="shared" si="1214"/>
        <v>1525.06</v>
      </c>
      <c r="BZ154" s="22">
        <f t="shared" si="1216"/>
        <v>1825.67</v>
      </c>
      <c r="CA154" s="22">
        <f t="shared" si="1214"/>
        <v>1825.67</v>
      </c>
      <c r="CB154" s="22">
        <f t="shared" si="1216"/>
        <v>1832.2</v>
      </c>
      <c r="CC154" s="22">
        <f t="shared" si="1214"/>
        <v>1832.2</v>
      </c>
      <c r="CD154" s="22">
        <f t="shared" si="1216"/>
        <v>1935.29</v>
      </c>
      <c r="CE154" s="22">
        <f t="shared" si="1214"/>
        <v>1935.29</v>
      </c>
      <c r="CF154" s="22">
        <f t="shared" ref="CF154:CI154" si="1217">+CF151-CF152-CF153</f>
        <v>1935.18</v>
      </c>
      <c r="CG154" s="22">
        <f t="shared" ref="CG154:CI157" si="1218">+CF154</f>
        <v>1935.18</v>
      </c>
      <c r="CH154" s="22">
        <f t="shared" si="1217"/>
        <v>1910.7314000000001</v>
      </c>
      <c r="CI154" s="22">
        <f t="shared" si="1217"/>
        <v>1868.0314000000003</v>
      </c>
      <c r="CJ154" s="23">
        <f>+'QTR Raw'!BD68</f>
        <v>1880.57</v>
      </c>
      <c r="CK154" s="21">
        <f t="shared" ref="CK154:DB154" si="1219">+CK151-CK152-CK153</f>
        <v>1835.2200000000003</v>
      </c>
      <c r="CL154" s="23">
        <f>+'QTR Raw'!BF68</f>
        <v>1821.97</v>
      </c>
      <c r="CM154" s="21">
        <f t="shared" si="1219"/>
        <v>1802.32106434106</v>
      </c>
      <c r="CN154" s="21">
        <f t="shared" si="1219"/>
        <v>1783.2075649090048</v>
      </c>
      <c r="CO154" s="21">
        <f t="shared" si="1219"/>
        <v>1764.614910992254</v>
      </c>
      <c r="CP154" s="21">
        <f t="shared" si="1219"/>
        <v>1746.5289094781451</v>
      </c>
      <c r="CQ154" s="21">
        <f t="shared" si="1219"/>
        <v>1728.9357540183082</v>
      </c>
      <c r="CR154" s="21">
        <f t="shared" si="1219"/>
        <v>1711.8220144892841</v>
      </c>
      <c r="CS154" s="21">
        <f t="shared" si="1219"/>
        <v>1695.1746267403444</v>
      </c>
      <c r="CT154" s="21">
        <f t="shared" si="1219"/>
        <v>1678.9808826206831</v>
      </c>
      <c r="CU154" s="21">
        <f t="shared" si="1219"/>
        <v>1663.2284202783699</v>
      </c>
      <c r="CV154" s="21">
        <f t="shared" si="1219"/>
        <v>1647.9052147236564</v>
      </c>
      <c r="CW154" s="21">
        <f t="shared" si="1219"/>
        <v>1632.9995686494365</v>
      </c>
      <c r="CX154" s="21">
        <f t="shared" si="1219"/>
        <v>1618.5001035018474</v>
      </c>
      <c r="CY154" s="21">
        <f t="shared" si="1219"/>
        <v>1604.3957507942007</v>
      </c>
      <c r="CZ154" s="21">
        <f t="shared" si="1219"/>
        <v>1590.6757436576079</v>
      </c>
      <c r="DA154" s="21">
        <f t="shared" si="1219"/>
        <v>1577.3296086218536</v>
      </c>
      <c r="DB154" s="21">
        <f t="shared" si="1219"/>
        <v>1564.3471576202414</v>
      </c>
      <c r="DE154" s="126"/>
      <c r="DF154" s="22">
        <v>1827.9573000000003</v>
      </c>
    </row>
    <row r="155" spans="1:110" s="23" customFormat="1" outlineLevel="1" x14ac:dyDescent="0.2">
      <c r="A155" s="23" t="s">
        <v>54</v>
      </c>
      <c r="B155" s="23">
        <f>'Annual Raw'!C86</f>
        <v>0</v>
      </c>
      <c r="C155" s="23">
        <f>'Annual Raw'!D86</f>
        <v>5.9999999999999995E-4</v>
      </c>
      <c r="D155" s="23">
        <f>'Annual Raw'!E86</f>
        <v>4.9200000000000001E-2</v>
      </c>
      <c r="E155" s="23">
        <f>'Annual Raw'!F86</f>
        <v>4.9200000000000001E-2</v>
      </c>
      <c r="F155" s="23">
        <f>'Annual Raw'!G86</f>
        <v>0</v>
      </c>
      <c r="G155" s="23">
        <f>'Annual Raw'!H86</f>
        <v>0</v>
      </c>
      <c r="H155" s="23">
        <f>'Annual Raw'!I86</f>
        <v>16.9023</v>
      </c>
      <c r="I155" s="23">
        <f>'Annual Raw'!J86</f>
        <v>16.9023</v>
      </c>
      <c r="J155" s="23">
        <f>'Annual Raw'!K86</f>
        <v>16.9023</v>
      </c>
      <c r="K155" s="23">
        <f>'Annual Raw'!L86</f>
        <v>16.9023</v>
      </c>
      <c r="L155" s="23">
        <f>'Annual Raw'!M86</f>
        <v>16.9023</v>
      </c>
      <c r="M155" s="23">
        <f>'Annual Raw'!N86</f>
        <v>16.9023</v>
      </c>
      <c r="N155" s="23">
        <f>'Annual Raw'!O86</f>
        <v>16.9023</v>
      </c>
      <c r="O155" s="23">
        <f>'Annual Raw'!P86</f>
        <v>16.9023</v>
      </c>
      <c r="P155" s="23">
        <f>'Annual Raw'!Q86</f>
        <v>16.9023</v>
      </c>
      <c r="Q155" s="23">
        <f>'Annual Raw'!R86</f>
        <v>53.14</v>
      </c>
      <c r="R155" s="23">
        <f>'Annual Raw'!S86</f>
        <v>53.14</v>
      </c>
      <c r="S155" s="23">
        <f>'Annual Raw'!T86</f>
        <v>53.14</v>
      </c>
      <c r="T155" s="23">
        <f>'Annual Raw'!U86</f>
        <v>53.14</v>
      </c>
      <c r="U155" s="23">
        <f>'Annual Raw'!V86</f>
        <v>53.14</v>
      </c>
      <c r="V155" s="23">
        <f>'Annual Raw'!W86</f>
        <v>57.459200000000003</v>
      </c>
      <c r="W155" s="23">
        <f>'Annual Raw'!X86</f>
        <v>57.459200000000003</v>
      </c>
      <c r="X155" s="23">
        <f>'Annual Raw'!Y86</f>
        <v>57.459200000000003</v>
      </c>
      <c r="Y155" s="23">
        <f>'Annual Raw'!Z86</f>
        <v>57.459200000000003</v>
      </c>
      <c r="Z155" s="23">
        <f>'Annual Raw'!AA86</f>
        <v>57.459200000000003</v>
      </c>
      <c r="AA155" s="23">
        <f>'Annual Raw'!AB86</f>
        <v>57.459200000000003</v>
      </c>
      <c r="AB155" s="24">
        <f t="shared" si="1201"/>
        <v>57.46</v>
      </c>
      <c r="AC155" s="24">
        <f t="shared" si="1202"/>
        <v>57.46</v>
      </c>
      <c r="AD155" s="24">
        <f t="shared" si="1203"/>
        <v>57.46</v>
      </c>
      <c r="AE155" s="24">
        <f t="shared" si="1204"/>
        <v>57.46</v>
      </c>
      <c r="AJ155" s="23">
        <f>+'QTR Raw'!D72</f>
        <v>0</v>
      </c>
      <c r="AK155" s="23">
        <f>+AJ155</f>
        <v>0</v>
      </c>
      <c r="AL155" s="23">
        <f>+'QTR Raw'!F72</f>
        <v>16.902000000000001</v>
      </c>
      <c r="AM155" s="23">
        <f t="shared" ref="AK155:CE157" si="1220">+AL155</f>
        <v>16.902000000000001</v>
      </c>
      <c r="AN155" s="23">
        <f>+'QTR Raw'!H72</f>
        <v>0</v>
      </c>
      <c r="AO155" s="23">
        <f t="shared" si="1220"/>
        <v>0</v>
      </c>
      <c r="AP155" s="23">
        <f>+'QTR Raw'!J72</f>
        <v>16.902000000000001</v>
      </c>
      <c r="AQ155" s="23">
        <f t="shared" si="1220"/>
        <v>16.902000000000001</v>
      </c>
      <c r="AR155" s="23">
        <f>+'QTR Raw'!L72</f>
        <v>0</v>
      </c>
      <c r="AS155" s="23">
        <f t="shared" si="1220"/>
        <v>0</v>
      </c>
      <c r="AT155" s="23">
        <f>+'QTR Raw'!N72</f>
        <v>0</v>
      </c>
      <c r="AU155" s="23">
        <f t="shared" si="1220"/>
        <v>0</v>
      </c>
      <c r="AV155" s="23">
        <f>+'QTR Raw'!P72</f>
        <v>0</v>
      </c>
      <c r="AW155" s="23">
        <f t="shared" si="1220"/>
        <v>0</v>
      </c>
      <c r="AX155" s="23">
        <f>+'QTR Raw'!R72</f>
        <v>53.14</v>
      </c>
      <c r="AY155" s="23">
        <f t="shared" si="1220"/>
        <v>53.14</v>
      </c>
      <c r="AZ155" s="23">
        <f>+'QTR Raw'!T72</f>
        <v>0</v>
      </c>
      <c r="BA155" s="23">
        <f t="shared" si="1220"/>
        <v>0</v>
      </c>
      <c r="BB155" s="23">
        <f>+'QTR Raw'!V72</f>
        <v>53.14</v>
      </c>
      <c r="BC155" s="23">
        <f t="shared" si="1220"/>
        <v>53.14</v>
      </c>
      <c r="BD155" s="23">
        <f>+'QTR Raw'!X72</f>
        <v>0</v>
      </c>
      <c r="BE155" s="23">
        <f t="shared" si="1220"/>
        <v>0</v>
      </c>
      <c r="BF155" s="23">
        <f>+'QTR Raw'!Z72</f>
        <v>53.14</v>
      </c>
      <c r="BG155" s="23">
        <f t="shared" si="1220"/>
        <v>53.14</v>
      </c>
      <c r="BH155" s="23">
        <f>+'QTR Raw'!AB72</f>
        <v>0</v>
      </c>
      <c r="BI155" s="23">
        <f t="shared" si="1220"/>
        <v>0</v>
      </c>
      <c r="BJ155" s="23">
        <f>+'QTR Raw'!AD72</f>
        <v>53.14</v>
      </c>
      <c r="BK155" s="23">
        <f t="shared" si="1220"/>
        <v>53.14</v>
      </c>
      <c r="BL155" s="23">
        <f>+'QTR Raw'!AF72</f>
        <v>53.14</v>
      </c>
      <c r="BM155" s="23">
        <f t="shared" si="1220"/>
        <v>53.14</v>
      </c>
      <c r="BN155" s="23">
        <f>+'QTR Raw'!AH72</f>
        <v>53.14</v>
      </c>
      <c r="BO155" s="23">
        <f t="shared" si="1220"/>
        <v>53.14</v>
      </c>
      <c r="BP155" s="23">
        <f>+'QTR Raw'!AJ72</f>
        <v>57.459000000000003</v>
      </c>
      <c r="BQ155" s="23">
        <f t="shared" si="1220"/>
        <v>57.459000000000003</v>
      </c>
      <c r="BR155" s="23">
        <f>+'QTR Raw'!AL72</f>
        <v>57.459000000000003</v>
      </c>
      <c r="BS155" s="23">
        <f t="shared" si="1220"/>
        <v>57.459000000000003</v>
      </c>
      <c r="BT155" s="23">
        <f>+'QTR Raw'!AN72</f>
        <v>57.459000000000003</v>
      </c>
      <c r="BU155" s="23">
        <f t="shared" si="1220"/>
        <v>57.459000000000003</v>
      </c>
      <c r="BV155" s="23">
        <f>+'QTR Raw'!AP72</f>
        <v>57.46</v>
      </c>
      <c r="BW155" s="23">
        <f t="shared" si="1220"/>
        <v>57.46</v>
      </c>
      <c r="BX155" s="23">
        <f>+'QTR Raw'!AR72</f>
        <v>57.46</v>
      </c>
      <c r="BY155" s="23">
        <f t="shared" si="1220"/>
        <v>57.46</v>
      </c>
      <c r="BZ155" s="23">
        <f>+'QTR Raw'!AT72</f>
        <v>57.46</v>
      </c>
      <c r="CA155" s="23">
        <f t="shared" si="1220"/>
        <v>57.46</v>
      </c>
      <c r="CB155" s="23">
        <f>+'QTR Raw'!AV72</f>
        <v>57.46</v>
      </c>
      <c r="CC155" s="23">
        <f t="shared" si="1220"/>
        <v>57.46</v>
      </c>
      <c r="CD155" s="23">
        <f>+'QTR Raw'!AX72</f>
        <v>57.46</v>
      </c>
      <c r="CE155" s="23">
        <f t="shared" si="1220"/>
        <v>57.46</v>
      </c>
      <c r="CF155" s="23">
        <f>+'QTR Raw'!AZ72</f>
        <v>57.46</v>
      </c>
      <c r="CG155" s="23">
        <f t="shared" si="1218"/>
        <v>57.46</v>
      </c>
      <c r="CH155" s="23">
        <f t="shared" si="1205"/>
        <v>57.459200000000003</v>
      </c>
      <c r="CI155" s="23">
        <f t="shared" si="1218"/>
        <v>57.459200000000003</v>
      </c>
      <c r="CJ155" s="23">
        <f>+'QTR Raw'!BD72</f>
        <v>57.46</v>
      </c>
      <c r="CK155" s="24">
        <f t="shared" ref="CK155:CK157" si="1221">+CJ155</f>
        <v>57.46</v>
      </c>
      <c r="CL155" s="23">
        <f>+'QTR Raw'!BF72</f>
        <v>57.46</v>
      </c>
      <c r="CM155" s="24">
        <f t="shared" ref="CM155:CM157" si="1222">+CL155</f>
        <v>57.46</v>
      </c>
      <c r="CN155" s="24">
        <f t="shared" ref="CN155:CN157" si="1223">+CM155</f>
        <v>57.46</v>
      </c>
      <c r="CO155" s="24">
        <f t="shared" ref="CO155:CO157" si="1224">+CN155</f>
        <v>57.46</v>
      </c>
      <c r="CP155" s="24">
        <f t="shared" ref="CP155:CP157" si="1225">+CO155</f>
        <v>57.46</v>
      </c>
      <c r="CQ155" s="24">
        <f t="shared" ref="CQ155:CQ157" si="1226">+CP155</f>
        <v>57.46</v>
      </c>
      <c r="CR155" s="24">
        <f t="shared" ref="CR155:CR157" si="1227">+CQ155</f>
        <v>57.46</v>
      </c>
      <c r="CS155" s="24">
        <f t="shared" ref="CS155:CS157" si="1228">+CR155</f>
        <v>57.46</v>
      </c>
      <c r="CT155" s="24">
        <f t="shared" ref="CT155:CT157" si="1229">+CS155</f>
        <v>57.46</v>
      </c>
      <c r="CU155" s="24">
        <f t="shared" ref="CU155:CU157" si="1230">+CT155</f>
        <v>57.46</v>
      </c>
      <c r="CV155" s="24">
        <f t="shared" ref="CV155:CV157" si="1231">+CU155</f>
        <v>57.46</v>
      </c>
      <c r="CW155" s="24">
        <f t="shared" ref="CW155:CW157" si="1232">+CV155</f>
        <v>57.46</v>
      </c>
      <c r="CX155" s="24">
        <f t="shared" ref="CX155:CX157" si="1233">+CW155</f>
        <v>57.46</v>
      </c>
      <c r="CY155" s="24">
        <f t="shared" ref="CY155:CY157" si="1234">+CX155</f>
        <v>57.46</v>
      </c>
      <c r="CZ155" s="24">
        <f t="shared" ref="CZ155:CZ157" si="1235">+CY155</f>
        <v>57.46</v>
      </c>
      <c r="DA155" s="24">
        <f t="shared" ref="DA155:DA157" si="1236">+CZ155</f>
        <v>57.46</v>
      </c>
      <c r="DB155" s="24">
        <f t="shared" ref="DB155:DB157" si="1237">+DA155</f>
        <v>57.46</v>
      </c>
      <c r="DE155" s="123"/>
      <c r="DF155" s="23">
        <v>57.459200000000003</v>
      </c>
    </row>
    <row r="156" spans="1:110" s="23" customFormat="1" outlineLevel="1" x14ac:dyDescent="0.2">
      <c r="A156" s="23" t="s">
        <v>55</v>
      </c>
      <c r="B156" s="23">
        <f>'Annual Raw'!C68</f>
        <v>0</v>
      </c>
      <c r="C156" s="23">
        <f>'Annual Raw'!D68</f>
        <v>0</v>
      </c>
      <c r="D156" s="23">
        <f>'Annual Raw'!E68</f>
        <v>0</v>
      </c>
      <c r="E156" s="23">
        <f>'Annual Raw'!F68</f>
        <v>0</v>
      </c>
      <c r="F156" s="23">
        <f>'Annual Raw'!G68</f>
        <v>0</v>
      </c>
      <c r="G156" s="23">
        <f>'Annual Raw'!H68</f>
        <v>0</v>
      </c>
      <c r="H156" s="23">
        <f>'Annual Raw'!I68</f>
        <v>0</v>
      </c>
      <c r="I156" s="23">
        <f>'Annual Raw'!J68</f>
        <v>0</v>
      </c>
      <c r="J156" s="23">
        <f>'Annual Raw'!K68</f>
        <v>0</v>
      </c>
      <c r="K156" s="23">
        <f>'Annual Raw'!L68</f>
        <v>0</v>
      </c>
      <c r="L156" s="23">
        <f>'Annual Raw'!M68</f>
        <v>0</v>
      </c>
      <c r="M156" s="23">
        <f>'Annual Raw'!N68</f>
        <v>0</v>
      </c>
      <c r="N156" s="23">
        <f>'Annual Raw'!O68</f>
        <v>0</v>
      </c>
      <c r="O156" s="23">
        <f>'Annual Raw'!P68</f>
        <v>0</v>
      </c>
      <c r="P156" s="23">
        <f>'Annual Raw'!Q68</f>
        <v>0.52439999999999998</v>
      </c>
      <c r="Q156" s="23">
        <f>'Annual Raw'!R68</f>
        <v>0.70479999999999998</v>
      </c>
      <c r="R156" s="23">
        <f>'Annual Raw'!S68</f>
        <v>0</v>
      </c>
      <c r="S156" s="23">
        <f>'Annual Raw'!T68</f>
        <v>0</v>
      </c>
      <c r="T156" s="23">
        <f>'Annual Raw'!U68</f>
        <v>0</v>
      </c>
      <c r="U156" s="23">
        <f>'Annual Raw'!V68</f>
        <v>0</v>
      </c>
      <c r="V156" s="23">
        <f>'Annual Raw'!W68</f>
        <v>0</v>
      </c>
      <c r="W156" s="23">
        <f>'Annual Raw'!X68</f>
        <v>4.7694000000000001</v>
      </c>
      <c r="X156" s="23">
        <f>'Annual Raw'!Y68</f>
        <v>10.742900000000001</v>
      </c>
      <c r="Y156" s="23">
        <f>'Annual Raw'!Z68</f>
        <v>13.077199999999999</v>
      </c>
      <c r="Z156" s="23">
        <f>'Annual Raw'!AA68</f>
        <v>16.352599999999999</v>
      </c>
      <c r="AA156" s="23">
        <f>'Annual Raw'!AB68</f>
        <v>12.765499999999999</v>
      </c>
      <c r="AB156" s="24">
        <f t="shared" si="1201"/>
        <v>0</v>
      </c>
      <c r="AC156" s="24">
        <f t="shared" si="1202"/>
        <v>0</v>
      </c>
      <c r="AD156" s="24">
        <f t="shared" si="1203"/>
        <v>0</v>
      </c>
      <c r="AE156" s="24">
        <f t="shared" si="1204"/>
        <v>0</v>
      </c>
      <c r="AK156" s="23">
        <f t="shared" si="1220"/>
        <v>0</v>
      </c>
      <c r="AM156" s="23">
        <f t="shared" si="1220"/>
        <v>0</v>
      </c>
      <c r="AO156" s="23">
        <f t="shared" si="1220"/>
        <v>0</v>
      </c>
      <c r="AQ156" s="23">
        <f t="shared" si="1220"/>
        <v>0</v>
      </c>
      <c r="AS156" s="23">
        <f t="shared" si="1220"/>
        <v>0</v>
      </c>
      <c r="AU156" s="23">
        <f t="shared" si="1220"/>
        <v>0</v>
      </c>
      <c r="AW156" s="23">
        <f t="shared" si="1220"/>
        <v>0</v>
      </c>
      <c r="AY156" s="23">
        <f t="shared" si="1220"/>
        <v>0</v>
      </c>
      <c r="BA156" s="23">
        <f t="shared" si="1220"/>
        <v>0</v>
      </c>
      <c r="BC156" s="23">
        <f t="shared" si="1220"/>
        <v>0</v>
      </c>
      <c r="BE156" s="23">
        <f t="shared" si="1220"/>
        <v>0</v>
      </c>
      <c r="BG156" s="23">
        <f t="shared" si="1220"/>
        <v>0</v>
      </c>
      <c r="BI156" s="23">
        <f t="shared" si="1220"/>
        <v>0</v>
      </c>
      <c r="BK156" s="23">
        <f t="shared" si="1220"/>
        <v>0</v>
      </c>
      <c r="BM156" s="23">
        <f t="shared" si="1220"/>
        <v>0</v>
      </c>
      <c r="BO156" s="23">
        <f t="shared" si="1220"/>
        <v>0</v>
      </c>
      <c r="BQ156" s="23">
        <f t="shared" si="1220"/>
        <v>0</v>
      </c>
      <c r="BS156" s="23">
        <f t="shared" si="1220"/>
        <v>0</v>
      </c>
      <c r="BU156" s="23">
        <f t="shared" si="1220"/>
        <v>0</v>
      </c>
      <c r="BW156" s="23">
        <f t="shared" si="1220"/>
        <v>0</v>
      </c>
      <c r="BY156" s="23">
        <f t="shared" si="1220"/>
        <v>0</v>
      </c>
      <c r="CA156" s="23">
        <f t="shared" si="1220"/>
        <v>0</v>
      </c>
      <c r="CC156" s="23">
        <f t="shared" si="1220"/>
        <v>0</v>
      </c>
      <c r="CE156" s="23">
        <f t="shared" si="1220"/>
        <v>0</v>
      </c>
      <c r="CG156" s="23">
        <f t="shared" si="1218"/>
        <v>0</v>
      </c>
      <c r="CH156" s="23">
        <f t="shared" si="1205"/>
        <v>16.352599999999999</v>
      </c>
      <c r="CI156" s="23">
        <f t="shared" si="1218"/>
        <v>16.352599999999999</v>
      </c>
      <c r="CK156" s="24">
        <f t="shared" si="1221"/>
        <v>0</v>
      </c>
      <c r="CM156" s="24">
        <f t="shared" si="1222"/>
        <v>0</v>
      </c>
      <c r="CN156" s="24">
        <f t="shared" si="1223"/>
        <v>0</v>
      </c>
      <c r="CO156" s="24">
        <f t="shared" si="1224"/>
        <v>0</v>
      </c>
      <c r="CP156" s="24">
        <f t="shared" si="1225"/>
        <v>0</v>
      </c>
      <c r="CQ156" s="24">
        <f t="shared" si="1226"/>
        <v>0</v>
      </c>
      <c r="CR156" s="24">
        <f t="shared" si="1227"/>
        <v>0</v>
      </c>
      <c r="CS156" s="24">
        <f t="shared" si="1228"/>
        <v>0</v>
      </c>
      <c r="CT156" s="24">
        <f t="shared" si="1229"/>
        <v>0</v>
      </c>
      <c r="CU156" s="24">
        <f t="shared" si="1230"/>
        <v>0</v>
      </c>
      <c r="CV156" s="24">
        <f t="shared" si="1231"/>
        <v>0</v>
      </c>
      <c r="CW156" s="24">
        <f t="shared" si="1232"/>
        <v>0</v>
      </c>
      <c r="CX156" s="24">
        <f t="shared" si="1233"/>
        <v>0</v>
      </c>
      <c r="CY156" s="24">
        <f t="shared" si="1234"/>
        <v>0</v>
      </c>
      <c r="CZ156" s="24">
        <f t="shared" si="1235"/>
        <v>0</v>
      </c>
      <c r="DA156" s="24">
        <f t="shared" si="1236"/>
        <v>0</v>
      </c>
      <c r="DB156" s="24">
        <f t="shared" si="1237"/>
        <v>0</v>
      </c>
      <c r="DE156" s="123"/>
      <c r="DF156" s="23">
        <v>12.765499999999999</v>
      </c>
    </row>
    <row r="157" spans="1:110" s="23" customFormat="1" outlineLevel="1" x14ac:dyDescent="0.2">
      <c r="A157" s="23" t="s">
        <v>56</v>
      </c>
      <c r="B157" s="23">
        <f>'Annual Raw'!C67+'Annual Raw'!C66+'Annual Raw'!C69+'Annual Raw'!C70</f>
        <v>2.8645999999999998</v>
      </c>
      <c r="C157" s="23">
        <f>'Annual Raw'!D67+'Annual Raw'!D66+'Annual Raw'!D69+'Annual Raw'!D70</f>
        <v>4.4604999999999997</v>
      </c>
      <c r="D157" s="23">
        <f>'Annual Raw'!E67+'Annual Raw'!E66+'Annual Raw'!E69+'Annual Raw'!E70</f>
        <v>5.9771999999999998</v>
      </c>
      <c r="E157" s="23">
        <f>'Annual Raw'!F67+'Annual Raw'!F66+'Annual Raw'!F69+'Annual Raw'!F70</f>
        <v>0</v>
      </c>
      <c r="F157" s="23">
        <f>'Annual Raw'!G67+'Annual Raw'!G66+'Annual Raw'!G69+'Annual Raw'!G70</f>
        <v>0.41320000000000001</v>
      </c>
      <c r="G157" s="23">
        <f>'Annual Raw'!H67+'Annual Raw'!H66+'Annual Raw'!H69+'Annual Raw'!H70</f>
        <v>12.799899999999999</v>
      </c>
      <c r="H157" s="23">
        <f>'Annual Raw'!I67+'Annual Raw'!I66+'Annual Raw'!I69+'Annual Raw'!I70</f>
        <v>22.2685</v>
      </c>
      <c r="I157" s="23">
        <f>'Annual Raw'!J67+'Annual Raw'!J66+'Annual Raw'!J69+'Annual Raw'!J70</f>
        <v>2.2862</v>
      </c>
      <c r="J157" s="23">
        <f>'Annual Raw'!K67+'Annual Raw'!K66+'Annual Raw'!K69+'Annual Raw'!K70</f>
        <v>6.6948999999999996</v>
      </c>
      <c r="K157" s="23">
        <f>'Annual Raw'!L67+'Annual Raw'!L66+'Annual Raw'!L69+'Annual Raw'!L70</f>
        <v>8.0199999999999994E-2</v>
      </c>
      <c r="L157" s="23">
        <f>'Annual Raw'!M67+'Annual Raw'!M66+'Annual Raw'!M69+'Annual Raw'!M70</f>
        <v>3.7490000000000001</v>
      </c>
      <c r="M157" s="23">
        <f>'Annual Raw'!N67+'Annual Raw'!N66+'Annual Raw'!N69+'Annual Raw'!N70</f>
        <v>38.9955</v>
      </c>
      <c r="N157" s="23">
        <f>'Annual Raw'!O67+'Annual Raw'!O66+'Annual Raw'!O69+'Annual Raw'!O70</f>
        <v>4.8070000000000004</v>
      </c>
      <c r="O157" s="23">
        <f>'Annual Raw'!P67+'Annual Raw'!P66+'Annual Raw'!P69+'Annual Raw'!P70</f>
        <v>46.357799999999997</v>
      </c>
      <c r="P157" s="23">
        <f>'Annual Raw'!Q67+'Annual Raw'!Q66+'Annual Raw'!Q69+'Annual Raw'!Q70</f>
        <v>54.646900000000002</v>
      </c>
      <c r="Q157" s="23">
        <f>'Annual Raw'!R67+'Annual Raw'!R66+'Annual Raw'!R69+'Annual Raw'!R70</f>
        <v>134.18520000000001</v>
      </c>
      <c r="R157" s="23">
        <f>'Annual Raw'!S67+'Annual Raw'!S66+'Annual Raw'!S69+'Annual Raw'!S70</f>
        <v>3.7625000000000002</v>
      </c>
      <c r="S157" s="23">
        <f>'Annual Raw'!T67+'Annual Raw'!T66+'Annual Raw'!T69+'Annual Raw'!T70</f>
        <v>17.4023</v>
      </c>
      <c r="T157" s="23">
        <f>'Annual Raw'!U67+'Annual Raw'!U66+'Annual Raw'!U69+'Annual Raw'!U70</f>
        <v>15.0899</v>
      </c>
      <c r="U157" s="23">
        <f>'Annual Raw'!V67+'Annual Raw'!V66+'Annual Raw'!V69+'Annual Raw'!V70</f>
        <v>16.166899999999998</v>
      </c>
      <c r="V157" s="23">
        <f>'Annual Raw'!W67+'Annual Raw'!W66+'Annual Raw'!W69+'Annual Raw'!W70</f>
        <v>25.566800000000001</v>
      </c>
      <c r="W157" s="23">
        <f>'Annual Raw'!X67+'Annual Raw'!X66+'Annual Raw'!X69+'Annual Raw'!X70</f>
        <v>13.9057</v>
      </c>
      <c r="X157" s="23">
        <f>'Annual Raw'!Y67+'Annual Raw'!Y66+'Annual Raw'!Y69+'Annual Raw'!Y70</f>
        <v>44.409199999999998</v>
      </c>
      <c r="Y157" s="23">
        <f>'Annual Raw'!Z67+'Annual Raw'!Z66+'Annual Raw'!Z69+'Annual Raw'!Z70</f>
        <v>63.321800000000003</v>
      </c>
      <c r="Z157" s="23">
        <f>'Annual Raw'!AA67+'Annual Raw'!AA66+'Annual Raw'!AA69+'Annual Raw'!AA70</f>
        <v>46.700099999999999</v>
      </c>
      <c r="AA157" s="23">
        <f>'Annual Raw'!AB67+'Annual Raw'!AB66+'Annual Raw'!AB69+'Annual Raw'!AB70</f>
        <v>61.163899999999998</v>
      </c>
      <c r="AB157" s="24">
        <f t="shared" si="1201"/>
        <v>61.16</v>
      </c>
      <c r="AC157" s="24">
        <f t="shared" si="1202"/>
        <v>61.16</v>
      </c>
      <c r="AD157" s="24">
        <f t="shared" si="1203"/>
        <v>61.16</v>
      </c>
      <c r="AE157" s="24">
        <f t="shared" si="1204"/>
        <v>61.16</v>
      </c>
      <c r="AJ157" s="23">
        <f>+'QTR Raw'!D74+'QTR Raw'!D75</f>
        <v>0</v>
      </c>
      <c r="AK157" s="23">
        <f t="shared" si="1220"/>
        <v>0</v>
      </c>
      <c r="AL157" s="23">
        <f>+'QTR Raw'!F74+'QTR Raw'!F75</f>
        <v>0</v>
      </c>
      <c r="AM157" s="23">
        <f t="shared" si="1220"/>
        <v>0</v>
      </c>
      <c r="AN157" s="23">
        <f>+'QTR Raw'!H74+'QTR Raw'!H75</f>
        <v>46.854999999999997</v>
      </c>
      <c r="AO157" s="23">
        <f t="shared" si="1220"/>
        <v>46.854999999999997</v>
      </c>
      <c r="AP157" s="23">
        <f>+'QTR Raw'!J74+'QTR Raw'!J75</f>
        <v>0</v>
      </c>
      <c r="AQ157" s="23">
        <f t="shared" si="1220"/>
        <v>0</v>
      </c>
      <c r="AR157" s="23">
        <f>+'QTR Raw'!L74+'QTR Raw'!L75</f>
        <v>0</v>
      </c>
      <c r="AS157" s="23">
        <f t="shared" si="1220"/>
        <v>0</v>
      </c>
      <c r="AT157" s="23">
        <f>+'QTR Raw'!N74+'QTR Raw'!N75</f>
        <v>0</v>
      </c>
      <c r="AU157" s="23">
        <f t="shared" si="1220"/>
        <v>0</v>
      </c>
      <c r="AV157" s="23">
        <f>+'QTR Raw'!P74+'QTR Raw'!P75</f>
        <v>0</v>
      </c>
      <c r="AW157" s="23">
        <f t="shared" si="1220"/>
        <v>0</v>
      </c>
      <c r="AX157" s="23">
        <f>+'QTR Raw'!R74+'QTR Raw'!R75</f>
        <v>134.185</v>
      </c>
      <c r="AY157" s="23">
        <f t="shared" si="1220"/>
        <v>134.185</v>
      </c>
      <c r="AZ157" s="23">
        <f>+'QTR Raw'!T74+'QTR Raw'!T75</f>
        <v>176.083</v>
      </c>
      <c r="BA157" s="23">
        <f t="shared" si="1220"/>
        <v>176.083</v>
      </c>
      <c r="BB157" s="23">
        <f>+'QTR Raw'!V74+'QTR Raw'!V75</f>
        <v>3.7629999999999999</v>
      </c>
      <c r="BC157" s="23">
        <f t="shared" si="1220"/>
        <v>3.7629999999999999</v>
      </c>
      <c r="BD157" s="23">
        <f>+'QTR Raw'!X74+'QTR Raw'!X75</f>
        <v>17.163</v>
      </c>
      <c r="BE157" s="23">
        <f t="shared" si="1220"/>
        <v>17.163</v>
      </c>
      <c r="BF157" s="23">
        <f>+'QTR Raw'!Z74+'QTR Raw'!Z75</f>
        <v>17.402000000000001</v>
      </c>
      <c r="BG157" s="23">
        <f t="shared" si="1220"/>
        <v>17.402000000000001</v>
      </c>
      <c r="BH157" s="23">
        <f>+'QTR Raw'!AB74+'QTR Raw'!AB75</f>
        <v>6.6429999999999998</v>
      </c>
      <c r="BI157" s="23">
        <f t="shared" si="1220"/>
        <v>6.6429999999999998</v>
      </c>
      <c r="BJ157" s="23">
        <f>+'QTR Raw'!AD74+'QTR Raw'!AD75</f>
        <v>15.09</v>
      </c>
      <c r="BK157" s="23">
        <f t="shared" si="1220"/>
        <v>15.09</v>
      </c>
      <c r="BL157" s="23">
        <f>+'QTR Raw'!AF74+'QTR Raw'!AF75</f>
        <v>19.495000000000001</v>
      </c>
      <c r="BM157" s="23">
        <f t="shared" si="1220"/>
        <v>19.495000000000001</v>
      </c>
      <c r="BN157" s="23">
        <f>+'QTR Raw'!AH74+'QTR Raw'!AH75</f>
        <v>16.167000000000002</v>
      </c>
      <c r="BO157" s="23">
        <f t="shared" si="1220"/>
        <v>16.167000000000002</v>
      </c>
      <c r="BP157" s="23">
        <f>+'QTR Raw'!AJ74+'QTR Raw'!AJ75</f>
        <v>15.638</v>
      </c>
      <c r="BQ157" s="23">
        <f t="shared" si="1220"/>
        <v>15.638</v>
      </c>
      <c r="BR157" s="23">
        <f>+'QTR Raw'!AL74+'QTR Raw'!AL75</f>
        <v>25.567</v>
      </c>
      <c r="BS157" s="23">
        <f t="shared" si="1220"/>
        <v>25.567</v>
      </c>
      <c r="BT157" s="23">
        <f>+'QTR Raw'!AN74+'QTR Raw'!AN75</f>
        <v>7.0670000000000002</v>
      </c>
      <c r="BU157" s="23">
        <f t="shared" si="1220"/>
        <v>7.0670000000000002</v>
      </c>
      <c r="BV157" s="23">
        <f>+'QTR Raw'!AP74+'QTR Raw'!AP75</f>
        <v>13.91</v>
      </c>
      <c r="BW157" s="23">
        <f t="shared" si="1220"/>
        <v>13.91</v>
      </c>
      <c r="BX157" s="23">
        <f>+'QTR Raw'!AR74+'QTR Raw'!AR75</f>
        <v>16.420000000000002</v>
      </c>
      <c r="BY157" s="23">
        <f t="shared" si="1220"/>
        <v>16.420000000000002</v>
      </c>
      <c r="BZ157" s="23">
        <f>+'QTR Raw'!AT74+'QTR Raw'!AT75</f>
        <v>44.41</v>
      </c>
      <c r="CA157" s="23">
        <f t="shared" si="1220"/>
        <v>44.41</v>
      </c>
      <c r="CB157" s="23">
        <f>+'QTR Raw'!AV74+'QTR Raw'!AV75</f>
        <v>72.44</v>
      </c>
      <c r="CC157" s="23">
        <f t="shared" si="1220"/>
        <v>72.44</v>
      </c>
      <c r="CD157" s="23">
        <f>+'QTR Raw'!AX74+'QTR Raw'!AX75</f>
        <v>63.32</v>
      </c>
      <c r="CE157" s="23">
        <f t="shared" si="1220"/>
        <v>63.32</v>
      </c>
      <c r="CF157" s="23">
        <f>+'QTR Raw'!AZ74+'QTR Raw'!AZ75</f>
        <v>41.96</v>
      </c>
      <c r="CG157" s="23">
        <f t="shared" si="1218"/>
        <v>41.96</v>
      </c>
      <c r="CH157" s="23">
        <f t="shared" si="1205"/>
        <v>46.700099999999999</v>
      </c>
      <c r="CI157" s="23">
        <f t="shared" si="1218"/>
        <v>46.700099999999999</v>
      </c>
      <c r="CJ157" s="23">
        <f>+'QTR Raw'!BD74+'QTR Raw'!BD75</f>
        <v>32.15</v>
      </c>
      <c r="CK157" s="24">
        <f t="shared" si="1221"/>
        <v>32.15</v>
      </c>
      <c r="CL157" s="23">
        <f>+'QTR Raw'!BF74+'QTR Raw'!BF75</f>
        <v>61.16</v>
      </c>
      <c r="CM157" s="24">
        <f t="shared" si="1222"/>
        <v>61.16</v>
      </c>
      <c r="CN157" s="24">
        <f t="shared" si="1223"/>
        <v>61.16</v>
      </c>
      <c r="CO157" s="24">
        <f t="shared" si="1224"/>
        <v>61.16</v>
      </c>
      <c r="CP157" s="24">
        <f t="shared" si="1225"/>
        <v>61.16</v>
      </c>
      <c r="CQ157" s="24">
        <f t="shared" si="1226"/>
        <v>61.16</v>
      </c>
      <c r="CR157" s="24">
        <f t="shared" si="1227"/>
        <v>61.16</v>
      </c>
      <c r="CS157" s="24">
        <f t="shared" si="1228"/>
        <v>61.16</v>
      </c>
      <c r="CT157" s="24">
        <f t="shared" si="1229"/>
        <v>61.16</v>
      </c>
      <c r="CU157" s="24">
        <f t="shared" si="1230"/>
        <v>61.16</v>
      </c>
      <c r="CV157" s="24">
        <f t="shared" si="1231"/>
        <v>61.16</v>
      </c>
      <c r="CW157" s="24">
        <f t="shared" si="1232"/>
        <v>61.16</v>
      </c>
      <c r="CX157" s="24">
        <f t="shared" si="1233"/>
        <v>61.16</v>
      </c>
      <c r="CY157" s="24">
        <f t="shared" si="1234"/>
        <v>61.16</v>
      </c>
      <c r="CZ157" s="24">
        <f t="shared" si="1235"/>
        <v>61.16</v>
      </c>
      <c r="DA157" s="24">
        <f t="shared" si="1236"/>
        <v>61.16</v>
      </c>
      <c r="DB157" s="24">
        <f t="shared" si="1237"/>
        <v>61.16</v>
      </c>
      <c r="DE157" s="123"/>
      <c r="DF157" s="23">
        <v>61.163899999999998</v>
      </c>
    </row>
    <row r="158" spans="1:110" s="22" customFormat="1" x14ac:dyDescent="0.2">
      <c r="A158" s="22" t="s">
        <v>57</v>
      </c>
      <c r="B158" s="22">
        <f>B154+B157+B156</f>
        <v>58.97440000000001</v>
      </c>
      <c r="C158" s="22">
        <f t="shared" ref="C158:D158" si="1238">C154+C157+C156</f>
        <v>82.293499999999995</v>
      </c>
      <c r="D158" s="22">
        <f t="shared" si="1238"/>
        <v>95.721199999999996</v>
      </c>
      <c r="E158" s="22">
        <f t="shared" ref="E158:Y158" si="1239">E154+E157+E156+E155</f>
        <v>128.17330000000001</v>
      </c>
      <c r="F158" s="22">
        <f t="shared" si="1239"/>
        <v>134.749</v>
      </c>
      <c r="G158" s="22">
        <f t="shared" si="1239"/>
        <v>147.30330000000001</v>
      </c>
      <c r="H158" s="22">
        <f t="shared" si="1239"/>
        <v>250.21709999999996</v>
      </c>
      <c r="I158" s="22">
        <f t="shared" si="1239"/>
        <v>261.57800000000003</v>
      </c>
      <c r="J158" s="22">
        <f t="shared" si="1239"/>
        <v>253.40609999999992</v>
      </c>
      <c r="K158" s="22">
        <f t="shared" si="1239"/>
        <v>246.85599999999997</v>
      </c>
      <c r="L158" s="22">
        <f t="shared" si="1239"/>
        <v>262.1438</v>
      </c>
      <c r="M158" s="22">
        <f t="shared" si="1239"/>
        <v>315.31009999999998</v>
      </c>
      <c r="N158" s="22">
        <f t="shared" si="1239"/>
        <v>339.21530000000007</v>
      </c>
      <c r="O158" s="22">
        <f t="shared" si="1239"/>
        <v>356.90839999999997</v>
      </c>
      <c r="P158" s="22">
        <f t="shared" si="1239"/>
        <v>383.73430000000013</v>
      </c>
      <c r="Q158" s="22">
        <f t="shared" si="1239"/>
        <v>575.10980000000006</v>
      </c>
      <c r="R158" s="22">
        <f t="shared" si="1239"/>
        <v>683.20680000000016</v>
      </c>
      <c r="S158" s="22">
        <f t="shared" si="1239"/>
        <v>656.90569999999991</v>
      </c>
      <c r="T158" s="22">
        <f t="shared" si="1239"/>
        <v>636.02409999999998</v>
      </c>
      <c r="U158" s="22">
        <f t="shared" si="1239"/>
        <v>667.42909999999995</v>
      </c>
      <c r="V158" s="22">
        <f t="shared" si="1239"/>
        <v>659.21939999999995</v>
      </c>
      <c r="W158" s="22">
        <f t="shared" si="1239"/>
        <v>1295.6694999999997</v>
      </c>
      <c r="X158" s="22">
        <f t="shared" si="1239"/>
        <v>1956.1624000000002</v>
      </c>
      <c r="Y158" s="22">
        <f t="shared" si="1239"/>
        <v>2080.7960999999996</v>
      </c>
      <c r="Z158" s="22">
        <f>Z154+Z157+Z156+Z155</f>
        <v>2031.2433000000001</v>
      </c>
      <c r="AA158" s="22">
        <f>AA154+AA157+AA156+AA155</f>
        <v>1959.3459000000003</v>
      </c>
      <c r="AB158" s="161">
        <f t="shared" ref="AB158:AE158" si="1240">AB154+AB157+AB156+AB155</f>
        <v>1865.1489094781452</v>
      </c>
      <c r="AC158" s="161">
        <f t="shared" si="1240"/>
        <v>1797.6008826206833</v>
      </c>
      <c r="AD158" s="161">
        <f t="shared" si="1240"/>
        <v>1737.1201035018476</v>
      </c>
      <c r="AE158" s="161">
        <f t="shared" si="1240"/>
        <v>1682.9671576202416</v>
      </c>
      <c r="AJ158" s="22">
        <f t="shared" ref="AJ158" si="1241">AJ154+AJ157+AJ155+AJ156</f>
        <v>290.38099999999997</v>
      </c>
      <c r="AK158" s="22">
        <f t="shared" ref="AK158" si="1242">AK154+AK157+AK155+AK156</f>
        <v>290.38099999999997</v>
      </c>
      <c r="AL158" s="22">
        <f t="shared" ref="AL158:AM158" si="1243">AL154+AL157+AL155+AL156</f>
        <v>339.21499999999997</v>
      </c>
      <c r="AM158" s="22">
        <f t="shared" si="1243"/>
        <v>339.21499999999997</v>
      </c>
      <c r="AN158" s="22">
        <f t="shared" ref="AN158:AO158" si="1244">AN154+AN157+AN155+AN156</f>
        <v>345.34900000000005</v>
      </c>
      <c r="AO158" s="22">
        <f t="shared" si="1244"/>
        <v>345.34900000000005</v>
      </c>
      <c r="AP158" s="22">
        <f t="shared" ref="AP158:CE158" si="1245">AP154+AP157+AP155+AP156</f>
        <v>356.90799999999996</v>
      </c>
      <c r="AQ158" s="22">
        <f t="shared" si="1245"/>
        <v>356.90799999999996</v>
      </c>
      <c r="AR158" s="22">
        <f t="shared" si="1245"/>
        <v>329.78399999999999</v>
      </c>
      <c r="AS158" s="22">
        <f t="shared" si="1245"/>
        <v>329.78399999999999</v>
      </c>
      <c r="AT158" s="22">
        <f t="shared" si="1245"/>
        <v>383.73399999999998</v>
      </c>
      <c r="AU158" s="22">
        <f t="shared" si="1245"/>
        <v>383.73399999999998</v>
      </c>
      <c r="AV158" s="22">
        <f t="shared" si="1245"/>
        <v>449.66199999999998</v>
      </c>
      <c r="AW158" s="22">
        <f t="shared" si="1245"/>
        <v>449.66199999999998</v>
      </c>
      <c r="AX158" s="22">
        <f t="shared" si="1245"/>
        <v>575.11</v>
      </c>
      <c r="AY158" s="22">
        <f t="shared" si="1245"/>
        <v>575.11</v>
      </c>
      <c r="AZ158" s="22">
        <f t="shared" si="1245"/>
        <v>567.25699999999995</v>
      </c>
      <c r="BA158" s="22">
        <f t="shared" si="1245"/>
        <v>567.25699999999995</v>
      </c>
      <c r="BB158" s="22">
        <f t="shared" si="1245"/>
        <v>683.20699999999999</v>
      </c>
      <c r="BC158" s="22">
        <f t="shared" si="1245"/>
        <v>683.20699999999999</v>
      </c>
      <c r="BD158" s="22">
        <f t="shared" si="1245"/>
        <v>602.57399999999996</v>
      </c>
      <c r="BE158" s="22">
        <f t="shared" si="1245"/>
        <v>602.57399999999996</v>
      </c>
      <c r="BF158" s="22">
        <f t="shared" si="1245"/>
        <v>656.90500000000009</v>
      </c>
      <c r="BG158" s="22">
        <f t="shared" si="1245"/>
        <v>656.90500000000009</v>
      </c>
      <c r="BH158" s="22">
        <f t="shared" si="1245"/>
        <v>579.495</v>
      </c>
      <c r="BI158" s="22">
        <f t="shared" si="1245"/>
        <v>579.495</v>
      </c>
      <c r="BJ158" s="22">
        <f t="shared" si="1245"/>
        <v>636.02499999999998</v>
      </c>
      <c r="BK158" s="22">
        <f t="shared" si="1245"/>
        <v>636.02499999999998</v>
      </c>
      <c r="BL158" s="22">
        <f t="shared" si="1245"/>
        <v>658.01199999999994</v>
      </c>
      <c r="BM158" s="22">
        <f t="shared" si="1245"/>
        <v>658.01199999999994</v>
      </c>
      <c r="BN158" s="22">
        <f t="shared" si="1245"/>
        <v>667.42899999999997</v>
      </c>
      <c r="BO158" s="22">
        <f t="shared" si="1245"/>
        <v>667.42899999999997</v>
      </c>
      <c r="BP158" s="22">
        <f t="shared" si="1245"/>
        <v>665.37400000000002</v>
      </c>
      <c r="BQ158" s="22">
        <f t="shared" si="1245"/>
        <v>665.37400000000002</v>
      </c>
      <c r="BR158" s="22">
        <f t="shared" si="1245"/>
        <v>634.54199999999992</v>
      </c>
      <c r="BS158" s="22">
        <f t="shared" si="1245"/>
        <v>634.54199999999992</v>
      </c>
      <c r="BT158" s="22">
        <f t="shared" si="1245"/>
        <v>665.23</v>
      </c>
      <c r="BU158" s="22">
        <f t="shared" si="1245"/>
        <v>665.23</v>
      </c>
      <c r="BV158" s="22">
        <f t="shared" si="1245"/>
        <v>1262.23</v>
      </c>
      <c r="BW158" s="22">
        <f t="shared" si="1245"/>
        <v>1262.23</v>
      </c>
      <c r="BX158" s="22">
        <f t="shared" si="1245"/>
        <v>1598.94</v>
      </c>
      <c r="BY158" s="22">
        <f t="shared" si="1245"/>
        <v>1598.94</v>
      </c>
      <c r="BZ158" s="22">
        <f t="shared" si="1245"/>
        <v>1927.5400000000002</v>
      </c>
      <c r="CA158" s="22">
        <f t="shared" si="1245"/>
        <v>1927.5400000000002</v>
      </c>
      <c r="CB158" s="22">
        <f t="shared" si="1245"/>
        <v>1962.1000000000001</v>
      </c>
      <c r="CC158" s="22">
        <f t="shared" si="1245"/>
        <v>1962.1000000000001</v>
      </c>
      <c r="CD158" s="22">
        <f t="shared" si="1245"/>
        <v>2056.0699999999997</v>
      </c>
      <c r="CE158" s="22">
        <f t="shared" si="1245"/>
        <v>2056.0699999999997</v>
      </c>
      <c r="CF158" s="22">
        <f t="shared" ref="CF158:CG158" si="1246">CF154+CF157+CF155+CF156</f>
        <v>2034.6000000000001</v>
      </c>
      <c r="CG158" s="22">
        <f t="shared" si="1246"/>
        <v>2034.6000000000001</v>
      </c>
      <c r="CH158" s="22">
        <f t="shared" ref="CH158:CJ158" si="1247">CH154+CH157+CH155+CH156</f>
        <v>2031.2433000000001</v>
      </c>
      <c r="CI158" s="22">
        <f t="shared" si="1247"/>
        <v>1988.5433000000003</v>
      </c>
      <c r="CJ158" s="22">
        <f t="shared" si="1247"/>
        <v>1970.18</v>
      </c>
      <c r="CK158" s="21">
        <f t="shared" ref="CK158:DB158" si="1248">CK154+CK157+CK155+CK156</f>
        <v>1924.8300000000004</v>
      </c>
      <c r="CL158" s="22">
        <f t="shared" si="1248"/>
        <v>1940.5900000000001</v>
      </c>
      <c r="CM158" s="21">
        <f t="shared" si="1248"/>
        <v>1920.9410643410602</v>
      </c>
      <c r="CN158" s="21">
        <f t="shared" si="1248"/>
        <v>1901.8275649090049</v>
      </c>
      <c r="CO158" s="21">
        <f t="shared" si="1248"/>
        <v>1883.2349109922541</v>
      </c>
      <c r="CP158" s="21">
        <f t="shared" si="1248"/>
        <v>1865.1489094781452</v>
      </c>
      <c r="CQ158" s="21">
        <f t="shared" si="1248"/>
        <v>1847.5557540183083</v>
      </c>
      <c r="CR158" s="21">
        <f t="shared" si="1248"/>
        <v>1830.4420144892842</v>
      </c>
      <c r="CS158" s="21">
        <f t="shared" si="1248"/>
        <v>1813.7946267403445</v>
      </c>
      <c r="CT158" s="21">
        <f t="shared" si="1248"/>
        <v>1797.6008826206833</v>
      </c>
      <c r="CU158" s="21">
        <f t="shared" si="1248"/>
        <v>1781.84842027837</v>
      </c>
      <c r="CV158" s="21">
        <f t="shared" si="1248"/>
        <v>1766.5252147236565</v>
      </c>
      <c r="CW158" s="21">
        <f t="shared" si="1248"/>
        <v>1751.6195686494366</v>
      </c>
      <c r="CX158" s="21">
        <f t="shared" si="1248"/>
        <v>1737.1201035018476</v>
      </c>
      <c r="CY158" s="21">
        <f t="shared" si="1248"/>
        <v>1723.0157507942008</v>
      </c>
      <c r="CZ158" s="21">
        <f t="shared" si="1248"/>
        <v>1709.295743657608</v>
      </c>
      <c r="DA158" s="21">
        <f t="shared" si="1248"/>
        <v>1695.9496086218537</v>
      </c>
      <c r="DB158" s="21">
        <f t="shared" si="1248"/>
        <v>1682.9671576202416</v>
      </c>
      <c r="DE158" s="126"/>
      <c r="DF158" s="22">
        <v>1959.3459000000003</v>
      </c>
    </row>
    <row r="159" spans="1:110" s="23" customFormat="1" x14ac:dyDescent="0.2">
      <c r="AB159" s="24"/>
      <c r="AC159" s="24"/>
      <c r="AD159" s="24"/>
      <c r="AE159" s="24"/>
      <c r="CK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</row>
    <row r="160" spans="1:110" s="23" customFormat="1" x14ac:dyDescent="0.2">
      <c r="A160" s="23" t="s">
        <v>58</v>
      </c>
      <c r="B160" s="23">
        <f>'Annual Raw'!C71</f>
        <v>1.9588000000000001</v>
      </c>
      <c r="C160" s="23">
        <f>'Annual Raw'!D71</f>
        <v>2.5592999999999999</v>
      </c>
      <c r="D160" s="23">
        <f>'Annual Raw'!E71</f>
        <v>2.5527000000000002</v>
      </c>
      <c r="E160" s="23">
        <f>'Annual Raw'!F71</f>
        <v>2.7444999999999999</v>
      </c>
      <c r="F160" s="23">
        <f>'Annual Raw'!G71</f>
        <v>2.9007999999999998</v>
      </c>
      <c r="G160" s="23">
        <f>'Annual Raw'!H71</f>
        <v>2.9022999999999999</v>
      </c>
      <c r="H160" s="23">
        <f>'Annual Raw'!I71</f>
        <v>7.4862000000000002</v>
      </c>
      <c r="I160" s="23">
        <f>'Annual Raw'!J71</f>
        <v>7.5180999999999996</v>
      </c>
      <c r="J160" s="23">
        <f>'Annual Raw'!K71</f>
        <v>7.4884000000000004</v>
      </c>
      <c r="K160" s="23">
        <f>'Annual Raw'!L71</f>
        <v>24.2729</v>
      </c>
      <c r="L160" s="23">
        <f>'Annual Raw'!M71</f>
        <v>3.9363999999999999</v>
      </c>
      <c r="M160" s="23">
        <f>'Annual Raw'!N71</f>
        <v>2.9961000000000002</v>
      </c>
      <c r="N160" s="23">
        <f>'Annual Raw'!O71</f>
        <v>2.9931000000000001</v>
      </c>
      <c r="O160" s="23">
        <f>'Annual Raw'!P71</f>
        <v>2.7530999999999999</v>
      </c>
      <c r="P160" s="23">
        <f>'Annual Raw'!Q71</f>
        <v>184.83240000000001</v>
      </c>
      <c r="Q160" s="23">
        <f>'Annual Raw'!R71</f>
        <v>231.41550000000001</v>
      </c>
      <c r="R160" s="23">
        <f>'Annual Raw'!S71</f>
        <v>185.84200000000001</v>
      </c>
      <c r="S160" s="23">
        <f>'Annual Raw'!T71</f>
        <v>49.957900000000002</v>
      </c>
      <c r="T160" s="23">
        <f>'Annual Raw'!U71</f>
        <v>95.875600000000006</v>
      </c>
      <c r="U160" s="23">
        <f>'Annual Raw'!V71</f>
        <v>69.454499999999996</v>
      </c>
      <c r="V160" s="23">
        <f>'Annual Raw'!W71</f>
        <v>12.9087</v>
      </c>
      <c r="W160" s="23">
        <f>'Annual Raw'!X71</f>
        <v>12.722099999999999</v>
      </c>
      <c r="X160" s="23">
        <f>'Annual Raw'!Y71</f>
        <v>13.7841</v>
      </c>
      <c r="Y160" s="23">
        <f>'Annual Raw'!Z71</f>
        <v>23.708200000000001</v>
      </c>
      <c r="Z160" s="23">
        <f>'Annual Raw'!AA71</f>
        <v>27.979500000000002</v>
      </c>
      <c r="AA160" s="23">
        <f>'Annual Raw'!AB71</f>
        <v>26.029499999999999</v>
      </c>
      <c r="AB160" s="24">
        <f>+CP160</f>
        <v>26.03</v>
      </c>
      <c r="AC160" s="24">
        <f>+CT160</f>
        <v>26.03</v>
      </c>
      <c r="AD160" s="24">
        <f>+CX160</f>
        <v>26.03</v>
      </c>
      <c r="AE160" s="24">
        <f>+DB160</f>
        <v>26.03</v>
      </c>
      <c r="AJ160" s="23">
        <f>+'QTR Raw'!D77</f>
        <v>38.844999999999999</v>
      </c>
      <c r="AK160" s="23">
        <f t="shared" ref="AK160:CE160" si="1249">+AJ160</f>
        <v>38.844999999999999</v>
      </c>
      <c r="AL160" s="23">
        <f>+'QTR Raw'!F77</f>
        <v>2.9929999999999999</v>
      </c>
      <c r="AM160" s="23">
        <f t="shared" si="1249"/>
        <v>2.9929999999999999</v>
      </c>
      <c r="AN160" s="23">
        <f>+'QTR Raw'!H77</f>
        <v>38.869</v>
      </c>
      <c r="AO160" s="23">
        <f t="shared" si="1249"/>
        <v>38.869</v>
      </c>
      <c r="AP160" s="23">
        <f>+'QTR Raw'!J77</f>
        <v>2.7530000000000001</v>
      </c>
      <c r="AQ160" s="23">
        <f t="shared" si="1249"/>
        <v>2.7530000000000001</v>
      </c>
      <c r="AR160" s="23">
        <f>+'QTR Raw'!L77</f>
        <v>39.517000000000003</v>
      </c>
      <c r="AS160" s="23">
        <f t="shared" si="1249"/>
        <v>39.517000000000003</v>
      </c>
      <c r="AT160" s="23">
        <f>+'QTR Raw'!N77</f>
        <v>184.83199999999999</v>
      </c>
      <c r="AU160" s="23">
        <f t="shared" si="1249"/>
        <v>184.83199999999999</v>
      </c>
      <c r="AV160" s="23">
        <f>+'QTR Raw'!P77</f>
        <v>230.71600000000001</v>
      </c>
      <c r="AW160" s="23">
        <f t="shared" si="1249"/>
        <v>230.71600000000001</v>
      </c>
      <c r="AX160" s="23">
        <f>+'QTR Raw'!R77</f>
        <v>231.416</v>
      </c>
      <c r="AY160" s="23">
        <f t="shared" si="1249"/>
        <v>231.416</v>
      </c>
      <c r="AZ160" s="23">
        <f>+'QTR Raw'!T77</f>
        <v>335.065</v>
      </c>
      <c r="BA160" s="23">
        <f t="shared" si="1249"/>
        <v>335.065</v>
      </c>
      <c r="BB160" s="23">
        <f>+'QTR Raw'!V77</f>
        <v>185.84200000000001</v>
      </c>
      <c r="BC160" s="23">
        <f t="shared" si="1249"/>
        <v>185.84200000000001</v>
      </c>
      <c r="BD160" s="23">
        <f>+'QTR Raw'!X77</f>
        <v>171.054</v>
      </c>
      <c r="BE160" s="23">
        <f t="shared" si="1249"/>
        <v>171.054</v>
      </c>
      <c r="BF160" s="23">
        <f>+'QTR Raw'!Z77</f>
        <v>49.957999999999998</v>
      </c>
      <c r="BG160" s="23">
        <f t="shared" si="1249"/>
        <v>49.957999999999998</v>
      </c>
      <c r="BH160" s="23">
        <f>+'QTR Raw'!AB77</f>
        <v>223.44300000000001</v>
      </c>
      <c r="BI160" s="23">
        <f t="shared" si="1249"/>
        <v>223.44300000000001</v>
      </c>
      <c r="BJ160" s="23">
        <f>+'QTR Raw'!AD77</f>
        <v>95.876000000000005</v>
      </c>
      <c r="BK160" s="23">
        <f t="shared" si="1249"/>
        <v>95.876000000000005</v>
      </c>
      <c r="BL160" s="23">
        <f>+'QTR Raw'!AF77</f>
        <v>67.344999999999999</v>
      </c>
      <c r="BM160" s="23">
        <f t="shared" si="1249"/>
        <v>67.344999999999999</v>
      </c>
      <c r="BN160" s="23">
        <f>+'QTR Raw'!AH77</f>
        <v>69.454999999999998</v>
      </c>
      <c r="BO160" s="23">
        <f t="shared" si="1249"/>
        <v>69.454999999999998</v>
      </c>
      <c r="BP160" s="23">
        <f>+'QTR Raw'!AJ77</f>
        <v>12.965999999999999</v>
      </c>
      <c r="BQ160" s="23">
        <f t="shared" si="1249"/>
        <v>12.965999999999999</v>
      </c>
      <c r="BR160" s="23">
        <f>+'QTR Raw'!AL77</f>
        <v>12.909000000000001</v>
      </c>
      <c r="BS160" s="23">
        <f t="shared" si="1249"/>
        <v>12.909000000000001</v>
      </c>
      <c r="BT160" s="23">
        <f>+'QTR Raw'!AN77</f>
        <v>13.1</v>
      </c>
      <c r="BU160" s="23">
        <f t="shared" si="1249"/>
        <v>13.1</v>
      </c>
      <c r="BV160" s="23">
        <f>+'QTR Raw'!AP77</f>
        <v>12.72</v>
      </c>
      <c r="BW160" s="23">
        <f t="shared" si="1249"/>
        <v>12.72</v>
      </c>
      <c r="BX160" s="23">
        <f>+'QTR Raw'!AR77</f>
        <v>12.72</v>
      </c>
      <c r="BY160" s="23">
        <f t="shared" si="1249"/>
        <v>12.72</v>
      </c>
      <c r="BZ160" s="23">
        <f>+'QTR Raw'!AT77</f>
        <v>13.78</v>
      </c>
      <c r="CA160" s="23">
        <f t="shared" si="1249"/>
        <v>13.78</v>
      </c>
      <c r="CB160" s="23">
        <f>+'QTR Raw'!AV77</f>
        <v>14.77</v>
      </c>
      <c r="CC160" s="23">
        <f t="shared" si="1249"/>
        <v>14.77</v>
      </c>
      <c r="CD160" s="23">
        <f>+'QTR Raw'!AX77</f>
        <v>23.71</v>
      </c>
      <c r="CE160" s="23">
        <f t="shared" si="1249"/>
        <v>23.71</v>
      </c>
      <c r="CF160" s="23">
        <f>+'QTR Raw'!AZ77</f>
        <v>25.98</v>
      </c>
      <c r="CG160" s="23">
        <f t="shared" ref="CG160:CI163" si="1250">+CF160</f>
        <v>25.98</v>
      </c>
      <c r="CH160" s="23">
        <f t="shared" ref="CH160:CH175" si="1251">Z160</f>
        <v>27.979500000000002</v>
      </c>
      <c r="CI160" s="23">
        <f t="shared" si="1250"/>
        <v>27.979500000000002</v>
      </c>
      <c r="CJ160" s="23">
        <f>+'QTR Raw'!BD77</f>
        <v>29.56</v>
      </c>
      <c r="CK160" s="24">
        <f t="shared" ref="CK160" si="1252">+CJ160</f>
        <v>29.56</v>
      </c>
      <c r="CL160" s="23">
        <f>+'QTR Raw'!BF77</f>
        <v>26.03</v>
      </c>
      <c r="CM160" s="24">
        <f t="shared" ref="CM160" si="1253">+CL160</f>
        <v>26.03</v>
      </c>
      <c r="CN160" s="24">
        <f t="shared" ref="CN160" si="1254">+CM160</f>
        <v>26.03</v>
      </c>
      <c r="CO160" s="24">
        <f t="shared" ref="CO160" si="1255">+CN160</f>
        <v>26.03</v>
      </c>
      <c r="CP160" s="24">
        <f t="shared" ref="CP160" si="1256">+CO160</f>
        <v>26.03</v>
      </c>
      <c r="CQ160" s="24">
        <f t="shared" ref="CQ160" si="1257">+CP160</f>
        <v>26.03</v>
      </c>
      <c r="CR160" s="24">
        <f t="shared" ref="CR160" si="1258">+CQ160</f>
        <v>26.03</v>
      </c>
      <c r="CS160" s="24">
        <f t="shared" ref="CS160" si="1259">+CR160</f>
        <v>26.03</v>
      </c>
      <c r="CT160" s="24">
        <f t="shared" ref="CT160" si="1260">+CS160</f>
        <v>26.03</v>
      </c>
      <c r="CU160" s="24">
        <f t="shared" ref="CU160" si="1261">+CT160</f>
        <v>26.03</v>
      </c>
      <c r="CV160" s="24">
        <f t="shared" ref="CV160" si="1262">+CU160</f>
        <v>26.03</v>
      </c>
      <c r="CW160" s="24">
        <f t="shared" ref="CW160" si="1263">+CV160</f>
        <v>26.03</v>
      </c>
      <c r="CX160" s="24">
        <f t="shared" ref="CX160" si="1264">+CW160</f>
        <v>26.03</v>
      </c>
      <c r="CY160" s="24">
        <f t="shared" ref="CY160" si="1265">+CX160</f>
        <v>26.03</v>
      </c>
      <c r="CZ160" s="24">
        <f t="shared" ref="CZ160" si="1266">+CY160</f>
        <v>26.03</v>
      </c>
      <c r="DA160" s="24">
        <f t="shared" ref="DA160" si="1267">+CZ160</f>
        <v>26.03</v>
      </c>
      <c r="DB160" s="24">
        <f t="shared" ref="DB160" si="1268">+DA160</f>
        <v>26.03</v>
      </c>
      <c r="DE160" s="123"/>
      <c r="DF160" s="23">
        <v>26.029499999999999</v>
      </c>
    </row>
    <row r="161" spans="1:110" s="23" customFormat="1" x14ac:dyDescent="0.2">
      <c r="AB161" s="24"/>
      <c r="AC161" s="24"/>
      <c r="AD161" s="24"/>
      <c r="AE161" s="24"/>
      <c r="CK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</row>
    <row r="162" spans="1:110" s="23" customFormat="1" outlineLevel="1" x14ac:dyDescent="0.2">
      <c r="A162" s="23" t="s">
        <v>59</v>
      </c>
      <c r="B162" s="23">
        <f>'Annual Raw'!C72</f>
        <v>0</v>
      </c>
      <c r="C162" s="23">
        <f>'Annual Raw'!D72</f>
        <v>0</v>
      </c>
      <c r="D162" s="23">
        <f>'Annual Raw'!E72</f>
        <v>0</v>
      </c>
      <c r="E162" s="23">
        <f>'Annual Raw'!F72+'Annual Raw'!F61</f>
        <v>0</v>
      </c>
      <c r="F162" s="23">
        <f>'Annual Raw'!G72+'Annual Raw'!G61</f>
        <v>0</v>
      </c>
      <c r="G162" s="23">
        <f>'Annual Raw'!H72+'Annual Raw'!H61</f>
        <v>0</v>
      </c>
      <c r="H162" s="23">
        <f>'Annual Raw'!I72+'Annual Raw'!I61</f>
        <v>0</v>
      </c>
      <c r="I162" s="23">
        <f>'Annual Raw'!J72+'Annual Raw'!J61</f>
        <v>0</v>
      </c>
      <c r="J162" s="23">
        <f>'Annual Raw'!K72+'Annual Raw'!K61</f>
        <v>0</v>
      </c>
      <c r="K162" s="23">
        <f>'Annual Raw'!L72+'Annual Raw'!L61</f>
        <v>0</v>
      </c>
      <c r="L162" s="23">
        <f>'Annual Raw'!M72+'Annual Raw'!M61</f>
        <v>12.6975</v>
      </c>
      <c r="M162" s="23">
        <f>'Annual Raw'!N72+'Annual Raw'!N61</f>
        <v>13.2737</v>
      </c>
      <c r="N162" s="23">
        <f>'Annual Raw'!O72+'Annual Raw'!O61</f>
        <v>14.284700000000001</v>
      </c>
      <c r="O162" s="23">
        <f>'Annual Raw'!P72+'Annual Raw'!P61</f>
        <v>10.7065</v>
      </c>
      <c r="P162" s="23">
        <f>'Annual Raw'!Q72+'Annual Raw'!Q61</f>
        <v>17.744399999999999</v>
      </c>
      <c r="Q162" s="23">
        <f>'Annual Raw'!R72+'Annual Raw'!R61</f>
        <v>22.630400000000002</v>
      </c>
      <c r="R162" s="23">
        <f>'Annual Raw'!S72+'Annual Raw'!S61</f>
        <v>9.2233000000000001</v>
      </c>
      <c r="S162" s="23">
        <f>'Annual Raw'!T72+'Annual Raw'!T61</f>
        <v>9.9962999999999997</v>
      </c>
      <c r="T162" s="23">
        <f>'Annual Raw'!U72+'Annual Raw'!U61</f>
        <v>8.3086000000000002</v>
      </c>
      <c r="U162" s="23">
        <f>'Annual Raw'!V72+'Annual Raw'!V61</f>
        <v>3.5889000000000002</v>
      </c>
      <c r="V162" s="23">
        <f>'Annual Raw'!W72+'Annual Raw'!W61</f>
        <v>5.6218000000000004</v>
      </c>
      <c r="W162" s="23">
        <f>'Annual Raw'!X72+'Annual Raw'!X61</f>
        <v>435.07440000000003</v>
      </c>
      <c r="X162" s="23">
        <f>'Annual Raw'!Y72+'Annual Raw'!Y61</f>
        <v>514.34519999999998</v>
      </c>
      <c r="Y162" s="23">
        <f>'Annual Raw'!Z72+'Annual Raw'!Z61</f>
        <v>293.637</v>
      </c>
      <c r="Z162" s="23">
        <f>'Annual Raw'!AA72+'Annual Raw'!AA61</f>
        <v>275.93869999999998</v>
      </c>
      <c r="AA162" s="23">
        <f>'Annual Raw'!AB72+'Annual Raw'!AB61</f>
        <v>513.94439999999997</v>
      </c>
      <c r="AB162" s="24">
        <f t="shared" ref="AB162:AB167" si="1269">+CP162</f>
        <v>0</v>
      </c>
      <c r="AC162" s="24">
        <f t="shared" ref="AC162:AC167" si="1270">+CT162</f>
        <v>0</v>
      </c>
      <c r="AD162" s="24">
        <f t="shared" ref="AD162:AD167" si="1271">+CX162</f>
        <v>0</v>
      </c>
      <c r="AE162" s="24">
        <f t="shared" ref="AE162:AE167" si="1272">+DB162</f>
        <v>0</v>
      </c>
      <c r="AJ162" s="23">
        <f>+'QTR Raw'!D78</f>
        <v>15.166</v>
      </c>
      <c r="AK162" s="23">
        <f t="shared" ref="AK162:CE167" si="1273">+AJ162</f>
        <v>15.166</v>
      </c>
      <c r="AL162" s="23">
        <f>+'QTR Raw'!F78</f>
        <v>14.285</v>
      </c>
      <c r="AM162" s="23">
        <f t="shared" si="1273"/>
        <v>14.285</v>
      </c>
      <c r="AN162" s="23">
        <f>+'QTR Raw'!H78</f>
        <v>21.596</v>
      </c>
      <c r="AO162" s="23">
        <f t="shared" si="1273"/>
        <v>21.596</v>
      </c>
      <c r="AP162" s="23">
        <f>+'QTR Raw'!J78</f>
        <v>10.707000000000001</v>
      </c>
      <c r="AQ162" s="23">
        <f t="shared" si="1273"/>
        <v>10.707000000000001</v>
      </c>
      <c r="AR162" s="23">
        <f>+'QTR Raw'!L78</f>
        <v>20.225000000000001</v>
      </c>
      <c r="AS162" s="23">
        <f t="shared" si="1273"/>
        <v>20.225000000000001</v>
      </c>
      <c r="AT162" s="23">
        <f>+'QTR Raw'!N78</f>
        <v>17.744</v>
      </c>
      <c r="AU162" s="23">
        <f t="shared" si="1273"/>
        <v>17.744</v>
      </c>
      <c r="AV162" s="23">
        <f>+'QTR Raw'!P78</f>
        <v>16.37</v>
      </c>
      <c r="AW162" s="23">
        <f t="shared" si="1273"/>
        <v>16.37</v>
      </c>
      <c r="AX162" s="23">
        <f>+'QTR Raw'!R78</f>
        <v>0.153</v>
      </c>
      <c r="AY162" s="23">
        <f t="shared" si="1273"/>
        <v>0.153</v>
      </c>
      <c r="AZ162" s="23">
        <f>+'QTR Raw'!T78</f>
        <v>7.9880000000000004</v>
      </c>
      <c r="BA162" s="23">
        <f t="shared" si="1273"/>
        <v>7.9880000000000004</v>
      </c>
      <c r="BB162" s="23">
        <f>+'QTR Raw'!V78</f>
        <v>0.30399999999999999</v>
      </c>
      <c r="BC162" s="23">
        <f t="shared" si="1273"/>
        <v>0.30399999999999999</v>
      </c>
      <c r="BD162" s="23">
        <f>+'QTR Raw'!X78</f>
        <v>0.215</v>
      </c>
      <c r="BE162" s="23">
        <f t="shared" si="1273"/>
        <v>0.215</v>
      </c>
      <c r="BF162" s="23">
        <f>+'QTR Raw'!Z78</f>
        <v>3.327</v>
      </c>
      <c r="BG162" s="23">
        <f t="shared" si="1273"/>
        <v>3.327</v>
      </c>
      <c r="BH162" s="23">
        <f>+'QTR Raw'!AB78</f>
        <v>3.6240000000000001</v>
      </c>
      <c r="BI162" s="23">
        <f t="shared" si="1273"/>
        <v>3.6240000000000001</v>
      </c>
      <c r="BJ162" s="23">
        <f>+'QTR Raw'!AD78</f>
        <v>3.589</v>
      </c>
      <c r="BK162" s="23">
        <f t="shared" si="1273"/>
        <v>3.589</v>
      </c>
      <c r="BL162" s="23">
        <f>+'QTR Raw'!AF78</f>
        <v>3.6850000000000001</v>
      </c>
      <c r="BM162" s="23">
        <f t="shared" si="1273"/>
        <v>3.6850000000000001</v>
      </c>
      <c r="BN162" s="23">
        <f>+'QTR Raw'!AH78</f>
        <v>2.5289999999999999</v>
      </c>
      <c r="BO162" s="23">
        <f t="shared" si="1273"/>
        <v>2.5289999999999999</v>
      </c>
      <c r="BP162" s="23">
        <f>+'QTR Raw'!AJ78</f>
        <v>3.2749999999999999</v>
      </c>
      <c r="BQ162" s="23">
        <f t="shared" si="1273"/>
        <v>3.2749999999999999</v>
      </c>
      <c r="BR162" s="23">
        <f>+'QTR Raw'!AL78</f>
        <v>0.54900000000000004</v>
      </c>
      <c r="BS162" s="23">
        <f t="shared" si="1273"/>
        <v>0.54900000000000004</v>
      </c>
      <c r="BT162" s="23">
        <f>+'QTR Raw'!AN78</f>
        <v>1.0249999999999999</v>
      </c>
      <c r="BU162" s="23">
        <f t="shared" si="1273"/>
        <v>1.0249999999999999</v>
      </c>
      <c r="BV162" s="23">
        <f>+'QTR Raw'!AP78</f>
        <v>0.74</v>
      </c>
      <c r="BW162" s="23">
        <f t="shared" si="1273"/>
        <v>0.74</v>
      </c>
      <c r="BX162" s="23">
        <f>+'QTR Raw'!AR78</f>
        <v>0.78</v>
      </c>
      <c r="BY162" s="23">
        <f t="shared" si="1273"/>
        <v>0.78</v>
      </c>
      <c r="BZ162" s="23">
        <f>+'QTR Raw'!AT78</f>
        <v>0.68</v>
      </c>
      <c r="CA162" s="23">
        <f t="shared" si="1273"/>
        <v>0.68</v>
      </c>
      <c r="CB162" s="23">
        <f>+'QTR Raw'!AV78</f>
        <v>0.65</v>
      </c>
      <c r="CC162" s="23">
        <f t="shared" si="1273"/>
        <v>0.65</v>
      </c>
      <c r="CD162" s="23">
        <f>+'QTR Raw'!AX78</f>
        <v>0.57999999999999996</v>
      </c>
      <c r="CE162" s="23">
        <f t="shared" si="1273"/>
        <v>0.57999999999999996</v>
      </c>
      <c r="CF162" s="23">
        <f>+'QTR Raw'!AZ78</f>
        <v>0.46</v>
      </c>
      <c r="CG162" s="23">
        <f t="shared" si="1250"/>
        <v>0.46</v>
      </c>
      <c r="CH162" s="23">
        <f t="shared" si="1251"/>
        <v>275.93869999999998</v>
      </c>
      <c r="CJ162" s="23">
        <f>+'QTR Raw'!BD78</f>
        <v>0.33</v>
      </c>
      <c r="CK162" s="24"/>
      <c r="CL162" s="23">
        <f>+'QTR Raw'!BF78</f>
        <v>0.21</v>
      </c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  <c r="DF162" s="23">
        <v>513.94439999999997</v>
      </c>
    </row>
    <row r="163" spans="1:110" s="23" customFormat="1" outlineLevel="1" x14ac:dyDescent="0.2">
      <c r="A163" s="23" t="s">
        <v>60</v>
      </c>
      <c r="B163" s="23">
        <f>'Annual Raw'!C73+'Annual Raw'!C81</f>
        <v>0</v>
      </c>
      <c r="C163" s="23">
        <f>'Annual Raw'!D73+'Annual Raw'!D81</f>
        <v>0</v>
      </c>
      <c r="D163" s="23">
        <f>'Annual Raw'!E73+'Annual Raw'!E81</f>
        <v>0</v>
      </c>
      <c r="E163" s="23">
        <f>'Annual Raw'!F73+'Annual Raw'!F81</f>
        <v>0</v>
      </c>
      <c r="F163" s="23">
        <f>'Annual Raw'!G73+'Annual Raw'!G81</f>
        <v>0</v>
      </c>
      <c r="G163" s="23">
        <f>'Annual Raw'!H73+'Annual Raw'!H81</f>
        <v>0</v>
      </c>
      <c r="H163" s="23">
        <f>'Annual Raw'!I73+'Annual Raw'!I81</f>
        <v>0</v>
      </c>
      <c r="I163" s="23">
        <f>'Annual Raw'!J73+'Annual Raw'!J81</f>
        <v>0</v>
      </c>
      <c r="J163" s="23">
        <f>'Annual Raw'!K73+'Annual Raw'!K81</f>
        <v>0</v>
      </c>
      <c r="K163" s="23">
        <f>'Annual Raw'!L73+'Annual Raw'!L81</f>
        <v>0</v>
      </c>
      <c r="L163" s="23">
        <f>'Annual Raw'!M73+'Annual Raw'!M81</f>
        <v>0</v>
      </c>
      <c r="M163" s="23">
        <f>'Annual Raw'!N73+'Annual Raw'!N81</f>
        <v>0</v>
      </c>
      <c r="N163" s="23">
        <f>'Annual Raw'!O73+'Annual Raw'!O81</f>
        <v>0</v>
      </c>
      <c r="O163" s="23">
        <f>'Annual Raw'!P73+'Annual Raw'!P81</f>
        <v>0</v>
      </c>
      <c r="P163" s="23">
        <f>'Annual Raw'!Q73+'Annual Raw'!Q81</f>
        <v>0</v>
      </c>
      <c r="Q163" s="23">
        <f>'Annual Raw'!R73+'Annual Raw'!R81</f>
        <v>2.4274</v>
      </c>
      <c r="R163" s="23">
        <f>'Annual Raw'!S73+'Annual Raw'!S81</f>
        <v>0.87629999999999997</v>
      </c>
      <c r="S163" s="23">
        <f>'Annual Raw'!T73+'Annual Raw'!T81</f>
        <v>1.0322</v>
      </c>
      <c r="T163" s="23">
        <f>'Annual Raw'!U73+'Annual Raw'!U81</f>
        <v>0.58809999999999996</v>
      </c>
      <c r="U163" s="23">
        <f>'Annual Raw'!V73+'Annual Raw'!V81</f>
        <v>0.36020000000000002</v>
      </c>
      <c r="V163" s="23">
        <f>'Annual Raw'!W73+'Annual Raw'!W81</f>
        <v>0.81989999999999996</v>
      </c>
      <c r="W163" s="23">
        <f>'Annual Raw'!X73+'Annual Raw'!X81</f>
        <v>1.0391999999999999</v>
      </c>
      <c r="X163" s="23">
        <f>'Annual Raw'!Y73+'Annual Raw'!Y81</f>
        <v>14.5078</v>
      </c>
      <c r="Y163" s="23">
        <f>'Annual Raw'!Z73+'Annual Raw'!Z81</f>
        <v>6.0328999999999997</v>
      </c>
      <c r="Z163" s="23">
        <f>'Annual Raw'!AA73+'Annual Raw'!AA81</f>
        <v>250.98410000000001</v>
      </c>
      <c r="AA163" s="23">
        <f>'Annual Raw'!AB73+'Annual Raw'!AB81</f>
        <v>20.728200000000001</v>
      </c>
      <c r="AB163" s="24">
        <f t="shared" si="1269"/>
        <v>0</v>
      </c>
      <c r="AC163" s="24">
        <f t="shared" si="1270"/>
        <v>0</v>
      </c>
      <c r="AD163" s="24">
        <f t="shared" si="1271"/>
        <v>0</v>
      </c>
      <c r="AE163" s="24">
        <f t="shared" si="1272"/>
        <v>0</v>
      </c>
      <c r="AJ163" s="23">
        <f>+'QTR Raw'!D79+'QTR Raw'!D76</f>
        <v>10.005000000000001</v>
      </c>
      <c r="AK163" s="23">
        <f t="shared" si="1273"/>
        <v>10.005000000000001</v>
      </c>
      <c r="AL163" s="23">
        <f>+'QTR Raw'!F79+'QTR Raw'!F76</f>
        <v>0</v>
      </c>
      <c r="AM163" s="23">
        <f t="shared" si="1273"/>
        <v>0</v>
      </c>
      <c r="AN163" s="23">
        <f>+'QTR Raw'!H79+'QTR Raw'!H76</f>
        <v>0</v>
      </c>
      <c r="AO163" s="23">
        <f t="shared" si="1273"/>
        <v>0</v>
      </c>
      <c r="AP163" s="23">
        <f>+'QTR Raw'!J79+'QTR Raw'!J76</f>
        <v>0</v>
      </c>
      <c r="AQ163" s="23">
        <f t="shared" si="1273"/>
        <v>0</v>
      </c>
      <c r="AR163" s="23">
        <f>+'QTR Raw'!L79+'QTR Raw'!L76</f>
        <v>0</v>
      </c>
      <c r="AS163" s="23">
        <f t="shared" si="1273"/>
        <v>0</v>
      </c>
      <c r="AT163" s="23">
        <f>+'QTR Raw'!N79+'QTR Raw'!N76</f>
        <v>0</v>
      </c>
      <c r="AU163" s="23">
        <f t="shared" si="1273"/>
        <v>0</v>
      </c>
      <c r="AV163" s="23">
        <f>+'QTR Raw'!P79+'QTR Raw'!P76</f>
        <v>0</v>
      </c>
      <c r="AW163" s="23">
        <f t="shared" si="1273"/>
        <v>0</v>
      </c>
      <c r="AX163" s="23">
        <f>+'QTR Raw'!R79+'QTR Raw'!R76</f>
        <v>24.905000000000001</v>
      </c>
      <c r="AY163" s="23">
        <f t="shared" si="1273"/>
        <v>24.905000000000001</v>
      </c>
      <c r="AZ163" s="23">
        <f>+'QTR Raw'!T79+'QTR Raw'!T76</f>
        <v>30.925000000000001</v>
      </c>
      <c r="BA163" s="23">
        <f t="shared" si="1273"/>
        <v>30.925000000000001</v>
      </c>
      <c r="BB163" s="23">
        <f>+'QTR Raw'!V79+'QTR Raw'!V76</f>
        <v>9.7959999999999994</v>
      </c>
      <c r="BC163" s="23">
        <f t="shared" si="1273"/>
        <v>9.7959999999999994</v>
      </c>
      <c r="BD163" s="23">
        <f>+'QTR Raw'!X79+'QTR Raw'!X76</f>
        <v>14.948</v>
      </c>
      <c r="BE163" s="23">
        <f t="shared" si="1273"/>
        <v>14.948</v>
      </c>
      <c r="BF163" s="23">
        <f>+'QTR Raw'!Z79+'QTR Raw'!Z76</f>
        <v>7.702</v>
      </c>
      <c r="BG163" s="23">
        <f t="shared" si="1273"/>
        <v>7.702</v>
      </c>
      <c r="BH163" s="23">
        <f>+'QTR Raw'!AB79+'QTR Raw'!AB76</f>
        <v>7.4139999999999997</v>
      </c>
      <c r="BI163" s="23">
        <f t="shared" si="1273"/>
        <v>7.4139999999999997</v>
      </c>
      <c r="BJ163" s="23">
        <f>+'QTR Raw'!AD79+'QTR Raw'!AD76</f>
        <v>5.306</v>
      </c>
      <c r="BK163" s="23">
        <f t="shared" si="1273"/>
        <v>5.306</v>
      </c>
      <c r="BL163" s="23">
        <f>+'QTR Raw'!AF79+'QTR Raw'!AF76</f>
        <v>8.1129999999999995</v>
      </c>
      <c r="BM163" s="23">
        <f t="shared" si="1273"/>
        <v>8.1129999999999995</v>
      </c>
      <c r="BN163" s="23">
        <f>+'QTR Raw'!AH79+'QTR Raw'!AH76</f>
        <v>1.42</v>
      </c>
      <c r="BO163" s="23">
        <f t="shared" si="1273"/>
        <v>1.42</v>
      </c>
      <c r="BP163" s="23">
        <f>+'QTR Raw'!AJ79+'QTR Raw'!AJ76</f>
        <v>6.2510000000000003</v>
      </c>
      <c r="BQ163" s="23">
        <f t="shared" si="1273"/>
        <v>6.2510000000000003</v>
      </c>
      <c r="BR163" s="23">
        <f>+'QTR Raw'!AL79+'QTR Raw'!AL76</f>
        <v>30.57</v>
      </c>
      <c r="BS163" s="23">
        <f t="shared" si="1273"/>
        <v>30.57</v>
      </c>
      <c r="BT163" s="23">
        <f>+'QTR Raw'!AN79+'QTR Raw'!AN76</f>
        <v>11.244999999999999</v>
      </c>
      <c r="BU163" s="23">
        <f t="shared" si="1273"/>
        <v>11.244999999999999</v>
      </c>
      <c r="BV163" s="23">
        <f>+'QTR Raw'!AP79+'QTR Raw'!AP76</f>
        <v>72.12</v>
      </c>
      <c r="BW163" s="23">
        <f t="shared" si="1273"/>
        <v>72.12</v>
      </c>
      <c r="BX163" s="23">
        <f>+'QTR Raw'!AR79+'QTR Raw'!AR76</f>
        <v>45.16</v>
      </c>
      <c r="BY163" s="23">
        <f t="shared" si="1273"/>
        <v>45.16</v>
      </c>
      <c r="BZ163" s="23">
        <f>+'QTR Raw'!AT79+'QTR Raw'!AT76</f>
        <v>77.33</v>
      </c>
      <c r="CA163" s="23">
        <f t="shared" si="1273"/>
        <v>77.33</v>
      </c>
      <c r="CB163" s="23">
        <f>+'QTR Raw'!AV79+'QTR Raw'!AV76</f>
        <v>58.33</v>
      </c>
      <c r="CC163" s="23">
        <f t="shared" si="1273"/>
        <v>58.33</v>
      </c>
      <c r="CD163" s="23">
        <f>+'QTR Raw'!AX79+'QTR Raw'!AX76</f>
        <v>54.54</v>
      </c>
      <c r="CE163" s="23">
        <f t="shared" si="1273"/>
        <v>54.54</v>
      </c>
      <c r="CF163" s="23">
        <f>+'QTR Raw'!AZ79+'QTR Raw'!AZ76</f>
        <v>49.85</v>
      </c>
      <c r="CG163" s="23">
        <f t="shared" si="1250"/>
        <v>49.85</v>
      </c>
      <c r="CH163" s="23">
        <f t="shared" si="1251"/>
        <v>250.98410000000001</v>
      </c>
      <c r="CJ163" s="23">
        <f>+'QTR Raw'!BD79+'QTR Raw'!BD76</f>
        <v>149.65</v>
      </c>
      <c r="CK163" s="24"/>
      <c r="CL163" s="23">
        <f>+'QTR Raw'!BF79+'QTR Raw'!BF76</f>
        <v>85.58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  <c r="DF163" s="23">
        <v>20.728200000000001</v>
      </c>
    </row>
    <row r="164" spans="1:110" s="23" customFormat="1" outlineLevel="1" x14ac:dyDescent="0.2">
      <c r="A164" s="23" t="s">
        <v>61</v>
      </c>
      <c r="B164" s="23">
        <f>'Annual Raw'!C76</f>
        <v>23.831900000000001</v>
      </c>
      <c r="C164" s="23">
        <f>'Annual Raw'!D76</f>
        <v>29.477399999999999</v>
      </c>
      <c r="D164" s="23">
        <f>'Annual Raw'!E76</f>
        <v>33.508899999999997</v>
      </c>
      <c r="E164" s="23">
        <f>'Annual Raw'!F76</f>
        <v>43.010199999999998</v>
      </c>
      <c r="F164" s="23">
        <f>'Annual Raw'!G76</f>
        <v>52.783900000000003</v>
      </c>
      <c r="G164" s="23">
        <f>'Annual Raw'!H76</f>
        <v>64.306100000000001</v>
      </c>
      <c r="H164" s="23">
        <f>'Annual Raw'!I76</f>
        <v>83.572400000000002</v>
      </c>
      <c r="I164" s="23">
        <f>'Annual Raw'!J76</f>
        <v>74.691500000000005</v>
      </c>
      <c r="J164" s="23">
        <f>'Annual Raw'!K76</f>
        <v>80.774100000000004</v>
      </c>
      <c r="K164" s="23">
        <f>'Annual Raw'!L76</f>
        <v>83.805099999999996</v>
      </c>
      <c r="L164" s="23">
        <f>'Annual Raw'!M76</f>
        <v>111.67010000000001</v>
      </c>
      <c r="M164" s="23">
        <f>'Annual Raw'!N76</f>
        <v>101.0324</v>
      </c>
      <c r="N164" s="23">
        <f>'Annual Raw'!O76</f>
        <v>104.53489999999999</v>
      </c>
      <c r="O164" s="23">
        <f>'Annual Raw'!P76</f>
        <v>134.40020000000001</v>
      </c>
      <c r="P164" s="23">
        <f>'Annual Raw'!Q76</f>
        <v>150.27330000000001</v>
      </c>
      <c r="Q164" s="23">
        <f>'Annual Raw'!R76</f>
        <v>187.98330000000001</v>
      </c>
      <c r="R164" s="23">
        <f>'Annual Raw'!S76</f>
        <v>200.1686</v>
      </c>
      <c r="S164" s="23">
        <f>'Annual Raw'!T76</f>
        <v>213.73140000000001</v>
      </c>
      <c r="T164" s="23">
        <f>'Annual Raw'!U76</f>
        <v>243.7577</v>
      </c>
      <c r="U164" s="23">
        <f>'Annual Raw'!V76</f>
        <v>274.66969999999998</v>
      </c>
      <c r="V164" s="23">
        <f>'Annual Raw'!W76</f>
        <v>347.4468</v>
      </c>
      <c r="W164" s="23">
        <f>'Annual Raw'!X76</f>
        <v>409.96109999999999</v>
      </c>
      <c r="X164" s="23">
        <f>'Annual Raw'!Y76</f>
        <v>430.48430000000002</v>
      </c>
      <c r="Y164" s="23">
        <f>'Annual Raw'!Z76</f>
        <v>502.51280000000003</v>
      </c>
      <c r="Z164" s="23">
        <f>'Annual Raw'!AA76</f>
        <v>528.95529999999997</v>
      </c>
      <c r="AA164" s="23">
        <f>'Annual Raw'!AB76</f>
        <v>683.40300000000002</v>
      </c>
      <c r="AB164" s="24">
        <f t="shared" si="1269"/>
        <v>857.18379131415679</v>
      </c>
      <c r="AC164" s="24">
        <f t="shared" si="1270"/>
        <v>941.50027650310233</v>
      </c>
      <c r="AD164" s="24">
        <f t="shared" si="1271"/>
        <v>1039.3394530745632</v>
      </c>
      <c r="AE164" s="24">
        <f t="shared" si="1272"/>
        <v>1147.5006669423783</v>
      </c>
      <c r="AJ164" s="23">
        <f>+'QTR Raw'!D81</f>
        <v>88.444999999999993</v>
      </c>
      <c r="AK164" s="23">
        <f>+AK199*AK30/90</f>
        <v>80.571578401045841</v>
      </c>
      <c r="AL164" s="23">
        <f>+'QTR Raw'!F81</f>
        <v>104.535</v>
      </c>
      <c r="AM164" s="23">
        <f>+AM199*AM30/90</f>
        <v>119.84652595250165</v>
      </c>
      <c r="AN164" s="23">
        <f>+'QTR Raw'!H81</f>
        <v>101.68300000000001</v>
      </c>
      <c r="AO164" s="23">
        <f>+AO199*AO30/90</f>
        <v>94.812619289300002</v>
      </c>
      <c r="AP164" s="23">
        <f>+'QTR Raw'!J81</f>
        <v>134.4</v>
      </c>
      <c r="AQ164" s="23">
        <f>+AQ199*AQ30/90</f>
        <v>154.39261585840646</v>
      </c>
      <c r="AR164" s="23">
        <f>+'QTR Raw'!L81</f>
        <v>116.97199999999999</v>
      </c>
      <c r="AS164" s="23">
        <f>+AS199*AS30/90</f>
        <v>108.78315029722613</v>
      </c>
      <c r="AT164" s="23">
        <f>+'QTR Raw'!N81</f>
        <v>150.273</v>
      </c>
      <c r="AU164" s="23">
        <f>+AU199*AU30/90</f>
        <v>166.72578808037881</v>
      </c>
      <c r="AV164" s="23">
        <f>+'QTR Raw'!P81</f>
        <v>123.28400000000001</v>
      </c>
      <c r="AW164" s="23">
        <f>+AW199*AW30/90</f>
        <v>117.92078696974382</v>
      </c>
      <c r="AX164" s="23">
        <f>+'QTR Raw'!R81</f>
        <v>187.983</v>
      </c>
      <c r="AY164" s="23">
        <f>+AY199*AY30/90</f>
        <v>195.14135369716507</v>
      </c>
      <c r="AZ164" s="23">
        <f>+'QTR Raw'!T81</f>
        <v>139.922</v>
      </c>
      <c r="BA164" s="23">
        <f>+BA199*BA30/90</f>
        <v>128.31659768879692</v>
      </c>
      <c r="BB164" s="23">
        <f>+'QTR Raw'!V81</f>
        <v>200.16900000000001</v>
      </c>
      <c r="BC164" s="23">
        <f>+BC199*BC30/90</f>
        <v>185.51295499278396</v>
      </c>
      <c r="BD164" s="23">
        <f>+'QTR Raw'!X81</f>
        <v>144.72499999999999</v>
      </c>
      <c r="BE164" s="23">
        <f>+BE199*BE30/90</f>
        <v>126.98351069189995</v>
      </c>
      <c r="BF164" s="23">
        <f>+'QTR Raw'!Z81</f>
        <v>213.73099999999999</v>
      </c>
      <c r="BG164" s="23">
        <f>+BG199*BG30/90</f>
        <v>273.08528669844321</v>
      </c>
      <c r="BH164" s="23">
        <f>+'QTR Raw'!AB81</f>
        <v>189.988</v>
      </c>
      <c r="BI164" s="23">
        <f>+BI199*BI30/90</f>
        <v>166.71993276106426</v>
      </c>
      <c r="BJ164" s="23">
        <f>+'QTR Raw'!AD81</f>
        <v>243.75800000000001</v>
      </c>
      <c r="BK164" s="23">
        <f>+BK199*BK30/90</f>
        <v>259.58220970841342</v>
      </c>
      <c r="BL164" s="23">
        <f>+'QTR Raw'!AF81</f>
        <v>242.01599999999999</v>
      </c>
      <c r="BM164" s="23">
        <f>+BM199*BM30/90</f>
        <v>227.28294982877503</v>
      </c>
      <c r="BN164" s="23">
        <f>+'QTR Raw'!AH81</f>
        <v>274.67</v>
      </c>
      <c r="BO164" s="23">
        <f>+BO199*BO30/90</f>
        <v>323.41309007166865</v>
      </c>
      <c r="BP164" s="23">
        <f>+'QTR Raw'!AJ81</f>
        <v>377.62200000000001</v>
      </c>
      <c r="BQ164" s="23">
        <f>+BQ199*BQ30/90</f>
        <v>466.71686605315125</v>
      </c>
      <c r="BR164" s="23">
        <f>+'QTR Raw'!AL81</f>
        <v>347.447</v>
      </c>
      <c r="BS164" s="23">
        <f>+BS199*BS30/90</f>
        <v>398.42447801610354</v>
      </c>
      <c r="BT164" s="23">
        <f>+'QTR Raw'!AN81</f>
        <v>363.06099999999998</v>
      </c>
      <c r="BU164" s="23">
        <f>+BU199*BU30/90</f>
        <v>367.73846925009695</v>
      </c>
      <c r="BV164" s="23">
        <f>+'QTR Raw'!AP81</f>
        <v>409.96</v>
      </c>
      <c r="BW164" s="23">
        <f>+BW199*BW30/90</f>
        <v>515.1230528826909</v>
      </c>
      <c r="BX164" s="23">
        <f>+'QTR Raw'!AR81</f>
        <v>444.54</v>
      </c>
      <c r="BY164" s="23">
        <f>+BY199*BY30/90</f>
        <v>435.35197593397908</v>
      </c>
      <c r="BZ164" s="23">
        <f>+'QTR Raw'!AT81</f>
        <v>430.49</v>
      </c>
      <c r="CA164" s="23">
        <f>+CA199*CA30/90</f>
        <v>506.09342270962327</v>
      </c>
      <c r="CB164" s="23">
        <f>+'QTR Raw'!AV81</f>
        <v>424.53</v>
      </c>
      <c r="CC164" s="23">
        <f>+CC199*CC30/90</f>
        <v>406.60492923083899</v>
      </c>
      <c r="CD164" s="23">
        <f>+'QTR Raw'!AX81</f>
        <v>502.51</v>
      </c>
      <c r="CE164" s="23">
        <f>+CE199*CE30/90</f>
        <v>585.70671091873328</v>
      </c>
      <c r="CF164" s="23">
        <f>+'QTR Raw'!AZ81</f>
        <v>543.66999999999996</v>
      </c>
      <c r="CG164" s="23">
        <f>+CG199*CG30/90</f>
        <v>523.49604075473201</v>
      </c>
      <c r="CH164" s="23">
        <f t="shared" si="1251"/>
        <v>528.95529999999997</v>
      </c>
      <c r="CI164" s="23">
        <f>+CI199*CI30/90</f>
        <v>609.43396478282853</v>
      </c>
      <c r="CJ164" s="23">
        <f>+'QTR Raw'!BD81</f>
        <v>576.58000000000004</v>
      </c>
      <c r="CK164" s="24">
        <f t="shared" ref="CK164:DB164" si="1274">+CK199*CK30/90</f>
        <v>565.85515494515619</v>
      </c>
      <c r="CL164" s="23">
        <f>+'QTR Raw'!BF81</f>
        <v>683.4</v>
      </c>
      <c r="CM164" s="24">
        <f t="shared" si="1274"/>
        <v>916.05060349689791</v>
      </c>
      <c r="CN164" s="24">
        <f t="shared" si="1274"/>
        <v>909.57355893965064</v>
      </c>
      <c r="CO164" s="24">
        <f t="shared" si="1274"/>
        <v>892.56545967287082</v>
      </c>
      <c r="CP164" s="24">
        <f t="shared" si="1274"/>
        <v>857.18379131415679</v>
      </c>
      <c r="CQ164" s="24">
        <f t="shared" si="1274"/>
        <v>1005.1186122955444</v>
      </c>
      <c r="CR164" s="24">
        <f t="shared" si="1274"/>
        <v>998.70807648054142</v>
      </c>
      <c r="CS164" s="24">
        <f t="shared" si="1274"/>
        <v>980.09203767625502</v>
      </c>
      <c r="CT164" s="24">
        <f t="shared" si="1274"/>
        <v>941.50027650310233</v>
      </c>
      <c r="CU164" s="24">
        <f t="shared" si="1274"/>
        <v>1109.1745083970673</v>
      </c>
      <c r="CV164" s="24">
        <f t="shared" si="1274"/>
        <v>1102.6049864568529</v>
      </c>
      <c r="CW164" s="24">
        <f t="shared" si="1274"/>
        <v>1082.0143139785675</v>
      </c>
      <c r="CX164" s="24">
        <f t="shared" si="1274"/>
        <v>1039.3394530745632</v>
      </c>
      <c r="CY164" s="24">
        <f t="shared" si="1274"/>
        <v>1224.1396271955109</v>
      </c>
      <c r="CZ164" s="24">
        <f t="shared" si="1274"/>
        <v>1217.4516973229784</v>
      </c>
      <c r="DA164" s="24">
        <f t="shared" si="1274"/>
        <v>1194.6821086861369</v>
      </c>
      <c r="DB164" s="24">
        <f t="shared" si="1274"/>
        <v>1147.5006669423783</v>
      </c>
      <c r="DE164" s="123"/>
      <c r="DF164" s="23">
        <v>683.40300000000002</v>
      </c>
    </row>
    <row r="165" spans="1:110" s="23" customFormat="1" outlineLevel="1" x14ac:dyDescent="0.2">
      <c r="A165" s="23" t="s">
        <v>62</v>
      </c>
      <c r="B165" s="23">
        <f>'Annual Raw'!C77</f>
        <v>99.193600000000004</v>
      </c>
      <c r="C165" s="23">
        <f>'Annual Raw'!D77</f>
        <v>115.8758</v>
      </c>
      <c r="D165" s="23">
        <f>'Annual Raw'!E77</f>
        <v>136.26920000000001</v>
      </c>
      <c r="E165" s="23">
        <f>'Annual Raw'!F77</f>
        <v>158.22290000000001</v>
      </c>
      <c r="F165" s="23">
        <f>'Annual Raw'!G77</f>
        <v>188.9836</v>
      </c>
      <c r="G165" s="23">
        <f>'Annual Raw'!H77</f>
        <v>252.6532</v>
      </c>
      <c r="H165" s="23">
        <f>'Annual Raw'!I77</f>
        <v>313.31150000000002</v>
      </c>
      <c r="I165" s="23">
        <f>'Annual Raw'!J77</f>
        <v>322.4221</v>
      </c>
      <c r="J165" s="23">
        <f>'Annual Raw'!K77</f>
        <v>302.80070000000001</v>
      </c>
      <c r="K165" s="23">
        <f>'Annual Raw'!L77</f>
        <v>344.82380000000001</v>
      </c>
      <c r="L165" s="23">
        <f>'Annual Raw'!M77</f>
        <v>345.58249999999998</v>
      </c>
      <c r="M165" s="23">
        <f>'Annual Raw'!N77</f>
        <v>136.05109999999999</v>
      </c>
      <c r="N165" s="23">
        <f>'Annual Raw'!O77</f>
        <v>191.2739</v>
      </c>
      <c r="O165" s="23">
        <f>'Annual Raw'!P77</f>
        <v>235.5078</v>
      </c>
      <c r="P165" s="23">
        <f>'Annual Raw'!Q77</f>
        <v>262.34820000000002</v>
      </c>
      <c r="Q165" s="23">
        <f>'Annual Raw'!R77</f>
        <v>272.64170000000001</v>
      </c>
      <c r="R165" s="23">
        <f>'Annual Raw'!S77</f>
        <v>265.96620000000001</v>
      </c>
      <c r="S165" s="23">
        <f>'Annual Raw'!T77</f>
        <v>300.7296</v>
      </c>
      <c r="T165" s="23">
        <f>'Annual Raw'!U77</f>
        <v>308.22359999999998</v>
      </c>
      <c r="U165" s="23">
        <f>'Annual Raw'!V77</f>
        <v>345.42619999999999</v>
      </c>
      <c r="V165" s="23">
        <f>'Annual Raw'!W77</f>
        <v>389.01909999999998</v>
      </c>
      <c r="W165" s="23">
        <f>'Annual Raw'!X77</f>
        <v>555.68679999999995</v>
      </c>
      <c r="X165" s="23">
        <f>'Annual Raw'!Y77</f>
        <v>575.80010000000004</v>
      </c>
      <c r="Y165" s="23">
        <f>'Annual Raw'!Z77</f>
        <v>686.91880000000003</v>
      </c>
      <c r="Z165" s="23">
        <f>'Annual Raw'!AA77</f>
        <v>815.37879999999996</v>
      </c>
      <c r="AA165" s="23">
        <f>'Annual Raw'!AB77</f>
        <v>780.9076</v>
      </c>
      <c r="AB165" s="24">
        <f t="shared" si="1269"/>
        <v>979.4898953396812</v>
      </c>
      <c r="AC165" s="24">
        <f t="shared" si="1270"/>
        <v>1075.8369635997037</v>
      </c>
      <c r="AD165" s="24">
        <f t="shared" si="1271"/>
        <v>1187.6361900796853</v>
      </c>
      <c r="AE165" s="24">
        <f t="shared" si="1272"/>
        <v>1311.2302397160852</v>
      </c>
      <c r="AJ165" s="23">
        <f>+'QTR Raw'!D82</f>
        <v>182.29900000000001</v>
      </c>
      <c r="AK165" s="23">
        <f>+AK200*AK30/90</f>
        <v>166.07064470498338</v>
      </c>
      <c r="AL165" s="23">
        <f>+'QTR Raw'!F82</f>
        <v>191.274</v>
      </c>
      <c r="AM165" s="23">
        <f>+AM200*AM30/90</f>
        <v>219.29042335140193</v>
      </c>
      <c r="AN165" s="23">
        <f>+'QTR Raw'!H82</f>
        <v>254.17400000000001</v>
      </c>
      <c r="AO165" s="23">
        <f>+AO200*AO30/90</f>
        <v>237.0003117063672</v>
      </c>
      <c r="AP165" s="23">
        <f>+'QTR Raw'!J82</f>
        <v>235.50800000000001</v>
      </c>
      <c r="AQ165" s="23">
        <f>+AQ200*AQ30/90</f>
        <v>270.5408941635535</v>
      </c>
      <c r="AR165" s="23">
        <f>+'QTR Raw'!L82</f>
        <v>265.65499999999997</v>
      </c>
      <c r="AS165" s="23">
        <f>+AS200*AS30/90</f>
        <v>247.05731108478616</v>
      </c>
      <c r="AT165" s="23">
        <f>+'QTR Raw'!N82</f>
        <v>262.34800000000001</v>
      </c>
      <c r="AU165" s="23">
        <f>+AU200*AU30/90</f>
        <v>291.07143033885819</v>
      </c>
      <c r="AV165" s="23">
        <f>+'QTR Raw'!P82</f>
        <v>285.221</v>
      </c>
      <c r="AW165" s="23">
        <f>+AW200*AW30/90</f>
        <v>272.81305587340853</v>
      </c>
      <c r="AX165" s="23">
        <f>+'QTR Raw'!R82</f>
        <v>272.64100000000002</v>
      </c>
      <c r="AY165" s="23">
        <f>+AY200*AY30/90</f>
        <v>283.02311279928927</v>
      </c>
      <c r="AZ165" s="23">
        <f>+'QTR Raw'!T82</f>
        <v>242.87100000000001</v>
      </c>
      <c r="BA165" s="23">
        <f>+BA200*BA30/90</f>
        <v>222.72680777344374</v>
      </c>
      <c r="BB165" s="23">
        <f>+'QTR Raw'!V82</f>
        <v>265.96600000000001</v>
      </c>
      <c r="BC165" s="23">
        <f>+BC200*BC30/90</f>
        <v>246.49240685426204</v>
      </c>
      <c r="BD165" s="23">
        <f>+'QTR Raw'!X82</f>
        <v>266.50200000000001</v>
      </c>
      <c r="BE165" s="23">
        <f>+BE200*BE30/90</f>
        <v>233.83216145387959</v>
      </c>
      <c r="BF165" s="23">
        <f>+'QTR Raw'!Z82</f>
        <v>300.73</v>
      </c>
      <c r="BG165" s="23">
        <f>+BG200*BG30/90</f>
        <v>384.24439257207808</v>
      </c>
      <c r="BH165" s="23">
        <f>+'QTR Raw'!AB82</f>
        <v>333.55500000000001</v>
      </c>
      <c r="BI165" s="23">
        <f>+BI200*BI30/90</f>
        <v>292.70410327029492</v>
      </c>
      <c r="BJ165" s="23">
        <f>+'QTR Raw'!AD82</f>
        <v>308.22399999999999</v>
      </c>
      <c r="BK165" s="23">
        <f>+BK200*BK30/90</f>
        <v>328.2331944189155</v>
      </c>
      <c r="BL165" s="23">
        <f>+'QTR Raw'!AF82</f>
        <v>333.18099999999998</v>
      </c>
      <c r="BM165" s="23">
        <f>+BM200*BM30/90</f>
        <v>312.89815758834578</v>
      </c>
      <c r="BN165" s="23">
        <f>+'QTR Raw'!AH82</f>
        <v>345.42599999999999</v>
      </c>
      <c r="BO165" s="23">
        <f>+BO200*BO30/90</f>
        <v>406.72548895436773</v>
      </c>
      <c r="BP165" s="23">
        <f>+'QTR Raw'!AJ82</f>
        <v>410.53800000000001</v>
      </c>
      <c r="BQ165" s="23">
        <f>+BQ200*BQ30/90</f>
        <v>507.3989565113489</v>
      </c>
      <c r="BR165" s="23">
        <f>+'QTR Raw'!AL82</f>
        <v>389.01900000000001</v>
      </c>
      <c r="BS165" s="23">
        <f>+BS200*BS30/90</f>
        <v>446.09592833826906</v>
      </c>
      <c r="BT165" s="23">
        <f>+'QTR Raw'!AN82</f>
        <v>471.59300000000002</v>
      </c>
      <c r="BU165" s="23">
        <f>+BU200*BU30/90</f>
        <v>477.66873315795692</v>
      </c>
      <c r="BV165" s="23">
        <f>+'QTR Raw'!AP82</f>
        <v>555.69000000000005</v>
      </c>
      <c r="BW165" s="23">
        <f>+BW200*BW30/90</f>
        <v>698.23575289389839</v>
      </c>
      <c r="BX165" s="23">
        <f>+'QTR Raw'!AR82</f>
        <v>646.25</v>
      </c>
      <c r="BY165" s="23">
        <f>+BY200*BY30/90</f>
        <v>632.89291053073737</v>
      </c>
      <c r="BZ165" s="23">
        <f>+'QTR Raw'!AT82</f>
        <v>575.79999999999995</v>
      </c>
      <c r="CA165" s="23">
        <f>+CA200*CA30/90</f>
        <v>676.92302445167377</v>
      </c>
      <c r="CB165" s="23">
        <f>+'QTR Raw'!AV82</f>
        <v>714.7</v>
      </c>
      <c r="CC165" s="23">
        <f>+CC200*CC30/90</f>
        <v>684.52298523374236</v>
      </c>
      <c r="CD165" s="23">
        <f>+'QTR Raw'!AX82</f>
        <v>686.92</v>
      </c>
      <c r="CE165" s="23">
        <f>+CE200*CE30/90</f>
        <v>800.64805449502728</v>
      </c>
      <c r="CF165" s="23">
        <f>+'QTR Raw'!AZ82</f>
        <v>816.53</v>
      </c>
      <c r="CG165" s="23">
        <f>+CG200*CG30/90</f>
        <v>786.23102646359268</v>
      </c>
      <c r="CH165" s="23">
        <f t="shared" si="1251"/>
        <v>815.37879999999996</v>
      </c>
      <c r="CI165" s="23">
        <f>+CI200*CI30/90</f>
        <v>939.43578008172904</v>
      </c>
      <c r="CJ165" s="23">
        <f>+'QTR Raw'!BD82</f>
        <v>937.73</v>
      </c>
      <c r="CK165" s="24">
        <f t="shared" ref="CK165:DB165" si="1275">+CK200*CK30/90</f>
        <v>920.28747866162769</v>
      </c>
      <c r="CL165" s="23">
        <f>+'QTR Raw'!BF82</f>
        <v>780.91</v>
      </c>
      <c r="CM165" s="24">
        <f t="shared" si="1275"/>
        <v>1046.7560385963748</v>
      </c>
      <c r="CN165" s="24">
        <f t="shared" si="1275"/>
        <v>1039.3548257412385</v>
      </c>
      <c r="CO165" s="24">
        <f t="shared" si="1275"/>
        <v>1019.9199489510411</v>
      </c>
      <c r="CP165" s="24">
        <f t="shared" si="1275"/>
        <v>979.4898953396812</v>
      </c>
      <c r="CQ165" s="24">
        <f t="shared" si="1275"/>
        <v>1148.5325951532243</v>
      </c>
      <c r="CR165" s="24">
        <f t="shared" si="1275"/>
        <v>1141.2073807498093</v>
      </c>
      <c r="CS165" s="24">
        <f t="shared" si="1275"/>
        <v>1119.935137754996</v>
      </c>
      <c r="CT165" s="24">
        <f t="shared" si="1275"/>
        <v>1075.8369635997037</v>
      </c>
      <c r="CU165" s="24">
        <f t="shared" si="1275"/>
        <v>1267.4355653385335</v>
      </c>
      <c r="CV165" s="24">
        <f t="shared" si="1275"/>
        <v>1259.9286800907537</v>
      </c>
      <c r="CW165" s="24">
        <f t="shared" si="1275"/>
        <v>1236.4000555004434</v>
      </c>
      <c r="CX165" s="24">
        <f t="shared" si="1275"/>
        <v>1187.6361900796853</v>
      </c>
      <c r="CY165" s="24">
        <f t="shared" si="1275"/>
        <v>1398.8043258314988</v>
      </c>
      <c r="CZ165" s="24">
        <f t="shared" si="1275"/>
        <v>1391.1621377765393</v>
      </c>
      <c r="DA165" s="24">
        <f t="shared" si="1275"/>
        <v>1365.1437013375639</v>
      </c>
      <c r="DB165" s="24">
        <f t="shared" si="1275"/>
        <v>1311.2302397160852</v>
      </c>
      <c r="DE165" s="123"/>
      <c r="DF165" s="23">
        <v>780.9076</v>
      </c>
    </row>
    <row r="166" spans="1:110" s="23" customFormat="1" outlineLevel="1" x14ac:dyDescent="0.2">
      <c r="A166" s="23" t="s">
        <v>63</v>
      </c>
      <c r="B166" s="23">
        <f>'Annual Raw'!C79</f>
        <v>0</v>
      </c>
      <c r="C166" s="23">
        <f>'Annual Raw'!D79</f>
        <v>0</v>
      </c>
      <c r="D166" s="23">
        <f>'Annual Raw'!E79</f>
        <v>0</v>
      </c>
      <c r="E166" s="23">
        <f>'Annual Raw'!F79</f>
        <v>0</v>
      </c>
      <c r="F166" s="23">
        <f>'Annual Raw'!G79</f>
        <v>0</v>
      </c>
      <c r="G166" s="23">
        <f>'Annual Raw'!H79</f>
        <v>0</v>
      </c>
      <c r="H166" s="23">
        <f>'Annual Raw'!I79</f>
        <v>0</v>
      </c>
      <c r="I166" s="23">
        <f>'Annual Raw'!J79</f>
        <v>0</v>
      </c>
      <c r="J166" s="23">
        <f>'Annual Raw'!K79</f>
        <v>0.1258</v>
      </c>
      <c r="K166" s="23">
        <f>'Annual Raw'!L79</f>
        <v>0.1017</v>
      </c>
      <c r="L166" s="23">
        <f>'Annual Raw'!M79</f>
        <v>0.75480000000000003</v>
      </c>
      <c r="M166" s="23">
        <f>'Annual Raw'!N79</f>
        <v>0.39610000000000001</v>
      </c>
      <c r="N166" s="23">
        <f>'Annual Raw'!O79</f>
        <v>0.1474</v>
      </c>
      <c r="O166" s="23">
        <f>'Annual Raw'!P79</f>
        <v>0.19839999999999999</v>
      </c>
      <c r="P166" s="23">
        <f>'Annual Raw'!Q79</f>
        <v>0.37909999999999999</v>
      </c>
      <c r="Q166" s="23">
        <f>'Annual Raw'!R79</f>
        <v>2.5143</v>
      </c>
      <c r="R166" s="23">
        <f>'Annual Raw'!S79</f>
        <v>14.3598</v>
      </c>
      <c r="S166" s="23">
        <f>'Annual Raw'!T79</f>
        <v>12.938700000000001</v>
      </c>
      <c r="T166" s="23">
        <f>'Annual Raw'!U79</f>
        <v>33.232900000000001</v>
      </c>
      <c r="U166" s="23">
        <f>'Annual Raw'!V79</f>
        <v>18.889700000000001</v>
      </c>
      <c r="V166" s="23">
        <f>'Annual Raw'!W79</f>
        <v>45.945900000000002</v>
      </c>
      <c r="W166" s="23">
        <f>'Annual Raw'!X79</f>
        <v>57.428800000000003</v>
      </c>
      <c r="X166" s="23">
        <f>'Annual Raw'!Y79</f>
        <v>44.911799999999999</v>
      </c>
      <c r="Y166" s="23">
        <f>'Annual Raw'!Z79</f>
        <v>33.0916</v>
      </c>
      <c r="Z166" s="23">
        <f>'Annual Raw'!AA79</f>
        <v>29.372900000000001</v>
      </c>
      <c r="AA166" s="23">
        <f>'Annual Raw'!AB79</f>
        <v>54.7956</v>
      </c>
      <c r="AB166" s="24">
        <f t="shared" si="1269"/>
        <v>810.36103607599875</v>
      </c>
      <c r="AC166" s="24">
        <f t="shared" si="1270"/>
        <v>890.07182271050556</v>
      </c>
      <c r="AD166" s="24">
        <f t="shared" si="1271"/>
        <v>982.56663805660412</v>
      </c>
      <c r="AE166" s="24">
        <f t="shared" si="1272"/>
        <v>1084.819660362105</v>
      </c>
      <c r="AJ166" s="23">
        <f>+'QTR Raw'!D84</f>
        <v>0</v>
      </c>
      <c r="AK166" s="23">
        <f t="shared" si="1273"/>
        <v>0</v>
      </c>
      <c r="AL166" s="23">
        <f>+'QTR Raw'!F84</f>
        <v>0</v>
      </c>
      <c r="AM166" s="23">
        <f t="shared" si="1273"/>
        <v>0</v>
      </c>
      <c r="AN166" s="23">
        <f>+'QTR Raw'!H84</f>
        <v>0</v>
      </c>
      <c r="AO166" s="23">
        <f t="shared" si="1273"/>
        <v>0</v>
      </c>
      <c r="AP166" s="23">
        <f>+'QTR Raw'!J84</f>
        <v>0</v>
      </c>
      <c r="AQ166" s="23">
        <f t="shared" si="1273"/>
        <v>0</v>
      </c>
      <c r="AR166" s="23">
        <f>+'QTR Raw'!L84</f>
        <v>0</v>
      </c>
      <c r="AS166" s="23">
        <f t="shared" si="1273"/>
        <v>0</v>
      </c>
      <c r="AT166" s="23">
        <f>+'QTR Raw'!N84</f>
        <v>0</v>
      </c>
      <c r="AU166" s="23">
        <f t="shared" si="1273"/>
        <v>0</v>
      </c>
      <c r="AV166" s="23">
        <f>+'QTR Raw'!P84</f>
        <v>0</v>
      </c>
      <c r="AW166" s="23">
        <f t="shared" si="1273"/>
        <v>0</v>
      </c>
      <c r="AX166" s="23">
        <f>+'QTR Raw'!R84</f>
        <v>94.521000000000001</v>
      </c>
      <c r="AY166" s="23">
        <f t="shared" si="1273"/>
        <v>94.521000000000001</v>
      </c>
      <c r="AZ166" s="23">
        <f>+'QTR Raw'!T84</f>
        <v>14.368</v>
      </c>
      <c r="BA166" s="23">
        <f t="shared" si="1273"/>
        <v>14.368</v>
      </c>
      <c r="BB166" s="23">
        <f>+'QTR Raw'!V84</f>
        <v>89.462999999999994</v>
      </c>
      <c r="BC166" s="23">
        <f t="shared" si="1273"/>
        <v>89.462999999999994</v>
      </c>
      <c r="BD166" s="23">
        <f>+'QTR Raw'!X84</f>
        <v>99.486000000000004</v>
      </c>
      <c r="BE166" s="23">
        <f t="shared" si="1273"/>
        <v>99.486000000000004</v>
      </c>
      <c r="BF166" s="23">
        <f>+'QTR Raw'!Z84</f>
        <v>117.286</v>
      </c>
      <c r="BG166" s="23">
        <f t="shared" si="1273"/>
        <v>117.286</v>
      </c>
      <c r="BH166" s="23">
        <f>+'QTR Raw'!AB84</f>
        <v>96.256</v>
      </c>
      <c r="BI166" s="23">
        <f t="shared" si="1273"/>
        <v>96.256</v>
      </c>
      <c r="BJ166" s="23">
        <f>+'QTR Raw'!AD84</f>
        <v>100.322</v>
      </c>
      <c r="BK166" s="23">
        <f t="shared" si="1273"/>
        <v>100.322</v>
      </c>
      <c r="BL166" s="23">
        <f>+'QTR Raw'!AF84</f>
        <v>83.799000000000007</v>
      </c>
      <c r="BM166" s="23">
        <f t="shared" si="1273"/>
        <v>83.799000000000007</v>
      </c>
      <c r="BN166" s="23">
        <f>+'QTR Raw'!AH84</f>
        <v>83.275999999999996</v>
      </c>
      <c r="BO166" s="23">
        <f t="shared" si="1273"/>
        <v>83.275999999999996</v>
      </c>
      <c r="BP166" s="23">
        <f>+'QTR Raw'!AJ84</f>
        <v>93.004000000000005</v>
      </c>
      <c r="BQ166" s="23">
        <f t="shared" si="1273"/>
        <v>93.004000000000005</v>
      </c>
      <c r="BR166" s="23">
        <f>+'QTR Raw'!AL84</f>
        <v>119.828</v>
      </c>
      <c r="BS166" s="23">
        <f t="shared" si="1273"/>
        <v>119.828</v>
      </c>
      <c r="BT166" s="23">
        <f>+'QTR Raw'!AN84</f>
        <v>116.79600000000001</v>
      </c>
      <c r="BU166" s="23">
        <f t="shared" si="1273"/>
        <v>116.79600000000001</v>
      </c>
      <c r="BV166" s="23">
        <f>+'QTR Raw'!AP84</f>
        <v>227.68</v>
      </c>
      <c r="BW166" s="23">
        <f t="shared" si="1273"/>
        <v>227.68</v>
      </c>
      <c r="BX166" s="23">
        <f>+'QTR Raw'!AR84</f>
        <v>251.79</v>
      </c>
      <c r="BY166" s="23">
        <f t="shared" si="1273"/>
        <v>251.79</v>
      </c>
      <c r="BZ166" s="23">
        <f>+'QTR Raw'!AT84</f>
        <v>249.38</v>
      </c>
      <c r="CA166" s="23">
        <f t="shared" si="1273"/>
        <v>249.38</v>
      </c>
      <c r="CB166" s="23">
        <f>+'QTR Raw'!AV84</f>
        <v>224.17</v>
      </c>
      <c r="CC166" s="23">
        <f t="shared" si="1273"/>
        <v>224.17</v>
      </c>
      <c r="CD166" s="23">
        <f>+'QTR Raw'!AX84</f>
        <v>203.03</v>
      </c>
      <c r="CE166" s="23">
        <f t="shared" si="1273"/>
        <v>203.03</v>
      </c>
      <c r="CF166" s="23">
        <f>+'QTR Raw'!AZ84</f>
        <v>135.63</v>
      </c>
      <c r="CG166" s="23">
        <f t="shared" ref="CG166:CG167" si="1276">+CF166</f>
        <v>135.63</v>
      </c>
      <c r="CH166" s="23">
        <f t="shared" si="1251"/>
        <v>29.372900000000001</v>
      </c>
      <c r="CI166" s="23">
        <f>CI30/90*CI201</f>
        <v>1363.4058523655056</v>
      </c>
      <c r="CJ166" s="23">
        <f>+'QTR Raw'!BD84</f>
        <v>446.08</v>
      </c>
      <c r="CK166" s="24">
        <f t="shared" ref="CK166:DB166" si="1277">CK30/90*CK201</f>
        <v>585.55183703567127</v>
      </c>
      <c r="CL166" s="23">
        <f>+'QTR Raw'!BF84</f>
        <v>559.74</v>
      </c>
      <c r="CM166" s="24">
        <f t="shared" si="1277"/>
        <v>866.01231109341688</v>
      </c>
      <c r="CN166" s="24">
        <f t="shared" si="1277"/>
        <v>859.88906822379317</v>
      </c>
      <c r="CO166" s="24">
        <f t="shared" si="1277"/>
        <v>843.81001833604307</v>
      </c>
      <c r="CP166" s="24">
        <f t="shared" si="1277"/>
        <v>810.36103607599875</v>
      </c>
      <c r="CQ166" s="24">
        <f t="shared" si="1277"/>
        <v>950.21507440120365</v>
      </c>
      <c r="CR166" s="24">
        <f t="shared" si="1277"/>
        <v>944.15470730433674</v>
      </c>
      <c r="CS166" s="24">
        <f t="shared" si="1277"/>
        <v>926.55554987049811</v>
      </c>
      <c r="CT166" s="24">
        <f t="shared" si="1277"/>
        <v>890.07182271050556</v>
      </c>
      <c r="CU166" s="24">
        <f t="shared" si="1277"/>
        <v>1048.5870275681789</v>
      </c>
      <c r="CV166" s="24">
        <f t="shared" si="1277"/>
        <v>1042.3763587945264</v>
      </c>
      <c r="CW166" s="24">
        <f t="shared" si="1277"/>
        <v>1022.910429956297</v>
      </c>
      <c r="CX166" s="24">
        <f t="shared" si="1277"/>
        <v>982.56663805660412</v>
      </c>
      <c r="CY166" s="24">
        <f t="shared" si="1277"/>
        <v>1157.272298715546</v>
      </c>
      <c r="CZ166" s="24">
        <f t="shared" si="1277"/>
        <v>1150.949689917262</v>
      </c>
      <c r="DA166" s="24">
        <f t="shared" si="1277"/>
        <v>1129.4238659040866</v>
      </c>
      <c r="DB166" s="24">
        <f t="shared" si="1277"/>
        <v>1084.819660362105</v>
      </c>
      <c r="DE166" s="123"/>
      <c r="DF166" s="23">
        <v>54.7956</v>
      </c>
    </row>
    <row r="167" spans="1:110" s="23" customFormat="1" outlineLevel="1" x14ac:dyDescent="0.2">
      <c r="A167" s="23" t="s">
        <v>64</v>
      </c>
      <c r="B167" s="23">
        <f>'Annual Raw'!C80</f>
        <v>13.8626</v>
      </c>
      <c r="C167" s="23">
        <f>'Annual Raw'!D80</f>
        <v>12.4894</v>
      </c>
      <c r="D167" s="23">
        <f>'Annual Raw'!E80</f>
        <v>16.593399999999999</v>
      </c>
      <c r="E167" s="23">
        <f>'Annual Raw'!F80</f>
        <v>18.884899999999998</v>
      </c>
      <c r="F167" s="23">
        <f>'Annual Raw'!G80</f>
        <v>22.388999999999999</v>
      </c>
      <c r="G167" s="23">
        <f>'Annual Raw'!H80</f>
        <v>26.503599999999999</v>
      </c>
      <c r="H167" s="23">
        <f>'Annual Raw'!I80</f>
        <v>37.087000000000003</v>
      </c>
      <c r="I167" s="23">
        <f>'Annual Raw'!J80</f>
        <v>60.131599999999999</v>
      </c>
      <c r="J167" s="23">
        <f>'Annual Raw'!K80</f>
        <v>57.873399999999997</v>
      </c>
      <c r="K167" s="23">
        <f>'Annual Raw'!L80</f>
        <v>59.580199999999998</v>
      </c>
      <c r="L167" s="23">
        <f>'Annual Raw'!M80</f>
        <v>54.662500000000001</v>
      </c>
      <c r="M167" s="23">
        <f>'Annual Raw'!N80</f>
        <v>110.2851</v>
      </c>
      <c r="N167" s="23">
        <f>'Annual Raw'!O80</f>
        <v>96.837800000000001</v>
      </c>
      <c r="O167" s="23">
        <f>'Annual Raw'!P80</f>
        <v>101.47580000000001</v>
      </c>
      <c r="P167" s="23">
        <f>'Annual Raw'!Q80</f>
        <v>95.965999999999994</v>
      </c>
      <c r="Q167" s="23">
        <f>'Annual Raw'!R80</f>
        <v>458.83269999999999</v>
      </c>
      <c r="R167" s="23">
        <f>'Annual Raw'!S80</f>
        <v>488.29719999999998</v>
      </c>
      <c r="S167" s="23">
        <f>'Annual Raw'!T80</f>
        <v>567.50440000000003</v>
      </c>
      <c r="T167" s="23">
        <f>'Annual Raw'!U80</f>
        <v>605.84609999999998</v>
      </c>
      <c r="U167" s="23">
        <f>'Annual Raw'!V80</f>
        <v>272.33030000000002</v>
      </c>
      <c r="V167" s="23">
        <f>'Annual Raw'!W80</f>
        <v>415.65559999999999</v>
      </c>
      <c r="W167" s="23">
        <f>'Annual Raw'!X80</f>
        <v>243.00460000000001</v>
      </c>
      <c r="X167" s="23">
        <f>'Annual Raw'!Y80</f>
        <v>277.09179999999998</v>
      </c>
      <c r="Y167" s="23">
        <f>'Annual Raw'!Z80</f>
        <v>590.16300000000001</v>
      </c>
      <c r="Z167" s="23">
        <f>'Annual Raw'!AA80</f>
        <v>627.06590000000006</v>
      </c>
      <c r="AA167" s="23">
        <f>'Annual Raw'!AB80</f>
        <v>951.67790000000002</v>
      </c>
      <c r="AB167" s="24">
        <f t="shared" si="1269"/>
        <v>0</v>
      </c>
      <c r="AC167" s="24">
        <f t="shared" si="1270"/>
        <v>0</v>
      </c>
      <c r="AD167" s="24">
        <f t="shared" si="1271"/>
        <v>0</v>
      </c>
      <c r="AE167" s="24">
        <f t="shared" si="1272"/>
        <v>0</v>
      </c>
      <c r="AJ167" s="23">
        <f>+'QTR Raw'!D85</f>
        <v>75.150000000000006</v>
      </c>
      <c r="AK167" s="23">
        <f t="shared" si="1273"/>
        <v>75.150000000000006</v>
      </c>
      <c r="AL167" s="23">
        <f>+'QTR Raw'!F85</f>
        <v>96.986000000000004</v>
      </c>
      <c r="AM167" s="23">
        <f t="shared" si="1273"/>
        <v>96.986000000000004</v>
      </c>
      <c r="AN167" s="23">
        <f>+'QTR Raw'!H85</f>
        <v>84.123000000000005</v>
      </c>
      <c r="AO167" s="23">
        <f t="shared" si="1273"/>
        <v>84.123000000000005</v>
      </c>
      <c r="AP167" s="23">
        <f>+'QTR Raw'!J85</f>
        <v>101.67400000000001</v>
      </c>
      <c r="AQ167" s="23">
        <f t="shared" si="1273"/>
        <v>101.67400000000001</v>
      </c>
      <c r="AR167" s="23">
        <f>+'QTR Raw'!L85</f>
        <v>84.813000000000002</v>
      </c>
      <c r="AS167" s="23">
        <f t="shared" si="1273"/>
        <v>84.813000000000002</v>
      </c>
      <c r="AT167" s="23">
        <f>+'QTR Raw'!N85</f>
        <v>96.344999999999999</v>
      </c>
      <c r="AU167" s="23">
        <f t="shared" si="1273"/>
        <v>96.344999999999999</v>
      </c>
      <c r="AV167" s="23">
        <f>+'QTR Raw'!P85</f>
        <v>93.504999999999995</v>
      </c>
      <c r="AW167" s="23">
        <f t="shared" si="1273"/>
        <v>93.504999999999995</v>
      </c>
      <c r="AX167" s="23">
        <f>+'QTR Raw'!R85</f>
        <v>0.746</v>
      </c>
      <c r="AY167" s="23">
        <f t="shared" si="1273"/>
        <v>0.746</v>
      </c>
      <c r="AZ167" s="23">
        <f>+'QTR Raw'!T85</f>
        <v>71.337000000000003</v>
      </c>
      <c r="BA167" s="23">
        <f t="shared" si="1273"/>
        <v>71.337000000000003</v>
      </c>
      <c r="BB167" s="23">
        <f>+'QTR Raw'!V85</f>
        <v>0.92600000000000005</v>
      </c>
      <c r="BC167" s="23">
        <f t="shared" si="1273"/>
        <v>0.92600000000000005</v>
      </c>
      <c r="BD167" s="23">
        <f>+'QTR Raw'!X85</f>
        <v>0.92100000000000004</v>
      </c>
      <c r="BE167" s="23">
        <f t="shared" si="1273"/>
        <v>0.92100000000000004</v>
      </c>
      <c r="BF167" s="23">
        <f>+'QTR Raw'!Z85</f>
        <v>1.776</v>
      </c>
      <c r="BG167" s="23">
        <f t="shared" si="1273"/>
        <v>1.776</v>
      </c>
      <c r="BH167" s="23">
        <f>+'QTR Raw'!AB85</f>
        <v>0.21199999999999999</v>
      </c>
      <c r="BI167" s="23">
        <f t="shared" si="1273"/>
        <v>0.21199999999999999</v>
      </c>
      <c r="BJ167" s="23">
        <f>+'QTR Raw'!AD85</f>
        <v>1.4019999999999999</v>
      </c>
      <c r="BK167" s="23">
        <f t="shared" si="1273"/>
        <v>1.4019999999999999</v>
      </c>
      <c r="BL167" s="23">
        <f>+'QTR Raw'!AF85</f>
        <v>0.71699999999999997</v>
      </c>
      <c r="BM167" s="23">
        <f t="shared" si="1273"/>
        <v>0.71699999999999997</v>
      </c>
      <c r="BN167" s="23">
        <f>+'QTR Raw'!AH85</f>
        <v>5.0179999999999998</v>
      </c>
      <c r="BO167" s="23">
        <f t="shared" si="1273"/>
        <v>5.0179999999999998</v>
      </c>
      <c r="BP167" s="23">
        <f>+'QTR Raw'!AJ85</f>
        <v>0.875</v>
      </c>
      <c r="BQ167" s="23">
        <f t="shared" si="1273"/>
        <v>0.875</v>
      </c>
      <c r="BR167" s="23">
        <f>+'QTR Raw'!AL85</f>
        <v>0.48199999999999998</v>
      </c>
      <c r="BS167" s="23">
        <f t="shared" si="1273"/>
        <v>0.48199999999999998</v>
      </c>
      <c r="BT167" s="23">
        <f>+'QTR Raw'!AN85</f>
        <v>0.50600000000000001</v>
      </c>
      <c r="BU167" s="23">
        <f t="shared" si="1273"/>
        <v>0.50600000000000001</v>
      </c>
      <c r="BV167" s="23">
        <f>+'QTR Raw'!AP85</f>
        <v>1.31</v>
      </c>
      <c r="BW167" s="23">
        <f t="shared" si="1273"/>
        <v>1.31</v>
      </c>
      <c r="BX167" s="23">
        <f>+'QTR Raw'!AR85</f>
        <v>1.42</v>
      </c>
      <c r="BY167" s="23">
        <f t="shared" si="1273"/>
        <v>1.42</v>
      </c>
      <c r="BZ167" s="23">
        <f>+'QTR Raw'!AT85</f>
        <v>1.37</v>
      </c>
      <c r="CA167" s="23">
        <f t="shared" si="1273"/>
        <v>1.37</v>
      </c>
      <c r="CB167" s="23">
        <f>+'QTR Raw'!AV85</f>
        <v>1.26</v>
      </c>
      <c r="CC167" s="23">
        <f t="shared" si="1273"/>
        <v>1.26</v>
      </c>
      <c r="CD167" s="23">
        <f>+'QTR Raw'!AX85</f>
        <v>0.7</v>
      </c>
      <c r="CE167" s="23">
        <f t="shared" si="1273"/>
        <v>0.7</v>
      </c>
      <c r="CF167" s="23">
        <f>+'QTR Raw'!AZ85</f>
        <v>0.61</v>
      </c>
      <c r="CG167" s="23">
        <f t="shared" si="1276"/>
        <v>0.61</v>
      </c>
      <c r="CH167" s="23">
        <f t="shared" si="1251"/>
        <v>627.06590000000006</v>
      </c>
      <c r="CJ167" s="23">
        <f>+'QTR Raw'!BD85</f>
        <v>0.59</v>
      </c>
      <c r="CK167" s="24"/>
      <c r="CL167" s="23">
        <f>+'QTR Raw'!BF85</f>
        <v>0.54</v>
      </c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  <c r="DF167" s="23">
        <v>951.67790000000002</v>
      </c>
    </row>
    <row r="168" spans="1:110" s="22" customFormat="1" x14ac:dyDescent="0.2">
      <c r="A168" s="22" t="s">
        <v>65</v>
      </c>
      <c r="B168" s="22">
        <f>SUM(B162:B167)</f>
        <v>136.88810000000001</v>
      </c>
      <c r="C168" s="22">
        <f t="shared" ref="C168:V168" si="1278">SUM(C162:C167)</f>
        <v>157.84259999999998</v>
      </c>
      <c r="D168" s="22">
        <f t="shared" si="1278"/>
        <v>186.3715</v>
      </c>
      <c r="E168" s="22">
        <f t="shared" si="1278"/>
        <v>220.11799999999999</v>
      </c>
      <c r="F168" s="22">
        <f t="shared" si="1278"/>
        <v>264.15649999999999</v>
      </c>
      <c r="G168" s="22">
        <f t="shared" si="1278"/>
        <v>343.46289999999999</v>
      </c>
      <c r="H168" s="22">
        <f t="shared" si="1278"/>
        <v>433.97090000000003</v>
      </c>
      <c r="I168" s="22">
        <f t="shared" si="1278"/>
        <v>457.24520000000001</v>
      </c>
      <c r="J168" s="22">
        <f t="shared" si="1278"/>
        <v>441.57400000000001</v>
      </c>
      <c r="K168" s="22">
        <f t="shared" si="1278"/>
        <v>488.31079999999997</v>
      </c>
      <c r="L168" s="22">
        <f>SUM(L162:L167)</f>
        <v>525.36739999999998</v>
      </c>
      <c r="M168" s="22">
        <f>SUM(M162:M167)</f>
        <v>361.03839999999997</v>
      </c>
      <c r="N168" s="22">
        <f t="shared" si="1278"/>
        <v>407.07870000000003</v>
      </c>
      <c r="O168" s="22">
        <f t="shared" si="1278"/>
        <v>482.28870000000001</v>
      </c>
      <c r="P168" s="22">
        <f t="shared" si="1278"/>
        <v>526.71100000000001</v>
      </c>
      <c r="Q168" s="22">
        <f t="shared" si="1278"/>
        <v>947.02980000000002</v>
      </c>
      <c r="R168" s="22">
        <f t="shared" si="1278"/>
        <v>978.89139999999998</v>
      </c>
      <c r="S168" s="22">
        <f t="shared" si="1278"/>
        <v>1105.9326000000001</v>
      </c>
      <c r="T168" s="22">
        <f t="shared" si="1278"/>
        <v>1199.9569999999999</v>
      </c>
      <c r="U168" s="22">
        <f t="shared" si="1278"/>
        <v>915.26499999999987</v>
      </c>
      <c r="V168" s="22">
        <f t="shared" si="1278"/>
        <v>1204.5091</v>
      </c>
      <c r="W168" s="22">
        <f t="shared" ref="W168" si="1279">SUM(W162:W167)</f>
        <v>1702.1949</v>
      </c>
      <c r="X168" s="22">
        <f t="shared" ref="X168:Y168" si="1280">SUM(X162:X167)</f>
        <v>1857.1410000000001</v>
      </c>
      <c r="Y168" s="22">
        <f t="shared" si="1280"/>
        <v>2112.3561</v>
      </c>
      <c r="Z168" s="22">
        <f t="shared" ref="Z168:AA168" si="1281">SUM(Z162:Z167)</f>
        <v>2527.6957000000002</v>
      </c>
      <c r="AA168" s="22">
        <f t="shared" si="1281"/>
        <v>3005.4567000000002</v>
      </c>
      <c r="AB168" s="21">
        <f t="shared" ref="AB168:AD168" si="1282">SUM(AB162:AB167)</f>
        <v>2647.0347227298371</v>
      </c>
      <c r="AC168" s="21">
        <f t="shared" si="1282"/>
        <v>2907.4090628133117</v>
      </c>
      <c r="AD168" s="21">
        <f t="shared" si="1282"/>
        <v>3209.5422812108523</v>
      </c>
      <c r="AE168" s="21">
        <f t="shared" ref="AE168" si="1283">SUM(AE162:AE167)</f>
        <v>3543.5505670205685</v>
      </c>
      <c r="AJ168" s="22">
        <f t="shared" ref="AJ168" si="1284">SUM(AJ162:AJ167)</f>
        <v>371.06499999999994</v>
      </c>
      <c r="AK168" s="22">
        <f t="shared" ref="AK168" si="1285">SUM(AK162:AK167)</f>
        <v>346.9632231060292</v>
      </c>
      <c r="AL168" s="22">
        <f t="shared" ref="AL168:AM168" si="1286">SUM(AL162:AL167)</f>
        <v>407.08</v>
      </c>
      <c r="AM168" s="22">
        <f t="shared" si="1286"/>
        <v>450.40794930390359</v>
      </c>
      <c r="AN168" s="22">
        <f t="shared" ref="AN168:AO168" si="1287">SUM(AN162:AN167)</f>
        <v>461.57600000000002</v>
      </c>
      <c r="AO168" s="22">
        <f t="shared" si="1287"/>
        <v>437.53193099566721</v>
      </c>
      <c r="AP168" s="22">
        <f t="shared" ref="AP168:CE168" si="1288">SUM(AP162:AP167)</f>
        <v>482.28899999999999</v>
      </c>
      <c r="AQ168" s="22">
        <f t="shared" si="1288"/>
        <v>537.3145100219599</v>
      </c>
      <c r="AR168" s="22">
        <f t="shared" si="1288"/>
        <v>487.66499999999996</v>
      </c>
      <c r="AS168" s="22">
        <f t="shared" si="1288"/>
        <v>460.87846138201229</v>
      </c>
      <c r="AT168" s="22">
        <f t="shared" si="1288"/>
        <v>526.71</v>
      </c>
      <c r="AU168" s="22">
        <f t="shared" si="1288"/>
        <v>571.88621841923703</v>
      </c>
      <c r="AV168" s="22">
        <f t="shared" si="1288"/>
        <v>518.38</v>
      </c>
      <c r="AW168" s="22">
        <f t="shared" si="1288"/>
        <v>500.60884284315233</v>
      </c>
      <c r="AX168" s="22">
        <f t="shared" si="1288"/>
        <v>580.94899999999996</v>
      </c>
      <c r="AY168" s="22">
        <f t="shared" si="1288"/>
        <v>598.48946649645427</v>
      </c>
      <c r="AZ168" s="22">
        <f t="shared" si="1288"/>
        <v>507.411</v>
      </c>
      <c r="BA168" s="22">
        <f t="shared" si="1288"/>
        <v>475.66140546224068</v>
      </c>
      <c r="BB168" s="22">
        <f t="shared" si="1288"/>
        <v>566.62400000000002</v>
      </c>
      <c r="BC168" s="22">
        <f t="shared" si="1288"/>
        <v>532.49436184704598</v>
      </c>
      <c r="BD168" s="22">
        <f t="shared" si="1288"/>
        <v>526.79700000000003</v>
      </c>
      <c r="BE168" s="22">
        <f t="shared" si="1288"/>
        <v>476.38567214577955</v>
      </c>
      <c r="BF168" s="22">
        <f t="shared" si="1288"/>
        <v>644.55200000000002</v>
      </c>
      <c r="BG168" s="22">
        <f t="shared" si="1288"/>
        <v>787.42067927052119</v>
      </c>
      <c r="BH168" s="22">
        <f t="shared" si="1288"/>
        <v>631.04899999999998</v>
      </c>
      <c r="BI168" s="22">
        <f t="shared" si="1288"/>
        <v>566.93003603135912</v>
      </c>
      <c r="BJ168" s="22">
        <f t="shared" si="1288"/>
        <v>662.601</v>
      </c>
      <c r="BK168" s="22">
        <f t="shared" si="1288"/>
        <v>698.434404127329</v>
      </c>
      <c r="BL168" s="22">
        <f t="shared" si="1288"/>
        <v>671.51099999999997</v>
      </c>
      <c r="BM168" s="22">
        <f t="shared" si="1288"/>
        <v>636.49510741712072</v>
      </c>
      <c r="BN168" s="22">
        <f t="shared" si="1288"/>
        <v>712.33900000000006</v>
      </c>
      <c r="BO168" s="22">
        <f t="shared" si="1288"/>
        <v>822.38157902603632</v>
      </c>
      <c r="BP168" s="22">
        <f t="shared" si="1288"/>
        <v>891.56500000000005</v>
      </c>
      <c r="BQ168" s="22">
        <f t="shared" si="1288"/>
        <v>1077.5208225645001</v>
      </c>
      <c r="BR168" s="22">
        <f t="shared" si="1288"/>
        <v>887.89499999999998</v>
      </c>
      <c r="BS168" s="22">
        <f t="shared" si="1288"/>
        <v>995.94940635437251</v>
      </c>
      <c r="BT168" s="22">
        <f t="shared" si="1288"/>
        <v>964.226</v>
      </c>
      <c r="BU168" s="22">
        <f t="shared" si="1288"/>
        <v>974.97920240805388</v>
      </c>
      <c r="BV168" s="22">
        <f t="shared" si="1288"/>
        <v>1267.5</v>
      </c>
      <c r="BW168" s="22">
        <f t="shared" si="1288"/>
        <v>1515.2088057765893</v>
      </c>
      <c r="BX168" s="22">
        <f t="shared" si="1288"/>
        <v>1389.94</v>
      </c>
      <c r="BY168" s="22">
        <f t="shared" si="1288"/>
        <v>1367.3948864647164</v>
      </c>
      <c r="BZ168" s="22">
        <f t="shared" si="1288"/>
        <v>1335.0499999999997</v>
      </c>
      <c r="CA168" s="22">
        <f t="shared" si="1288"/>
        <v>1511.7764471612968</v>
      </c>
      <c r="CB168" s="22">
        <f t="shared" si="1288"/>
        <v>1423.64</v>
      </c>
      <c r="CC168" s="22">
        <f t="shared" si="1288"/>
        <v>1375.5379144645815</v>
      </c>
      <c r="CD168" s="22">
        <f t="shared" si="1288"/>
        <v>1448.28</v>
      </c>
      <c r="CE168" s="22">
        <f t="shared" si="1288"/>
        <v>1645.2047654137605</v>
      </c>
      <c r="CF168" s="22">
        <f t="shared" ref="CF168:CG168" si="1289">SUM(CF162:CF167)</f>
        <v>1546.7499999999998</v>
      </c>
      <c r="CG168" s="22">
        <f t="shared" si="1289"/>
        <v>1496.2770672183249</v>
      </c>
      <c r="CH168" s="22">
        <f t="shared" ref="CH168:CI168" si="1290">SUM(CH162:CH167)</f>
        <v>2527.6957000000002</v>
      </c>
      <c r="CI168" s="22">
        <f t="shared" si="1290"/>
        <v>2912.2755972300629</v>
      </c>
      <c r="CJ168" s="22">
        <f t="shared" ref="CJ168:DB168" si="1291">SUM(CJ162:CJ167)</f>
        <v>2110.96</v>
      </c>
      <c r="CK168" s="21">
        <f t="shared" si="1291"/>
        <v>2071.6944706424551</v>
      </c>
      <c r="CL168" s="22">
        <f t="shared" ref="CL168" si="1292">SUM(CL162:CL167)</f>
        <v>2110.38</v>
      </c>
      <c r="CM168" s="21">
        <f t="shared" si="1291"/>
        <v>2828.8189531866897</v>
      </c>
      <c r="CN168" s="21">
        <f t="shared" si="1291"/>
        <v>2808.8174529046823</v>
      </c>
      <c r="CO168" s="21">
        <f t="shared" si="1291"/>
        <v>2756.295426959955</v>
      </c>
      <c r="CP168" s="21">
        <f t="shared" si="1291"/>
        <v>2647.0347227298371</v>
      </c>
      <c r="CQ168" s="21">
        <f t="shared" si="1291"/>
        <v>3103.8662818499724</v>
      </c>
      <c r="CR168" s="21">
        <f t="shared" si="1291"/>
        <v>3084.0701645346871</v>
      </c>
      <c r="CS168" s="21">
        <f t="shared" si="1291"/>
        <v>3026.5827253017492</v>
      </c>
      <c r="CT168" s="21">
        <f t="shared" si="1291"/>
        <v>2907.4090628133117</v>
      </c>
      <c r="CU168" s="21">
        <f t="shared" si="1291"/>
        <v>3425.1971013037801</v>
      </c>
      <c r="CV168" s="21">
        <f t="shared" si="1291"/>
        <v>3404.9100253421329</v>
      </c>
      <c r="CW168" s="21">
        <f t="shared" si="1291"/>
        <v>3341.3247994353078</v>
      </c>
      <c r="CX168" s="21">
        <f t="shared" si="1291"/>
        <v>3209.5422812108523</v>
      </c>
      <c r="CY168" s="21">
        <f t="shared" si="1291"/>
        <v>3780.2162517425559</v>
      </c>
      <c r="CZ168" s="21">
        <f t="shared" si="1291"/>
        <v>3759.5635250167797</v>
      </c>
      <c r="DA168" s="21">
        <f t="shared" si="1291"/>
        <v>3689.2496759277874</v>
      </c>
      <c r="DB168" s="21">
        <f t="shared" si="1291"/>
        <v>3543.5505670205685</v>
      </c>
      <c r="DE168" s="126"/>
      <c r="DF168" s="22">
        <v>3005.4567000000002</v>
      </c>
    </row>
    <row r="169" spans="1:110" s="23" customFormat="1" outlineLevel="1" x14ac:dyDescent="0.2">
      <c r="A169" s="23" t="s">
        <v>66</v>
      </c>
      <c r="B169" s="23">
        <f>'Annual Raw'!C50+'Annual Raw'!C58</f>
        <v>0</v>
      </c>
      <c r="C169" s="23">
        <f>'Annual Raw'!D50+'Annual Raw'!D58</f>
        <v>0</v>
      </c>
      <c r="D169" s="23">
        <f>'Annual Raw'!E50+'Annual Raw'!E58</f>
        <v>0</v>
      </c>
      <c r="E169" s="23">
        <f>'Annual Raw'!F50+'Annual Raw'!F58</f>
        <v>0</v>
      </c>
      <c r="F169" s="23">
        <f>'Annual Raw'!G50+'Annual Raw'!G58</f>
        <v>0</v>
      </c>
      <c r="G169" s="23">
        <f>'Annual Raw'!H50+'Annual Raw'!H58</f>
        <v>0</v>
      </c>
      <c r="H169" s="23">
        <f>'Annual Raw'!I50+'Annual Raw'!I58</f>
        <v>0</v>
      </c>
      <c r="I169" s="23">
        <f>'Annual Raw'!J50+'Annual Raw'!J58</f>
        <v>0</v>
      </c>
      <c r="J169" s="23">
        <f>'Annual Raw'!K50+'Annual Raw'!K58</f>
        <v>0</v>
      </c>
      <c r="K169" s="23">
        <f>'Annual Raw'!L50+'Annual Raw'!L58</f>
        <v>0</v>
      </c>
      <c r="L169" s="23">
        <f>'Annual Raw'!M50+'Annual Raw'!M58</f>
        <v>0</v>
      </c>
      <c r="M169" s="23">
        <f>'Annual Raw'!N50+'Annual Raw'!N58</f>
        <v>0</v>
      </c>
      <c r="N169" s="23">
        <f>'Annual Raw'!O50+'Annual Raw'!O58</f>
        <v>0</v>
      </c>
      <c r="O169" s="23">
        <f>'Annual Raw'!P50+'Annual Raw'!P58</f>
        <v>0</v>
      </c>
      <c r="P169" s="23">
        <f>'Annual Raw'!Q50+'Annual Raw'!Q58</f>
        <v>0</v>
      </c>
      <c r="Q169" s="23">
        <f>'Annual Raw'!R50+'Annual Raw'!R58</f>
        <v>3.806</v>
      </c>
      <c r="R169" s="23">
        <f>'Annual Raw'!S50+'Annual Raw'!S58</f>
        <v>3.9548000000000001</v>
      </c>
      <c r="S169" s="23">
        <f>'Annual Raw'!T50+'Annual Raw'!T58</f>
        <v>3.6000999999999999</v>
      </c>
      <c r="T169" s="23">
        <f>'Annual Raw'!U50+'Annual Raw'!U58</f>
        <v>2.2029000000000001</v>
      </c>
      <c r="U169" s="23">
        <f>'Annual Raw'!V50+'Annual Raw'!V58</f>
        <v>7.1976000000000004</v>
      </c>
      <c r="V169" s="23">
        <f>'Annual Raw'!W50+'Annual Raw'!W58</f>
        <v>10.073600000000001</v>
      </c>
      <c r="W169" s="23">
        <f>'Annual Raw'!X50+'Annual Raw'!X58</f>
        <v>23.783999999999999</v>
      </c>
      <c r="X169" s="23">
        <f>'Annual Raw'!Y50+'Annual Raw'!Y58</f>
        <v>17.813700000000001</v>
      </c>
      <c r="Y169" s="23">
        <f>'Annual Raw'!Z50+'Annual Raw'!Z58</f>
        <v>11.3371</v>
      </c>
      <c r="Z169" s="23">
        <f>'Annual Raw'!AA50+'Annual Raw'!AA58</f>
        <v>8.2543000000000006</v>
      </c>
      <c r="AA169" s="23">
        <f>'Annual Raw'!AB50+'Annual Raw'!AB58</f>
        <v>4.7064000000000004</v>
      </c>
      <c r="AB169" s="24">
        <f t="shared" ref="AB169:AB175" si="1293">+CP169</f>
        <v>0</v>
      </c>
      <c r="AC169" s="24">
        <f t="shared" ref="AC169:AC175" si="1294">+CT169</f>
        <v>0</v>
      </c>
      <c r="AD169" s="24">
        <f t="shared" ref="AD169:AD175" si="1295">+CX169</f>
        <v>0</v>
      </c>
      <c r="AE169" s="24">
        <f t="shared" ref="AE169:AE175" si="1296">+DB169</f>
        <v>0</v>
      </c>
      <c r="AJ169" s="23">
        <f>+'QTR Raw'!D64</f>
        <v>0</v>
      </c>
      <c r="AK169" s="23">
        <f t="shared" ref="AK169:CE175" si="1297">+AJ169</f>
        <v>0</v>
      </c>
      <c r="AL169" s="23">
        <f>+'QTR Raw'!F64</f>
        <v>0</v>
      </c>
      <c r="AM169" s="23">
        <f t="shared" si="1297"/>
        <v>0</v>
      </c>
      <c r="AN169" s="23">
        <f>+'QTR Raw'!H64</f>
        <v>0</v>
      </c>
      <c r="AO169" s="23">
        <f t="shared" si="1297"/>
        <v>0</v>
      </c>
      <c r="AP169" s="23">
        <f>+'QTR Raw'!J64</f>
        <v>0</v>
      </c>
      <c r="AQ169" s="23">
        <f t="shared" si="1297"/>
        <v>0</v>
      </c>
      <c r="AR169" s="23">
        <f>+'QTR Raw'!L64</f>
        <v>0</v>
      </c>
      <c r="AS169" s="23">
        <f t="shared" si="1297"/>
        <v>0</v>
      </c>
      <c r="AT169" s="23">
        <f>+'QTR Raw'!N64</f>
        <v>0</v>
      </c>
      <c r="AU169" s="23">
        <f t="shared" si="1297"/>
        <v>0</v>
      </c>
      <c r="AV169" s="23">
        <f>+'QTR Raw'!P64</f>
        <v>0</v>
      </c>
      <c r="AW169" s="23">
        <f t="shared" si="1297"/>
        <v>0</v>
      </c>
      <c r="AX169" s="23">
        <f>+'QTR Raw'!R64</f>
        <v>3.806</v>
      </c>
      <c r="AY169" s="23">
        <f t="shared" si="1297"/>
        <v>3.806</v>
      </c>
      <c r="AZ169" s="23">
        <f>+'QTR Raw'!T64</f>
        <v>4.157</v>
      </c>
      <c r="BA169" s="23">
        <f t="shared" si="1297"/>
        <v>4.157</v>
      </c>
      <c r="BB169" s="23">
        <f>+'QTR Raw'!V64</f>
        <v>3.9550000000000001</v>
      </c>
      <c r="BC169" s="23">
        <f t="shared" si="1297"/>
        <v>3.9550000000000001</v>
      </c>
      <c r="BD169" s="23">
        <f>+'QTR Raw'!X64</f>
        <v>4.1219999999999999</v>
      </c>
      <c r="BE169" s="23">
        <f t="shared" si="1297"/>
        <v>4.1219999999999999</v>
      </c>
      <c r="BF169" s="23">
        <f>+'QTR Raw'!Z64</f>
        <v>3.6</v>
      </c>
      <c r="BG169" s="23">
        <f t="shared" si="1297"/>
        <v>3.6</v>
      </c>
      <c r="BH169" s="23">
        <f>+'QTR Raw'!AB64</f>
        <v>2.08</v>
      </c>
      <c r="BI169" s="23">
        <f t="shared" si="1297"/>
        <v>2.08</v>
      </c>
      <c r="BJ169" s="23">
        <f>+'QTR Raw'!AD64</f>
        <v>2.2029999999999998</v>
      </c>
      <c r="BK169" s="23">
        <f t="shared" si="1297"/>
        <v>2.2029999999999998</v>
      </c>
      <c r="BL169" s="23">
        <f>+'QTR Raw'!AF64</f>
        <v>4.6189999999999998</v>
      </c>
      <c r="BM169" s="23">
        <f t="shared" si="1297"/>
        <v>4.6189999999999998</v>
      </c>
      <c r="BN169" s="23">
        <f>+'QTR Raw'!AH64</f>
        <v>7.1970000000000001</v>
      </c>
      <c r="BO169" s="23">
        <f t="shared" si="1297"/>
        <v>7.1970000000000001</v>
      </c>
      <c r="BP169" s="23">
        <f>+'QTR Raw'!AJ64</f>
        <v>12.234999999999999</v>
      </c>
      <c r="BQ169" s="23">
        <f t="shared" si="1297"/>
        <v>12.234999999999999</v>
      </c>
      <c r="BR169" s="23">
        <f>+'QTR Raw'!AL64</f>
        <v>10.073</v>
      </c>
      <c r="BS169" s="23">
        <f t="shared" si="1297"/>
        <v>10.073</v>
      </c>
      <c r="BT169" s="23">
        <f>+'QTR Raw'!AN64</f>
        <v>26.856000000000002</v>
      </c>
      <c r="BU169" s="23">
        <f t="shared" si="1297"/>
        <v>26.856000000000002</v>
      </c>
      <c r="BV169" s="23">
        <f>+'QTR Raw'!AP64</f>
        <v>23.78</v>
      </c>
      <c r="BW169" s="23">
        <f t="shared" si="1297"/>
        <v>23.78</v>
      </c>
      <c r="BX169" s="23">
        <f>+'QTR Raw'!AR64</f>
        <v>19.59</v>
      </c>
      <c r="BY169" s="23">
        <f t="shared" si="1297"/>
        <v>19.59</v>
      </c>
      <c r="BZ169" s="23">
        <f>+'QTR Raw'!AT64</f>
        <v>17.82</v>
      </c>
      <c r="CA169" s="23">
        <f t="shared" si="1297"/>
        <v>17.82</v>
      </c>
      <c r="CB169" s="23">
        <f>+'QTR Raw'!AV64</f>
        <v>15.49</v>
      </c>
      <c r="CC169" s="23">
        <f t="shared" si="1297"/>
        <v>15.49</v>
      </c>
      <c r="CD169" s="23">
        <f>+'QTR Raw'!AX64</f>
        <v>11.34</v>
      </c>
      <c r="CE169" s="23">
        <f t="shared" si="1297"/>
        <v>11.34</v>
      </c>
      <c r="CF169" s="23">
        <f>+'QTR Raw'!AZ64</f>
        <v>9.15</v>
      </c>
      <c r="CG169" s="23">
        <f t="shared" ref="CG169:CG172" si="1298">+CF169</f>
        <v>9.15</v>
      </c>
      <c r="CH169" s="23">
        <f t="shared" si="1251"/>
        <v>8.2543000000000006</v>
      </c>
      <c r="CJ169" s="23">
        <f>+'QTR Raw'!BD64</f>
        <v>23.22</v>
      </c>
      <c r="CK169" s="24"/>
      <c r="CL169" s="23">
        <f>+'QTR Raw'!BF64</f>
        <v>4.7</v>
      </c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E169" s="123"/>
      <c r="DF169" s="23">
        <v>4.7064000000000004</v>
      </c>
    </row>
    <row r="170" spans="1:110" s="23" customFormat="1" outlineLevel="1" x14ac:dyDescent="0.2">
      <c r="A170" s="23" t="s">
        <v>67</v>
      </c>
      <c r="B170" s="23">
        <f>'Annual Raw'!C51</f>
        <v>0</v>
      </c>
      <c r="C170" s="23">
        <f>'Annual Raw'!D51</f>
        <v>0</v>
      </c>
      <c r="D170" s="23">
        <f>'Annual Raw'!E51</f>
        <v>0</v>
      </c>
      <c r="E170" s="23">
        <f>'Annual Raw'!F51</f>
        <v>0</v>
      </c>
      <c r="F170" s="23">
        <f>'Annual Raw'!G51</f>
        <v>0</v>
      </c>
      <c r="G170" s="23">
        <f>'Annual Raw'!H51</f>
        <v>0</v>
      </c>
      <c r="H170" s="23">
        <f>'Annual Raw'!I51</f>
        <v>0</v>
      </c>
      <c r="I170" s="23">
        <f>'Annual Raw'!J51</f>
        <v>0</v>
      </c>
      <c r="J170" s="23">
        <f>'Annual Raw'!K51</f>
        <v>0</v>
      </c>
      <c r="K170" s="23">
        <f>'Annual Raw'!L51</f>
        <v>0</v>
      </c>
      <c r="L170" s="23">
        <f>'Annual Raw'!M51</f>
        <v>0</v>
      </c>
      <c r="M170" s="23">
        <f>'Annual Raw'!N51</f>
        <v>0</v>
      </c>
      <c r="N170" s="23">
        <f>'Annual Raw'!O51</f>
        <v>0</v>
      </c>
      <c r="O170" s="23">
        <f>'Annual Raw'!P51</f>
        <v>0</v>
      </c>
      <c r="P170" s="23">
        <f>'Annual Raw'!Q51</f>
        <v>0</v>
      </c>
      <c r="Q170" s="23">
        <f>'Annual Raw'!R51</f>
        <v>0</v>
      </c>
      <c r="R170" s="23">
        <f>'Annual Raw'!S51</f>
        <v>0</v>
      </c>
      <c r="S170" s="23">
        <f>'Annual Raw'!T51</f>
        <v>0</v>
      </c>
      <c r="T170" s="23">
        <f>'Annual Raw'!U51</f>
        <v>0</v>
      </c>
      <c r="U170" s="23">
        <f>'Annual Raw'!V51</f>
        <v>0</v>
      </c>
      <c r="V170" s="23">
        <f>'Annual Raw'!W51</f>
        <v>0</v>
      </c>
      <c r="W170" s="23">
        <f>'Annual Raw'!X51</f>
        <v>0</v>
      </c>
      <c r="X170" s="23">
        <f>'Annual Raw'!Y51</f>
        <v>0</v>
      </c>
      <c r="Y170" s="23">
        <f>'Annual Raw'!Z51</f>
        <v>0</v>
      </c>
      <c r="Z170" s="23">
        <f>'Annual Raw'!AA51</f>
        <v>0</v>
      </c>
      <c r="AA170" s="23">
        <f>'Annual Raw'!AB51</f>
        <v>0</v>
      </c>
      <c r="AB170" s="24">
        <f t="shared" si="1293"/>
        <v>0</v>
      </c>
      <c r="AC170" s="24">
        <f t="shared" si="1294"/>
        <v>0</v>
      </c>
      <c r="AD170" s="24">
        <f t="shared" si="1295"/>
        <v>0</v>
      </c>
      <c r="AE170" s="24">
        <f t="shared" si="1296"/>
        <v>0</v>
      </c>
      <c r="AJ170" s="23">
        <f>+'QTR Raw'!D65</f>
        <v>0</v>
      </c>
      <c r="AK170" s="23">
        <f t="shared" si="1297"/>
        <v>0</v>
      </c>
      <c r="AL170" s="23">
        <f>+'QTR Raw'!F65</f>
        <v>0</v>
      </c>
      <c r="AM170" s="23">
        <f t="shared" si="1297"/>
        <v>0</v>
      </c>
      <c r="AN170" s="23">
        <f>+'QTR Raw'!H65</f>
        <v>0</v>
      </c>
      <c r="AO170" s="23">
        <f t="shared" si="1297"/>
        <v>0</v>
      </c>
      <c r="AP170" s="23">
        <f>+'QTR Raw'!J65</f>
        <v>0</v>
      </c>
      <c r="AQ170" s="23">
        <f t="shared" si="1297"/>
        <v>0</v>
      </c>
      <c r="AR170" s="23">
        <f>+'QTR Raw'!L65</f>
        <v>0</v>
      </c>
      <c r="AS170" s="23">
        <f t="shared" si="1297"/>
        <v>0</v>
      </c>
      <c r="AT170" s="23">
        <f>+'QTR Raw'!N65</f>
        <v>0</v>
      </c>
      <c r="AU170" s="23">
        <f t="shared" si="1297"/>
        <v>0</v>
      </c>
      <c r="AV170" s="23">
        <f>+'QTR Raw'!P65</f>
        <v>0</v>
      </c>
      <c r="AW170" s="23">
        <f t="shared" si="1297"/>
        <v>0</v>
      </c>
      <c r="AX170" s="23">
        <f>+'QTR Raw'!R65</f>
        <v>0</v>
      </c>
      <c r="AY170" s="23">
        <f t="shared" si="1297"/>
        <v>0</v>
      </c>
      <c r="AZ170" s="23">
        <f>+'QTR Raw'!T65</f>
        <v>0</v>
      </c>
      <c r="BA170" s="23">
        <f t="shared" si="1297"/>
        <v>0</v>
      </c>
      <c r="BB170" s="23">
        <f>+'QTR Raw'!V65</f>
        <v>0</v>
      </c>
      <c r="BC170" s="23">
        <f t="shared" si="1297"/>
        <v>0</v>
      </c>
      <c r="BD170" s="23">
        <f>+'QTR Raw'!X65</f>
        <v>0</v>
      </c>
      <c r="BE170" s="23">
        <f t="shared" si="1297"/>
        <v>0</v>
      </c>
      <c r="BF170" s="23">
        <f>+'QTR Raw'!Z65</f>
        <v>0</v>
      </c>
      <c r="BG170" s="23">
        <f t="shared" si="1297"/>
        <v>0</v>
      </c>
      <c r="BH170" s="23">
        <f>+'QTR Raw'!AB65</f>
        <v>0</v>
      </c>
      <c r="BI170" s="23">
        <f t="shared" si="1297"/>
        <v>0</v>
      </c>
      <c r="BJ170" s="23">
        <f>+'QTR Raw'!AD65</f>
        <v>0</v>
      </c>
      <c r="BK170" s="23">
        <f t="shared" si="1297"/>
        <v>0</v>
      </c>
      <c r="BL170" s="23">
        <f>+'QTR Raw'!AF65</f>
        <v>0</v>
      </c>
      <c r="BM170" s="23">
        <f t="shared" si="1297"/>
        <v>0</v>
      </c>
      <c r="BN170" s="23">
        <f>+'QTR Raw'!AH65</f>
        <v>0</v>
      </c>
      <c r="BO170" s="23">
        <f t="shared" si="1297"/>
        <v>0</v>
      </c>
      <c r="BP170" s="23">
        <f>+'QTR Raw'!AJ65</f>
        <v>0</v>
      </c>
      <c r="BQ170" s="23">
        <f t="shared" si="1297"/>
        <v>0</v>
      </c>
      <c r="BR170" s="23">
        <f>+'QTR Raw'!AL65</f>
        <v>0</v>
      </c>
      <c r="BS170" s="23">
        <f t="shared" si="1297"/>
        <v>0</v>
      </c>
      <c r="BT170" s="23">
        <f>+'QTR Raw'!AN65</f>
        <v>0</v>
      </c>
      <c r="BU170" s="23">
        <f t="shared" si="1297"/>
        <v>0</v>
      </c>
      <c r="BV170" s="23">
        <f>+'QTR Raw'!AP65</f>
        <v>0</v>
      </c>
      <c r="BW170" s="23">
        <f t="shared" si="1297"/>
        <v>0</v>
      </c>
      <c r="BX170" s="23">
        <f>+'QTR Raw'!AR65</f>
        <v>0</v>
      </c>
      <c r="BY170" s="23">
        <f t="shared" si="1297"/>
        <v>0</v>
      </c>
      <c r="BZ170" s="23">
        <f>+'QTR Raw'!AT65</f>
        <v>0</v>
      </c>
      <c r="CA170" s="23">
        <f t="shared" si="1297"/>
        <v>0</v>
      </c>
      <c r="CB170" s="23">
        <f>+'QTR Raw'!AV65</f>
        <v>0</v>
      </c>
      <c r="CC170" s="23">
        <f t="shared" si="1297"/>
        <v>0</v>
      </c>
      <c r="CD170" s="23">
        <f>+'QTR Raw'!AX65</f>
        <v>0</v>
      </c>
      <c r="CE170" s="23">
        <f t="shared" si="1297"/>
        <v>0</v>
      </c>
      <c r="CF170" s="23">
        <f>+'QTR Raw'!AZ65</f>
        <v>0</v>
      </c>
      <c r="CG170" s="23">
        <f t="shared" si="1298"/>
        <v>0</v>
      </c>
      <c r="CH170" s="23">
        <f t="shared" si="1251"/>
        <v>0</v>
      </c>
      <c r="CJ170" s="23">
        <f>+'QTR Raw'!BD65</f>
        <v>0</v>
      </c>
      <c r="CK170" s="24"/>
      <c r="CL170" s="23">
        <f>+'QTR Raw'!BF65</f>
        <v>0</v>
      </c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  <c r="DF170" s="23">
        <v>0</v>
      </c>
    </row>
    <row r="171" spans="1:110" s="23" customFormat="1" outlineLevel="1" x14ac:dyDescent="0.2">
      <c r="A171" s="23" t="s">
        <v>68</v>
      </c>
      <c r="B171" s="23">
        <f>'Annual Raw'!C52</f>
        <v>0</v>
      </c>
      <c r="C171" s="23">
        <f>'Annual Raw'!D52</f>
        <v>0</v>
      </c>
      <c r="D171" s="23">
        <f>'Annual Raw'!E52</f>
        <v>0</v>
      </c>
      <c r="E171" s="23">
        <f>'Annual Raw'!F52</f>
        <v>0</v>
      </c>
      <c r="F171" s="23">
        <f>'Annual Raw'!G52</f>
        <v>0</v>
      </c>
      <c r="G171" s="23">
        <f>'Annual Raw'!H52</f>
        <v>0</v>
      </c>
      <c r="H171" s="23">
        <f>'Annual Raw'!I52</f>
        <v>0</v>
      </c>
      <c r="I171" s="23">
        <f>'Annual Raw'!J52</f>
        <v>0</v>
      </c>
      <c r="J171" s="23">
        <f>'Annual Raw'!K52</f>
        <v>0</v>
      </c>
      <c r="K171" s="23">
        <f>'Annual Raw'!L52</f>
        <v>0</v>
      </c>
      <c r="L171" s="23">
        <f>'Annual Raw'!M52</f>
        <v>7.7081</v>
      </c>
      <c r="M171" s="23">
        <f>'Annual Raw'!N52</f>
        <v>8.2683999999999997</v>
      </c>
      <c r="N171" s="23">
        <f>'Annual Raw'!O52</f>
        <v>8.2281999999999993</v>
      </c>
      <c r="O171" s="23">
        <f>'Annual Raw'!P52</f>
        <v>12.186999999999999</v>
      </c>
      <c r="P171" s="23">
        <f>'Annual Raw'!Q52</f>
        <v>12.026</v>
      </c>
      <c r="Q171" s="23">
        <f>'Annual Raw'!R52</f>
        <v>10.4329</v>
      </c>
      <c r="R171" s="23">
        <f>'Annual Raw'!S52</f>
        <v>12.561999999999999</v>
      </c>
      <c r="S171" s="23">
        <f>'Annual Raw'!T52</f>
        <v>9.6736000000000004</v>
      </c>
      <c r="T171" s="23">
        <f>'Annual Raw'!U52</f>
        <v>5.7289000000000003</v>
      </c>
      <c r="U171" s="23">
        <f>'Annual Raw'!V52</f>
        <v>7.3868</v>
      </c>
      <c r="V171" s="23">
        <f>'Annual Raw'!W52</f>
        <v>12.571400000000001</v>
      </c>
      <c r="W171" s="23">
        <f>'Annual Raw'!X52</f>
        <v>410.42619999999999</v>
      </c>
      <c r="X171" s="23">
        <f>'Annual Raw'!Y52</f>
        <v>494.68349999999998</v>
      </c>
      <c r="Y171" s="23">
        <f>'Annual Raw'!Z52</f>
        <v>287.65839999999997</v>
      </c>
      <c r="Z171" s="23">
        <f>'Annual Raw'!AA52</f>
        <v>266.05619999999999</v>
      </c>
      <c r="AA171" s="23">
        <f>'Annual Raw'!AB52</f>
        <v>497.02120000000002</v>
      </c>
      <c r="AB171" s="24">
        <f t="shared" si="1293"/>
        <v>0</v>
      </c>
      <c r="AC171" s="24">
        <f t="shared" si="1294"/>
        <v>0</v>
      </c>
      <c r="AD171" s="24">
        <f t="shared" si="1295"/>
        <v>0</v>
      </c>
      <c r="AE171" s="24">
        <f t="shared" si="1296"/>
        <v>0</v>
      </c>
      <c r="AJ171" s="23">
        <f>+'QTR Raw'!D66</f>
        <v>9.3529999999999998</v>
      </c>
      <c r="AK171" s="23">
        <f t="shared" si="1297"/>
        <v>9.3529999999999998</v>
      </c>
      <c r="AL171" s="23">
        <f>+'QTR Raw'!F66</f>
        <v>8.2279999999999998</v>
      </c>
      <c r="AM171" s="23">
        <f t="shared" si="1297"/>
        <v>8.2279999999999998</v>
      </c>
      <c r="AN171" s="23">
        <f>+'QTR Raw'!H66</f>
        <v>8.859</v>
      </c>
      <c r="AO171" s="23">
        <f t="shared" si="1297"/>
        <v>8.859</v>
      </c>
      <c r="AP171" s="23">
        <f>+'QTR Raw'!J66</f>
        <v>12.186999999999999</v>
      </c>
      <c r="AQ171" s="23">
        <f t="shared" si="1297"/>
        <v>12.186999999999999</v>
      </c>
      <c r="AR171" s="23">
        <f>+'QTR Raw'!L66</f>
        <v>13.587</v>
      </c>
      <c r="AS171" s="23">
        <f t="shared" si="1297"/>
        <v>13.587</v>
      </c>
      <c r="AT171" s="23">
        <f>+'QTR Raw'!N66</f>
        <v>12.026</v>
      </c>
      <c r="AU171" s="23">
        <f t="shared" si="1297"/>
        <v>12.026</v>
      </c>
      <c r="AV171" s="23">
        <f>+'QTR Raw'!P66</f>
        <v>13.416</v>
      </c>
      <c r="AW171" s="23">
        <f t="shared" si="1297"/>
        <v>13.416</v>
      </c>
      <c r="AX171" s="23">
        <f>+'QTR Raw'!R66</f>
        <v>10.433</v>
      </c>
      <c r="AY171" s="23">
        <f t="shared" si="1297"/>
        <v>10.433</v>
      </c>
      <c r="AZ171" s="23">
        <f>+'QTR Raw'!T66</f>
        <v>11.372</v>
      </c>
      <c r="BA171" s="23">
        <f t="shared" si="1297"/>
        <v>11.372</v>
      </c>
      <c r="BB171" s="23">
        <f>+'QTR Raw'!V66</f>
        <v>12.561999999999999</v>
      </c>
      <c r="BC171" s="23">
        <f t="shared" si="1297"/>
        <v>12.561999999999999</v>
      </c>
      <c r="BD171" s="23">
        <f>+'QTR Raw'!X66</f>
        <v>9.0609999999999999</v>
      </c>
      <c r="BE171" s="23">
        <f t="shared" si="1297"/>
        <v>9.0609999999999999</v>
      </c>
      <c r="BF171" s="23">
        <f>+'QTR Raw'!Z66</f>
        <v>9.6739999999999995</v>
      </c>
      <c r="BG171" s="23">
        <f t="shared" si="1297"/>
        <v>9.6739999999999995</v>
      </c>
      <c r="BH171" s="23">
        <f>+'QTR Raw'!AB66</f>
        <v>11.454000000000001</v>
      </c>
      <c r="BI171" s="23">
        <f t="shared" si="1297"/>
        <v>11.454000000000001</v>
      </c>
      <c r="BJ171" s="23">
        <f>+'QTR Raw'!AD66</f>
        <v>5.7290000000000001</v>
      </c>
      <c r="BK171" s="23">
        <f t="shared" si="1297"/>
        <v>5.7290000000000001</v>
      </c>
      <c r="BL171" s="23">
        <f>+'QTR Raw'!AF66</f>
        <v>5.7350000000000003</v>
      </c>
      <c r="BM171" s="23">
        <f t="shared" si="1297"/>
        <v>5.7350000000000003</v>
      </c>
      <c r="BN171" s="23">
        <f>+'QTR Raw'!AH66</f>
        <v>7.3869999999999996</v>
      </c>
      <c r="BO171" s="23">
        <f t="shared" si="1297"/>
        <v>7.3869999999999996</v>
      </c>
      <c r="BP171" s="23">
        <f>+'QTR Raw'!AJ66</f>
        <v>19.78</v>
      </c>
      <c r="BQ171" s="23">
        <f t="shared" si="1297"/>
        <v>19.78</v>
      </c>
      <c r="BR171" s="23">
        <f>+'QTR Raw'!AL66</f>
        <v>12.571</v>
      </c>
      <c r="BS171" s="23">
        <f t="shared" si="1297"/>
        <v>12.571</v>
      </c>
      <c r="BT171" s="23">
        <f>+'QTR Raw'!AN66</f>
        <v>20.440000000000001</v>
      </c>
      <c r="BU171" s="23">
        <f t="shared" si="1297"/>
        <v>20.440000000000001</v>
      </c>
      <c r="BV171" s="23">
        <f>+'QTR Raw'!AP66</f>
        <v>13.73</v>
      </c>
      <c r="BW171" s="23">
        <f t="shared" si="1297"/>
        <v>13.73</v>
      </c>
      <c r="BX171" s="23">
        <f>+'QTR Raw'!AR66</f>
        <v>14.88</v>
      </c>
      <c r="BY171" s="23">
        <f t="shared" si="1297"/>
        <v>14.88</v>
      </c>
      <c r="BZ171" s="23">
        <f>+'QTR Raw'!AT66</f>
        <v>15.21</v>
      </c>
      <c r="CA171" s="23">
        <f t="shared" si="1297"/>
        <v>15.21</v>
      </c>
      <c r="CB171" s="23">
        <f>+'QTR Raw'!AV66</f>
        <v>17.8</v>
      </c>
      <c r="CC171" s="23">
        <f t="shared" si="1297"/>
        <v>17.8</v>
      </c>
      <c r="CD171" s="23">
        <f>+'QTR Raw'!AX66</f>
        <v>18.39</v>
      </c>
      <c r="CE171" s="23">
        <f t="shared" si="1297"/>
        <v>18.39</v>
      </c>
      <c r="CF171" s="23">
        <f>+'QTR Raw'!AZ66</f>
        <v>21.99</v>
      </c>
      <c r="CG171" s="23">
        <f t="shared" si="1298"/>
        <v>21.99</v>
      </c>
      <c r="CH171" s="23">
        <f t="shared" si="1251"/>
        <v>266.05619999999999</v>
      </c>
      <c r="CJ171" s="23">
        <f>+'QTR Raw'!BD66</f>
        <v>25.99</v>
      </c>
      <c r="CK171" s="24"/>
      <c r="CL171" s="23">
        <f>+'QTR Raw'!BF66</f>
        <v>29.37</v>
      </c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E171" s="123"/>
      <c r="DF171" s="23">
        <v>497.02120000000002</v>
      </c>
    </row>
    <row r="172" spans="1:110" s="23" customFormat="1" outlineLevel="1" x14ac:dyDescent="0.2">
      <c r="A172" s="23" t="s">
        <v>69</v>
      </c>
      <c r="B172" s="23">
        <v>0</v>
      </c>
      <c r="C172" s="23">
        <v>0</v>
      </c>
      <c r="D172" s="23">
        <v>0</v>
      </c>
      <c r="E172" s="23">
        <v>0</v>
      </c>
      <c r="F172" s="23">
        <v>0</v>
      </c>
      <c r="G172" s="23">
        <v>0</v>
      </c>
      <c r="H172" s="23">
        <v>0</v>
      </c>
      <c r="I172" s="23">
        <v>0</v>
      </c>
      <c r="J172" s="23">
        <v>0</v>
      </c>
      <c r="K172" s="23">
        <v>0</v>
      </c>
      <c r="L172" s="23">
        <v>0</v>
      </c>
      <c r="M172" s="23">
        <v>0</v>
      </c>
      <c r="N172" s="23">
        <v>0</v>
      </c>
      <c r="O172" s="23">
        <v>0</v>
      </c>
      <c r="P172" s="23">
        <v>0</v>
      </c>
      <c r="Q172" s="23">
        <v>0</v>
      </c>
      <c r="R172" s="23">
        <v>0</v>
      </c>
      <c r="S172" s="23">
        <v>0</v>
      </c>
      <c r="T172" s="23">
        <v>0</v>
      </c>
      <c r="U172" s="23">
        <v>0</v>
      </c>
      <c r="V172" s="23">
        <v>0</v>
      </c>
      <c r="W172" s="23">
        <v>0</v>
      </c>
      <c r="X172" s="23">
        <v>0</v>
      </c>
      <c r="Y172" s="23">
        <v>0</v>
      </c>
      <c r="Z172" s="23">
        <v>0</v>
      </c>
      <c r="AA172" s="23">
        <v>0</v>
      </c>
      <c r="AB172" s="24">
        <f t="shared" si="1293"/>
        <v>293.84320572310145</v>
      </c>
      <c r="AC172" s="24">
        <f t="shared" si="1294"/>
        <v>322.74695606728386</v>
      </c>
      <c r="AD172" s="24">
        <f t="shared" si="1295"/>
        <v>356.28629451533203</v>
      </c>
      <c r="AE172" s="24">
        <f t="shared" si="1296"/>
        <v>393.36403459846497</v>
      </c>
      <c r="AJ172" s="23">
        <f>+'QTR Raw'!D87</f>
        <v>134.71199999999999</v>
      </c>
      <c r="AK172" s="23">
        <f t="shared" si="1297"/>
        <v>134.71199999999999</v>
      </c>
      <c r="AL172" s="23">
        <f>+'QTR Raw'!F87</f>
        <v>0</v>
      </c>
      <c r="AM172" s="23">
        <f t="shared" si="1297"/>
        <v>0</v>
      </c>
      <c r="AN172" s="23">
        <f>+'QTR Raw'!H87</f>
        <v>0</v>
      </c>
      <c r="AO172" s="23">
        <f t="shared" si="1297"/>
        <v>0</v>
      </c>
      <c r="AP172" s="23">
        <f>+'QTR Raw'!J87</f>
        <v>0</v>
      </c>
      <c r="AQ172" s="23">
        <f t="shared" si="1297"/>
        <v>0</v>
      </c>
      <c r="AR172" s="23">
        <f>+'QTR Raw'!L87</f>
        <v>0</v>
      </c>
      <c r="AS172" s="23">
        <f t="shared" si="1297"/>
        <v>0</v>
      </c>
      <c r="AT172" s="23">
        <f>+'QTR Raw'!N87</f>
        <v>0</v>
      </c>
      <c r="AU172" s="23">
        <f t="shared" si="1297"/>
        <v>0</v>
      </c>
      <c r="AV172" s="23">
        <f>+'QTR Raw'!P87</f>
        <v>0</v>
      </c>
      <c r="AW172" s="23">
        <f t="shared" si="1297"/>
        <v>0</v>
      </c>
      <c r="AX172" s="23">
        <f>+'QTR Raw'!R87</f>
        <v>0</v>
      </c>
      <c r="AY172" s="23">
        <f t="shared" si="1297"/>
        <v>0</v>
      </c>
      <c r="AZ172" s="23">
        <f>+'QTR Raw'!T87</f>
        <v>0</v>
      </c>
      <c r="BA172" s="23">
        <f t="shared" si="1297"/>
        <v>0</v>
      </c>
      <c r="BB172" s="23">
        <f>+'QTR Raw'!V87</f>
        <v>0</v>
      </c>
      <c r="BC172" s="23">
        <f t="shared" si="1297"/>
        <v>0</v>
      </c>
      <c r="BD172" s="23">
        <f>+'QTR Raw'!X87</f>
        <v>0</v>
      </c>
      <c r="BE172" s="23">
        <f t="shared" si="1297"/>
        <v>0</v>
      </c>
      <c r="BF172" s="23">
        <f>+'QTR Raw'!Z87</f>
        <v>0</v>
      </c>
      <c r="BG172" s="23">
        <f t="shared" si="1297"/>
        <v>0</v>
      </c>
      <c r="BH172" s="23">
        <f>+'QTR Raw'!AB87</f>
        <v>0</v>
      </c>
      <c r="BI172" s="23">
        <f t="shared" si="1297"/>
        <v>0</v>
      </c>
      <c r="BJ172" s="23">
        <f>+'QTR Raw'!AD87</f>
        <v>0</v>
      </c>
      <c r="BK172" s="23">
        <f t="shared" si="1297"/>
        <v>0</v>
      </c>
      <c r="BL172" s="23">
        <f>+'QTR Raw'!AF87</f>
        <v>0</v>
      </c>
      <c r="BM172" s="23">
        <f t="shared" si="1297"/>
        <v>0</v>
      </c>
      <c r="BN172" s="23">
        <f>+'QTR Raw'!AH87</f>
        <v>0</v>
      </c>
      <c r="BO172" s="23">
        <f t="shared" si="1297"/>
        <v>0</v>
      </c>
      <c r="BP172" s="23">
        <f>+'QTR Raw'!AJ87</f>
        <v>0</v>
      </c>
      <c r="BQ172" s="23">
        <f t="shared" si="1297"/>
        <v>0</v>
      </c>
      <c r="BR172" s="23">
        <f>+'QTR Raw'!AL87</f>
        <v>0</v>
      </c>
      <c r="BS172" s="23">
        <f t="shared" si="1297"/>
        <v>0</v>
      </c>
      <c r="BT172" s="23">
        <f>+'QTR Raw'!AN87</f>
        <v>0</v>
      </c>
      <c r="BU172" s="23">
        <f t="shared" si="1297"/>
        <v>0</v>
      </c>
      <c r="BV172" s="23">
        <f>+'QTR Raw'!AP87</f>
        <v>0</v>
      </c>
      <c r="BW172" s="23">
        <f t="shared" si="1297"/>
        <v>0</v>
      </c>
      <c r="BX172" s="23">
        <f>+'QTR Raw'!AR87</f>
        <v>0</v>
      </c>
      <c r="BY172" s="23">
        <f t="shared" si="1297"/>
        <v>0</v>
      </c>
      <c r="BZ172" s="23">
        <f>+'QTR Raw'!AT87</f>
        <v>0</v>
      </c>
      <c r="CA172" s="23">
        <f t="shared" si="1297"/>
        <v>0</v>
      </c>
      <c r="CB172" s="23">
        <f>+'QTR Raw'!AV87</f>
        <v>0</v>
      </c>
      <c r="CC172" s="23">
        <f t="shared" si="1297"/>
        <v>0</v>
      </c>
      <c r="CD172" s="23">
        <f>+'QTR Raw'!AX87</f>
        <v>0</v>
      </c>
      <c r="CE172" s="23">
        <f t="shared" si="1297"/>
        <v>0</v>
      </c>
      <c r="CF172" s="23">
        <f>+'QTR Raw'!AZ87</f>
        <v>0</v>
      </c>
      <c r="CG172" s="23">
        <f t="shared" si="1298"/>
        <v>0</v>
      </c>
      <c r="CH172" s="23">
        <f t="shared" si="1251"/>
        <v>0</v>
      </c>
      <c r="CI172" s="23">
        <f>CI30/90*CI204</f>
        <v>1159.8855208893292</v>
      </c>
      <c r="CJ172" s="23">
        <f>+'QTR Raw'!BD87</f>
        <v>0</v>
      </c>
      <c r="CK172" s="24">
        <f t="shared" ref="CK172:DB172" si="1299">CK30/90*CK204</f>
        <v>300.62220518020092</v>
      </c>
      <c r="CL172" s="23">
        <f>+'QTR Raw'!BF87</f>
        <v>0</v>
      </c>
      <c r="CM172" s="24">
        <f t="shared" si="1299"/>
        <v>314.02279028565744</v>
      </c>
      <c r="CN172" s="24">
        <f t="shared" si="1299"/>
        <v>311.80245486214801</v>
      </c>
      <c r="CO172" s="24">
        <f t="shared" si="1299"/>
        <v>305.9720664875087</v>
      </c>
      <c r="CP172" s="24">
        <f t="shared" si="1299"/>
        <v>293.84320572310145</v>
      </c>
      <c r="CQ172" s="24">
        <f t="shared" si="1299"/>
        <v>344.55536626057534</v>
      </c>
      <c r="CR172" s="24">
        <f t="shared" si="1299"/>
        <v>342.35783008062111</v>
      </c>
      <c r="CS172" s="24">
        <f t="shared" si="1299"/>
        <v>335.97623890315526</v>
      </c>
      <c r="CT172" s="24">
        <f t="shared" si="1299"/>
        <v>322.74695606728386</v>
      </c>
      <c r="CU172" s="24">
        <f t="shared" si="1299"/>
        <v>380.22580052996921</v>
      </c>
      <c r="CV172" s="24">
        <f t="shared" si="1299"/>
        <v>377.97376379462537</v>
      </c>
      <c r="CW172" s="24">
        <f t="shared" si="1299"/>
        <v>370.91526680678811</v>
      </c>
      <c r="CX172" s="24">
        <f t="shared" si="1299"/>
        <v>356.28629451533203</v>
      </c>
      <c r="CY172" s="24">
        <f t="shared" si="1299"/>
        <v>419.63592400218374</v>
      </c>
      <c r="CZ172" s="24">
        <f t="shared" si="1299"/>
        <v>417.3432969444749</v>
      </c>
      <c r="DA172" s="24">
        <f t="shared" si="1299"/>
        <v>409.53786596707829</v>
      </c>
      <c r="DB172" s="24">
        <f t="shared" si="1299"/>
        <v>393.36403459846497</v>
      </c>
      <c r="DE172" s="123"/>
      <c r="DF172" s="23">
        <v>0</v>
      </c>
    </row>
    <row r="173" spans="1:110" s="23" customFormat="1" outlineLevel="1" x14ac:dyDescent="0.2">
      <c r="A173" s="23" t="s">
        <v>70</v>
      </c>
      <c r="B173" s="23">
        <f>'Annual Raw'!C54</f>
        <v>13.2784</v>
      </c>
      <c r="C173" s="23">
        <f>'Annual Raw'!D54</f>
        <v>17.9147</v>
      </c>
      <c r="D173" s="23">
        <f>'Annual Raw'!E54</f>
        <v>20.9392</v>
      </c>
      <c r="E173" s="23">
        <f>'Annual Raw'!F54</f>
        <v>28.027000000000001</v>
      </c>
      <c r="F173" s="23">
        <f>'Annual Raw'!G54</f>
        <v>20.4177</v>
      </c>
      <c r="G173" s="23">
        <f>'Annual Raw'!H54</f>
        <v>25.502600000000001</v>
      </c>
      <c r="H173" s="23">
        <f>'Annual Raw'!I54</f>
        <v>62.712699999999998</v>
      </c>
      <c r="I173" s="23">
        <f>'Annual Raw'!J54</f>
        <v>43.727800000000002</v>
      </c>
      <c r="J173" s="23">
        <f>'Annual Raw'!K54</f>
        <v>34.546500000000002</v>
      </c>
      <c r="K173" s="23">
        <f>'Annual Raw'!L54</f>
        <v>43.280099999999997</v>
      </c>
      <c r="L173" s="23">
        <f>'Annual Raw'!M54</f>
        <v>50.211399999999998</v>
      </c>
      <c r="M173" s="23">
        <f>'Annual Raw'!N54</f>
        <v>37.090200000000003</v>
      </c>
      <c r="N173" s="23">
        <f>'Annual Raw'!O54</f>
        <v>60.507599999999996</v>
      </c>
      <c r="O173" s="23">
        <f>'Annual Raw'!P54</f>
        <v>60.747799999999998</v>
      </c>
      <c r="P173" s="23">
        <f>'Annual Raw'!Q54</f>
        <v>77.513900000000007</v>
      </c>
      <c r="Q173" s="23">
        <f>'Annual Raw'!R54</f>
        <v>90.850899999999996</v>
      </c>
      <c r="R173" s="23">
        <f>'Annual Raw'!S54</f>
        <v>98.977099999999993</v>
      </c>
      <c r="S173" s="23">
        <f>'Annual Raw'!T54</f>
        <v>110.395</v>
      </c>
      <c r="T173" s="23">
        <f>'Annual Raw'!U54</f>
        <v>117.3746</v>
      </c>
      <c r="U173" s="23">
        <f>'Annual Raw'!V54</f>
        <v>167.96559999999999</v>
      </c>
      <c r="V173" s="23">
        <f>'Annual Raw'!W54</f>
        <v>186.92339999999999</v>
      </c>
      <c r="W173" s="23">
        <f>'Annual Raw'!X54</f>
        <v>224.47970000000001</v>
      </c>
      <c r="X173" s="23">
        <f>'Annual Raw'!Y54</f>
        <v>238.64760000000001</v>
      </c>
      <c r="Y173" s="23">
        <f>'Annual Raw'!Z54</f>
        <v>356.31029999999998</v>
      </c>
      <c r="Z173" s="23">
        <f>'Annual Raw'!AA54</f>
        <v>410.71710000000002</v>
      </c>
      <c r="AA173" s="23">
        <f>'Annual Raw'!AB54</f>
        <v>390.97879999999998</v>
      </c>
      <c r="AB173" s="24">
        <f t="shared" si="1293"/>
        <v>490.40345146035855</v>
      </c>
      <c r="AC173" s="24">
        <f t="shared" si="1294"/>
        <v>538.64175900963266</v>
      </c>
      <c r="AD173" s="24">
        <f t="shared" si="1295"/>
        <v>594.61653404022934</v>
      </c>
      <c r="AE173" s="24">
        <f t="shared" si="1296"/>
        <v>656.49665022114584</v>
      </c>
      <c r="AJ173" s="23">
        <f>+'QTR Raw'!D89</f>
        <v>0</v>
      </c>
      <c r="AK173" s="23">
        <f>+AK203*AK30/90</f>
        <v>0</v>
      </c>
      <c r="AL173" s="23">
        <f>+'QTR Raw'!F89</f>
        <v>60.508000000000003</v>
      </c>
      <c r="AM173" s="23">
        <f>+AM203*AM30/90</f>
        <v>69.370771438599235</v>
      </c>
      <c r="AN173" s="23">
        <f>+'QTR Raw'!H89</f>
        <v>43.918999999999997</v>
      </c>
      <c r="AO173" s="23">
        <f>+AO203*AO30/90</f>
        <v>40.951539849992294</v>
      </c>
      <c r="AP173" s="23">
        <f>+'QTR Raw'!J89</f>
        <v>60.747999999999998</v>
      </c>
      <c r="AQ173" s="23">
        <f>+AQ203*AQ30/90</f>
        <v>69.784543364333885</v>
      </c>
      <c r="AR173" s="23">
        <f>+'QTR Raw'!L89</f>
        <v>60.365000000000002</v>
      </c>
      <c r="AS173" s="23">
        <f>+AS203*AS30/90</f>
        <v>56.139032141812187</v>
      </c>
      <c r="AT173" s="23">
        <f>+'QTR Raw'!N89</f>
        <v>77.513999999999996</v>
      </c>
      <c r="AU173" s="23">
        <f>+AU203*AU30/90</f>
        <v>86.000696979913116</v>
      </c>
      <c r="AV173" s="23">
        <f>+'QTR Raw'!P89</f>
        <v>60.378999999999998</v>
      </c>
      <c r="AW173" s="23">
        <f>+AW203*AW30/90</f>
        <v>57.752337663007047</v>
      </c>
      <c r="AX173" s="23">
        <f>+'QTR Raw'!R89</f>
        <v>90.850999999999999</v>
      </c>
      <c r="AY173" s="23">
        <f>+AY203*AY30/90</f>
        <v>94.310587259173133</v>
      </c>
      <c r="AZ173" s="23">
        <f>+'QTR Raw'!T89</f>
        <v>72.626000000000005</v>
      </c>
      <c r="BA173" s="23">
        <f>+BA203*BA30/90</f>
        <v>66.602258570822059</v>
      </c>
      <c r="BB173" s="23">
        <f>+'QTR Raw'!V89</f>
        <v>98.977000000000004</v>
      </c>
      <c r="BC173" s="23">
        <f>+BC203*BC30/90</f>
        <v>91.73006682513666</v>
      </c>
      <c r="BD173" s="23">
        <f>+'QTR Raw'!X89</f>
        <v>61.65</v>
      </c>
      <c r="BE173" s="23">
        <f>+BE203*BE30/90</f>
        <v>54.092474929387684</v>
      </c>
      <c r="BF173" s="23">
        <f>+'QTR Raw'!Z89</f>
        <v>110.395</v>
      </c>
      <c r="BG173" s="23">
        <f>+BG203*BG30/90</f>
        <v>141.05230511752922</v>
      </c>
      <c r="BH173" s="23">
        <f>+'QTR Raw'!AB89</f>
        <v>93.194999999999993</v>
      </c>
      <c r="BI173" s="23">
        <f>+BI203*BI30/90</f>
        <v>81.781292153543305</v>
      </c>
      <c r="BJ173" s="23">
        <f>+'QTR Raw'!AD89</f>
        <v>117.375</v>
      </c>
      <c r="BK173" s="23">
        <f>+BK203*BK30/90</f>
        <v>124.99471551508061</v>
      </c>
      <c r="BL173" s="23">
        <f>+'QTR Raw'!AF89</f>
        <v>107.42700000000001</v>
      </c>
      <c r="BM173" s="23">
        <f>+BM203*BM30/90</f>
        <v>100.8872365928526</v>
      </c>
      <c r="BN173" s="23">
        <f>+'QTR Raw'!AH89</f>
        <v>167.965</v>
      </c>
      <c r="BO173" s="23">
        <f>+BO203*BO30/90</f>
        <v>197.77216177190016</v>
      </c>
      <c r="BP173" s="23">
        <f>+'QTR Raw'!AJ89</f>
        <v>145.12200000000001</v>
      </c>
      <c r="BQ173" s="23">
        <f>+BQ203*BQ30/90</f>
        <v>179.36159714043518</v>
      </c>
      <c r="BR173" s="23">
        <f>+'QTR Raw'!AL89</f>
        <v>186.92400000000001</v>
      </c>
      <c r="BS173" s="23">
        <f>+BS203*BS30/90</f>
        <v>214.3495184263561</v>
      </c>
      <c r="BT173" s="23">
        <f>+'QTR Raw'!AN89</f>
        <v>190.601</v>
      </c>
      <c r="BU173" s="23">
        <f>+BU203*BU30/90</f>
        <v>193.05659373366385</v>
      </c>
      <c r="BV173" s="23">
        <f>+'QTR Raw'!AP89</f>
        <v>224.48</v>
      </c>
      <c r="BW173" s="23">
        <f>+BW203*BW30/90</f>
        <v>282.06367184873272</v>
      </c>
      <c r="BX173" s="23">
        <f>+'QTR Raw'!AR89</f>
        <v>254.02</v>
      </c>
      <c r="BY173" s="23">
        <f>+BY203*BY30/90</f>
        <v>248.76975958687487</v>
      </c>
      <c r="BZ173" s="23">
        <f>+'QTR Raw'!AT89</f>
        <v>238.64</v>
      </c>
      <c r="CA173" s="23">
        <f>+CA203*CA30/90</f>
        <v>280.55038304124247</v>
      </c>
      <c r="CB173" s="23">
        <f>+'QTR Raw'!AV89</f>
        <v>322.41000000000003</v>
      </c>
      <c r="CC173" s="23">
        <f>+CC203*CC30/90</f>
        <v>308.7967758069272</v>
      </c>
      <c r="CD173" s="23">
        <f>+'QTR Raw'!AX89</f>
        <v>356.31</v>
      </c>
      <c r="CE173" s="23">
        <f>+CE203*CE30/90</f>
        <v>415.3015027908973</v>
      </c>
      <c r="CF173" s="23">
        <f>+'QTR Raw'!AZ89</f>
        <v>342.49</v>
      </c>
      <c r="CG173" s="23">
        <f>+CG203*CG30/90</f>
        <v>329.78122574004118</v>
      </c>
      <c r="CH173" s="23">
        <f t="shared" si="1251"/>
        <v>410.71710000000002</v>
      </c>
      <c r="CI173" s="23">
        <f>+CI203*CI30/90</f>
        <v>473.20624381134934</v>
      </c>
      <c r="CJ173" s="23">
        <f>+'QTR Raw'!BD89</f>
        <v>409.74</v>
      </c>
      <c r="CK173" s="24">
        <f t="shared" ref="CK173:DB173" si="1300">+CK203*CK30/90</f>
        <v>402.1185111991889</v>
      </c>
      <c r="CL173" s="23">
        <f>+'QTR Raw'!BF89</f>
        <v>390.98</v>
      </c>
      <c r="CM173" s="24">
        <f t="shared" si="1300"/>
        <v>524.08174561781857</v>
      </c>
      <c r="CN173" s="24">
        <f t="shared" si="1300"/>
        <v>520.37616340975205</v>
      </c>
      <c r="CO173" s="24">
        <f t="shared" si="1300"/>
        <v>510.6456590911605</v>
      </c>
      <c r="CP173" s="24">
        <f t="shared" si="1300"/>
        <v>490.40345146035855</v>
      </c>
      <c r="CQ173" s="24">
        <f t="shared" si="1300"/>
        <v>575.03844752021064</v>
      </c>
      <c r="CR173" s="24">
        <f t="shared" si="1300"/>
        <v>571.37091563120009</v>
      </c>
      <c r="CS173" s="24">
        <f t="shared" si="1300"/>
        <v>560.72049296263128</v>
      </c>
      <c r="CT173" s="24">
        <f t="shared" si="1300"/>
        <v>538.64175900963266</v>
      </c>
      <c r="CU173" s="24">
        <f t="shared" si="1300"/>
        <v>634.56987019766666</v>
      </c>
      <c r="CV173" s="24">
        <f t="shared" si="1300"/>
        <v>630.81138075051274</v>
      </c>
      <c r="CW173" s="24">
        <f t="shared" si="1300"/>
        <v>619.03125033558729</v>
      </c>
      <c r="CX173" s="24">
        <f t="shared" si="1300"/>
        <v>594.61653404022934</v>
      </c>
      <c r="CY173" s="24">
        <f t="shared" si="1300"/>
        <v>700.34256868729994</v>
      </c>
      <c r="CZ173" s="24">
        <f t="shared" si="1300"/>
        <v>696.51633687348283</v>
      </c>
      <c r="DA173" s="24">
        <f t="shared" si="1300"/>
        <v>683.4896266521888</v>
      </c>
      <c r="DB173" s="24">
        <f t="shared" si="1300"/>
        <v>656.49665022114584</v>
      </c>
      <c r="DE173" s="123"/>
      <c r="DF173" s="23">
        <v>390.97879999999998</v>
      </c>
    </row>
    <row r="174" spans="1:110" s="23" customFormat="1" outlineLevel="1" x14ac:dyDescent="0.2">
      <c r="A174" s="23" t="s">
        <v>71</v>
      </c>
      <c r="B174" s="23">
        <f>'Annual Raw'!C55-Template!B146</f>
        <v>9.2532999999999994</v>
      </c>
      <c r="C174" s="23">
        <f>'Annual Raw'!D55-Template!C146</f>
        <v>15.888</v>
      </c>
      <c r="D174" s="23">
        <f>'Annual Raw'!E55-Template!D146</f>
        <v>16.390599999999999</v>
      </c>
      <c r="E174" s="23">
        <f>'Annual Raw'!F55-Template!E146</f>
        <v>13.8901</v>
      </c>
      <c r="F174" s="23">
        <f>'Annual Raw'!G55-Template!F146</f>
        <v>13.193899999999999</v>
      </c>
      <c r="G174" s="23">
        <f>'Annual Raw'!H55-Template!G146</f>
        <v>22.261399999999998</v>
      </c>
      <c r="H174" s="23">
        <f>'Annual Raw'!I55-Template!H146</f>
        <v>21.541499999999999</v>
      </c>
      <c r="I174" s="23">
        <f>'Annual Raw'!J55-Template!I146</f>
        <v>17.676100000000002</v>
      </c>
      <c r="J174" s="23">
        <f>'Annual Raw'!K55-Template!J146</f>
        <v>30.102399999999999</v>
      </c>
      <c r="K174" s="23">
        <f>'Annual Raw'!L55-Template!K146</f>
        <v>39.529800000000002</v>
      </c>
      <c r="L174" s="23">
        <f>'Annual Raw'!M55-Template!L146</f>
        <v>38.081500000000005</v>
      </c>
      <c r="M174" s="23">
        <f>'Annual Raw'!N55-Template!M146</f>
        <v>75.531800000000004</v>
      </c>
      <c r="N174" s="23">
        <f>'Annual Raw'!O55-Template!N146</f>
        <v>95.566399999999987</v>
      </c>
      <c r="O174" s="23">
        <f>'Annual Raw'!P55-Template!O146</f>
        <v>87.052499999999995</v>
      </c>
      <c r="P174" s="23">
        <f>'Annual Raw'!Q55-Template!P146</f>
        <v>103.6503</v>
      </c>
      <c r="Q174" s="23">
        <f>'Annual Raw'!R55-Template!Q146</f>
        <v>138.33279999999999</v>
      </c>
      <c r="R174" s="23">
        <f>'Annual Raw'!S55-Template!R146</f>
        <v>122.14700000000001</v>
      </c>
      <c r="S174" s="23">
        <f>'Annual Raw'!T55-Template!S146</f>
        <v>119.7496</v>
      </c>
      <c r="T174" s="23">
        <f>'Annual Raw'!U55-Template!T146</f>
        <v>93.0976</v>
      </c>
      <c r="U174" s="23">
        <f>'Annual Raw'!V55-Template!U146</f>
        <v>102.675</v>
      </c>
      <c r="V174" s="23">
        <f>'Annual Raw'!W55-Template!V146</f>
        <v>89.824200000000005</v>
      </c>
      <c r="W174" s="23">
        <f>'Annual Raw'!X55-Template!W146</f>
        <v>81.308400000000006</v>
      </c>
      <c r="X174" s="23">
        <f>'Annual Raw'!Y55-Template!X146</f>
        <v>103.3296</v>
      </c>
      <c r="Y174" s="23">
        <f>'Annual Raw'!Z55-Template!Y146</f>
        <v>117.59229999999997</v>
      </c>
      <c r="Z174" s="23">
        <f>'Annual Raw'!AA55-Template!Z146</f>
        <v>137.32579999999999</v>
      </c>
      <c r="AA174" s="23">
        <f>'Annual Raw'!AB55-Template!AA146</f>
        <v>125.7099</v>
      </c>
      <c r="AB174" s="24">
        <f t="shared" si="1293"/>
        <v>0</v>
      </c>
      <c r="AC174" s="24">
        <f t="shared" si="1294"/>
        <v>0</v>
      </c>
      <c r="AD174" s="24">
        <f t="shared" si="1295"/>
        <v>0</v>
      </c>
      <c r="AE174" s="24">
        <f t="shared" si="1296"/>
        <v>0</v>
      </c>
      <c r="AJ174" s="23">
        <f>+'QTR Raw'!D91</f>
        <v>0</v>
      </c>
      <c r="AK174" s="23">
        <f t="shared" si="1297"/>
        <v>0</v>
      </c>
      <c r="AL174" s="23">
        <f>+'QTR Raw'!F91</f>
        <v>101.154</v>
      </c>
      <c r="AM174" s="23">
        <f t="shared" si="1297"/>
        <v>101.154</v>
      </c>
      <c r="AN174" s="23">
        <f>+'QTR Raw'!H91</f>
        <v>95.784000000000006</v>
      </c>
      <c r="AO174" s="23">
        <f t="shared" si="1297"/>
        <v>95.784000000000006</v>
      </c>
      <c r="AP174" s="23">
        <f>+'QTR Raw'!J91</f>
        <v>98.058000000000007</v>
      </c>
      <c r="AQ174" s="23">
        <f t="shared" si="1297"/>
        <v>98.058000000000007</v>
      </c>
      <c r="AR174" s="23">
        <f>+'QTR Raw'!L91</f>
        <v>95.51</v>
      </c>
      <c r="AS174" s="23">
        <f t="shared" si="1297"/>
        <v>95.51</v>
      </c>
      <c r="AT174" s="23">
        <f>+'QTR Raw'!N91</f>
        <v>103.739</v>
      </c>
      <c r="AU174" s="23">
        <f t="shared" si="1297"/>
        <v>103.739</v>
      </c>
      <c r="AV174" s="23">
        <f>+'QTR Raw'!P91</f>
        <v>100.166</v>
      </c>
      <c r="AW174" s="23">
        <f t="shared" si="1297"/>
        <v>100.166</v>
      </c>
      <c r="AX174" s="23">
        <f>+'QTR Raw'!R91</f>
        <v>139.149</v>
      </c>
      <c r="AY174" s="23">
        <f t="shared" si="1297"/>
        <v>139.149</v>
      </c>
      <c r="AZ174" s="23">
        <f>+'QTR Raw'!T91</f>
        <v>115.48</v>
      </c>
      <c r="BA174" s="23">
        <f t="shared" si="1297"/>
        <v>115.48</v>
      </c>
      <c r="BB174" s="23">
        <f>+'QTR Raw'!V91</f>
        <v>123.02200000000001</v>
      </c>
      <c r="BC174" s="23">
        <f t="shared" si="1297"/>
        <v>123.02200000000001</v>
      </c>
      <c r="BD174" s="23">
        <f>+'QTR Raw'!X91</f>
        <v>136.90299999999999</v>
      </c>
      <c r="BE174" s="23">
        <f t="shared" si="1297"/>
        <v>136.90299999999999</v>
      </c>
      <c r="BF174" s="23">
        <f>+'QTR Raw'!Z91</f>
        <v>119.902</v>
      </c>
      <c r="BG174" s="23">
        <f t="shared" si="1297"/>
        <v>119.902</v>
      </c>
      <c r="BH174" s="23">
        <f>+'QTR Raw'!AB91</f>
        <v>116.325</v>
      </c>
      <c r="BI174" s="23">
        <f t="shared" si="1297"/>
        <v>116.325</v>
      </c>
      <c r="BJ174" s="23">
        <f>+'QTR Raw'!AD91</f>
        <v>97.034999999999997</v>
      </c>
      <c r="BK174" s="23">
        <f t="shared" si="1297"/>
        <v>97.034999999999997</v>
      </c>
      <c r="BL174" s="23">
        <f>+'QTR Raw'!AF91</f>
        <v>151.67400000000001</v>
      </c>
      <c r="BM174" s="23">
        <f t="shared" si="1297"/>
        <v>151.67400000000001</v>
      </c>
      <c r="BN174" s="23">
        <f>+'QTR Raw'!AH91</f>
        <v>108.696</v>
      </c>
      <c r="BO174" s="23">
        <f t="shared" si="1297"/>
        <v>108.696</v>
      </c>
      <c r="BP174" s="23">
        <f>+'QTR Raw'!AJ91</f>
        <v>165.15199999999999</v>
      </c>
      <c r="BQ174" s="23">
        <f t="shared" si="1297"/>
        <v>165.15199999999999</v>
      </c>
      <c r="BR174" s="23">
        <f>+'QTR Raw'!AL91</f>
        <v>97.725999999999999</v>
      </c>
      <c r="BS174" s="23">
        <f t="shared" si="1297"/>
        <v>97.725999999999999</v>
      </c>
      <c r="BT174" s="23">
        <f>+'QTR Raw'!AN91</f>
        <v>72.623999999999995</v>
      </c>
      <c r="BU174" s="23">
        <f t="shared" si="1297"/>
        <v>72.623999999999995</v>
      </c>
      <c r="BV174" s="23">
        <f>+'QTR Raw'!AP91</f>
        <v>87.4</v>
      </c>
      <c r="BW174" s="23">
        <f t="shared" si="1297"/>
        <v>87.4</v>
      </c>
      <c r="BX174" s="23">
        <f>+'QTR Raw'!AR91</f>
        <v>129.52000000000001</v>
      </c>
      <c r="BY174" s="23">
        <f t="shared" si="1297"/>
        <v>129.52000000000001</v>
      </c>
      <c r="BZ174" s="23">
        <f>+'QTR Raw'!AT91</f>
        <v>108.28</v>
      </c>
      <c r="CA174" s="23">
        <f t="shared" si="1297"/>
        <v>108.28</v>
      </c>
      <c r="CB174" s="23">
        <f>+'QTR Raw'!AV91</f>
        <v>115.85</v>
      </c>
      <c r="CC174" s="23">
        <f t="shared" si="1297"/>
        <v>115.85</v>
      </c>
      <c r="CD174" s="23">
        <f>+'QTR Raw'!AX91</f>
        <v>129.36000000000001</v>
      </c>
      <c r="CE174" s="23">
        <f t="shared" si="1297"/>
        <v>129.36000000000001</v>
      </c>
      <c r="CF174" s="23">
        <f>+'QTR Raw'!AZ91</f>
        <v>135.63</v>
      </c>
      <c r="CG174" s="23">
        <f t="shared" ref="CG174:CG175" si="1301">+CF174</f>
        <v>135.63</v>
      </c>
      <c r="CH174" s="23">
        <f t="shared" si="1251"/>
        <v>137.32579999999999</v>
      </c>
      <c r="CJ174" s="23">
        <f>+'QTR Raw'!BD91</f>
        <v>180.75</v>
      </c>
      <c r="CK174" s="24"/>
      <c r="CL174" s="23">
        <f>+'QTR Raw'!BF91</f>
        <v>134.93</v>
      </c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23"/>
      <c r="DF174" s="23">
        <v>125.7099</v>
      </c>
    </row>
    <row r="175" spans="1:110" s="23" customFormat="1" outlineLevel="1" x14ac:dyDescent="0.2">
      <c r="A175" s="23" t="s">
        <v>72</v>
      </c>
      <c r="B175" s="23">
        <f>'Annual Raw'!C57</f>
        <v>9.5489999999999995</v>
      </c>
      <c r="C175" s="23">
        <f>'Annual Raw'!D57</f>
        <v>8.8914000000000009</v>
      </c>
      <c r="D175" s="23">
        <f>'Annual Raw'!E57</f>
        <v>15.6615</v>
      </c>
      <c r="E175" s="23">
        <f>'Annual Raw'!F57</f>
        <v>13.0181</v>
      </c>
      <c r="F175" s="23">
        <f>'Annual Raw'!G57</f>
        <v>14.229100000000001</v>
      </c>
      <c r="G175" s="23">
        <f>'Annual Raw'!H57</f>
        <v>16.101600000000001</v>
      </c>
      <c r="H175" s="23">
        <f>'Annual Raw'!I57</f>
        <v>16.493099999999998</v>
      </c>
      <c r="I175" s="23">
        <f>'Annual Raw'!J57</f>
        <v>15.0482</v>
      </c>
      <c r="J175" s="23">
        <f>'Annual Raw'!K57</f>
        <v>21.1586</v>
      </c>
      <c r="K175" s="23">
        <f>'Annual Raw'!L57</f>
        <v>33.740099999999998</v>
      </c>
      <c r="L175" s="23">
        <f>'Annual Raw'!M57</f>
        <v>26.540900000000001</v>
      </c>
      <c r="M175" s="23">
        <f>'Annual Raw'!N57</f>
        <v>17.2559</v>
      </c>
      <c r="N175" s="23">
        <f>'Annual Raw'!O57</f>
        <v>40.538200000000003</v>
      </c>
      <c r="O175" s="23">
        <f>'Annual Raw'!P57</f>
        <v>35.755299999999998</v>
      </c>
      <c r="P175" s="23">
        <f>'Annual Raw'!Q57</f>
        <v>151.6172</v>
      </c>
      <c r="Q175" s="23">
        <f>'Annual Raw'!R57</f>
        <v>374.61450000000002</v>
      </c>
      <c r="R175" s="23">
        <f>'Annual Raw'!S57</f>
        <v>423.47370000000001</v>
      </c>
      <c r="S175" s="23">
        <f>'Annual Raw'!T57</f>
        <v>477.05869999999999</v>
      </c>
      <c r="T175" s="23">
        <f>'Annual Raw'!U57</f>
        <v>545.26900000000001</v>
      </c>
      <c r="U175" s="23">
        <f>'Annual Raw'!V57</f>
        <v>216.06</v>
      </c>
      <c r="V175" s="23">
        <f>'Annual Raw'!W57</f>
        <v>377.173</v>
      </c>
      <c r="W175" s="23">
        <f>'Annual Raw'!X57</f>
        <v>123.06010000000001</v>
      </c>
      <c r="X175" s="23">
        <f>'Annual Raw'!Y57</f>
        <v>118.7064</v>
      </c>
      <c r="Y175" s="23">
        <f>'Annual Raw'!Z57</f>
        <v>480.35059999999999</v>
      </c>
      <c r="Z175" s="23">
        <f>'Annual Raw'!AA57</f>
        <v>595.08079999999995</v>
      </c>
      <c r="AA175" s="23">
        <f>'Annual Raw'!AB57</f>
        <v>520.66340000000002</v>
      </c>
      <c r="AB175" s="24">
        <f t="shared" si="1293"/>
        <v>0</v>
      </c>
      <c r="AC175" s="24">
        <f t="shared" si="1294"/>
        <v>0</v>
      </c>
      <c r="AD175" s="24">
        <f t="shared" si="1295"/>
        <v>0</v>
      </c>
      <c r="AE175" s="24">
        <f t="shared" si="1296"/>
        <v>0</v>
      </c>
      <c r="AJ175" s="23">
        <f>+'QTR Raw'!D92</f>
        <v>9.2810000000000006</v>
      </c>
      <c r="AK175" s="23">
        <f t="shared" si="1297"/>
        <v>9.2810000000000006</v>
      </c>
      <c r="AL175" s="23">
        <f>+'QTR Raw'!F92</f>
        <v>40.537999999999997</v>
      </c>
      <c r="AM175" s="23">
        <f t="shared" si="1297"/>
        <v>40.537999999999997</v>
      </c>
      <c r="AN175" s="23">
        <f>+'QTR Raw'!H92</f>
        <v>10.202</v>
      </c>
      <c r="AO175" s="23">
        <f t="shared" si="1297"/>
        <v>10.202</v>
      </c>
      <c r="AP175" s="23">
        <f>+'QTR Raw'!J92</f>
        <v>35.755000000000003</v>
      </c>
      <c r="AQ175" s="23">
        <f t="shared" si="1297"/>
        <v>35.755000000000003</v>
      </c>
      <c r="AR175" s="23">
        <f>+'QTR Raw'!L92</f>
        <v>5.1379999999999999</v>
      </c>
      <c r="AS175" s="23">
        <f t="shared" si="1297"/>
        <v>5.1379999999999999</v>
      </c>
      <c r="AT175" s="23">
        <f>+'QTR Raw'!N92</f>
        <v>151.61699999999999</v>
      </c>
      <c r="AU175" s="23">
        <f t="shared" si="1297"/>
        <v>151.61699999999999</v>
      </c>
      <c r="AV175" s="23">
        <f>+'QTR Raw'!P92</f>
        <v>6.4720000000000004</v>
      </c>
      <c r="AW175" s="23">
        <f t="shared" si="1297"/>
        <v>6.4720000000000004</v>
      </c>
      <c r="AX175" s="23">
        <f>+'QTR Raw'!R92</f>
        <v>8.1180000000000003</v>
      </c>
      <c r="AY175" s="23">
        <f t="shared" si="1297"/>
        <v>8.1180000000000003</v>
      </c>
      <c r="AZ175" s="23">
        <f>+'QTR Raw'!T92</f>
        <v>7.056</v>
      </c>
      <c r="BA175" s="23">
        <f t="shared" si="1297"/>
        <v>7.056</v>
      </c>
      <c r="BB175" s="23">
        <f>+'QTR Raw'!V92</f>
        <v>10.35</v>
      </c>
      <c r="BC175" s="23">
        <f t="shared" si="1297"/>
        <v>10.35</v>
      </c>
      <c r="BD175" s="23">
        <f>+'QTR Raw'!X92</f>
        <v>10.068</v>
      </c>
      <c r="BE175" s="23">
        <f t="shared" si="1297"/>
        <v>10.068</v>
      </c>
      <c r="BF175" s="23">
        <f>+'QTR Raw'!Z92</f>
        <v>15.525</v>
      </c>
      <c r="BG175" s="23">
        <f t="shared" si="1297"/>
        <v>15.525</v>
      </c>
      <c r="BH175" s="23">
        <f>+'QTR Raw'!AB92</f>
        <v>11.432</v>
      </c>
      <c r="BI175" s="23">
        <f t="shared" si="1297"/>
        <v>11.432</v>
      </c>
      <c r="BJ175" s="23">
        <f>+'QTR Raw'!AD92</f>
        <v>3.9769999999999999</v>
      </c>
      <c r="BK175" s="23">
        <f t="shared" si="1297"/>
        <v>3.9769999999999999</v>
      </c>
      <c r="BL175" s="23">
        <f>+'QTR Raw'!AF92</f>
        <v>4.25</v>
      </c>
      <c r="BM175" s="23">
        <f t="shared" si="1297"/>
        <v>4.25</v>
      </c>
      <c r="BN175" s="23">
        <f>+'QTR Raw'!AH92</f>
        <v>7.1139999999999999</v>
      </c>
      <c r="BO175" s="23">
        <f t="shared" si="1297"/>
        <v>7.1139999999999999</v>
      </c>
      <c r="BP175" s="23">
        <f>+'QTR Raw'!AJ92</f>
        <v>4.8609999999999998</v>
      </c>
      <c r="BQ175" s="23">
        <f t="shared" si="1297"/>
        <v>4.8609999999999998</v>
      </c>
      <c r="BR175" s="23">
        <f>+'QTR Raw'!AL92</f>
        <v>27.98</v>
      </c>
      <c r="BS175" s="23">
        <f t="shared" si="1297"/>
        <v>27.98</v>
      </c>
      <c r="BT175" s="23">
        <f>+'QTR Raw'!AN92</f>
        <v>37.347000000000001</v>
      </c>
      <c r="BU175" s="23">
        <f t="shared" si="1297"/>
        <v>37.347000000000001</v>
      </c>
      <c r="BV175" s="23">
        <f>+'QTR Raw'!AP92</f>
        <v>45.52</v>
      </c>
      <c r="BW175" s="23">
        <f t="shared" si="1297"/>
        <v>45.52</v>
      </c>
      <c r="BX175" s="23">
        <f>+'QTR Raw'!AR92</f>
        <v>54.72</v>
      </c>
      <c r="BY175" s="23">
        <f t="shared" si="1297"/>
        <v>54.72</v>
      </c>
      <c r="BZ175" s="23">
        <f>+'QTR Raw'!AT92</f>
        <v>42.51</v>
      </c>
      <c r="CA175" s="23">
        <f t="shared" si="1297"/>
        <v>42.51</v>
      </c>
      <c r="CB175" s="23">
        <f>+'QTR Raw'!AV92</f>
        <v>56.44</v>
      </c>
      <c r="CC175" s="23">
        <f t="shared" si="1297"/>
        <v>56.44</v>
      </c>
      <c r="CD175" s="23">
        <f>+'QTR Raw'!AX92</f>
        <v>49.06</v>
      </c>
      <c r="CE175" s="23">
        <f t="shared" si="1297"/>
        <v>49.06</v>
      </c>
      <c r="CF175" s="23">
        <f>+'QTR Raw'!AZ92</f>
        <v>62.16</v>
      </c>
      <c r="CG175" s="23">
        <f t="shared" si="1301"/>
        <v>62.16</v>
      </c>
      <c r="CH175" s="23">
        <f t="shared" si="1251"/>
        <v>595.08079999999995</v>
      </c>
      <c r="CJ175" s="23">
        <f>+'QTR Raw'!BD92</f>
        <v>76.36</v>
      </c>
      <c r="CK175" s="24"/>
      <c r="CL175" s="23">
        <f>+'QTR Raw'!BF92</f>
        <v>65.27</v>
      </c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E175" s="123"/>
      <c r="DF175" s="23">
        <v>520.66340000000002</v>
      </c>
    </row>
    <row r="176" spans="1:110" s="22" customFormat="1" x14ac:dyDescent="0.2">
      <c r="A176" s="22" t="s">
        <v>73</v>
      </c>
      <c r="B176" s="22">
        <f>SUM(B169:B175)</f>
        <v>32.0807</v>
      </c>
      <c r="C176" s="22">
        <f t="shared" ref="C176:V176" si="1302">SUM(C169:C175)</f>
        <v>42.694100000000006</v>
      </c>
      <c r="D176" s="22">
        <f t="shared" si="1302"/>
        <v>52.991299999999995</v>
      </c>
      <c r="E176" s="22">
        <f t="shared" si="1302"/>
        <v>54.935200000000009</v>
      </c>
      <c r="F176" s="22">
        <f t="shared" si="1302"/>
        <v>47.840699999999998</v>
      </c>
      <c r="G176" s="22">
        <f t="shared" si="1302"/>
        <v>63.865600000000001</v>
      </c>
      <c r="H176" s="22">
        <f t="shared" si="1302"/>
        <v>100.7473</v>
      </c>
      <c r="I176" s="22">
        <f t="shared" si="1302"/>
        <v>76.452100000000002</v>
      </c>
      <c r="J176" s="22">
        <f t="shared" si="1302"/>
        <v>85.807500000000005</v>
      </c>
      <c r="K176" s="22">
        <f t="shared" si="1302"/>
        <v>116.55</v>
      </c>
      <c r="L176" s="22">
        <f t="shared" si="1302"/>
        <v>122.5419</v>
      </c>
      <c r="M176" s="22">
        <f t="shared" si="1302"/>
        <v>138.1463</v>
      </c>
      <c r="N176" s="22">
        <f t="shared" si="1302"/>
        <v>204.84039999999999</v>
      </c>
      <c r="O176" s="22">
        <f t="shared" si="1302"/>
        <v>195.74260000000001</v>
      </c>
      <c r="P176" s="22">
        <f t="shared" si="1302"/>
        <v>344.80740000000003</v>
      </c>
      <c r="Q176" s="22">
        <f t="shared" si="1302"/>
        <v>618.03710000000001</v>
      </c>
      <c r="R176" s="22">
        <f t="shared" si="1302"/>
        <v>661.1146</v>
      </c>
      <c r="S176" s="22">
        <f t="shared" si="1302"/>
        <v>720.47699999999998</v>
      </c>
      <c r="T176" s="22">
        <f t="shared" si="1302"/>
        <v>763.673</v>
      </c>
      <c r="U176" s="22">
        <f t="shared" si="1302"/>
        <v>501.28499999999997</v>
      </c>
      <c r="V176" s="22">
        <f t="shared" si="1302"/>
        <v>676.56560000000002</v>
      </c>
      <c r="W176" s="22">
        <f t="shared" ref="W176" si="1303">SUM(W169:W175)</f>
        <v>863.05840000000001</v>
      </c>
      <c r="X176" s="22">
        <f t="shared" ref="X176:Y176" si="1304">SUM(X169:X175)</f>
        <v>973.18080000000009</v>
      </c>
      <c r="Y176" s="22">
        <f t="shared" si="1304"/>
        <v>1253.2486999999999</v>
      </c>
      <c r="Z176" s="22">
        <f t="shared" ref="Z176:AA176" si="1305">SUM(Z169:Z175)</f>
        <v>1417.4341999999999</v>
      </c>
      <c r="AA176" s="22">
        <f t="shared" si="1305"/>
        <v>1539.0797000000002</v>
      </c>
      <c r="AB176" s="21">
        <f t="shared" ref="AB176:AD176" si="1306">SUM(AB169:AB175)</f>
        <v>784.24665718346</v>
      </c>
      <c r="AC176" s="21">
        <f t="shared" si="1306"/>
        <v>861.38871507691647</v>
      </c>
      <c r="AD176" s="21">
        <f t="shared" si="1306"/>
        <v>950.90282855556143</v>
      </c>
      <c r="AE176" s="21">
        <f t="shared" ref="AE176" si="1307">SUM(AE169:AE175)</f>
        <v>1049.8606848196109</v>
      </c>
      <c r="AJ176" s="22">
        <f t="shared" ref="AJ176" si="1308">SUM(AJ169:AJ175)</f>
        <v>153.346</v>
      </c>
      <c r="AK176" s="22">
        <f t="shared" ref="AK176" si="1309">SUM(AK169:AK175)</f>
        <v>153.346</v>
      </c>
      <c r="AL176" s="22">
        <f t="shared" ref="AL176:AM176" si="1310">SUM(AL169:AL175)</f>
        <v>210.428</v>
      </c>
      <c r="AM176" s="22">
        <f t="shared" si="1310"/>
        <v>219.29077143859922</v>
      </c>
      <c r="AN176" s="22">
        <f t="shared" ref="AN176:AO176" si="1311">SUM(AN169:AN175)</f>
        <v>158.76400000000001</v>
      </c>
      <c r="AO176" s="22">
        <f t="shared" si="1311"/>
        <v>155.79653984999231</v>
      </c>
      <c r="AP176" s="22">
        <f t="shared" ref="AP176:CE176" si="1312">SUM(AP169:AP175)</f>
        <v>206.74799999999999</v>
      </c>
      <c r="AQ176" s="22">
        <f t="shared" si="1312"/>
        <v>215.7845433643339</v>
      </c>
      <c r="AR176" s="22">
        <f t="shared" si="1312"/>
        <v>174.6</v>
      </c>
      <c r="AS176" s="22">
        <f t="shared" si="1312"/>
        <v>170.37403214181219</v>
      </c>
      <c r="AT176" s="22">
        <f t="shared" si="1312"/>
        <v>344.89599999999996</v>
      </c>
      <c r="AU176" s="22">
        <f t="shared" si="1312"/>
        <v>353.38269697991313</v>
      </c>
      <c r="AV176" s="22">
        <f t="shared" si="1312"/>
        <v>180.43300000000002</v>
      </c>
      <c r="AW176" s="22">
        <f t="shared" si="1312"/>
        <v>177.80633766300704</v>
      </c>
      <c r="AX176" s="22">
        <f t="shared" si="1312"/>
        <v>252.357</v>
      </c>
      <c r="AY176" s="22">
        <f t="shared" si="1312"/>
        <v>255.81658725917313</v>
      </c>
      <c r="AZ176" s="22">
        <f t="shared" si="1312"/>
        <v>210.691</v>
      </c>
      <c r="BA176" s="22">
        <f t="shared" si="1312"/>
        <v>204.66725857082207</v>
      </c>
      <c r="BB176" s="22">
        <f t="shared" si="1312"/>
        <v>248.86600000000001</v>
      </c>
      <c r="BC176" s="22">
        <f t="shared" si="1312"/>
        <v>241.61906682513666</v>
      </c>
      <c r="BD176" s="22">
        <f t="shared" si="1312"/>
        <v>221.804</v>
      </c>
      <c r="BE176" s="22">
        <f t="shared" si="1312"/>
        <v>214.24647492938769</v>
      </c>
      <c r="BF176" s="22">
        <f t="shared" si="1312"/>
        <v>259.096</v>
      </c>
      <c r="BG176" s="22">
        <f t="shared" si="1312"/>
        <v>289.75330511752918</v>
      </c>
      <c r="BH176" s="22">
        <f t="shared" ref="BH176" si="1313">SUM(BH169:BH175)</f>
        <v>234.48599999999999</v>
      </c>
      <c r="BI176" s="22">
        <f t="shared" si="1312"/>
        <v>223.07229215354332</v>
      </c>
      <c r="BJ176" s="22">
        <f t="shared" si="1312"/>
        <v>226.31899999999999</v>
      </c>
      <c r="BK176" s="22">
        <f t="shared" si="1312"/>
        <v>233.93871551508062</v>
      </c>
      <c r="BL176" s="22">
        <f t="shared" si="1312"/>
        <v>273.70500000000004</v>
      </c>
      <c r="BM176" s="22">
        <f t="shared" si="1312"/>
        <v>267.16523659285258</v>
      </c>
      <c r="BN176" s="22">
        <f t="shared" si="1312"/>
        <v>298.35899999999998</v>
      </c>
      <c r="BO176" s="22">
        <f t="shared" si="1312"/>
        <v>328.16616177190014</v>
      </c>
      <c r="BP176" s="22">
        <f t="shared" si="1312"/>
        <v>347.15</v>
      </c>
      <c r="BQ176" s="22">
        <f t="shared" si="1312"/>
        <v>381.38959714043517</v>
      </c>
      <c r="BR176" s="22">
        <f t="shared" si="1312"/>
        <v>335.274</v>
      </c>
      <c r="BS176" s="22">
        <f t="shared" si="1312"/>
        <v>362.69951842635612</v>
      </c>
      <c r="BT176" s="22">
        <f t="shared" si="1312"/>
        <v>347.86799999999994</v>
      </c>
      <c r="BU176" s="22">
        <f t="shared" si="1312"/>
        <v>350.32359373366387</v>
      </c>
      <c r="BV176" s="22">
        <f t="shared" si="1312"/>
        <v>394.90999999999997</v>
      </c>
      <c r="BW176" s="22">
        <f t="shared" si="1312"/>
        <v>452.49367184873267</v>
      </c>
      <c r="BX176" s="22">
        <f t="shared" si="1312"/>
        <v>472.73</v>
      </c>
      <c r="BY176" s="22">
        <f t="shared" si="1312"/>
        <v>467.47975958687493</v>
      </c>
      <c r="BZ176" s="22">
        <f t="shared" si="1312"/>
        <v>422.45999999999992</v>
      </c>
      <c r="CA176" s="22">
        <f t="shared" si="1312"/>
        <v>464.37038304124246</v>
      </c>
      <c r="CB176" s="22">
        <f t="shared" si="1312"/>
        <v>527.99</v>
      </c>
      <c r="CC176" s="22">
        <f t="shared" si="1312"/>
        <v>514.3767758069273</v>
      </c>
      <c r="CD176" s="22">
        <f t="shared" si="1312"/>
        <v>564.46</v>
      </c>
      <c r="CE176" s="22">
        <f t="shared" si="1312"/>
        <v>623.45150279089739</v>
      </c>
      <c r="CF176" s="22">
        <f t="shared" ref="CF176:CG176" si="1314">SUM(CF169:CF175)</f>
        <v>571.41999999999996</v>
      </c>
      <c r="CG176" s="22">
        <f t="shared" si="1314"/>
        <v>558.71122574004119</v>
      </c>
      <c r="CH176" s="22">
        <f t="shared" ref="CH176:CI176" si="1315">SUM(CH169:CH175)</f>
        <v>1417.4341999999999</v>
      </c>
      <c r="CI176" s="22">
        <f t="shared" si="1315"/>
        <v>1633.0917647006786</v>
      </c>
      <c r="CJ176" s="22">
        <f t="shared" ref="CJ176:DB176" si="1316">SUM(CJ169:CJ175)</f>
        <v>716.06000000000006</v>
      </c>
      <c r="CK176" s="21">
        <f t="shared" si="1316"/>
        <v>702.74071637938982</v>
      </c>
      <c r="CL176" s="22">
        <f t="shared" ref="CL176" si="1317">SUM(CL169:CL175)</f>
        <v>625.25</v>
      </c>
      <c r="CM176" s="21">
        <f t="shared" si="1316"/>
        <v>838.10453590347606</v>
      </c>
      <c r="CN176" s="21">
        <f t="shared" si="1316"/>
        <v>832.17861827190006</v>
      </c>
      <c r="CO176" s="21">
        <f t="shared" si="1316"/>
        <v>816.61772557866925</v>
      </c>
      <c r="CP176" s="21">
        <f t="shared" si="1316"/>
        <v>784.24665718346</v>
      </c>
      <c r="CQ176" s="21">
        <f t="shared" si="1316"/>
        <v>919.59381378078592</v>
      </c>
      <c r="CR176" s="21">
        <f t="shared" si="1316"/>
        <v>913.72874571182115</v>
      </c>
      <c r="CS176" s="21">
        <f t="shared" si="1316"/>
        <v>896.69673186578655</v>
      </c>
      <c r="CT176" s="21">
        <f t="shared" si="1316"/>
        <v>861.38871507691647</v>
      </c>
      <c r="CU176" s="21">
        <f t="shared" si="1316"/>
        <v>1014.7956707276359</v>
      </c>
      <c r="CV176" s="21">
        <f t="shared" si="1316"/>
        <v>1008.7851445451381</v>
      </c>
      <c r="CW176" s="21">
        <f t="shared" si="1316"/>
        <v>989.94651714237534</v>
      </c>
      <c r="CX176" s="21">
        <f t="shared" si="1316"/>
        <v>950.90282855556143</v>
      </c>
      <c r="CY176" s="21">
        <f t="shared" si="1316"/>
        <v>1119.9784926894836</v>
      </c>
      <c r="CZ176" s="21">
        <f t="shared" si="1316"/>
        <v>1113.8596338179577</v>
      </c>
      <c r="DA176" s="21">
        <f t="shared" si="1316"/>
        <v>1093.0274926192672</v>
      </c>
      <c r="DB176" s="21">
        <f t="shared" si="1316"/>
        <v>1049.8606848196109</v>
      </c>
      <c r="DE176" s="126"/>
      <c r="DF176" s="22">
        <v>1539.0797000000002</v>
      </c>
    </row>
    <row r="177" spans="1:110" s="22" customFormat="1" x14ac:dyDescent="0.2">
      <c r="A177" s="22" t="s">
        <v>74</v>
      </c>
      <c r="B177" s="22">
        <f>B168-B176</f>
        <v>104.8074</v>
      </c>
      <c r="C177" s="22">
        <f t="shared" ref="C177:V177" si="1318">C168-C176</f>
        <v>115.14849999999997</v>
      </c>
      <c r="D177" s="22">
        <f t="shared" si="1318"/>
        <v>133.3802</v>
      </c>
      <c r="E177" s="22">
        <f t="shared" si="1318"/>
        <v>165.18279999999999</v>
      </c>
      <c r="F177" s="22">
        <f t="shared" si="1318"/>
        <v>216.3158</v>
      </c>
      <c r="G177" s="22">
        <f t="shared" si="1318"/>
        <v>279.59730000000002</v>
      </c>
      <c r="H177" s="22">
        <f t="shared" si="1318"/>
        <v>333.22360000000003</v>
      </c>
      <c r="I177" s="22">
        <f t="shared" si="1318"/>
        <v>380.79309999999998</v>
      </c>
      <c r="J177" s="22">
        <f t="shared" si="1318"/>
        <v>355.76650000000001</v>
      </c>
      <c r="K177" s="22">
        <f t="shared" si="1318"/>
        <v>371.76079999999996</v>
      </c>
      <c r="L177" s="22">
        <f t="shared" si="1318"/>
        <v>402.82549999999998</v>
      </c>
      <c r="M177" s="22">
        <f t="shared" si="1318"/>
        <v>222.89209999999997</v>
      </c>
      <c r="N177" s="22">
        <f t="shared" si="1318"/>
        <v>202.23830000000004</v>
      </c>
      <c r="O177" s="22">
        <f t="shared" si="1318"/>
        <v>286.54610000000002</v>
      </c>
      <c r="P177" s="22">
        <f t="shared" si="1318"/>
        <v>181.90359999999998</v>
      </c>
      <c r="Q177" s="22">
        <f t="shared" si="1318"/>
        <v>328.99270000000001</v>
      </c>
      <c r="R177" s="22">
        <f t="shared" si="1318"/>
        <v>317.77679999999998</v>
      </c>
      <c r="S177" s="22">
        <f t="shared" si="1318"/>
        <v>385.45560000000012</v>
      </c>
      <c r="T177" s="22">
        <f t="shared" si="1318"/>
        <v>436.28399999999988</v>
      </c>
      <c r="U177" s="22">
        <f t="shared" si="1318"/>
        <v>413.9799999999999</v>
      </c>
      <c r="V177" s="22">
        <f t="shared" si="1318"/>
        <v>527.94349999999997</v>
      </c>
      <c r="W177" s="22">
        <f t="shared" ref="W177" si="1319">W168-W176</f>
        <v>839.13649999999996</v>
      </c>
      <c r="X177" s="22">
        <f t="shared" ref="X177:Y177" si="1320">X168-X176</f>
        <v>883.96019999999999</v>
      </c>
      <c r="Y177" s="22">
        <f t="shared" si="1320"/>
        <v>859.1074000000001</v>
      </c>
      <c r="Z177" s="22">
        <f t="shared" ref="Z177:AA177" si="1321">Z168-Z176</f>
        <v>1110.2615000000003</v>
      </c>
      <c r="AA177" s="22">
        <f t="shared" si="1321"/>
        <v>1466.377</v>
      </c>
      <c r="AB177" s="21">
        <f t="shared" ref="AB177:AD177" si="1322">AB168-AB176</f>
        <v>1862.7880655463771</v>
      </c>
      <c r="AC177" s="21">
        <f t="shared" si="1322"/>
        <v>2046.0203477363953</v>
      </c>
      <c r="AD177" s="21">
        <f t="shared" si="1322"/>
        <v>2258.6394526552908</v>
      </c>
      <c r="AE177" s="21">
        <f t="shared" ref="AE177" si="1323">AE168-AE176</f>
        <v>2493.6898822009575</v>
      </c>
      <c r="AJ177" s="22">
        <f t="shared" ref="AJ177" si="1324">AJ168-AJ176</f>
        <v>217.71899999999994</v>
      </c>
      <c r="AK177" s="22">
        <f t="shared" ref="AK177" si="1325">AK168-AK176</f>
        <v>193.6172231060292</v>
      </c>
      <c r="AL177" s="22">
        <f t="shared" ref="AL177:AM177" si="1326">AL168-AL176</f>
        <v>196.65199999999999</v>
      </c>
      <c r="AM177" s="22">
        <f t="shared" si="1326"/>
        <v>231.11717786530437</v>
      </c>
      <c r="AN177" s="22">
        <f t="shared" ref="AN177:AO177" si="1327">AN168-AN176</f>
        <v>302.81200000000001</v>
      </c>
      <c r="AO177" s="22">
        <f t="shared" si="1327"/>
        <v>281.7353911456749</v>
      </c>
      <c r="AP177" s="22">
        <f t="shared" ref="AP177:CE177" si="1328">AP168-AP176</f>
        <v>275.541</v>
      </c>
      <c r="AQ177" s="22">
        <f t="shared" si="1328"/>
        <v>321.52996665762601</v>
      </c>
      <c r="AR177" s="22">
        <f t="shared" si="1328"/>
        <v>313.06499999999994</v>
      </c>
      <c r="AS177" s="22">
        <f t="shared" si="1328"/>
        <v>290.50442924020012</v>
      </c>
      <c r="AT177" s="22">
        <f t="shared" si="1328"/>
        <v>181.81400000000008</v>
      </c>
      <c r="AU177" s="22">
        <f t="shared" si="1328"/>
        <v>218.50352143932389</v>
      </c>
      <c r="AV177" s="22">
        <f t="shared" si="1328"/>
        <v>337.947</v>
      </c>
      <c r="AW177" s="22">
        <f t="shared" si="1328"/>
        <v>322.80250518014532</v>
      </c>
      <c r="AX177" s="22">
        <f t="shared" si="1328"/>
        <v>328.59199999999998</v>
      </c>
      <c r="AY177" s="22">
        <f t="shared" si="1328"/>
        <v>342.67287923728111</v>
      </c>
      <c r="AZ177" s="22">
        <f t="shared" si="1328"/>
        <v>296.72000000000003</v>
      </c>
      <c r="BA177" s="22">
        <f t="shared" si="1328"/>
        <v>270.99414689141861</v>
      </c>
      <c r="BB177" s="22">
        <f t="shared" si="1328"/>
        <v>317.75800000000004</v>
      </c>
      <c r="BC177" s="22">
        <f t="shared" si="1328"/>
        <v>290.87529502190932</v>
      </c>
      <c r="BD177" s="22">
        <f t="shared" si="1328"/>
        <v>304.99300000000005</v>
      </c>
      <c r="BE177" s="22">
        <f t="shared" si="1328"/>
        <v>262.13919721639184</v>
      </c>
      <c r="BF177" s="22">
        <f t="shared" si="1328"/>
        <v>385.45600000000002</v>
      </c>
      <c r="BG177" s="22">
        <f t="shared" si="1328"/>
        <v>497.66737415299201</v>
      </c>
      <c r="BH177" s="22">
        <f t="shared" ref="BH177" si="1329">BH168-BH176</f>
        <v>396.56299999999999</v>
      </c>
      <c r="BI177" s="22">
        <f t="shared" si="1328"/>
        <v>343.85774387781578</v>
      </c>
      <c r="BJ177" s="22">
        <f t="shared" si="1328"/>
        <v>436.28200000000004</v>
      </c>
      <c r="BK177" s="22">
        <f t="shared" si="1328"/>
        <v>464.49568861224839</v>
      </c>
      <c r="BL177" s="22">
        <f t="shared" si="1328"/>
        <v>397.80599999999993</v>
      </c>
      <c r="BM177" s="22">
        <f t="shared" si="1328"/>
        <v>369.32987082426814</v>
      </c>
      <c r="BN177" s="22">
        <f t="shared" si="1328"/>
        <v>413.98000000000008</v>
      </c>
      <c r="BO177" s="22">
        <f t="shared" si="1328"/>
        <v>494.21541725413618</v>
      </c>
      <c r="BP177" s="22">
        <f t="shared" si="1328"/>
        <v>544.41500000000008</v>
      </c>
      <c r="BQ177" s="22">
        <f t="shared" si="1328"/>
        <v>696.13122542406495</v>
      </c>
      <c r="BR177" s="22">
        <f t="shared" si="1328"/>
        <v>552.62099999999998</v>
      </c>
      <c r="BS177" s="22">
        <f t="shared" si="1328"/>
        <v>633.24988792801639</v>
      </c>
      <c r="BT177" s="22">
        <f t="shared" si="1328"/>
        <v>616.35800000000006</v>
      </c>
      <c r="BU177" s="22">
        <f t="shared" si="1328"/>
        <v>624.65560867439001</v>
      </c>
      <c r="BV177" s="22">
        <f t="shared" si="1328"/>
        <v>872.59</v>
      </c>
      <c r="BW177" s="22">
        <f t="shared" si="1328"/>
        <v>1062.7151339278566</v>
      </c>
      <c r="BX177" s="22">
        <f t="shared" si="1328"/>
        <v>917.21</v>
      </c>
      <c r="BY177" s="22">
        <f t="shared" si="1328"/>
        <v>899.91512687784143</v>
      </c>
      <c r="BZ177" s="22">
        <f t="shared" si="1328"/>
        <v>912.5899999999998</v>
      </c>
      <c r="CA177" s="22">
        <f t="shared" si="1328"/>
        <v>1047.4060641200545</v>
      </c>
      <c r="CB177" s="22">
        <f t="shared" si="1328"/>
        <v>895.65000000000009</v>
      </c>
      <c r="CC177" s="22">
        <f t="shared" si="1328"/>
        <v>861.16113865765419</v>
      </c>
      <c r="CD177" s="22">
        <f t="shared" si="1328"/>
        <v>883.81999999999994</v>
      </c>
      <c r="CE177" s="22">
        <f t="shared" si="1328"/>
        <v>1021.7532626228631</v>
      </c>
      <c r="CF177" s="22">
        <f t="shared" ref="CF177:CG177" si="1330">CF168-CF176</f>
        <v>975.32999999999981</v>
      </c>
      <c r="CG177" s="22">
        <f t="shared" si="1330"/>
        <v>937.56584147828369</v>
      </c>
      <c r="CH177" s="22">
        <f t="shared" ref="CH177:CI177" si="1331">CH168-CH176</f>
        <v>1110.2615000000003</v>
      </c>
      <c r="CI177" s="22">
        <f t="shared" si="1331"/>
        <v>1279.1838325293843</v>
      </c>
      <c r="CJ177" s="22">
        <f t="shared" ref="CJ177:DB177" si="1332">CJ168-CJ176</f>
        <v>1394.9</v>
      </c>
      <c r="CK177" s="21">
        <f t="shared" si="1332"/>
        <v>1368.9537542630653</v>
      </c>
      <c r="CL177" s="22">
        <f t="shared" ref="CL177" si="1333">CL168-CL176</f>
        <v>1485.13</v>
      </c>
      <c r="CM177" s="21">
        <f t="shared" si="1332"/>
        <v>1990.7144172832136</v>
      </c>
      <c r="CN177" s="21">
        <f t="shared" si="1332"/>
        <v>1976.6388346327822</v>
      </c>
      <c r="CO177" s="21">
        <f t="shared" si="1332"/>
        <v>1939.6777013812857</v>
      </c>
      <c r="CP177" s="21">
        <f t="shared" si="1332"/>
        <v>1862.7880655463771</v>
      </c>
      <c r="CQ177" s="21">
        <f t="shared" si="1332"/>
        <v>2184.2724680691863</v>
      </c>
      <c r="CR177" s="21">
        <f t="shared" si="1332"/>
        <v>2170.3414188228662</v>
      </c>
      <c r="CS177" s="21">
        <f t="shared" si="1332"/>
        <v>2129.8859934359625</v>
      </c>
      <c r="CT177" s="21">
        <f t="shared" si="1332"/>
        <v>2046.0203477363953</v>
      </c>
      <c r="CU177" s="21">
        <f t="shared" si="1332"/>
        <v>2410.4014305761443</v>
      </c>
      <c r="CV177" s="21">
        <f t="shared" si="1332"/>
        <v>2396.1248807969951</v>
      </c>
      <c r="CW177" s="21">
        <f t="shared" si="1332"/>
        <v>2351.3782822929325</v>
      </c>
      <c r="CX177" s="21">
        <f t="shared" si="1332"/>
        <v>2258.6394526552908</v>
      </c>
      <c r="CY177" s="21">
        <f t="shared" si="1332"/>
        <v>2660.2377590530723</v>
      </c>
      <c r="CZ177" s="21">
        <f t="shared" si="1332"/>
        <v>2645.703891198822</v>
      </c>
      <c r="DA177" s="21">
        <f t="shared" si="1332"/>
        <v>2596.2221833085205</v>
      </c>
      <c r="DB177" s="21">
        <f t="shared" si="1332"/>
        <v>2493.6898822009575</v>
      </c>
      <c r="DE177" s="126"/>
      <c r="DF177" s="22">
        <v>1466.377</v>
      </c>
    </row>
    <row r="178" spans="1:110" s="23" customFormat="1" x14ac:dyDescent="0.2">
      <c r="AB178" s="24"/>
      <c r="AC178" s="24"/>
      <c r="AD178" s="24"/>
      <c r="AE178" s="24"/>
      <c r="CK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3"/>
    </row>
    <row r="179" spans="1:110" s="23" customFormat="1" outlineLevel="1" x14ac:dyDescent="0.2">
      <c r="A179" s="23" t="s">
        <v>75</v>
      </c>
      <c r="B179" s="23">
        <f>'Annual Raw'!C75</f>
        <v>0</v>
      </c>
      <c r="C179" s="23">
        <f>'Annual Raw'!D75</f>
        <v>0</v>
      </c>
      <c r="D179" s="23">
        <f>'Annual Raw'!E75</f>
        <v>0</v>
      </c>
      <c r="E179" s="23">
        <f>'Annual Raw'!F75</f>
        <v>0</v>
      </c>
      <c r="F179" s="23">
        <f>'Annual Raw'!G75</f>
        <v>0</v>
      </c>
      <c r="G179" s="23">
        <f>'Annual Raw'!H75</f>
        <v>0</v>
      </c>
      <c r="H179" s="23">
        <f>'Annual Raw'!I75</f>
        <v>0</v>
      </c>
      <c r="I179" s="23">
        <f>'Annual Raw'!J75</f>
        <v>0</v>
      </c>
      <c r="J179" s="23">
        <f>'Annual Raw'!K75</f>
        <v>0</v>
      </c>
      <c r="K179" s="23">
        <f>'Annual Raw'!L75</f>
        <v>0</v>
      </c>
      <c r="L179" s="23">
        <f>'Annual Raw'!M75</f>
        <v>81.046300000000002</v>
      </c>
      <c r="M179" s="23">
        <f>'Annual Raw'!N75</f>
        <v>298.92180000000002</v>
      </c>
      <c r="N179" s="23">
        <f>'Annual Raw'!O75</f>
        <v>394.678</v>
      </c>
      <c r="O179" s="23">
        <f>'Annual Raw'!P75</f>
        <v>497.25740000000002</v>
      </c>
      <c r="P179" s="23">
        <f>'Annual Raw'!Q75</f>
        <v>366.7817</v>
      </c>
      <c r="Q179" s="23">
        <f>'Annual Raw'!R75</f>
        <v>247.28309999999999</v>
      </c>
      <c r="R179" s="23">
        <f>'Annual Raw'!S75</f>
        <v>224.9616</v>
      </c>
      <c r="S179" s="23">
        <f>'Annual Raw'!T75</f>
        <v>383.76600000000002</v>
      </c>
      <c r="T179" s="23">
        <f>'Annual Raw'!U75</f>
        <v>360.6499</v>
      </c>
      <c r="U179" s="23">
        <f>'Annual Raw'!V75</f>
        <v>333.81259999999997</v>
      </c>
      <c r="V179" s="23">
        <f>'Annual Raw'!W75</f>
        <v>664.97479999999996</v>
      </c>
      <c r="W179" s="23">
        <f>'Annual Raw'!X75</f>
        <v>0</v>
      </c>
      <c r="X179" s="23">
        <f>'Annual Raw'!Y75</f>
        <v>192.18450000000001</v>
      </c>
      <c r="Y179" s="23">
        <f>'Annual Raw'!Z75</f>
        <v>364.65010000000001</v>
      </c>
      <c r="Z179" s="23">
        <f>'Annual Raw'!AA75</f>
        <v>317.10849999999999</v>
      </c>
      <c r="AA179" s="23">
        <f>'Annual Raw'!AB75</f>
        <v>738.90480000000002</v>
      </c>
      <c r="AB179" s="24">
        <f t="shared" ref="AB179:AB180" si="1334">+CP179</f>
        <v>0</v>
      </c>
      <c r="AC179" s="24">
        <f t="shared" ref="AC179:AC180" si="1335">+CT179</f>
        <v>0</v>
      </c>
      <c r="AD179" s="24">
        <f t="shared" ref="AD179:AD180" si="1336">+CX179</f>
        <v>0</v>
      </c>
      <c r="AE179" s="24">
        <f t="shared" ref="AE179:AE180" si="1337">+DB179</f>
        <v>0</v>
      </c>
      <c r="AJ179" s="23">
        <f>+'QTR Raw'!D80</f>
        <v>325.26600000000002</v>
      </c>
      <c r="AL179" s="23">
        <f>+'QTR Raw'!F80</f>
        <v>394.678</v>
      </c>
      <c r="AN179" s="23">
        <f>+'QTR Raw'!H80</f>
        <v>468.89400000000001</v>
      </c>
      <c r="AP179" s="23">
        <f>+'QTR Raw'!J80</f>
        <v>497.25700000000001</v>
      </c>
      <c r="AR179" s="23">
        <f>+'QTR Raw'!L80</f>
        <v>514.12800000000004</v>
      </c>
      <c r="AT179" s="23">
        <f>+'QTR Raw'!N80</f>
        <v>366.78199999999998</v>
      </c>
      <c r="AV179" s="23">
        <f>+'QTR Raw'!P80</f>
        <v>239.25200000000001</v>
      </c>
      <c r="AX179" s="23">
        <f>+'QTR Raw'!R80</f>
        <v>247.28299999999999</v>
      </c>
      <c r="AZ179" s="23">
        <f>+'QTR Raw'!T80</f>
        <v>266.41500000000002</v>
      </c>
      <c r="BB179" s="23">
        <f>+'QTR Raw'!V80</f>
        <v>224.96199999999999</v>
      </c>
      <c r="BD179" s="23">
        <f>+'QTR Raw'!X80</f>
        <v>387.93200000000002</v>
      </c>
      <c r="BF179" s="23">
        <f>+'QTR Raw'!Z80</f>
        <v>383.76600000000002</v>
      </c>
      <c r="BH179" s="23">
        <f>+'QTR Raw'!AB80</f>
        <v>414.05399999999997</v>
      </c>
      <c r="BJ179" s="23">
        <f>+'QTR Raw'!AD80</f>
        <v>360.65</v>
      </c>
      <c r="BL179" s="23">
        <f>+'QTR Raw'!AF80</f>
        <v>523.55600000000004</v>
      </c>
      <c r="BN179" s="23">
        <f>+'QTR Raw'!AH80</f>
        <v>333.81299999999999</v>
      </c>
      <c r="BP179" s="23">
        <f>+'QTR Raw'!AJ80</f>
        <v>447.38499999999999</v>
      </c>
      <c r="BR179" s="23">
        <f>+'QTR Raw'!AL80</f>
        <v>664.97500000000002</v>
      </c>
      <c r="BT179" s="23">
        <f>+'QTR Raw'!AN80</f>
        <v>729.65300000000002</v>
      </c>
      <c r="BV179" s="23">
        <f>+'QTR Raw'!AP80</f>
        <v>0</v>
      </c>
      <c r="BX179" s="23">
        <f>+'QTR Raw'!AR80</f>
        <v>106.13</v>
      </c>
      <c r="BZ179" s="23">
        <f>+'QTR Raw'!AT80</f>
        <v>192.18</v>
      </c>
      <c r="CB179" s="23">
        <f>+'QTR Raw'!AV80</f>
        <v>300.08999999999997</v>
      </c>
      <c r="CD179" s="23">
        <f>+'QTR Raw'!AX80</f>
        <v>364.65</v>
      </c>
      <c r="CF179" s="23">
        <f>+'QTR Raw'!AZ80</f>
        <v>319.39999999999998</v>
      </c>
      <c r="CH179" s="23">
        <f t="shared" ref="CH179:CH180" si="1338">Z179</f>
        <v>317.10849999999999</v>
      </c>
      <c r="CJ179" s="23">
        <f>+'QTR Raw'!BD80</f>
        <v>489.83</v>
      </c>
      <c r="CK179" s="24"/>
      <c r="CL179" s="23">
        <f>+'QTR Raw'!BF80</f>
        <v>738.91</v>
      </c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E179" s="123"/>
      <c r="DF179" s="23">
        <v>738.90480000000002</v>
      </c>
    </row>
    <row r="180" spans="1:110" s="23" customFormat="1" outlineLevel="1" x14ac:dyDescent="0.2">
      <c r="A180" s="23" t="s">
        <v>76</v>
      </c>
      <c r="B180" s="23">
        <f>'Annual Raw'!C78</f>
        <v>6.2237999999999998</v>
      </c>
      <c r="C180" s="23">
        <f>'Annual Raw'!D78</f>
        <v>7.1627000000000001</v>
      </c>
      <c r="D180" s="23">
        <f>'Annual Raw'!E78</f>
        <v>9.8881999999999994</v>
      </c>
      <c r="E180" s="23">
        <f>'Annual Raw'!F78</f>
        <v>5.8106999999999998</v>
      </c>
      <c r="F180" s="23">
        <f>'Annual Raw'!G78</f>
        <v>9.4913000000000007</v>
      </c>
      <c r="G180" s="23">
        <f>'Annual Raw'!H78</f>
        <v>11.600300000000001</v>
      </c>
      <c r="H180" s="23">
        <f>'Annual Raw'!I78</f>
        <v>20.3857</v>
      </c>
      <c r="I180" s="23">
        <f>'Annual Raw'!J78</f>
        <v>14.960900000000001</v>
      </c>
      <c r="J180" s="23">
        <f>'Annual Raw'!K78</f>
        <v>43.845399999999998</v>
      </c>
      <c r="K180" s="23">
        <f>'Annual Raw'!L78</f>
        <v>77.861900000000006</v>
      </c>
      <c r="L180" s="23">
        <f>'Annual Raw'!M78</f>
        <v>126.8857</v>
      </c>
      <c r="M180" s="23">
        <f>'Annual Raw'!N78</f>
        <v>219.5325</v>
      </c>
      <c r="N180" s="23">
        <f>'Annual Raw'!O78</f>
        <v>156.23490000000001</v>
      </c>
      <c r="O180" s="23">
        <f>'Annual Raw'!P78</f>
        <v>11.8056</v>
      </c>
      <c r="P180" s="23">
        <f>'Annual Raw'!Q78</f>
        <v>25.1876</v>
      </c>
      <c r="Q180" s="23">
        <f>'Annual Raw'!R78</f>
        <v>12.902200000000001</v>
      </c>
      <c r="R180" s="23">
        <f>'Annual Raw'!S78</f>
        <v>13.3865</v>
      </c>
      <c r="S180" s="23">
        <f>'Annual Raw'!T78</f>
        <v>29.923200000000001</v>
      </c>
      <c r="T180" s="23">
        <f>'Annual Raw'!U78</f>
        <v>36.7971</v>
      </c>
      <c r="U180" s="23">
        <f>'Annual Raw'!V78</f>
        <v>30.9481</v>
      </c>
      <c r="V180" s="23">
        <f>'Annual Raw'!W78</f>
        <v>30.851700000000001</v>
      </c>
      <c r="W180" s="23">
        <f>'Annual Raw'!X78</f>
        <v>58.527900000000002</v>
      </c>
      <c r="X180" s="23">
        <f>'Annual Raw'!Y78</f>
        <v>78.812799999999996</v>
      </c>
      <c r="Y180" s="23">
        <f>'Annual Raw'!Z78</f>
        <v>95.538399999999996</v>
      </c>
      <c r="Z180" s="23">
        <f>'Annual Raw'!AA78</f>
        <v>129.44890000000001</v>
      </c>
      <c r="AA180" s="23">
        <f>'Annual Raw'!AB78</f>
        <v>145.87389999999999</v>
      </c>
      <c r="AB180" s="24">
        <f t="shared" si="1334"/>
        <v>1400.9067029489283</v>
      </c>
      <c r="AC180" s="24">
        <f t="shared" si="1335"/>
        <v>2242.5523542090118</v>
      </c>
      <c r="AD180" s="24">
        <f t="shared" si="1336"/>
        <v>3221.6507442682228</v>
      </c>
      <c r="AE180" s="24">
        <f t="shared" si="1337"/>
        <v>4369.8468604883774</v>
      </c>
      <c r="AJ180" s="23">
        <f>+'QTR Raw'!D83</f>
        <v>190.23099999999999</v>
      </c>
      <c r="AK180" s="23">
        <f t="shared" ref="AK180:AM180" si="1339">+AK230</f>
        <v>561.47277689397083</v>
      </c>
      <c r="AL180" s="23">
        <f>+'QTR Raw'!F83</f>
        <v>156.23500000000001</v>
      </c>
      <c r="AM180" s="23">
        <f t="shared" si="1339"/>
        <v>536.77282213469562</v>
      </c>
      <c r="AN180" s="23">
        <f>+'QTR Raw'!H83</f>
        <v>13.159000000000001</v>
      </c>
      <c r="AO180" s="23">
        <f t="shared" ref="AO180" si="1340">+AO230</f>
        <v>496.65460885432509</v>
      </c>
      <c r="AP180" s="23">
        <f>+'QTR Raw'!J83</f>
        <v>11.805999999999999</v>
      </c>
      <c r="AQ180" s="23">
        <f t="shared" ref="AQ180" si="1341">+AQ230</f>
        <v>494.86603334237401</v>
      </c>
      <c r="AR180" s="23">
        <f>+'QTR Raw'!L83</f>
        <v>12.593</v>
      </c>
      <c r="AS180" s="23">
        <f t="shared" ref="AS180" si="1342">+AS230</f>
        <v>573.44857075979985</v>
      </c>
      <c r="AT180" s="23">
        <f>+'QTR Raw'!N83</f>
        <v>25.187999999999999</v>
      </c>
      <c r="AU180" s="23">
        <f t="shared" ref="AU180" si="1343">+AU230</f>
        <v>394.91847856067625</v>
      </c>
      <c r="AV180" s="23">
        <f>+'QTR Raw'!P83</f>
        <v>6.2960000000000003</v>
      </c>
      <c r="AW180" s="23">
        <f t="shared" ref="AW180" si="1344">+AW230</f>
        <v>307.57349481985466</v>
      </c>
      <c r="AX180" s="23">
        <f>+'QTR Raw'!R83</f>
        <v>12.901999999999999</v>
      </c>
      <c r="AY180" s="23">
        <f t="shared" ref="AY180" si="1345">+AY230</f>
        <v>295.95912076271884</v>
      </c>
      <c r="AZ180" s="23">
        <f>+'QTR Raw'!T83</f>
        <v>8.0310000000000006</v>
      </c>
      <c r="BA180" s="23">
        <f t="shared" ref="BA180" si="1346">+BA230</f>
        <v>335.93385310858145</v>
      </c>
      <c r="BB180" s="23">
        <f>+'QTR Raw'!V83</f>
        <v>13.385999999999999</v>
      </c>
      <c r="BC180" s="23">
        <f t="shared" ref="BC180" si="1347">+BC230</f>
        <v>285.59870497809072</v>
      </c>
      <c r="BD180" s="23">
        <f>+'QTR Raw'!X83</f>
        <v>11.97</v>
      </c>
      <c r="BE180" s="23">
        <f t="shared" ref="BE180" si="1348">+BE230</f>
        <v>476.60580278360823</v>
      </c>
      <c r="BF180" s="23">
        <f>+'QTR Raw'!Z83</f>
        <v>29.922999999999998</v>
      </c>
      <c r="BG180" s="23">
        <f t="shared" ref="BG180" si="1349">+BG230</f>
        <v>347.10162584700794</v>
      </c>
      <c r="BH180" s="23">
        <f>+'QTR Raw'!AB83</f>
        <v>12.238</v>
      </c>
      <c r="BI180" s="23">
        <f t="shared" ref="BI180" si="1350">+BI230</f>
        <v>528.85225612218426</v>
      </c>
      <c r="BJ180" s="23">
        <f>+'QTR Raw'!AD83</f>
        <v>36.796999999999997</v>
      </c>
      <c r="BK180" s="23">
        <f t="shared" ref="BK180" si="1351">+BK230</f>
        <v>431.2403113877516</v>
      </c>
      <c r="BL180" s="23">
        <f>+'QTR Raw'!AF83</f>
        <v>35.398000000000003</v>
      </c>
      <c r="BM180" s="23">
        <f t="shared" ref="BM180" si="1352">+BM230</f>
        <v>653.7061291757318</v>
      </c>
      <c r="BN180" s="23">
        <f>+'QTR Raw'!AH83</f>
        <v>30.948</v>
      </c>
      <c r="BO180" s="23">
        <f t="shared" ref="BO180" si="1353">+BO230</f>
        <v>403.94858274586386</v>
      </c>
      <c r="BP180" s="23">
        <f>+'QTR Raw'!AJ83</f>
        <v>36.353999999999999</v>
      </c>
      <c r="BQ180" s="23">
        <f t="shared" ref="BQ180" si="1354">+BQ230</f>
        <v>486.12977457593513</v>
      </c>
      <c r="BR180" s="23">
        <f>+'QTR Raw'!AL83</f>
        <v>30.850999999999999</v>
      </c>
      <c r="BS180" s="23">
        <f t="shared" ref="BS180" si="1355">+BS230</f>
        <v>734.06711207198362</v>
      </c>
      <c r="BT180" s="23">
        <f>+'QTR Raw'!AN83</f>
        <v>37.654000000000003</v>
      </c>
      <c r="BU180" s="23">
        <f t="shared" ref="BU180" si="1356">+BU230</f>
        <v>842.88939132561018</v>
      </c>
      <c r="BV180" s="23">
        <f>+'QTR Raw'!AP83</f>
        <v>58.52</v>
      </c>
      <c r="BW180" s="23">
        <f t="shared" ref="BW180" si="1357">+BW230</f>
        <v>-26.575133927856548</v>
      </c>
      <c r="BX180" s="23">
        <f>+'QTR Raw'!AR83</f>
        <v>90.69</v>
      </c>
      <c r="BY180" s="23">
        <f t="shared" ref="BY180" si="1358">+BY230</f>
        <v>320.21487312215856</v>
      </c>
      <c r="BZ180" s="23">
        <f>+'QTR Raw'!AT83</f>
        <v>78.81</v>
      </c>
      <c r="CA180" s="23">
        <f t="shared" ref="CA180" si="1359">+CA230</f>
        <v>278.49393587994541</v>
      </c>
      <c r="CB180" s="23">
        <f>+'QTR Raw'!AV83</f>
        <v>93.2</v>
      </c>
      <c r="CC180" s="23">
        <f t="shared" ref="CC180" si="1360">+CC230</f>
        <v>561.34886134234591</v>
      </c>
      <c r="CD180" s="23">
        <f>+'QTR Raw'!AX83</f>
        <v>95.54</v>
      </c>
      <c r="CE180" s="23">
        <f t="shared" ref="CE180" si="1361">+CE230</f>
        <v>499.0867373771369</v>
      </c>
      <c r="CF180" s="23">
        <f>+'QTR Raw'!AZ83</f>
        <v>97.46</v>
      </c>
      <c r="CG180" s="23">
        <f t="shared" ref="CG180:CI180" si="1362">+CG230</f>
        <v>617.11415852171604</v>
      </c>
      <c r="CH180" s="23">
        <f t="shared" si="1338"/>
        <v>129.44890000000001</v>
      </c>
      <c r="CI180" s="23">
        <f t="shared" si="1362"/>
        <v>522.71506747061608</v>
      </c>
      <c r="CJ180" s="23">
        <f>+'QTR Raw'!BD83</f>
        <v>104.32</v>
      </c>
      <c r="CK180" s="24">
        <f t="shared" ref="CK180:DB180" si="1363">+CK230</f>
        <v>863.33624573693464</v>
      </c>
      <c r="CL180" s="23">
        <f>+'QTR Raw'!BF83</f>
        <v>145.87</v>
      </c>
      <c r="CM180" s="24">
        <f t="shared" si="1363"/>
        <v>612.77798060536429</v>
      </c>
      <c r="CN180" s="24">
        <f t="shared" si="1363"/>
        <v>854.52814273611773</v>
      </c>
      <c r="CO180" s="24">
        <f t="shared" si="1363"/>
        <v>1112.7471263164443</v>
      </c>
      <c r="CP180" s="24">
        <f t="shared" si="1363"/>
        <v>1400.9067029489283</v>
      </c>
      <c r="CQ180" s="24">
        <f t="shared" si="1363"/>
        <v>1340.2754214150746</v>
      </c>
      <c r="CR180" s="24">
        <f t="shared" si="1363"/>
        <v>1612.4883134283634</v>
      </c>
      <c r="CS180" s="24">
        <f t="shared" si="1363"/>
        <v>1908.9460063864881</v>
      </c>
      <c r="CT180" s="24">
        <f t="shared" si="1363"/>
        <v>2242.5523542090118</v>
      </c>
      <c r="CU180" s="24">
        <f t="shared" si="1363"/>
        <v>2179.2152149539925</v>
      </c>
      <c r="CV180" s="24">
        <f t="shared" si="1363"/>
        <v>2493.3090145254369</v>
      </c>
      <c r="CW180" s="24">
        <f t="shared" si="1363"/>
        <v>2836.7745550595155</v>
      </c>
      <c r="CX180" s="24">
        <f t="shared" si="1363"/>
        <v>3221.6507442682228</v>
      </c>
      <c r="CY180" s="24">
        <f t="shared" si="1363"/>
        <v>3168.6441959275012</v>
      </c>
      <c r="CZ180" s="24">
        <f t="shared" si="1363"/>
        <v>3531.2122193636515</v>
      </c>
      <c r="DA180" s="24">
        <f t="shared" si="1363"/>
        <v>3927.7578620537583</v>
      </c>
      <c r="DB180" s="24">
        <f t="shared" si="1363"/>
        <v>4369.8468604883774</v>
      </c>
      <c r="DE180" s="123"/>
      <c r="DF180" s="23">
        <v>145.87389999999999</v>
      </c>
    </row>
    <row r="181" spans="1:110" s="22" customFormat="1" x14ac:dyDescent="0.2">
      <c r="A181" s="22" t="s">
        <v>77</v>
      </c>
      <c r="B181" s="22">
        <f>B179+B180</f>
        <v>6.2237999999999998</v>
      </c>
      <c r="C181" s="22">
        <f t="shared" ref="C181:V181" si="1364">C179+C180</f>
        <v>7.1627000000000001</v>
      </c>
      <c r="D181" s="22">
        <f t="shared" si="1364"/>
        <v>9.8881999999999994</v>
      </c>
      <c r="E181" s="22">
        <f t="shared" si="1364"/>
        <v>5.8106999999999998</v>
      </c>
      <c r="F181" s="22">
        <f t="shared" si="1364"/>
        <v>9.4913000000000007</v>
      </c>
      <c r="G181" s="22">
        <f t="shared" si="1364"/>
        <v>11.600300000000001</v>
      </c>
      <c r="H181" s="22">
        <f t="shared" si="1364"/>
        <v>20.3857</v>
      </c>
      <c r="I181" s="22">
        <f t="shared" si="1364"/>
        <v>14.960900000000001</v>
      </c>
      <c r="J181" s="22">
        <f t="shared" si="1364"/>
        <v>43.845399999999998</v>
      </c>
      <c r="K181" s="22">
        <f t="shared" si="1364"/>
        <v>77.861900000000006</v>
      </c>
      <c r="L181" s="22">
        <f t="shared" si="1364"/>
        <v>207.93200000000002</v>
      </c>
      <c r="M181" s="22">
        <f t="shared" si="1364"/>
        <v>518.45429999999999</v>
      </c>
      <c r="N181" s="22">
        <f t="shared" si="1364"/>
        <v>550.91290000000004</v>
      </c>
      <c r="O181" s="22">
        <f t="shared" si="1364"/>
        <v>509.06300000000005</v>
      </c>
      <c r="P181" s="22">
        <f t="shared" si="1364"/>
        <v>391.96929999999998</v>
      </c>
      <c r="Q181" s="22">
        <f t="shared" si="1364"/>
        <v>260.18529999999998</v>
      </c>
      <c r="R181" s="22">
        <f t="shared" si="1364"/>
        <v>238.34810000000002</v>
      </c>
      <c r="S181" s="22">
        <f t="shared" si="1364"/>
        <v>413.68920000000003</v>
      </c>
      <c r="T181" s="22">
        <f t="shared" si="1364"/>
        <v>397.447</v>
      </c>
      <c r="U181" s="22">
        <f t="shared" si="1364"/>
        <v>364.76069999999999</v>
      </c>
      <c r="V181" s="22">
        <f t="shared" si="1364"/>
        <v>695.82650000000001</v>
      </c>
      <c r="W181" s="22">
        <f t="shared" ref="W181" si="1365">W179+W180</f>
        <v>58.527900000000002</v>
      </c>
      <c r="X181" s="22">
        <f t="shared" ref="X181:Y181" si="1366">X179+X180</f>
        <v>270.9973</v>
      </c>
      <c r="Y181" s="22">
        <f t="shared" si="1366"/>
        <v>460.18849999999998</v>
      </c>
      <c r="Z181" s="22">
        <f t="shared" ref="Z181:AA181" si="1367">Z179+Z180</f>
        <v>446.55740000000003</v>
      </c>
      <c r="AA181" s="22">
        <f t="shared" si="1367"/>
        <v>884.77870000000007</v>
      </c>
      <c r="AB181" s="21">
        <f t="shared" ref="AB181:AD181" si="1368">AB179+AB180</f>
        <v>1400.9067029489283</v>
      </c>
      <c r="AC181" s="21">
        <f t="shared" si="1368"/>
        <v>2242.5523542090118</v>
      </c>
      <c r="AD181" s="21">
        <f t="shared" si="1368"/>
        <v>3221.6507442682228</v>
      </c>
      <c r="AE181" s="21">
        <f t="shared" ref="AE181" si="1369">AE179+AE180</f>
        <v>4369.8468604883774</v>
      </c>
      <c r="AJ181" s="22">
        <f t="shared" ref="AJ181" si="1370">AJ179+AJ180</f>
        <v>515.49700000000007</v>
      </c>
      <c r="AK181" s="22">
        <f t="shared" ref="AK181" si="1371">AK179+AK180</f>
        <v>561.47277689397083</v>
      </c>
      <c r="AL181" s="22">
        <f t="shared" ref="AL181:AM181" si="1372">AL179+AL180</f>
        <v>550.91300000000001</v>
      </c>
      <c r="AM181" s="22">
        <f t="shared" si="1372"/>
        <v>536.77282213469562</v>
      </c>
      <c r="AN181" s="22">
        <f t="shared" ref="AN181:AO181" si="1373">AN179+AN180</f>
        <v>482.053</v>
      </c>
      <c r="AO181" s="22">
        <f t="shared" si="1373"/>
        <v>496.65460885432509</v>
      </c>
      <c r="AP181" s="22">
        <f t="shared" ref="AP181:CE181" si="1374">AP179+AP180</f>
        <v>509.06299999999999</v>
      </c>
      <c r="AQ181" s="22">
        <f t="shared" si="1374"/>
        <v>494.86603334237401</v>
      </c>
      <c r="AR181" s="22">
        <f t="shared" si="1374"/>
        <v>526.721</v>
      </c>
      <c r="AS181" s="22">
        <f t="shared" si="1374"/>
        <v>573.44857075979985</v>
      </c>
      <c r="AT181" s="22">
        <f t="shared" si="1374"/>
        <v>391.96999999999997</v>
      </c>
      <c r="AU181" s="22">
        <f t="shared" si="1374"/>
        <v>394.91847856067625</v>
      </c>
      <c r="AV181" s="22">
        <f t="shared" si="1374"/>
        <v>245.548</v>
      </c>
      <c r="AW181" s="22">
        <f t="shared" si="1374"/>
        <v>307.57349481985466</v>
      </c>
      <c r="AX181" s="22">
        <f t="shared" si="1374"/>
        <v>260.185</v>
      </c>
      <c r="AY181" s="22">
        <f t="shared" si="1374"/>
        <v>295.95912076271884</v>
      </c>
      <c r="AZ181" s="22">
        <f t="shared" si="1374"/>
        <v>274.44600000000003</v>
      </c>
      <c r="BA181" s="22">
        <f t="shared" si="1374"/>
        <v>335.93385310858145</v>
      </c>
      <c r="BB181" s="22">
        <f t="shared" si="1374"/>
        <v>238.34799999999998</v>
      </c>
      <c r="BC181" s="22">
        <f t="shared" si="1374"/>
        <v>285.59870497809072</v>
      </c>
      <c r="BD181" s="22">
        <f t="shared" si="1374"/>
        <v>399.90200000000004</v>
      </c>
      <c r="BE181" s="22">
        <f t="shared" si="1374"/>
        <v>476.60580278360823</v>
      </c>
      <c r="BF181" s="22">
        <f t="shared" si="1374"/>
        <v>413.68900000000002</v>
      </c>
      <c r="BG181" s="22">
        <f t="shared" si="1374"/>
        <v>347.10162584700794</v>
      </c>
      <c r="BH181" s="22">
        <f t="shared" si="1374"/>
        <v>426.29199999999997</v>
      </c>
      <c r="BI181" s="22">
        <f t="shared" si="1374"/>
        <v>528.85225612218426</v>
      </c>
      <c r="BJ181" s="22">
        <f t="shared" si="1374"/>
        <v>397.447</v>
      </c>
      <c r="BK181" s="22">
        <f t="shared" si="1374"/>
        <v>431.2403113877516</v>
      </c>
      <c r="BL181" s="22">
        <f t="shared" si="1374"/>
        <v>558.95400000000006</v>
      </c>
      <c r="BM181" s="22">
        <f t="shared" si="1374"/>
        <v>653.7061291757318</v>
      </c>
      <c r="BN181" s="22">
        <f t="shared" si="1374"/>
        <v>364.76099999999997</v>
      </c>
      <c r="BO181" s="22">
        <f t="shared" si="1374"/>
        <v>403.94858274586386</v>
      </c>
      <c r="BP181" s="22">
        <f t="shared" si="1374"/>
        <v>483.73899999999998</v>
      </c>
      <c r="BQ181" s="22">
        <f t="shared" si="1374"/>
        <v>486.12977457593513</v>
      </c>
      <c r="BR181" s="22">
        <f t="shared" si="1374"/>
        <v>695.82600000000002</v>
      </c>
      <c r="BS181" s="22">
        <f t="shared" si="1374"/>
        <v>734.06711207198362</v>
      </c>
      <c r="BT181" s="22">
        <f t="shared" si="1374"/>
        <v>767.30700000000002</v>
      </c>
      <c r="BU181" s="22">
        <f t="shared" si="1374"/>
        <v>842.88939132561018</v>
      </c>
      <c r="BV181" s="22">
        <f t="shared" si="1374"/>
        <v>58.52</v>
      </c>
      <c r="BW181" s="22">
        <f t="shared" si="1374"/>
        <v>-26.575133927856548</v>
      </c>
      <c r="BX181" s="22">
        <f t="shared" si="1374"/>
        <v>196.82</v>
      </c>
      <c r="BY181" s="22">
        <f t="shared" si="1374"/>
        <v>320.21487312215856</v>
      </c>
      <c r="BZ181" s="22">
        <f t="shared" si="1374"/>
        <v>270.99</v>
      </c>
      <c r="CA181" s="22">
        <f t="shared" si="1374"/>
        <v>278.49393587994541</v>
      </c>
      <c r="CB181" s="22">
        <f t="shared" si="1374"/>
        <v>393.28999999999996</v>
      </c>
      <c r="CC181" s="22">
        <f t="shared" si="1374"/>
        <v>561.34886134234591</v>
      </c>
      <c r="CD181" s="22">
        <f t="shared" si="1374"/>
        <v>460.19</v>
      </c>
      <c r="CE181" s="22">
        <f t="shared" si="1374"/>
        <v>499.0867373771369</v>
      </c>
      <c r="CF181" s="22">
        <f t="shared" ref="CF181:CG181" si="1375">CF179+CF180</f>
        <v>416.85999999999996</v>
      </c>
      <c r="CG181" s="22">
        <f t="shared" si="1375"/>
        <v>617.11415852171604</v>
      </c>
      <c r="CH181" s="22">
        <f t="shared" ref="CH181:CI181" si="1376">CH179+CH180</f>
        <v>446.55740000000003</v>
      </c>
      <c r="CI181" s="22">
        <f t="shared" si="1376"/>
        <v>522.71506747061608</v>
      </c>
      <c r="CJ181" s="22">
        <f t="shared" ref="CJ181:DB181" si="1377">CJ179+CJ180</f>
        <v>594.15</v>
      </c>
      <c r="CK181" s="21">
        <f t="shared" si="1377"/>
        <v>863.33624573693464</v>
      </c>
      <c r="CL181" s="22">
        <f t="shared" ref="CL181" si="1378">CL179+CL180</f>
        <v>884.78</v>
      </c>
      <c r="CM181" s="21">
        <f t="shared" si="1377"/>
        <v>612.77798060536429</v>
      </c>
      <c r="CN181" s="21">
        <f t="shared" si="1377"/>
        <v>854.52814273611773</v>
      </c>
      <c r="CO181" s="21">
        <f t="shared" si="1377"/>
        <v>1112.7471263164443</v>
      </c>
      <c r="CP181" s="21">
        <f t="shared" si="1377"/>
        <v>1400.9067029489283</v>
      </c>
      <c r="CQ181" s="21">
        <f t="shared" si="1377"/>
        <v>1340.2754214150746</v>
      </c>
      <c r="CR181" s="21">
        <f t="shared" si="1377"/>
        <v>1612.4883134283634</v>
      </c>
      <c r="CS181" s="21">
        <f t="shared" si="1377"/>
        <v>1908.9460063864881</v>
      </c>
      <c r="CT181" s="21">
        <f t="shared" si="1377"/>
        <v>2242.5523542090118</v>
      </c>
      <c r="CU181" s="21">
        <f t="shared" si="1377"/>
        <v>2179.2152149539925</v>
      </c>
      <c r="CV181" s="21">
        <f t="shared" si="1377"/>
        <v>2493.3090145254369</v>
      </c>
      <c r="CW181" s="21">
        <f t="shared" si="1377"/>
        <v>2836.7745550595155</v>
      </c>
      <c r="CX181" s="21">
        <f t="shared" si="1377"/>
        <v>3221.6507442682228</v>
      </c>
      <c r="CY181" s="21">
        <f t="shared" si="1377"/>
        <v>3168.6441959275012</v>
      </c>
      <c r="CZ181" s="21">
        <f t="shared" si="1377"/>
        <v>3531.2122193636515</v>
      </c>
      <c r="DA181" s="21">
        <f t="shared" si="1377"/>
        <v>3927.7578620537583</v>
      </c>
      <c r="DB181" s="21">
        <f t="shared" si="1377"/>
        <v>4369.8468604883774</v>
      </c>
      <c r="DE181" s="126"/>
      <c r="DF181" s="22">
        <v>884.77870000000007</v>
      </c>
    </row>
    <row r="182" spans="1:110" s="23" customFormat="1" x14ac:dyDescent="0.2">
      <c r="AB182" s="24"/>
      <c r="AC182" s="24"/>
      <c r="AD182" s="24"/>
      <c r="AE182" s="24"/>
      <c r="CK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E182" s="123"/>
    </row>
    <row r="183" spans="1:110" s="23" customFormat="1" x14ac:dyDescent="0.2">
      <c r="A183" s="23" t="s">
        <v>78</v>
      </c>
      <c r="B183" s="23">
        <f>-'Annual Raw'!C49</f>
        <v>0</v>
      </c>
      <c r="C183" s="23">
        <f>-'Annual Raw'!D49</f>
        <v>0</v>
      </c>
      <c r="D183" s="23">
        <f>-'Annual Raw'!E49</f>
        <v>0</v>
      </c>
      <c r="E183" s="23">
        <f>-'Annual Raw'!F49</f>
        <v>-11.2705</v>
      </c>
      <c r="F183" s="23">
        <f>-'Annual Raw'!G49</f>
        <v>-14.254799999999999</v>
      </c>
      <c r="G183" s="23">
        <f>-'Annual Raw'!H49</f>
        <v>-15.408099999999999</v>
      </c>
      <c r="H183" s="23">
        <f>-'Annual Raw'!I49</f>
        <v>-18.4895</v>
      </c>
      <c r="I183" s="23">
        <f>-'Annual Raw'!J49</f>
        <v>-15.476599999999999</v>
      </c>
      <c r="J183" s="23">
        <f>-'Annual Raw'!K49</f>
        <v>-12.8484</v>
      </c>
      <c r="K183" s="23">
        <f>-'Annual Raw'!L49</f>
        <v>-15.8545</v>
      </c>
      <c r="L183" s="23">
        <f>-'Annual Raw'!M49</f>
        <v>-16.269100000000002</v>
      </c>
      <c r="M183" s="23">
        <f>-'Annual Raw'!N49</f>
        <v>-18.7104</v>
      </c>
      <c r="N183" s="23">
        <f>-'Annual Raw'!O49</f>
        <v>-24.9803</v>
      </c>
      <c r="O183" s="23">
        <f>-'Annual Raw'!P49</f>
        <v>-19.254999999999999</v>
      </c>
      <c r="P183" s="23">
        <f>-'Annual Raw'!Q49</f>
        <v>-20.197600000000001</v>
      </c>
      <c r="Q183" s="23">
        <f>-'Annual Raw'!R49</f>
        <v>-16.776299999999999</v>
      </c>
      <c r="R183" s="23">
        <f>-'Annual Raw'!S49</f>
        <v>-10.463900000000001</v>
      </c>
      <c r="S183" s="23">
        <f>-'Annual Raw'!T49</f>
        <v>-32.385800000000003</v>
      </c>
      <c r="T183" s="23">
        <f>-'Annual Raw'!U49</f>
        <v>-56.907299999999999</v>
      </c>
      <c r="U183" s="23">
        <f>-'Annual Raw'!V49</f>
        <v>-48.1404</v>
      </c>
      <c r="V183" s="23">
        <f>-'Annual Raw'!W49</f>
        <v>-49.823599999999999</v>
      </c>
      <c r="W183" s="23">
        <f>-'Annual Raw'!X49</f>
        <v>-41.128100000000003</v>
      </c>
      <c r="X183" s="23">
        <f>-'Annual Raw'!Y49</f>
        <v>-96.313500000000005</v>
      </c>
      <c r="Y183" s="23">
        <f>-'Annual Raw'!Z49</f>
        <v>-143.32990000000001</v>
      </c>
      <c r="Z183" s="23">
        <f>-'Annual Raw'!AA49</f>
        <v>-168.9228</v>
      </c>
      <c r="AA183" s="23">
        <f>-'Annual Raw'!AB49</f>
        <v>-177.31129999999999</v>
      </c>
      <c r="AB183" s="24">
        <f t="shared" ref="AB183:AB184" si="1379">+CP183</f>
        <v>-177.31</v>
      </c>
      <c r="AC183" s="24">
        <f t="shared" ref="AC183:AC184" si="1380">+CT183</f>
        <v>-177.31</v>
      </c>
      <c r="AD183" s="24">
        <f t="shared" ref="AD183:AD184" si="1381">+CX183</f>
        <v>-177.31</v>
      </c>
      <c r="AE183" s="24">
        <f t="shared" ref="AE183:AE184" si="1382">+DB183</f>
        <v>-177.31</v>
      </c>
      <c r="AJ183" s="23">
        <f>+'QTR Raw'!D96</f>
        <v>-19.117000000000001</v>
      </c>
      <c r="AK183" s="23">
        <f t="shared" ref="AK183:CE183" si="1383">+AJ183</f>
        <v>-19.117000000000001</v>
      </c>
      <c r="AL183" s="23">
        <f>+'QTR Raw'!F96</f>
        <v>-24.98</v>
      </c>
      <c r="AM183" s="23">
        <f t="shared" si="1383"/>
        <v>-24.98</v>
      </c>
      <c r="AN183" s="23">
        <f>+'QTR Raw'!H96</f>
        <v>-24.344999999999999</v>
      </c>
      <c r="AO183" s="23">
        <f t="shared" si="1383"/>
        <v>-24.344999999999999</v>
      </c>
      <c r="AP183" s="23">
        <f>+'QTR Raw'!J96</f>
        <v>-19.254999999999999</v>
      </c>
      <c r="AQ183" s="23">
        <f t="shared" si="1383"/>
        <v>-19.254999999999999</v>
      </c>
      <c r="AR183" s="23">
        <f>+'QTR Raw'!L96</f>
        <v>-18.184000000000001</v>
      </c>
      <c r="AS183" s="23">
        <f t="shared" si="1383"/>
        <v>-18.184000000000001</v>
      </c>
      <c r="AT183" s="23">
        <f>+'QTR Raw'!N96</f>
        <v>-20.198</v>
      </c>
      <c r="AU183" s="23">
        <f t="shared" si="1383"/>
        <v>-20.198</v>
      </c>
      <c r="AV183" s="23">
        <f>+'QTR Raw'!P96</f>
        <v>-22.472000000000001</v>
      </c>
      <c r="AW183" s="23">
        <f t="shared" si="1383"/>
        <v>-22.472000000000001</v>
      </c>
      <c r="AX183" s="23">
        <f>+'QTR Raw'!R96</f>
        <v>-16.776</v>
      </c>
      <c r="AY183" s="23">
        <f t="shared" si="1383"/>
        <v>-16.776</v>
      </c>
      <c r="AZ183" s="23">
        <f>+'QTR Raw'!T96</f>
        <v>-46.49</v>
      </c>
      <c r="BA183" s="23">
        <f t="shared" si="1383"/>
        <v>-46.49</v>
      </c>
      <c r="BB183" s="23">
        <f>+'QTR Raw'!V96</f>
        <v>-10.464</v>
      </c>
      <c r="BC183" s="23">
        <f t="shared" si="1383"/>
        <v>-10.464</v>
      </c>
      <c r="BD183" s="23">
        <f>+'QTR Raw'!X96</f>
        <v>-28.346</v>
      </c>
      <c r="BE183" s="23">
        <f t="shared" si="1383"/>
        <v>-28.346</v>
      </c>
      <c r="BF183" s="23">
        <f>+'QTR Raw'!Z96</f>
        <v>-32.386000000000003</v>
      </c>
      <c r="BG183" s="23">
        <f t="shared" si="1383"/>
        <v>-32.386000000000003</v>
      </c>
      <c r="BH183" s="23">
        <f>+'QTR Raw'!AB96</f>
        <v>-57.396000000000001</v>
      </c>
      <c r="BI183" s="23">
        <f t="shared" si="1383"/>
        <v>-57.396000000000001</v>
      </c>
      <c r="BJ183" s="23">
        <f>+'QTR Raw'!AD96</f>
        <v>-56.906999999999996</v>
      </c>
      <c r="BK183" s="23">
        <f t="shared" si="1383"/>
        <v>-56.906999999999996</v>
      </c>
      <c r="BL183" s="23">
        <f>+'QTR Raw'!AF96</f>
        <v>-48.375</v>
      </c>
      <c r="BM183" s="23">
        <f t="shared" si="1383"/>
        <v>-48.375</v>
      </c>
      <c r="BN183" s="23">
        <f>+'QTR Raw'!AH96</f>
        <v>-48.14</v>
      </c>
      <c r="BO183" s="23">
        <f t="shared" si="1383"/>
        <v>-48.14</v>
      </c>
      <c r="BP183" s="23">
        <f>+'QTR Raw'!AJ96</f>
        <v>-47.075000000000003</v>
      </c>
      <c r="BQ183" s="23">
        <f t="shared" si="1383"/>
        <v>-47.075000000000003</v>
      </c>
      <c r="BR183" s="23">
        <f>+'QTR Raw'!AL96</f>
        <v>-49.823999999999998</v>
      </c>
      <c r="BS183" s="23">
        <f t="shared" si="1383"/>
        <v>-49.823999999999998</v>
      </c>
      <c r="BT183" s="23">
        <f>+'QTR Raw'!AN96</f>
        <v>-52.113</v>
      </c>
      <c r="BU183" s="23">
        <f t="shared" si="1383"/>
        <v>-52.113</v>
      </c>
      <c r="BV183" s="23">
        <f>+'QTR Raw'!AP96</f>
        <v>-41.13</v>
      </c>
      <c r="BW183" s="23">
        <f t="shared" si="1383"/>
        <v>-41.13</v>
      </c>
      <c r="BX183" s="23">
        <f>+'QTR Raw'!AR96</f>
        <v>-60.32</v>
      </c>
      <c r="BY183" s="23">
        <f t="shared" si="1383"/>
        <v>-60.32</v>
      </c>
      <c r="BZ183" s="23">
        <f>+'QTR Raw'!AT96</f>
        <v>-96.31</v>
      </c>
      <c r="CA183" s="23">
        <f t="shared" si="1383"/>
        <v>-96.31</v>
      </c>
      <c r="CB183" s="23">
        <f>+'QTR Raw'!AV96</f>
        <v>-122</v>
      </c>
      <c r="CC183" s="23">
        <f t="shared" si="1383"/>
        <v>-122</v>
      </c>
      <c r="CD183" s="23">
        <f>+'QTR Raw'!AX96</f>
        <v>-143.32</v>
      </c>
      <c r="CE183" s="23">
        <f t="shared" si="1383"/>
        <v>-143.32</v>
      </c>
      <c r="CF183" s="23">
        <f>+'QTR Raw'!AZ96</f>
        <v>-158.9</v>
      </c>
      <c r="CG183" s="23">
        <f t="shared" ref="CG183:CI184" si="1384">+CF183</f>
        <v>-158.9</v>
      </c>
      <c r="CH183" s="23">
        <f t="shared" ref="CH183:CH184" si="1385">Z183</f>
        <v>-168.9228</v>
      </c>
      <c r="CI183" s="23">
        <f t="shared" si="1384"/>
        <v>-168.9228</v>
      </c>
      <c r="CJ183" s="23">
        <f>+'QTR Raw'!BD96</f>
        <v>-175.73</v>
      </c>
      <c r="CK183" s="24">
        <f t="shared" ref="CK183:CK184" si="1386">+CJ183</f>
        <v>-175.73</v>
      </c>
      <c r="CL183" s="23">
        <f>+'QTR Raw'!BF96</f>
        <v>-177.31</v>
      </c>
      <c r="CM183" s="24">
        <f t="shared" ref="CM183:CM184" si="1387">+CL183</f>
        <v>-177.31</v>
      </c>
      <c r="CN183" s="24">
        <f t="shared" ref="CN183:CN184" si="1388">+CM183</f>
        <v>-177.31</v>
      </c>
      <c r="CO183" s="24">
        <f t="shared" ref="CO183:CO184" si="1389">+CN183</f>
        <v>-177.31</v>
      </c>
      <c r="CP183" s="24">
        <f t="shared" ref="CP183:CP184" si="1390">+CO183</f>
        <v>-177.31</v>
      </c>
      <c r="CQ183" s="24">
        <f t="shared" ref="CQ183:CQ184" si="1391">+CP183</f>
        <v>-177.31</v>
      </c>
      <c r="CR183" s="24">
        <f t="shared" ref="CR183:CR184" si="1392">+CQ183</f>
        <v>-177.31</v>
      </c>
      <c r="CS183" s="24">
        <f t="shared" ref="CS183:CS184" si="1393">+CR183</f>
        <v>-177.31</v>
      </c>
      <c r="CT183" s="24">
        <f t="shared" ref="CT183:CT184" si="1394">+CS183</f>
        <v>-177.31</v>
      </c>
      <c r="CU183" s="24">
        <f t="shared" ref="CU183:CU184" si="1395">+CT183</f>
        <v>-177.31</v>
      </c>
      <c r="CV183" s="24">
        <f t="shared" ref="CV183:CV184" si="1396">+CU183</f>
        <v>-177.31</v>
      </c>
      <c r="CW183" s="24">
        <f t="shared" ref="CW183:CW184" si="1397">+CV183</f>
        <v>-177.31</v>
      </c>
      <c r="CX183" s="24">
        <f t="shared" ref="CX183:CX184" si="1398">+CW183</f>
        <v>-177.31</v>
      </c>
      <c r="CY183" s="24">
        <f t="shared" ref="CY183:CY184" si="1399">+CX183</f>
        <v>-177.31</v>
      </c>
      <c r="CZ183" s="24">
        <f t="shared" ref="CZ183:CZ184" si="1400">+CY183</f>
        <v>-177.31</v>
      </c>
      <c r="DA183" s="24">
        <f t="shared" ref="DA183:DA184" si="1401">+CZ183</f>
        <v>-177.31</v>
      </c>
      <c r="DB183" s="24">
        <f t="shared" ref="DB183:DB184" si="1402">+DA183</f>
        <v>-177.31</v>
      </c>
      <c r="DE183" s="123"/>
      <c r="DF183" s="23">
        <v>-177.31129999999999</v>
      </c>
    </row>
    <row r="184" spans="1:110" s="23" customFormat="1" x14ac:dyDescent="0.2">
      <c r="A184" s="23" t="s">
        <v>79</v>
      </c>
      <c r="B184" s="23">
        <f>'Annual Raw'!C83</f>
        <v>0</v>
      </c>
      <c r="C184" s="23">
        <f>'Annual Raw'!D83</f>
        <v>5.0000000000000001E-4</v>
      </c>
      <c r="D184" s="23">
        <f>'Annual Raw'!E83</f>
        <v>1.14E-2</v>
      </c>
      <c r="E184" s="23">
        <f>'Annual Raw'!F83</f>
        <v>0.01</v>
      </c>
      <c r="F184" s="23">
        <f>'Annual Raw'!G83</f>
        <v>8.6E-3</v>
      </c>
      <c r="G184" s="23">
        <f>'Annual Raw'!H83</f>
        <v>7.4000000000000003E-3</v>
      </c>
      <c r="H184" s="23">
        <f>'Annual Raw'!I83</f>
        <v>6.1999999999999998E-3</v>
      </c>
      <c r="I184" s="23">
        <f>'Annual Raw'!J83</f>
        <v>4.8999999999999998E-3</v>
      </c>
      <c r="J184" s="23">
        <f>'Annual Raw'!K83</f>
        <v>0</v>
      </c>
      <c r="K184" s="23">
        <f>'Annual Raw'!L83</f>
        <v>0</v>
      </c>
      <c r="L184" s="23">
        <f>'Annual Raw'!M83</f>
        <v>0</v>
      </c>
      <c r="M184" s="23">
        <f>'Annual Raw'!N83</f>
        <v>0</v>
      </c>
      <c r="N184" s="23">
        <f>'Annual Raw'!O83</f>
        <v>0</v>
      </c>
      <c r="O184" s="23">
        <f>'Annual Raw'!P83</f>
        <v>0</v>
      </c>
      <c r="P184" s="23">
        <f>'Annual Raw'!Q83</f>
        <v>0</v>
      </c>
      <c r="Q184" s="23">
        <f>'Annual Raw'!R83</f>
        <v>0</v>
      </c>
      <c r="R184" s="23">
        <f>'Annual Raw'!S83</f>
        <v>0</v>
      </c>
      <c r="S184" s="23">
        <f>'Annual Raw'!T83</f>
        <v>0</v>
      </c>
      <c r="T184" s="23">
        <f>'Annual Raw'!U83</f>
        <v>0</v>
      </c>
      <c r="U184" s="23">
        <f>'Annual Raw'!V83</f>
        <v>0</v>
      </c>
      <c r="V184" s="23">
        <f>'Annual Raw'!W83</f>
        <v>0</v>
      </c>
      <c r="W184" s="23">
        <f>'Annual Raw'!X83</f>
        <v>0</v>
      </c>
      <c r="X184" s="23">
        <f>'Annual Raw'!Y83</f>
        <v>0</v>
      </c>
      <c r="Y184" s="23">
        <f>'Annual Raw'!Z83</f>
        <v>0</v>
      </c>
      <c r="Z184" s="23">
        <f>'Annual Raw'!AA83</f>
        <v>0</v>
      </c>
      <c r="AA184" s="23">
        <f>'Annual Raw'!AB83</f>
        <v>0</v>
      </c>
      <c r="AB184" s="24">
        <f t="shared" si="1379"/>
        <v>0</v>
      </c>
      <c r="AC184" s="24">
        <f t="shared" si="1380"/>
        <v>0</v>
      </c>
      <c r="AD184" s="24">
        <f t="shared" si="1381"/>
        <v>0</v>
      </c>
      <c r="AE184" s="24">
        <f t="shared" si="1382"/>
        <v>0</v>
      </c>
      <c r="AJ184" s="23">
        <f>+'QTR Raw'!D95</f>
        <v>0</v>
      </c>
      <c r="AK184" s="23">
        <f t="shared" ref="AK184:CE184" si="1403">+AJ184</f>
        <v>0</v>
      </c>
      <c r="AL184" s="23">
        <f>+'QTR Raw'!F95</f>
        <v>0</v>
      </c>
      <c r="AM184" s="23">
        <f t="shared" si="1403"/>
        <v>0</v>
      </c>
      <c r="AN184" s="23">
        <f>+'QTR Raw'!H95</f>
        <v>0</v>
      </c>
      <c r="AO184" s="23">
        <f t="shared" si="1403"/>
        <v>0</v>
      </c>
      <c r="AP184" s="23">
        <f>+'QTR Raw'!J95</f>
        <v>0</v>
      </c>
      <c r="AQ184" s="23">
        <f t="shared" si="1403"/>
        <v>0</v>
      </c>
      <c r="AR184" s="23">
        <f>+'QTR Raw'!L95</f>
        <v>0</v>
      </c>
      <c r="AS184" s="23">
        <f t="shared" si="1403"/>
        <v>0</v>
      </c>
      <c r="AT184" s="23">
        <f>+'QTR Raw'!N95</f>
        <v>0</v>
      </c>
      <c r="AU184" s="23">
        <f t="shared" si="1403"/>
        <v>0</v>
      </c>
      <c r="AV184" s="23">
        <f>+'QTR Raw'!P95</f>
        <v>0</v>
      </c>
      <c r="AW184" s="23">
        <f t="shared" si="1403"/>
        <v>0</v>
      </c>
      <c r="AX184" s="23">
        <f>+'QTR Raw'!R95</f>
        <v>0</v>
      </c>
      <c r="AY184" s="23">
        <f t="shared" si="1403"/>
        <v>0</v>
      </c>
      <c r="AZ184" s="23">
        <f>+'QTR Raw'!T95</f>
        <v>0</v>
      </c>
      <c r="BA184" s="23">
        <f t="shared" si="1403"/>
        <v>0</v>
      </c>
      <c r="BB184" s="23">
        <f>+'QTR Raw'!V95</f>
        <v>0</v>
      </c>
      <c r="BC184" s="23">
        <f t="shared" si="1403"/>
        <v>0</v>
      </c>
      <c r="BD184" s="23">
        <f>+'QTR Raw'!X95</f>
        <v>0</v>
      </c>
      <c r="BE184" s="23">
        <f t="shared" si="1403"/>
        <v>0</v>
      </c>
      <c r="BF184" s="23">
        <f>+'QTR Raw'!Z95</f>
        <v>0</v>
      </c>
      <c r="BG184" s="23">
        <f t="shared" si="1403"/>
        <v>0</v>
      </c>
      <c r="BH184" s="23">
        <f>+'QTR Raw'!AB95</f>
        <v>0</v>
      </c>
      <c r="BI184" s="23">
        <f t="shared" si="1403"/>
        <v>0</v>
      </c>
      <c r="BJ184" s="23">
        <f>+'QTR Raw'!AD95</f>
        <v>0</v>
      </c>
      <c r="BK184" s="23">
        <f t="shared" si="1403"/>
        <v>0</v>
      </c>
      <c r="BL184" s="23">
        <f>+'QTR Raw'!AF95</f>
        <v>0</v>
      </c>
      <c r="BM184" s="23">
        <f t="shared" si="1403"/>
        <v>0</v>
      </c>
      <c r="BN184" s="23">
        <f>+'QTR Raw'!AH95</f>
        <v>0</v>
      </c>
      <c r="BO184" s="23">
        <f t="shared" si="1403"/>
        <v>0</v>
      </c>
      <c r="BP184" s="23">
        <f>+'QTR Raw'!AJ95</f>
        <v>0</v>
      </c>
      <c r="BQ184" s="23">
        <f t="shared" si="1403"/>
        <v>0</v>
      </c>
      <c r="BR184" s="23">
        <f>+'QTR Raw'!AL95</f>
        <v>0</v>
      </c>
      <c r="BS184" s="23">
        <f t="shared" si="1403"/>
        <v>0</v>
      </c>
      <c r="BT184" s="23">
        <f>+'QTR Raw'!AN95</f>
        <v>0</v>
      </c>
      <c r="BU184" s="23">
        <f t="shared" si="1403"/>
        <v>0</v>
      </c>
      <c r="BV184" s="23">
        <f>+'QTR Raw'!AP95</f>
        <v>0</v>
      </c>
      <c r="BW184" s="23">
        <f t="shared" si="1403"/>
        <v>0</v>
      </c>
      <c r="BX184" s="23">
        <f>+'QTR Raw'!AR95</f>
        <v>0</v>
      </c>
      <c r="BY184" s="23">
        <f t="shared" si="1403"/>
        <v>0</v>
      </c>
      <c r="BZ184" s="23">
        <f>+'QTR Raw'!AT95</f>
        <v>0</v>
      </c>
      <c r="CA184" s="23">
        <f t="shared" si="1403"/>
        <v>0</v>
      </c>
      <c r="CB184" s="23">
        <f>+'QTR Raw'!AV95</f>
        <v>0</v>
      </c>
      <c r="CC184" s="23">
        <f t="shared" si="1403"/>
        <v>0</v>
      </c>
      <c r="CD184" s="23">
        <f>+'QTR Raw'!AX95</f>
        <v>0</v>
      </c>
      <c r="CE184" s="23">
        <f t="shared" si="1403"/>
        <v>0</v>
      </c>
      <c r="CF184" s="23">
        <f>+'QTR Raw'!AZ95</f>
        <v>0</v>
      </c>
      <c r="CG184" s="23">
        <f t="shared" si="1384"/>
        <v>0</v>
      </c>
      <c r="CH184" s="23">
        <f t="shared" si="1385"/>
        <v>0</v>
      </c>
      <c r="CI184" s="23">
        <f t="shared" si="1384"/>
        <v>0</v>
      </c>
      <c r="CJ184" s="23">
        <f>+'QTR Raw'!BD95</f>
        <v>0</v>
      </c>
      <c r="CK184" s="24">
        <f t="shared" si="1386"/>
        <v>0</v>
      </c>
      <c r="CL184" s="23">
        <f>+'QTR Raw'!BF95</f>
        <v>0</v>
      </c>
      <c r="CM184" s="24">
        <f t="shared" si="1387"/>
        <v>0</v>
      </c>
      <c r="CN184" s="24">
        <f t="shared" si="1388"/>
        <v>0</v>
      </c>
      <c r="CO184" s="24">
        <f t="shared" si="1389"/>
        <v>0</v>
      </c>
      <c r="CP184" s="24">
        <f t="shared" si="1390"/>
        <v>0</v>
      </c>
      <c r="CQ184" s="24">
        <f t="shared" si="1391"/>
        <v>0</v>
      </c>
      <c r="CR184" s="24">
        <f t="shared" si="1392"/>
        <v>0</v>
      </c>
      <c r="CS184" s="24">
        <f t="shared" si="1393"/>
        <v>0</v>
      </c>
      <c r="CT184" s="24">
        <f t="shared" si="1394"/>
        <v>0</v>
      </c>
      <c r="CU184" s="24">
        <f t="shared" si="1395"/>
        <v>0</v>
      </c>
      <c r="CV184" s="24">
        <f t="shared" si="1396"/>
        <v>0</v>
      </c>
      <c r="CW184" s="24">
        <f t="shared" si="1397"/>
        <v>0</v>
      </c>
      <c r="CX184" s="24">
        <f t="shared" si="1398"/>
        <v>0</v>
      </c>
      <c r="CY184" s="24">
        <f t="shared" si="1399"/>
        <v>0</v>
      </c>
      <c r="CZ184" s="24">
        <f t="shared" si="1400"/>
        <v>0</v>
      </c>
      <c r="DA184" s="24">
        <f t="shared" si="1401"/>
        <v>0</v>
      </c>
      <c r="DB184" s="24">
        <f t="shared" si="1402"/>
        <v>0</v>
      </c>
      <c r="DE184" s="123"/>
      <c r="DF184" s="23">
        <v>0</v>
      </c>
    </row>
    <row r="185" spans="1:110" s="26" customFormat="1" x14ac:dyDescent="0.2">
      <c r="A185" s="26" t="s">
        <v>438</v>
      </c>
      <c r="B185" s="26">
        <f t="shared" ref="B185:W185" si="1404">B183+B181+B177+B160+B158+B184</f>
        <v>171.96440000000001</v>
      </c>
      <c r="C185" s="26">
        <f t="shared" si="1404"/>
        <v>207.16449999999995</v>
      </c>
      <c r="D185" s="26">
        <f t="shared" si="1404"/>
        <v>241.55370000000002</v>
      </c>
      <c r="E185" s="26">
        <f t="shared" si="1404"/>
        <v>290.6508</v>
      </c>
      <c r="F185" s="26">
        <f t="shared" si="1404"/>
        <v>349.21069999999997</v>
      </c>
      <c r="G185" s="26">
        <f t="shared" si="1404"/>
        <v>426.00250000000011</v>
      </c>
      <c r="H185" s="26">
        <f t="shared" si="1404"/>
        <v>592.8293000000001</v>
      </c>
      <c r="I185" s="26">
        <f t="shared" si="1404"/>
        <v>649.37840000000006</v>
      </c>
      <c r="J185" s="26">
        <f t="shared" si="1404"/>
        <v>647.6579999999999</v>
      </c>
      <c r="K185" s="26">
        <f t="shared" si="1404"/>
        <v>704.89709999999991</v>
      </c>
      <c r="L185" s="26">
        <f t="shared" si="1404"/>
        <v>860.56860000000006</v>
      </c>
      <c r="M185" s="26">
        <f t="shared" si="1404"/>
        <v>1040.9422</v>
      </c>
      <c r="N185" s="26">
        <f t="shared" si="1404"/>
        <v>1070.3793000000001</v>
      </c>
      <c r="O185" s="26">
        <f t="shared" si="1404"/>
        <v>1136.0155999999999</v>
      </c>
      <c r="P185" s="26">
        <f t="shared" si="1404"/>
        <v>1122.242</v>
      </c>
      <c r="Q185" s="26">
        <f t="shared" si="1404"/>
        <v>1378.9270000000001</v>
      </c>
      <c r="R185" s="26">
        <f t="shared" si="1404"/>
        <v>1414.7098000000001</v>
      </c>
      <c r="S185" s="26">
        <f t="shared" si="1404"/>
        <v>1473.6226000000001</v>
      </c>
      <c r="T185" s="26">
        <f t="shared" si="1404"/>
        <v>1508.7233999999999</v>
      </c>
      <c r="U185" s="26">
        <f t="shared" si="1404"/>
        <v>1467.4838999999997</v>
      </c>
      <c r="V185" s="26">
        <f t="shared" si="1404"/>
        <v>1846.0744999999997</v>
      </c>
      <c r="W185" s="26">
        <f t="shared" si="1404"/>
        <v>2164.9278999999997</v>
      </c>
      <c r="X185" s="26">
        <f t="shared" ref="X185:Y185" si="1405">X183+X181+X177+X160+X158+X184</f>
        <v>3028.5905000000002</v>
      </c>
      <c r="Y185" s="26">
        <f t="shared" si="1405"/>
        <v>3280.4703</v>
      </c>
      <c r="Z185" s="26">
        <f t="shared" ref="Z185:AA185" si="1406">Z183+Z181+Z177+Z160+Z158+Z184</f>
        <v>3447.1189000000004</v>
      </c>
      <c r="AA185" s="26">
        <f t="shared" si="1406"/>
        <v>4159.2198000000008</v>
      </c>
      <c r="AB185" s="27">
        <f t="shared" ref="AB185:AD185" si="1407">AB183+AB181+AB177+AB160+AB158+AB184</f>
        <v>4977.5636779734505</v>
      </c>
      <c r="AC185" s="27">
        <f t="shared" si="1407"/>
        <v>5934.8935845660899</v>
      </c>
      <c r="AD185" s="27">
        <f t="shared" si="1407"/>
        <v>7066.1303004253614</v>
      </c>
      <c r="AE185" s="27">
        <f t="shared" ref="AE185" si="1408">AE183+AE181+AE177+AE160+AE158+AE184</f>
        <v>8395.2239003095747</v>
      </c>
      <c r="AJ185" s="26">
        <f t="shared" ref="AJ185" si="1409">AJ183+AJ181+AJ177+AJ160+AJ158+AJ184</f>
        <v>1043.3249999999998</v>
      </c>
      <c r="AK185" s="26">
        <f t="shared" ref="AK185:AL185" si="1410">AK183+AK181+AK177+AK160+AK158+AK184</f>
        <v>1065.1990000000001</v>
      </c>
      <c r="AL185" s="26">
        <f t="shared" si="1410"/>
        <v>1064.7930000000001</v>
      </c>
      <c r="AM185" s="26">
        <f t="shared" ref="AM185:AO185" si="1411">AM183+AM181+AM177+AM160+AM158+AM184</f>
        <v>1085.1179999999999</v>
      </c>
      <c r="AN185" s="26">
        <f t="shared" si="1411"/>
        <v>1144.7380000000001</v>
      </c>
      <c r="AO185" s="26">
        <f t="shared" si="1411"/>
        <v>1138.2630000000001</v>
      </c>
      <c r="AP185" s="26">
        <f t="shared" ref="AP185:CE185" si="1412">AP183+AP181+AP177+AP160+AP158+AP184</f>
        <v>1125.01</v>
      </c>
      <c r="AQ185" s="26">
        <f t="shared" si="1412"/>
        <v>1156.8020000000001</v>
      </c>
      <c r="AR185" s="26">
        <f t="shared" si="1412"/>
        <v>1190.9029999999998</v>
      </c>
      <c r="AS185" s="26">
        <f t="shared" si="1412"/>
        <v>1215.0700000000002</v>
      </c>
      <c r="AT185" s="26">
        <f t="shared" si="1412"/>
        <v>1122.152</v>
      </c>
      <c r="AU185" s="26">
        <f t="shared" si="1412"/>
        <v>1161.7900000000002</v>
      </c>
      <c r="AV185" s="26">
        <f t="shared" si="1412"/>
        <v>1241.4010000000001</v>
      </c>
      <c r="AW185" s="26">
        <f t="shared" si="1412"/>
        <v>1288.2819999999999</v>
      </c>
      <c r="AX185" s="26">
        <f t="shared" si="1412"/>
        <v>1378.527</v>
      </c>
      <c r="AY185" s="26">
        <f t="shared" si="1412"/>
        <v>1428.3820000000001</v>
      </c>
      <c r="AZ185" s="26">
        <f t="shared" si="1412"/>
        <v>1426.998</v>
      </c>
      <c r="BA185" s="26">
        <f t="shared" si="1412"/>
        <v>1462.7600000000002</v>
      </c>
      <c r="BB185" s="26">
        <f t="shared" si="1412"/>
        <v>1414.691</v>
      </c>
      <c r="BC185" s="26">
        <f t="shared" si="1412"/>
        <v>1435.059</v>
      </c>
      <c r="BD185" s="26">
        <f t="shared" si="1412"/>
        <v>1450.1770000000001</v>
      </c>
      <c r="BE185" s="26">
        <f t="shared" si="1412"/>
        <v>1484.027</v>
      </c>
      <c r="BF185" s="26">
        <f t="shared" si="1412"/>
        <v>1473.6220000000001</v>
      </c>
      <c r="BG185" s="26">
        <f t="shared" si="1412"/>
        <v>1519.2460000000001</v>
      </c>
      <c r="BH185" s="26">
        <f t="shared" ref="BH185" si="1413">BH183+BH181+BH177+BH160+BH158+BH184</f>
        <v>1568.3969999999999</v>
      </c>
      <c r="BI185" s="26">
        <f t="shared" si="1412"/>
        <v>1618.252</v>
      </c>
      <c r="BJ185" s="26">
        <f t="shared" si="1412"/>
        <v>1508.723</v>
      </c>
      <c r="BK185" s="26">
        <f t="shared" si="1412"/>
        <v>1570.73</v>
      </c>
      <c r="BL185" s="26">
        <f t="shared" si="1412"/>
        <v>1633.742</v>
      </c>
      <c r="BM185" s="26">
        <f t="shared" si="1412"/>
        <v>1700.0179999999998</v>
      </c>
      <c r="BN185" s="26">
        <f t="shared" si="1412"/>
        <v>1467.4850000000001</v>
      </c>
      <c r="BO185" s="26">
        <f t="shared" si="1412"/>
        <v>1586.9080000000001</v>
      </c>
      <c r="BP185" s="26">
        <f t="shared" si="1412"/>
        <v>1659.4190000000001</v>
      </c>
      <c r="BQ185" s="26">
        <f t="shared" si="1412"/>
        <v>1813.5260000000001</v>
      </c>
      <c r="BR185" s="26">
        <f t="shared" si="1412"/>
        <v>1846.0740000000001</v>
      </c>
      <c r="BS185" s="26">
        <f t="shared" si="1412"/>
        <v>1964.944</v>
      </c>
      <c r="BT185" s="26">
        <f t="shared" si="1412"/>
        <v>2009.8820000000001</v>
      </c>
      <c r="BU185" s="26">
        <f t="shared" si="1412"/>
        <v>2093.7620000000002</v>
      </c>
      <c r="BV185" s="26">
        <f t="shared" si="1412"/>
        <v>2164.9300000000003</v>
      </c>
      <c r="BW185" s="26">
        <f t="shared" si="1412"/>
        <v>2269.96</v>
      </c>
      <c r="BX185" s="26">
        <f t="shared" si="1412"/>
        <v>2665.37</v>
      </c>
      <c r="BY185" s="26">
        <f t="shared" si="1412"/>
        <v>2771.4700000000003</v>
      </c>
      <c r="BZ185" s="26">
        <f t="shared" si="1412"/>
        <v>3028.59</v>
      </c>
      <c r="CA185" s="26">
        <f t="shared" si="1412"/>
        <v>3170.91</v>
      </c>
      <c r="CB185" s="26">
        <f t="shared" si="1412"/>
        <v>3143.8100000000004</v>
      </c>
      <c r="CC185" s="26">
        <f t="shared" si="1412"/>
        <v>3277.38</v>
      </c>
      <c r="CD185" s="26">
        <f t="shared" si="1412"/>
        <v>3280.47</v>
      </c>
      <c r="CE185" s="26">
        <f t="shared" si="1412"/>
        <v>3457.2999999999997</v>
      </c>
      <c r="CF185" s="26">
        <f t="shared" ref="CF185:CG185" si="1414">CF183+CF181+CF177+CF160+CF158+CF184</f>
        <v>3293.87</v>
      </c>
      <c r="CG185" s="26">
        <f t="shared" si="1414"/>
        <v>3456.3599999999997</v>
      </c>
      <c r="CH185" s="26">
        <f t="shared" ref="CH185:CI185" si="1415">CH183+CH181+CH177+CH160+CH158+CH184</f>
        <v>3447.1189000000004</v>
      </c>
      <c r="CI185" s="26">
        <f t="shared" si="1415"/>
        <v>3649.4989000000005</v>
      </c>
      <c r="CJ185" s="26">
        <f t="shared" ref="CJ185:DB185" si="1416">CJ183+CJ181+CJ177+CJ160+CJ158+CJ184</f>
        <v>3813.0600000000004</v>
      </c>
      <c r="CK185" s="27">
        <f t="shared" si="1416"/>
        <v>4010.9500000000003</v>
      </c>
      <c r="CL185" s="26">
        <f t="shared" ref="CL185" si="1417">CL183+CL181+CL177+CL160+CL158+CL184</f>
        <v>4159.2200000000012</v>
      </c>
      <c r="CM185" s="27">
        <f t="shared" si="1416"/>
        <v>4373.1534622296385</v>
      </c>
      <c r="CN185" s="27">
        <f t="shared" si="1416"/>
        <v>4581.7145422779049</v>
      </c>
      <c r="CO185" s="27">
        <f t="shared" si="1416"/>
        <v>4784.3797386899842</v>
      </c>
      <c r="CP185" s="27">
        <f t="shared" si="1416"/>
        <v>4977.5636779734505</v>
      </c>
      <c r="CQ185" s="27">
        <f t="shared" si="1416"/>
        <v>5220.8236435025692</v>
      </c>
      <c r="CR185" s="27">
        <f t="shared" si="1416"/>
        <v>5461.9917467405139</v>
      </c>
      <c r="CS185" s="27">
        <f t="shared" si="1416"/>
        <v>5701.3466265627958</v>
      </c>
      <c r="CT185" s="27">
        <f t="shared" si="1416"/>
        <v>5934.8935845660899</v>
      </c>
      <c r="CU185" s="27">
        <f t="shared" si="1416"/>
        <v>6220.1850658085068</v>
      </c>
      <c r="CV185" s="27">
        <f t="shared" si="1416"/>
        <v>6504.6791100460887</v>
      </c>
      <c r="CW185" s="27">
        <f t="shared" si="1416"/>
        <v>6788.4924060018839</v>
      </c>
      <c r="CX185" s="27">
        <f t="shared" si="1416"/>
        <v>7066.1303004253614</v>
      </c>
      <c r="CY185" s="27">
        <f t="shared" si="1416"/>
        <v>7400.6177057747736</v>
      </c>
      <c r="CZ185" s="27">
        <f t="shared" si="1416"/>
        <v>7734.9318542200817</v>
      </c>
      <c r="DA185" s="27">
        <f t="shared" si="1416"/>
        <v>8068.6496539841319</v>
      </c>
      <c r="DB185" s="27">
        <f t="shared" si="1416"/>
        <v>8395.2239003095747</v>
      </c>
      <c r="DE185" s="121"/>
      <c r="DF185" s="26">
        <v>4159.2198000000008</v>
      </c>
    </row>
    <row r="186" spans="1:110" s="23" customFormat="1" x14ac:dyDescent="0.2">
      <c r="A186" s="28" t="s">
        <v>439</v>
      </c>
      <c r="B186" s="23">
        <f t="shared" ref="B186:W186" si="1418">B185-B149</f>
        <v>0</v>
      </c>
      <c r="C186" s="23">
        <f t="shared" si="1418"/>
        <v>0</v>
      </c>
      <c r="D186" s="23">
        <f t="shared" si="1418"/>
        <v>0</v>
      </c>
      <c r="E186" s="23">
        <f t="shared" si="1418"/>
        <v>0</v>
      </c>
      <c r="F186" s="23">
        <f t="shared" si="1418"/>
        <v>0</v>
      </c>
      <c r="G186" s="23">
        <f t="shared" si="1418"/>
        <v>0</v>
      </c>
      <c r="H186" s="23">
        <f t="shared" si="1418"/>
        <v>0</v>
      </c>
      <c r="I186" s="23">
        <f t="shared" si="1418"/>
        <v>0</v>
      </c>
      <c r="J186" s="23">
        <f t="shared" si="1418"/>
        <v>0</v>
      </c>
      <c r="K186" s="23">
        <f t="shared" si="1418"/>
        <v>0</v>
      </c>
      <c r="L186" s="23">
        <f t="shared" si="1418"/>
        <v>0</v>
      </c>
      <c r="M186" s="23">
        <f t="shared" si="1418"/>
        <v>0</v>
      </c>
      <c r="N186" s="23">
        <f t="shared" si="1418"/>
        <v>0</v>
      </c>
      <c r="O186" s="23">
        <f t="shared" si="1418"/>
        <v>0</v>
      </c>
      <c r="P186" s="23">
        <f t="shared" si="1418"/>
        <v>0</v>
      </c>
      <c r="Q186" s="23">
        <f t="shared" si="1418"/>
        <v>0</v>
      </c>
      <c r="R186" s="23">
        <f t="shared" si="1418"/>
        <v>0</v>
      </c>
      <c r="S186" s="23">
        <f t="shared" si="1418"/>
        <v>0</v>
      </c>
      <c r="T186" s="23">
        <f t="shared" si="1418"/>
        <v>0</v>
      </c>
      <c r="U186" s="23">
        <f t="shared" si="1418"/>
        <v>0</v>
      </c>
      <c r="V186" s="23">
        <f t="shared" si="1418"/>
        <v>0</v>
      </c>
      <c r="W186" s="23">
        <f t="shared" si="1418"/>
        <v>0</v>
      </c>
      <c r="X186" s="23">
        <f t="shared" ref="X186:Y186" si="1419">X185-X149</f>
        <v>0</v>
      </c>
      <c r="Y186" s="23">
        <f t="shared" si="1419"/>
        <v>0</v>
      </c>
      <c r="Z186" s="23">
        <f t="shared" ref="Z186:AA186" si="1420">Z185-Z149</f>
        <v>0</v>
      </c>
      <c r="AA186" s="23">
        <f t="shared" si="1420"/>
        <v>0</v>
      </c>
      <c r="AB186" s="24">
        <f t="shared" ref="AB186:AD186" si="1421">AB185-AB149</f>
        <v>0</v>
      </c>
      <c r="AC186" s="24">
        <f t="shared" si="1421"/>
        <v>0</v>
      </c>
      <c r="AD186" s="24">
        <f t="shared" si="1421"/>
        <v>0</v>
      </c>
      <c r="AE186" s="24">
        <f t="shared" ref="AE186" si="1422">AE185-AE149</f>
        <v>0</v>
      </c>
      <c r="AJ186" s="23">
        <f t="shared" ref="AJ186" si="1423">AJ185-AJ149</f>
        <v>0</v>
      </c>
      <c r="AK186" s="23">
        <f t="shared" ref="AK186" si="1424">AK185-AK149</f>
        <v>0</v>
      </c>
      <c r="AL186" s="23">
        <f t="shared" ref="AL186:AM186" si="1425">AL185-AL149</f>
        <v>0</v>
      </c>
      <c r="AM186" s="23">
        <f t="shared" si="1425"/>
        <v>0</v>
      </c>
      <c r="AN186" s="23">
        <f t="shared" ref="AN186:AO186" si="1426">AN185-AN149</f>
        <v>0</v>
      </c>
      <c r="AO186" s="23">
        <f t="shared" si="1426"/>
        <v>0</v>
      </c>
      <c r="AP186" s="23">
        <f t="shared" ref="AP186:CE186" si="1427">AP185-AP149</f>
        <v>0</v>
      </c>
      <c r="AQ186" s="23">
        <f t="shared" si="1427"/>
        <v>0</v>
      </c>
      <c r="AR186" s="23">
        <f t="shared" si="1427"/>
        <v>1.999999999998181E-2</v>
      </c>
      <c r="AS186" s="23">
        <f t="shared" si="1427"/>
        <v>2.0000000000436557E-2</v>
      </c>
      <c r="AT186" s="23">
        <f t="shared" si="1427"/>
        <v>-2.9999999999290594E-3</v>
      </c>
      <c r="AU186" s="23">
        <f t="shared" si="1427"/>
        <v>-2.9999999999290594E-3</v>
      </c>
      <c r="AV186" s="23">
        <f t="shared" si="1427"/>
        <v>-9.9999999997635314E-4</v>
      </c>
      <c r="AW186" s="23">
        <f t="shared" si="1427"/>
        <v>-1.0000000002037268E-3</v>
      </c>
      <c r="AX186" s="23">
        <f t="shared" si="1427"/>
        <v>0</v>
      </c>
      <c r="AY186" s="23">
        <f t="shared" si="1427"/>
        <v>0</v>
      </c>
      <c r="AZ186" s="23">
        <f t="shared" si="1427"/>
        <v>0</v>
      </c>
      <c r="BA186" s="23">
        <f t="shared" si="1427"/>
        <v>0</v>
      </c>
      <c r="BB186" s="23">
        <f t="shared" si="1427"/>
        <v>0</v>
      </c>
      <c r="BC186" s="23">
        <f t="shared" si="1427"/>
        <v>0</v>
      </c>
      <c r="BD186" s="23">
        <f t="shared" si="1427"/>
        <v>0</v>
      </c>
      <c r="BE186" s="23">
        <f t="shared" si="1427"/>
        <v>0</v>
      </c>
      <c r="BF186" s="23">
        <f t="shared" si="1427"/>
        <v>-9.9999999974897946E-4</v>
      </c>
      <c r="BG186" s="23">
        <f t="shared" si="1427"/>
        <v>-9.9999999974897946E-4</v>
      </c>
      <c r="BH186" s="23">
        <f t="shared" ref="BH186" si="1428">BH185-BH149</f>
        <v>-2.9999999999290594E-3</v>
      </c>
      <c r="BI186" s="23">
        <f t="shared" si="1427"/>
        <v>-2.9999999999290594E-3</v>
      </c>
      <c r="BJ186" s="23">
        <f t="shared" si="1427"/>
        <v>0</v>
      </c>
      <c r="BK186" s="23">
        <f t="shared" si="1427"/>
        <v>0</v>
      </c>
      <c r="BL186" s="23">
        <f t="shared" si="1427"/>
        <v>-1.0000000002037268E-3</v>
      </c>
      <c r="BM186" s="23">
        <f t="shared" si="1427"/>
        <v>-1.0000000004311005E-3</v>
      </c>
      <c r="BN186" s="23">
        <f t="shared" si="1427"/>
        <v>1.0000000004311005E-3</v>
      </c>
      <c r="BO186" s="23">
        <f t="shared" si="1427"/>
        <v>1.0000000004311005E-3</v>
      </c>
      <c r="BP186" s="23">
        <f t="shared" si="1427"/>
        <v>1.0000000004311005E-3</v>
      </c>
      <c r="BQ186" s="23">
        <f t="shared" si="1427"/>
        <v>1.0000000004311005E-3</v>
      </c>
      <c r="BR186" s="23">
        <f t="shared" si="1427"/>
        <v>0</v>
      </c>
      <c r="BS186" s="23">
        <f t="shared" si="1427"/>
        <v>0</v>
      </c>
      <c r="BT186" s="23">
        <f t="shared" si="1427"/>
        <v>0</v>
      </c>
      <c r="BU186" s="23">
        <f t="shared" si="1427"/>
        <v>0</v>
      </c>
      <c r="BV186" s="23">
        <f t="shared" si="1427"/>
        <v>0</v>
      </c>
      <c r="BW186" s="23">
        <f t="shared" si="1427"/>
        <v>0</v>
      </c>
      <c r="BX186" s="23">
        <f t="shared" si="1427"/>
        <v>0</v>
      </c>
      <c r="BY186" s="23">
        <f t="shared" si="1427"/>
        <v>0</v>
      </c>
      <c r="BZ186" s="23">
        <f t="shared" si="1427"/>
        <v>0</v>
      </c>
      <c r="CA186" s="23">
        <f t="shared" si="1427"/>
        <v>0</v>
      </c>
      <c r="CB186" s="23">
        <f t="shared" si="1427"/>
        <v>0</v>
      </c>
      <c r="CC186" s="23">
        <f t="shared" si="1427"/>
        <v>0</v>
      </c>
      <c r="CD186" s="23">
        <f t="shared" si="1427"/>
        <v>0</v>
      </c>
      <c r="CE186" s="23">
        <f t="shared" si="1427"/>
        <v>0</v>
      </c>
      <c r="CF186" s="23">
        <f t="shared" ref="CF186:CG186" si="1429">CF185-CF149</f>
        <v>0</v>
      </c>
      <c r="CG186" s="23">
        <f t="shared" si="1429"/>
        <v>0</v>
      </c>
      <c r="CH186" s="23">
        <f t="shared" ref="CH186:CI186" si="1430">CH185-CH149</f>
        <v>0</v>
      </c>
      <c r="CI186" s="23">
        <f t="shared" si="1430"/>
        <v>0</v>
      </c>
      <c r="CJ186" s="23">
        <f t="shared" ref="CJ186:DB186" si="1431">CJ185-CJ149</f>
        <v>0</v>
      </c>
      <c r="CK186" s="24">
        <f t="shared" si="1431"/>
        <v>0</v>
      </c>
      <c r="CL186" s="23">
        <f t="shared" ref="CL186" si="1432">CL185-CL149</f>
        <v>0</v>
      </c>
      <c r="CM186" s="24">
        <f t="shared" si="1431"/>
        <v>0</v>
      </c>
      <c r="CN186" s="24">
        <f t="shared" si="1431"/>
        <v>0</v>
      </c>
      <c r="CO186" s="24">
        <f t="shared" si="1431"/>
        <v>0</v>
      </c>
      <c r="CP186" s="24">
        <f t="shared" si="1431"/>
        <v>0</v>
      </c>
      <c r="CQ186" s="24">
        <f t="shared" si="1431"/>
        <v>0</v>
      </c>
      <c r="CR186" s="24">
        <f t="shared" si="1431"/>
        <v>0</v>
      </c>
      <c r="CS186" s="24">
        <f t="shared" si="1431"/>
        <v>0</v>
      </c>
      <c r="CT186" s="24">
        <f t="shared" si="1431"/>
        <v>0</v>
      </c>
      <c r="CU186" s="24">
        <f t="shared" si="1431"/>
        <v>0</v>
      </c>
      <c r="CV186" s="24">
        <f t="shared" si="1431"/>
        <v>0</v>
      </c>
      <c r="CW186" s="24">
        <f t="shared" si="1431"/>
        <v>0</v>
      </c>
      <c r="CX186" s="24">
        <f t="shared" si="1431"/>
        <v>0</v>
      </c>
      <c r="CY186" s="24">
        <f t="shared" si="1431"/>
        <v>0</v>
      </c>
      <c r="CZ186" s="24">
        <f t="shared" si="1431"/>
        <v>0</v>
      </c>
      <c r="DA186" s="24">
        <f t="shared" si="1431"/>
        <v>0</v>
      </c>
      <c r="DB186" s="24">
        <f t="shared" si="1431"/>
        <v>0</v>
      </c>
      <c r="DE186" s="123"/>
      <c r="DF186" s="23">
        <v>0</v>
      </c>
    </row>
    <row r="187" spans="1:110" s="23" customFormat="1" x14ac:dyDescent="0.2">
      <c r="A187" s="28"/>
      <c r="AB187" s="24"/>
      <c r="AC187" s="24"/>
      <c r="AD187" s="24"/>
      <c r="AE187" s="24"/>
      <c r="CK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E187" s="123"/>
    </row>
    <row r="188" spans="1:110" s="22" customFormat="1" x14ac:dyDescent="0.2">
      <c r="A188" s="22" t="s">
        <v>80</v>
      </c>
      <c r="B188" s="22">
        <f t="shared" ref="B188:W188" si="1433">B148-B181</f>
        <v>5.8308999999999989</v>
      </c>
      <c r="C188" s="22">
        <f t="shared" si="1433"/>
        <v>10.380099999999999</v>
      </c>
      <c r="D188" s="22">
        <f t="shared" si="1433"/>
        <v>6.4606000000000012</v>
      </c>
      <c r="E188" s="22">
        <f t="shared" si="1433"/>
        <v>37.045000000000002</v>
      </c>
      <c r="F188" s="22">
        <f t="shared" si="1433"/>
        <v>55.552600000000005</v>
      </c>
      <c r="G188" s="22">
        <f t="shared" si="1433"/>
        <v>84.025399999999991</v>
      </c>
      <c r="H188" s="22">
        <f t="shared" si="1433"/>
        <v>153.98160000000001</v>
      </c>
      <c r="I188" s="22">
        <f t="shared" si="1433"/>
        <v>181.3929</v>
      </c>
      <c r="J188" s="22">
        <f t="shared" si="1433"/>
        <v>134.92110000000002</v>
      </c>
      <c r="K188" s="22">
        <f t="shared" si="1433"/>
        <v>58.917700000000011</v>
      </c>
      <c r="L188" s="22">
        <f t="shared" si="1433"/>
        <v>-38.905900000000031</v>
      </c>
      <c r="M188" s="22">
        <f t="shared" si="1433"/>
        <v>-447.46499999999997</v>
      </c>
      <c r="N188" s="22">
        <f t="shared" si="1433"/>
        <v>-500.80480000000006</v>
      </c>
      <c r="O188" s="22">
        <f t="shared" si="1433"/>
        <v>-415.85980000000006</v>
      </c>
      <c r="P188" s="22">
        <f t="shared" si="1433"/>
        <v>-264.60149999999999</v>
      </c>
      <c r="Q188" s="22">
        <f t="shared" si="1433"/>
        <v>-66.761599999999987</v>
      </c>
      <c r="R188" s="22">
        <f t="shared" si="1433"/>
        <v>-189.48780000000002</v>
      </c>
      <c r="S188" s="22">
        <f t="shared" si="1433"/>
        <v>-384.39640000000003</v>
      </c>
      <c r="T188" s="22">
        <f t="shared" si="1433"/>
        <v>-371.64929999999998</v>
      </c>
      <c r="U188" s="22">
        <f t="shared" si="1433"/>
        <v>-335.26709999999997</v>
      </c>
      <c r="V188" s="22">
        <f t="shared" si="1433"/>
        <v>-663.18190000000004</v>
      </c>
      <c r="W188" s="22">
        <f t="shared" si="1433"/>
        <v>-32.212900000000005</v>
      </c>
      <c r="X188" s="22">
        <f t="shared" ref="X188:Y188" si="1434">X148-X181</f>
        <v>277.24099999999999</v>
      </c>
      <c r="Y188" s="22">
        <f t="shared" si="1434"/>
        <v>-103.04750000000001</v>
      </c>
      <c r="Z188" s="22">
        <f t="shared" ref="Z188:AA188" si="1435">Z148-Z181</f>
        <v>-432.75360000000001</v>
      </c>
      <c r="AA188" s="22">
        <f t="shared" si="1435"/>
        <v>-884.77870000000007</v>
      </c>
      <c r="AB188" s="21">
        <f t="shared" ref="AB188:AD188" si="1436">AB148-AB181</f>
        <v>-1400.9067029489283</v>
      </c>
      <c r="AC188" s="21">
        <f t="shared" si="1436"/>
        <v>-2242.5523542090118</v>
      </c>
      <c r="AD188" s="21">
        <f t="shared" si="1436"/>
        <v>-3221.6507442682228</v>
      </c>
      <c r="AE188" s="21">
        <f t="shared" ref="AE188" si="1437">AE148-AE181</f>
        <v>-4369.8468604883774</v>
      </c>
      <c r="AJ188" s="22">
        <f t="shared" ref="AJ188:AM188" si="1438">AJ148-AJ181</f>
        <v>-469.28700000000009</v>
      </c>
      <c r="AK188" s="22">
        <f t="shared" si="1438"/>
        <v>-515.26277689397079</v>
      </c>
      <c r="AL188" s="22">
        <f t="shared" si="1438"/>
        <v>-506.392</v>
      </c>
      <c r="AM188" s="22">
        <f t="shared" si="1438"/>
        <v>-492.2518221346956</v>
      </c>
      <c r="AN188" s="22">
        <f t="shared" ref="AN188:AO188" si="1439">AN148-AN181</f>
        <v>-399.75599999999997</v>
      </c>
      <c r="AO188" s="22">
        <f t="shared" si="1439"/>
        <v>-414.35760885432512</v>
      </c>
      <c r="AP188" s="22">
        <f t="shared" ref="AP188:CE188" si="1440">AP148-AP181</f>
        <v>-426.86500000000001</v>
      </c>
      <c r="AQ188" s="22">
        <f t="shared" si="1440"/>
        <v>-412.66803334237403</v>
      </c>
      <c r="AR188" s="22">
        <f t="shared" si="1440"/>
        <v>-444.178</v>
      </c>
      <c r="AS188" s="22">
        <f t="shared" si="1440"/>
        <v>-490.90557075979984</v>
      </c>
      <c r="AT188" s="22">
        <f t="shared" si="1440"/>
        <v>-264.68999999999994</v>
      </c>
      <c r="AU188" s="22">
        <f t="shared" si="1440"/>
        <v>-267.63847856067628</v>
      </c>
      <c r="AV188" s="22">
        <f t="shared" si="1440"/>
        <v>-103.81800000000001</v>
      </c>
      <c r="AW188" s="22">
        <f t="shared" si="1440"/>
        <v>-165.84349481985467</v>
      </c>
      <c r="AX188" s="22">
        <f t="shared" si="1440"/>
        <v>-67.161000000000001</v>
      </c>
      <c r="AY188" s="22">
        <f t="shared" si="1440"/>
        <v>-102.93512076271884</v>
      </c>
      <c r="AZ188" s="22">
        <f t="shared" si="1440"/>
        <v>-155.80500000000001</v>
      </c>
      <c r="BA188" s="22">
        <f t="shared" si="1440"/>
        <v>-217.29285310858143</v>
      </c>
      <c r="BB188" s="22">
        <f t="shared" si="1440"/>
        <v>-189.488</v>
      </c>
      <c r="BC188" s="22">
        <f t="shared" si="1440"/>
        <v>-236.73870497809071</v>
      </c>
      <c r="BD188" s="22">
        <f t="shared" si="1440"/>
        <v>-348.81300000000005</v>
      </c>
      <c r="BE188" s="22">
        <f t="shared" si="1440"/>
        <v>-425.51680278360823</v>
      </c>
      <c r="BF188" s="22">
        <f t="shared" si="1440"/>
        <v>-384.39600000000002</v>
      </c>
      <c r="BG188" s="22">
        <f t="shared" si="1440"/>
        <v>-317.80862584700793</v>
      </c>
      <c r="BH188" s="22">
        <f t="shared" si="1440"/>
        <v>-383.40499999999997</v>
      </c>
      <c r="BI188" s="22">
        <f t="shared" si="1440"/>
        <v>-485.96525612218426</v>
      </c>
      <c r="BJ188" s="22">
        <f t="shared" si="1440"/>
        <v>-371.649</v>
      </c>
      <c r="BK188" s="22">
        <f t="shared" si="1440"/>
        <v>-405.4423113877516</v>
      </c>
      <c r="BL188" s="22">
        <f t="shared" si="1440"/>
        <v>-511.84000000000009</v>
      </c>
      <c r="BM188" s="22">
        <f t="shared" si="1440"/>
        <v>-606.59212917573177</v>
      </c>
      <c r="BN188" s="22">
        <f t="shared" si="1440"/>
        <v>-335.26699999999994</v>
      </c>
      <c r="BO188" s="22">
        <f t="shared" si="1440"/>
        <v>-374.45458274586383</v>
      </c>
      <c r="BP188" s="22">
        <f t="shared" si="1440"/>
        <v>-453.16899999999998</v>
      </c>
      <c r="BQ188" s="22">
        <f t="shared" si="1440"/>
        <v>-455.55977457593514</v>
      </c>
      <c r="BR188" s="22">
        <f t="shared" si="1440"/>
        <v>-663.18100000000004</v>
      </c>
      <c r="BS188" s="22">
        <f t="shared" si="1440"/>
        <v>-701.42211207198363</v>
      </c>
      <c r="BT188" s="22">
        <f t="shared" si="1440"/>
        <v>-740.86599999999999</v>
      </c>
      <c r="BU188" s="22">
        <f t="shared" si="1440"/>
        <v>-816.44839132561015</v>
      </c>
      <c r="BV188" s="22">
        <f t="shared" si="1440"/>
        <v>-32.200000000000003</v>
      </c>
      <c r="BW188" s="22">
        <f t="shared" si="1440"/>
        <v>52.895133927856548</v>
      </c>
      <c r="BX188" s="22">
        <f t="shared" si="1440"/>
        <v>153.24</v>
      </c>
      <c r="BY188" s="22">
        <f t="shared" si="1440"/>
        <v>29.845126877841437</v>
      </c>
      <c r="BZ188" s="22">
        <f t="shared" si="1440"/>
        <v>277.25</v>
      </c>
      <c r="CA188" s="22">
        <f t="shared" si="1440"/>
        <v>269.7460641200546</v>
      </c>
      <c r="CB188" s="22">
        <f t="shared" si="1440"/>
        <v>33.810000000000059</v>
      </c>
      <c r="CC188" s="22">
        <f t="shared" si="1440"/>
        <v>-134.24886134234589</v>
      </c>
      <c r="CD188" s="22">
        <f t="shared" si="1440"/>
        <v>-103.05000000000001</v>
      </c>
      <c r="CE188" s="22">
        <f t="shared" si="1440"/>
        <v>-141.94673737713691</v>
      </c>
      <c r="CF188" s="22">
        <f t="shared" ref="CF188:CG188" si="1441">CF148-CF181</f>
        <v>-335.21999999999997</v>
      </c>
      <c r="CG188" s="22">
        <f t="shared" si="1441"/>
        <v>-535.47415852171605</v>
      </c>
      <c r="CH188" s="22">
        <f t="shared" ref="CH188:CI188" si="1442">CH148-CH181</f>
        <v>-432.75360000000001</v>
      </c>
      <c r="CI188" s="22">
        <f t="shared" si="1442"/>
        <v>-508.91126747061605</v>
      </c>
      <c r="CJ188" s="22">
        <f t="shared" ref="CJ188:DB188" si="1443">CJ148-CJ181</f>
        <v>-586.82999999999993</v>
      </c>
      <c r="CK188" s="21">
        <f t="shared" si="1443"/>
        <v>-856.01624573693459</v>
      </c>
      <c r="CL188" s="22">
        <f t="shared" ref="CL188" si="1444">CL148-CL181</f>
        <v>-884.78</v>
      </c>
      <c r="CM188" s="21">
        <f t="shared" si="1443"/>
        <v>-612.77798060536429</v>
      </c>
      <c r="CN188" s="21">
        <f t="shared" si="1443"/>
        <v>-854.52814273611773</v>
      </c>
      <c r="CO188" s="21">
        <f t="shared" si="1443"/>
        <v>-1112.7471263164443</v>
      </c>
      <c r="CP188" s="21">
        <f t="shared" si="1443"/>
        <v>-1400.9067029489283</v>
      </c>
      <c r="CQ188" s="21">
        <f t="shared" si="1443"/>
        <v>-1340.2754214150746</v>
      </c>
      <c r="CR188" s="21">
        <f t="shared" si="1443"/>
        <v>-1612.4883134283634</v>
      </c>
      <c r="CS188" s="21">
        <f t="shared" si="1443"/>
        <v>-1908.9460063864881</v>
      </c>
      <c r="CT188" s="21">
        <f t="shared" si="1443"/>
        <v>-2242.5523542090118</v>
      </c>
      <c r="CU188" s="21">
        <f t="shared" si="1443"/>
        <v>-2179.2152149539925</v>
      </c>
      <c r="CV188" s="21">
        <f t="shared" si="1443"/>
        <v>-2493.3090145254369</v>
      </c>
      <c r="CW188" s="21">
        <f t="shared" si="1443"/>
        <v>-2836.7745550595155</v>
      </c>
      <c r="CX188" s="21">
        <f t="shared" si="1443"/>
        <v>-3221.6507442682228</v>
      </c>
      <c r="CY188" s="21">
        <f t="shared" si="1443"/>
        <v>-3168.6441959275012</v>
      </c>
      <c r="CZ188" s="21">
        <f t="shared" si="1443"/>
        <v>-3531.2122193636515</v>
      </c>
      <c r="DA188" s="21">
        <f t="shared" si="1443"/>
        <v>-3927.7578620537583</v>
      </c>
      <c r="DB188" s="21">
        <f t="shared" si="1443"/>
        <v>-4369.8468604883774</v>
      </c>
      <c r="DE188" s="126"/>
      <c r="DF188" s="22">
        <v>-884.77870000000007</v>
      </c>
    </row>
    <row r="189" spans="1:110" x14ac:dyDescent="0.2">
      <c r="AA189" s="2"/>
      <c r="CE189" s="111"/>
      <c r="CG189" s="111"/>
      <c r="CL189" s="2"/>
    </row>
    <row r="190" spans="1:110" s="49" customFormat="1" x14ac:dyDescent="0.2">
      <c r="A190" s="49" t="s">
        <v>81</v>
      </c>
      <c r="B190" s="49">
        <f>'Annual Raw'!C85</f>
        <v>11.262</v>
      </c>
      <c r="C190" s="49">
        <f>'Annual Raw'!D85</f>
        <v>0</v>
      </c>
      <c r="D190" s="49">
        <f>'Annual Raw'!E85</f>
        <v>0</v>
      </c>
      <c r="E190" s="49">
        <f>'Annual Raw'!F85</f>
        <v>0</v>
      </c>
      <c r="F190" s="49">
        <f>'Annual Raw'!G85</f>
        <v>0</v>
      </c>
      <c r="G190" s="49">
        <f>'Annual Raw'!H85</f>
        <v>0</v>
      </c>
      <c r="H190" s="49">
        <f>'Annual Raw'!I85</f>
        <v>22.511800000000001</v>
      </c>
      <c r="I190" s="49">
        <f>'Annual Raw'!J85</f>
        <v>23.357399999999998</v>
      </c>
      <c r="J190" s="49">
        <f>'Annual Raw'!K85</f>
        <v>0</v>
      </c>
      <c r="K190" s="49">
        <f>'Annual Raw'!L85</f>
        <v>0</v>
      </c>
      <c r="L190" s="49">
        <f>'Annual Raw'!M85</f>
        <v>0</v>
      </c>
      <c r="M190" s="49">
        <f>'Annual Raw'!N85</f>
        <v>0</v>
      </c>
      <c r="N190" s="49">
        <f>'Annual Raw'!O85</f>
        <v>0</v>
      </c>
      <c r="O190" s="49">
        <f>'Annual Raw'!P85</f>
        <v>0</v>
      </c>
      <c r="P190" s="49">
        <f>'Annual Raw'!Q85</f>
        <v>77.271799999999999</v>
      </c>
      <c r="Q190" s="49">
        <f>'Annual Raw'!R85</f>
        <v>63.783499999999997</v>
      </c>
      <c r="R190" s="49">
        <f>'Annual Raw'!S85</f>
        <v>64.37</v>
      </c>
      <c r="S190" s="49">
        <f>'Annual Raw'!T85</f>
        <v>76.522800000000004</v>
      </c>
      <c r="T190" s="49">
        <f>'Annual Raw'!U85</f>
        <v>47.986400000000003</v>
      </c>
      <c r="U190" s="49">
        <f>'Annual Raw'!V85</f>
        <v>74.345500000000001</v>
      </c>
      <c r="V190" s="49">
        <f>'Annual Raw'!W85</f>
        <v>53.6235</v>
      </c>
      <c r="W190" s="49">
        <f>'Annual Raw'!X85</f>
        <v>49.133800000000001</v>
      </c>
      <c r="X190" s="49">
        <f>'Annual Raw'!Y85</f>
        <v>104.7341</v>
      </c>
      <c r="Y190" s="49">
        <f>'Annual Raw'!Z85</f>
        <v>131.63499999999999</v>
      </c>
      <c r="Z190" s="49">
        <f>'Annual Raw'!AA85</f>
        <v>131.9427</v>
      </c>
      <c r="AA190" s="49">
        <f>'Annual Raw'!AB85</f>
        <v>106.9756</v>
      </c>
      <c r="AB190" s="50"/>
      <c r="AC190" s="50"/>
      <c r="AD190" s="50"/>
      <c r="AE190" s="50"/>
      <c r="CK190" s="50"/>
      <c r="CM190" s="50"/>
      <c r="CN190" s="50"/>
      <c r="CO190" s="50"/>
      <c r="CP190" s="50"/>
      <c r="CQ190" s="50"/>
      <c r="CR190" s="50"/>
      <c r="CS190" s="50"/>
      <c r="CT190" s="50"/>
      <c r="CU190" s="50"/>
      <c r="CV190" s="50"/>
      <c r="CW190" s="50"/>
      <c r="CX190" s="50"/>
      <c r="CY190" s="50"/>
      <c r="CZ190" s="50"/>
      <c r="DA190" s="50"/>
      <c r="DB190" s="50"/>
      <c r="DE190" s="138"/>
      <c r="DF190" s="49">
        <v>106.9756</v>
      </c>
    </row>
    <row r="191" spans="1:110" s="29" customFormat="1" x14ac:dyDescent="0.2">
      <c r="A191" s="29" t="s">
        <v>82</v>
      </c>
      <c r="B191" s="29">
        <f>'Annual Raw'!C95</f>
        <v>9.5437999999999992</v>
      </c>
      <c r="C191" s="29">
        <f>'Annual Raw'!D95</f>
        <v>0</v>
      </c>
      <c r="D191" s="29">
        <f>'Annual Raw'!E95</f>
        <v>0</v>
      </c>
      <c r="E191" s="29">
        <f>'Annual Raw'!F95</f>
        <v>0</v>
      </c>
      <c r="F191" s="29">
        <f>'Annual Raw'!G95</f>
        <v>0</v>
      </c>
      <c r="G191" s="29">
        <f>'Annual Raw'!H95</f>
        <v>0</v>
      </c>
      <c r="H191" s="29">
        <f>'Annual Raw'!I95</f>
        <v>12.1873</v>
      </c>
      <c r="I191" s="29">
        <f>'Annual Raw'!J95</f>
        <v>13.0512</v>
      </c>
      <c r="J191" s="29">
        <f>'Annual Raw'!K95</f>
        <v>0</v>
      </c>
      <c r="K191" s="29">
        <f>'Annual Raw'!L95</f>
        <v>0</v>
      </c>
      <c r="L191" s="29">
        <f>'Annual Raw'!M95</f>
        <v>0</v>
      </c>
      <c r="M191" s="29">
        <f>'Annual Raw'!N95</f>
        <v>0</v>
      </c>
      <c r="N191" s="29">
        <f>'Annual Raw'!O95</f>
        <v>0</v>
      </c>
      <c r="O191" s="29">
        <f>'Annual Raw'!P95</f>
        <v>0</v>
      </c>
      <c r="P191" s="29">
        <f>'Annual Raw'!Q95</f>
        <v>71.403400000000005</v>
      </c>
      <c r="Q191" s="29">
        <f>'Annual Raw'!R95</f>
        <v>55.949399999999997</v>
      </c>
      <c r="R191" s="29">
        <f>'Annual Raw'!S95</f>
        <v>55.250300000000003</v>
      </c>
      <c r="S191" s="29">
        <f>'Annual Raw'!T95</f>
        <v>67.194000000000003</v>
      </c>
      <c r="T191" s="29">
        <f>'Annual Raw'!U95</f>
        <v>39.072299999999998</v>
      </c>
      <c r="U191" s="29">
        <f>'Annual Raw'!V95</f>
        <v>47.909799999999997</v>
      </c>
      <c r="V191" s="29">
        <f>'Annual Raw'!W95</f>
        <v>24.6477</v>
      </c>
      <c r="W191" s="29">
        <f>'Annual Raw'!X95</f>
        <v>22.109200000000001</v>
      </c>
      <c r="X191" s="29">
        <f>'Annual Raw'!Y95</f>
        <v>76.503900000000002</v>
      </c>
      <c r="Y191" s="29">
        <f>'Annual Raw'!Z95</f>
        <v>93.134699999999995</v>
      </c>
      <c r="Z191" s="29">
        <f>'Annual Raw'!AA95</f>
        <v>89.370599999999996</v>
      </c>
      <c r="AA191" s="29">
        <f>'Annual Raw'!AB95</f>
        <v>63.063000000000002</v>
      </c>
      <c r="AB191" s="30"/>
      <c r="AC191" s="30"/>
      <c r="AD191" s="30"/>
      <c r="AE191" s="30"/>
      <c r="CK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E191" s="139"/>
      <c r="DF191" s="29">
        <v>63.063000000000002</v>
      </c>
    </row>
    <row r="192" spans="1:110" s="29" customFormat="1" x14ac:dyDescent="0.2">
      <c r="A192" s="29" t="s">
        <v>83</v>
      </c>
      <c r="B192" s="29">
        <f>'Annual Raw'!C93</f>
        <v>1.7181999999999999</v>
      </c>
      <c r="C192" s="29">
        <f>'Annual Raw'!D93</f>
        <v>0</v>
      </c>
      <c r="D192" s="29">
        <f>'Annual Raw'!E93</f>
        <v>0</v>
      </c>
      <c r="E192" s="29">
        <f>'Annual Raw'!F93</f>
        <v>0</v>
      </c>
      <c r="F192" s="29">
        <f>'Annual Raw'!G93</f>
        <v>0</v>
      </c>
      <c r="G192" s="29">
        <f>'Annual Raw'!H93</f>
        <v>0</v>
      </c>
      <c r="H192" s="29">
        <f>'Annual Raw'!I93</f>
        <v>10.3245</v>
      </c>
      <c r="I192" s="29">
        <f>'Annual Raw'!J93</f>
        <v>10.3062</v>
      </c>
      <c r="J192" s="29">
        <f>'Annual Raw'!K93</f>
        <v>0</v>
      </c>
      <c r="K192" s="29">
        <f>'Annual Raw'!L93</f>
        <v>0</v>
      </c>
      <c r="L192" s="29">
        <f>'Annual Raw'!M93</f>
        <v>0</v>
      </c>
      <c r="M192" s="29">
        <f>'Annual Raw'!N93</f>
        <v>0</v>
      </c>
      <c r="N192" s="29">
        <f>'Annual Raw'!O93</f>
        <v>0</v>
      </c>
      <c r="O192" s="29">
        <f>'Annual Raw'!P93</f>
        <v>0</v>
      </c>
      <c r="P192" s="29">
        <f>'Annual Raw'!Q93</f>
        <v>5.8684000000000003</v>
      </c>
      <c r="Q192" s="29">
        <f>'Annual Raw'!R93</f>
        <v>6.0541999999999998</v>
      </c>
      <c r="R192" s="29">
        <f>'Annual Raw'!S93</f>
        <v>9.1196999999999999</v>
      </c>
      <c r="S192" s="29">
        <f>'Annual Raw'!T93</f>
        <v>9.3287999999999993</v>
      </c>
      <c r="T192" s="29">
        <f>'Annual Raw'!U93</f>
        <v>8.9140999999999995</v>
      </c>
      <c r="U192" s="29">
        <f>'Annual Raw'!V93</f>
        <v>26.435700000000001</v>
      </c>
      <c r="V192" s="29">
        <f>'Annual Raw'!W93</f>
        <v>28.9758</v>
      </c>
      <c r="W192" s="29">
        <f>'Annual Raw'!X93</f>
        <v>27.0246</v>
      </c>
      <c r="X192" s="29">
        <f>'Annual Raw'!Y93</f>
        <v>28.2302</v>
      </c>
      <c r="Y192" s="29">
        <f>'Annual Raw'!Z93</f>
        <v>38.500300000000003</v>
      </c>
      <c r="Z192" s="29">
        <f>'Annual Raw'!AA93</f>
        <v>42.572099999999999</v>
      </c>
      <c r="AA192" s="29">
        <f>'Annual Raw'!AB93</f>
        <v>43.912599999999998</v>
      </c>
      <c r="AB192" s="30"/>
      <c r="AC192" s="30"/>
      <c r="AD192" s="30"/>
      <c r="AE192" s="30"/>
      <c r="CK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E192" s="139"/>
      <c r="DF192" s="29">
        <v>43.912599999999998</v>
      </c>
    </row>
    <row r="193" spans="1:110" s="29" customFormat="1" x14ac:dyDescent="0.2">
      <c r="A193" s="29" t="s">
        <v>84</v>
      </c>
      <c r="B193" s="29">
        <f t="shared" ref="B193:V193" si="1445">B190-B191-B192</f>
        <v>0</v>
      </c>
      <c r="C193" s="29">
        <f t="shared" si="1445"/>
        <v>0</v>
      </c>
      <c r="D193" s="29">
        <f t="shared" si="1445"/>
        <v>0</v>
      </c>
      <c r="E193" s="29">
        <f t="shared" si="1445"/>
        <v>0</v>
      </c>
      <c r="F193" s="29">
        <f t="shared" si="1445"/>
        <v>0</v>
      </c>
      <c r="G193" s="29">
        <f t="shared" si="1445"/>
        <v>0</v>
      </c>
      <c r="H193" s="29">
        <f t="shared" si="1445"/>
        <v>0</v>
      </c>
      <c r="I193" s="29">
        <f t="shared" si="1445"/>
        <v>0</v>
      </c>
      <c r="J193" s="29">
        <f t="shared" si="1445"/>
        <v>0</v>
      </c>
      <c r="K193" s="29">
        <f t="shared" si="1445"/>
        <v>0</v>
      </c>
      <c r="L193" s="29">
        <f t="shared" si="1445"/>
        <v>0</v>
      </c>
      <c r="M193" s="29">
        <f t="shared" si="1445"/>
        <v>0</v>
      </c>
      <c r="N193" s="29">
        <f t="shared" si="1445"/>
        <v>0</v>
      </c>
      <c r="O193" s="29">
        <f t="shared" si="1445"/>
        <v>0</v>
      </c>
      <c r="P193" s="29">
        <f t="shared" si="1445"/>
        <v>0</v>
      </c>
      <c r="Q193" s="29">
        <f t="shared" si="1445"/>
        <v>1.7798999999999996</v>
      </c>
      <c r="R193" s="29">
        <f t="shared" si="1445"/>
        <v>0</v>
      </c>
      <c r="S193" s="29">
        <f t="shared" si="1445"/>
        <v>0</v>
      </c>
      <c r="T193" s="29">
        <f t="shared" si="1445"/>
        <v>0</v>
      </c>
      <c r="U193" s="29">
        <f t="shared" si="1445"/>
        <v>0</v>
      </c>
      <c r="V193" s="29">
        <f t="shared" si="1445"/>
        <v>0</v>
      </c>
      <c r="W193" s="29">
        <f t="shared" ref="W193" si="1446">W190-W191-W192</f>
        <v>0</v>
      </c>
      <c r="X193" s="29">
        <f t="shared" ref="X193:Y193" si="1447">X190-X191-X192</f>
        <v>0</v>
      </c>
      <c r="Y193" s="29">
        <f t="shared" si="1447"/>
        <v>0</v>
      </c>
      <c r="Z193" s="29">
        <f t="shared" ref="Z193:AA193" si="1448">Z190-Z191-Z192</f>
        <v>0</v>
      </c>
      <c r="AA193" s="29">
        <f t="shared" si="1448"/>
        <v>0</v>
      </c>
      <c r="AB193" s="30">
        <f t="shared" ref="AB193:AD193" si="1449">AB190-AB191-AB192</f>
        <v>0</v>
      </c>
      <c r="AC193" s="30">
        <f t="shared" si="1449"/>
        <v>0</v>
      </c>
      <c r="AD193" s="30">
        <f t="shared" si="1449"/>
        <v>0</v>
      </c>
      <c r="AE193" s="30">
        <f t="shared" ref="AE193" si="1450">AE190-AE191-AE192</f>
        <v>0</v>
      </c>
      <c r="CK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E193" s="139"/>
      <c r="DF193" s="29">
        <v>0</v>
      </c>
    </row>
    <row r="194" spans="1:110" s="5" customFormat="1" x14ac:dyDescent="0.2">
      <c r="AB194" s="63"/>
      <c r="AC194" s="63"/>
      <c r="AD194" s="63"/>
      <c r="AE194" s="63"/>
      <c r="CE194" s="112"/>
      <c r="CG194" s="112"/>
      <c r="CK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E194" s="139"/>
    </row>
    <row r="195" spans="1:110" s="95" customFormat="1" x14ac:dyDescent="0.2">
      <c r="A195" s="95" t="s">
        <v>85</v>
      </c>
      <c r="B195" s="95">
        <f t="shared" ref="B195:W195" si="1451">B190/B140</f>
        <v>7.0427247377738825E-2</v>
      </c>
      <c r="C195" s="95">
        <f t="shared" si="1451"/>
        <v>0</v>
      </c>
      <c r="D195" s="95">
        <f t="shared" si="1451"/>
        <v>0</v>
      </c>
      <c r="E195" s="95">
        <f t="shared" si="1451"/>
        <v>0</v>
      </c>
      <c r="F195" s="95">
        <f t="shared" si="1451"/>
        <v>0</v>
      </c>
      <c r="G195" s="95">
        <f t="shared" si="1451"/>
        <v>0</v>
      </c>
      <c r="H195" s="95">
        <f t="shared" si="1451"/>
        <v>5.3796521547954182E-2</v>
      </c>
      <c r="I195" s="95">
        <f t="shared" si="1451"/>
        <v>5.1558789522688171E-2</v>
      </c>
      <c r="J195" s="95">
        <f t="shared" si="1451"/>
        <v>0</v>
      </c>
      <c r="K195" s="95">
        <f t="shared" si="1451"/>
        <v>0</v>
      </c>
      <c r="L195" s="95">
        <f t="shared" si="1451"/>
        <v>0</v>
      </c>
      <c r="M195" s="95">
        <f t="shared" si="1451"/>
        <v>0</v>
      </c>
      <c r="N195" s="95">
        <f t="shared" si="1451"/>
        <v>0</v>
      </c>
      <c r="O195" s="95">
        <f t="shared" si="1451"/>
        <v>0</v>
      </c>
      <c r="P195" s="95">
        <f t="shared" si="1451"/>
        <v>7.7669920478388124E-2</v>
      </c>
      <c r="Q195" s="95">
        <f t="shared" si="1451"/>
        <v>5.3878557569897852E-2</v>
      </c>
      <c r="R195" s="95">
        <f t="shared" si="1451"/>
        <v>4.720353692868285E-2</v>
      </c>
      <c r="S195" s="95">
        <f t="shared" si="1451"/>
        <v>5.3083400043563982E-2</v>
      </c>
      <c r="T195" s="95">
        <f t="shared" si="1451"/>
        <v>3.2420561975144764E-2</v>
      </c>
      <c r="U195" s="95">
        <f t="shared" si="1451"/>
        <v>5.1791051316091317E-2</v>
      </c>
      <c r="V195" s="95">
        <f t="shared" si="1451"/>
        <v>2.9630748277307137E-2</v>
      </c>
      <c r="W195" s="95">
        <f t="shared" si="1451"/>
        <v>2.3022946662399495E-2</v>
      </c>
      <c r="X195" s="95">
        <f t="shared" ref="X195:Y195" si="1452">X190/X140</f>
        <v>4.2225495234104245E-2</v>
      </c>
      <c r="Y195" s="95">
        <f t="shared" si="1452"/>
        <v>4.5029138523668875E-2</v>
      </c>
      <c r="Z195" s="95">
        <f t="shared" ref="Z195:AA195" si="1453">Z190/Z140</f>
        <v>3.8430116711396518E-2</v>
      </c>
      <c r="AA195" s="95">
        <f t="shared" si="1453"/>
        <v>2.5720112219123403E-2</v>
      </c>
      <c r="AB195" s="87">
        <f t="shared" ref="AB195:AD195" si="1454">AB190/AB140</f>
        <v>0</v>
      </c>
      <c r="AC195" s="87">
        <f t="shared" si="1454"/>
        <v>0</v>
      </c>
      <c r="AD195" s="87">
        <f t="shared" si="1454"/>
        <v>0</v>
      </c>
      <c r="AE195" s="87">
        <f t="shared" ref="AE195" si="1455">AE190/AE140</f>
        <v>0</v>
      </c>
      <c r="CK195" s="96"/>
      <c r="CM195" s="96"/>
      <c r="CN195" s="96"/>
      <c r="CO195" s="96"/>
      <c r="CP195" s="96"/>
      <c r="CQ195" s="96"/>
      <c r="CR195" s="96"/>
      <c r="CS195" s="96"/>
      <c r="CT195" s="96"/>
      <c r="CU195" s="96"/>
      <c r="CV195" s="96"/>
      <c r="CW195" s="96"/>
      <c r="CX195" s="96"/>
      <c r="CY195" s="96"/>
      <c r="CZ195" s="96"/>
      <c r="DA195" s="96"/>
      <c r="DB195" s="96"/>
      <c r="DE195" s="140"/>
      <c r="DF195" s="95">
        <v>2.5720112219123403E-2</v>
      </c>
    </row>
    <row r="196" spans="1:110" x14ac:dyDescent="0.2">
      <c r="A196" s="152" t="s">
        <v>492</v>
      </c>
      <c r="AA196" s="2"/>
      <c r="CE196" s="111"/>
      <c r="CG196" s="111"/>
      <c r="CL196" s="2"/>
    </row>
    <row r="197" spans="1:110" s="6" customFormat="1" x14ac:dyDescent="0.2">
      <c r="AB197" s="19"/>
      <c r="AC197" s="19"/>
      <c r="AD197" s="19"/>
      <c r="AE197" s="19"/>
      <c r="CE197" s="113"/>
      <c r="CG197" s="113"/>
      <c r="CK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E197" s="123"/>
    </row>
    <row r="198" spans="1:110" s="62" customFormat="1" x14ac:dyDescent="0.2">
      <c r="A198" s="153" t="s">
        <v>493</v>
      </c>
      <c r="AB198" s="63"/>
      <c r="AC198" s="63"/>
      <c r="AD198" s="63"/>
      <c r="AE198" s="63"/>
      <c r="CE198" s="114"/>
      <c r="CG198" s="114"/>
      <c r="CK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E198" s="139"/>
    </row>
    <row r="199" spans="1:110" s="62" customFormat="1" outlineLevel="1" x14ac:dyDescent="0.2">
      <c r="A199" s="68" t="s">
        <v>464</v>
      </c>
      <c r="B199" s="67">
        <f t="shared" ref="B199:AE199" si="1456">B164/B28*365</f>
        <v>36.620933179529494</v>
      </c>
      <c r="C199" s="67">
        <f t="shared" si="1456"/>
        <v>38.976636299483118</v>
      </c>
      <c r="D199" s="67">
        <f t="shared" si="1456"/>
        <v>41.771967363165047</v>
      </c>
      <c r="E199" s="67">
        <f t="shared" si="1456"/>
        <v>49.186147427574546</v>
      </c>
      <c r="F199" s="67">
        <f t="shared" si="1456"/>
        <v>51.586306234229149</v>
      </c>
      <c r="G199" s="67">
        <f t="shared" si="1456"/>
        <v>48.659457981388449</v>
      </c>
      <c r="H199" s="67">
        <f t="shared" si="1456"/>
        <v>56.160876335674352</v>
      </c>
      <c r="I199" s="67">
        <f t="shared" si="1456"/>
        <v>46.680133254409874</v>
      </c>
      <c r="J199" s="67">
        <f t="shared" si="1456"/>
        <v>40.654041239052425</v>
      </c>
      <c r="K199" s="67">
        <f t="shared" si="1456"/>
        <v>40.104347950354239</v>
      </c>
      <c r="L199" s="67">
        <f t="shared" si="1456"/>
        <v>45.442479449779199</v>
      </c>
      <c r="M199" s="67">
        <f t="shared" si="1456"/>
        <v>45.568947872199239</v>
      </c>
      <c r="N199" s="67">
        <f t="shared" si="1456"/>
        <v>43.532965903934617</v>
      </c>
      <c r="O199" s="67">
        <f t="shared" si="1456"/>
        <v>47.42516428295697</v>
      </c>
      <c r="P199" s="67">
        <f t="shared" si="1456"/>
        <v>47.33398404548501</v>
      </c>
      <c r="Q199" s="67">
        <f t="shared" si="1456"/>
        <v>55.711956830196847</v>
      </c>
      <c r="R199" s="67">
        <f t="shared" si="1456"/>
        <v>53.39518474154746</v>
      </c>
      <c r="S199" s="67">
        <f t="shared" si="1456"/>
        <v>55.180179517456828</v>
      </c>
      <c r="T199" s="67">
        <f t="shared" si="1456"/>
        <v>54.145288973882913</v>
      </c>
      <c r="U199" s="67">
        <f t="shared" si="1456"/>
        <v>56.48999641691794</v>
      </c>
      <c r="V199" s="67">
        <f t="shared" si="1456"/>
        <v>62.088982661871619</v>
      </c>
      <c r="W199" s="67">
        <f t="shared" si="1456"/>
        <v>60.138351629210696</v>
      </c>
      <c r="X199" s="67">
        <f t="shared" si="1456"/>
        <v>48.059062599921198</v>
      </c>
      <c r="Y199" s="67">
        <f t="shared" si="1456"/>
        <v>50.88416328203531</v>
      </c>
      <c r="Z199" s="67">
        <f t="shared" si="1456"/>
        <v>51.124729062510603</v>
      </c>
      <c r="AA199" s="67">
        <f t="shared" ref="AA199" si="1457">AA164/AA28*365</f>
        <v>62.263582465280685</v>
      </c>
      <c r="AB199" s="18">
        <f t="shared" si="1456"/>
        <v>66.136540073402514</v>
      </c>
      <c r="AC199" s="18">
        <f t="shared" si="1456"/>
        <v>66.164244608085539</v>
      </c>
      <c r="AD199" s="18">
        <f t="shared" si="1456"/>
        <v>66.16743431606686</v>
      </c>
      <c r="AE199" s="18">
        <f t="shared" si="1456"/>
        <v>66.171535223384922</v>
      </c>
      <c r="AI199" s="67">
        <f>AJ164/AI28*90</f>
        <v>41.951303064639376</v>
      </c>
      <c r="AJ199" s="67">
        <f>AJ164/AJ28*90</f>
        <v>36.641395310299117</v>
      </c>
      <c r="AK199" s="67">
        <f t="shared" ref="AK199:CE199" si="1458">+AJ199</f>
        <v>36.641395310299117</v>
      </c>
      <c r="AL199" s="67">
        <f>AL164/AL28*90</f>
        <v>45.861199937604795</v>
      </c>
      <c r="AM199" s="67">
        <f t="shared" ref="AM199:AM200" si="1459">+AL199</f>
        <v>45.861199937604795</v>
      </c>
      <c r="AN199" s="67">
        <f>AN164/AN28*90</f>
        <v>36.145102236686718</v>
      </c>
      <c r="AO199" s="67">
        <f t="shared" ref="AO199:AO200" si="1460">+AN199</f>
        <v>36.145102236686718</v>
      </c>
      <c r="AP199" s="67">
        <f>AP164/AP28*90</f>
        <v>52.913848765081056</v>
      </c>
      <c r="AQ199" s="67">
        <f t="shared" ref="AQ199:AQ200" si="1461">+AP199</f>
        <v>52.913848765081056</v>
      </c>
      <c r="AR199" s="67">
        <f>AR164/AR28*90</f>
        <v>37.563530746669144</v>
      </c>
      <c r="AS199" s="67">
        <f t="shared" ref="AS199:AS200" si="1462">+AR199</f>
        <v>37.563530746669144</v>
      </c>
      <c r="AT199" s="67">
        <f>AT164/AT28*90</f>
        <v>53.018401204271392</v>
      </c>
      <c r="AU199" s="67">
        <f t="shared" ref="AU199:AU200" si="1463">+AT199</f>
        <v>53.018401204271392</v>
      </c>
      <c r="AV199" s="67">
        <f>AV164/AV28*90</f>
        <v>38.127106850162363</v>
      </c>
      <c r="AW199" s="67">
        <f t="shared" ref="AW199:AW200" si="1464">+AV199</f>
        <v>38.127106850162363</v>
      </c>
      <c r="AX199" s="67">
        <f>AX164/AX28*90</f>
        <v>55.880981242506415</v>
      </c>
      <c r="AY199" s="67">
        <f t="shared" ref="AY199:AY200" si="1465">+AX199</f>
        <v>55.880981242506415</v>
      </c>
      <c r="AZ199" s="67">
        <f>AZ164/AZ28*90</f>
        <v>41.769423658653082</v>
      </c>
      <c r="BA199" s="67">
        <f t="shared" ref="BA199:BA200" si="1466">+AZ199</f>
        <v>41.769423658653082</v>
      </c>
      <c r="BB199" s="67">
        <f>BB164/BB28*90</f>
        <v>58.822870614049414</v>
      </c>
      <c r="BC199" s="67">
        <f t="shared" ref="BC199:BC200" si="1467">+BB199</f>
        <v>58.822870614049414</v>
      </c>
      <c r="BD199" s="67">
        <f>BD164/BD28*90</f>
        <v>37.502267368039178</v>
      </c>
      <c r="BE199" s="67">
        <f t="shared" ref="BE199:BE200" si="1468">+BD199</f>
        <v>37.502267368039178</v>
      </c>
      <c r="BF199" s="67">
        <f>BF164/BF28*90</f>
        <v>60.399875657039509</v>
      </c>
      <c r="BG199" s="67">
        <f t="shared" ref="BG199:BG200" si="1469">+BF199</f>
        <v>60.399875657039509</v>
      </c>
      <c r="BH199" s="67">
        <f>BH164/BH28*90</f>
        <v>39.276892013883305</v>
      </c>
      <c r="BI199" s="67">
        <f t="shared" ref="BI199:BI200" si="1470">+BH199</f>
        <v>39.276892013883305</v>
      </c>
      <c r="BJ199" s="67">
        <f>BJ164/BJ28*90</f>
        <v>52.369144098444792</v>
      </c>
      <c r="BK199" s="67">
        <f t="shared" ref="BK199:BK200" si="1471">+BJ199</f>
        <v>52.369144098444792</v>
      </c>
      <c r="BL199" s="67">
        <f>BL164/BL28*90</f>
        <v>47.722674659357565</v>
      </c>
      <c r="BM199" s="67">
        <f t="shared" ref="BM199:BM200" si="1472">+BL199</f>
        <v>47.722674659357565</v>
      </c>
      <c r="BN199" s="67">
        <f>BN164/BN28*90</f>
        <v>55.730450053993856</v>
      </c>
      <c r="BO199" s="67">
        <f t="shared" ref="BO199:BO200" si="1473">+BN199</f>
        <v>55.730450053993856</v>
      </c>
      <c r="BP199" s="67">
        <f>BP164/BP28*90</f>
        <v>76.620239694835462</v>
      </c>
      <c r="BQ199" s="67">
        <f t="shared" ref="BQ199:BQ200" si="1474">+BP199</f>
        <v>76.620239694835462</v>
      </c>
      <c r="BR199" s="67">
        <f>BR164/BR28*90</f>
        <v>59.172928631576951</v>
      </c>
      <c r="BS199" s="67">
        <f t="shared" ref="BS199:BS200" si="1475">+BR199</f>
        <v>59.172928631576951</v>
      </c>
      <c r="BT199" s="67">
        <f>BT164/BT28*90</f>
        <v>55.10107755349825</v>
      </c>
      <c r="BU199" s="67">
        <f t="shared" ref="BU199:BU200" si="1476">+BT199</f>
        <v>55.10107755349825</v>
      </c>
      <c r="BV199" s="67">
        <f>BV164/BV28*90</f>
        <v>59.072991882675026</v>
      </c>
      <c r="BW199" s="67">
        <f t="shared" ref="BW199:BW200" si="1477">+BV199</f>
        <v>59.072991882675026</v>
      </c>
      <c r="BX199" s="67">
        <f>BX164/BX28*90</f>
        <v>49.427505435856887</v>
      </c>
      <c r="BY199" s="67">
        <f t="shared" ref="BY199:BY200" si="1478">+BX199</f>
        <v>49.427505435856887</v>
      </c>
      <c r="BZ199" s="67">
        <f>BZ164/BZ28*90</f>
        <v>50.823932206947212</v>
      </c>
      <c r="CA199" s="67">
        <f t="shared" ref="CA199:CA200" si="1479">+BZ199</f>
        <v>50.823932206947212</v>
      </c>
      <c r="CB199" s="67">
        <f>CB164/CB28*90</f>
        <v>43.33216140812484</v>
      </c>
      <c r="CC199" s="67">
        <f t="shared" ref="CC199:CC200" si="1480">+CB199</f>
        <v>43.33216140812484</v>
      </c>
      <c r="CD199" s="67">
        <f>CD164/CD28*90</f>
        <v>52.482680189850647</v>
      </c>
      <c r="CE199" s="67">
        <f t="shared" si="1458"/>
        <v>52.482680189850647</v>
      </c>
      <c r="CF199" s="67">
        <f>CF164/CF28*90</f>
        <v>48.899982011153078</v>
      </c>
      <c r="CG199" s="67">
        <f t="shared" ref="CG199:CI200" si="1481">+CF199</f>
        <v>48.899982011153078</v>
      </c>
      <c r="CH199" s="67">
        <f>CH164/CH28*90</f>
        <v>50.138999241690186</v>
      </c>
      <c r="CI199" s="67">
        <f t="shared" si="1481"/>
        <v>50.138999241690186</v>
      </c>
      <c r="CJ199" s="67">
        <f>CJ164/CJ28*90</f>
        <v>47.83132085906535</v>
      </c>
      <c r="CK199" s="30">
        <f t="shared" ref="CK199:CK200" si="1482">+CJ199</f>
        <v>47.83132085906535</v>
      </c>
      <c r="CL199" s="67">
        <f>CL164/CL28*90</f>
        <v>68.020304568527919</v>
      </c>
      <c r="CM199" s="30">
        <f t="shared" ref="CM199:CM200" si="1483">+CL199</f>
        <v>68.020304568527919</v>
      </c>
      <c r="CN199" s="30">
        <f t="shared" ref="CN199:CN200" si="1484">+CM199</f>
        <v>68.020304568527919</v>
      </c>
      <c r="CO199" s="30">
        <f t="shared" ref="CO199:CO200" si="1485">+CN199</f>
        <v>68.020304568527919</v>
      </c>
      <c r="CP199" s="30">
        <f t="shared" ref="CP199:CP200" si="1486">+CO199</f>
        <v>68.020304568527919</v>
      </c>
      <c r="CQ199" s="30">
        <f t="shared" ref="CQ199:CQ200" si="1487">+CP199</f>
        <v>68.020304568527919</v>
      </c>
      <c r="CR199" s="30">
        <f t="shared" ref="CR199:CR200" si="1488">+CQ199</f>
        <v>68.020304568527919</v>
      </c>
      <c r="CS199" s="30">
        <f t="shared" ref="CS199:CS200" si="1489">+CR199</f>
        <v>68.020304568527919</v>
      </c>
      <c r="CT199" s="30">
        <f t="shared" ref="CT199:CT200" si="1490">+CS199</f>
        <v>68.020304568527919</v>
      </c>
      <c r="CU199" s="30">
        <f t="shared" ref="CU199:CU200" si="1491">+CT199</f>
        <v>68.020304568527919</v>
      </c>
      <c r="CV199" s="30">
        <f t="shared" ref="CV199:CV200" si="1492">+CU199</f>
        <v>68.020304568527919</v>
      </c>
      <c r="CW199" s="30">
        <f t="shared" ref="CW199:CW200" si="1493">+CV199</f>
        <v>68.020304568527919</v>
      </c>
      <c r="CX199" s="30">
        <f t="shared" ref="CX199:CX200" si="1494">+CW199</f>
        <v>68.020304568527919</v>
      </c>
      <c r="CY199" s="30">
        <f t="shared" ref="CY199:CY200" si="1495">+CX199</f>
        <v>68.020304568527919</v>
      </c>
      <c r="CZ199" s="30">
        <f t="shared" ref="CZ199:CZ200" si="1496">+CY199</f>
        <v>68.020304568527919</v>
      </c>
      <c r="DA199" s="30">
        <f t="shared" ref="DA199:DA200" si="1497">+CZ199</f>
        <v>68.020304568527919</v>
      </c>
      <c r="DB199" s="30">
        <f t="shared" ref="DB199:DB200" si="1498">+DA199</f>
        <v>68.020304568527919</v>
      </c>
      <c r="DE199" s="139"/>
      <c r="DF199" s="62">
        <v>62.263582465280685</v>
      </c>
    </row>
    <row r="200" spans="1:110" s="62" customFormat="1" outlineLevel="1" x14ac:dyDescent="0.2">
      <c r="A200" s="68" t="s">
        <v>465</v>
      </c>
      <c r="B200" s="67">
        <f t="shared" ref="B200:AE200" si="1499">B165/B28*365</f>
        <v>152.42436387518313</v>
      </c>
      <c r="C200" s="67">
        <f t="shared" si="1499"/>
        <v>153.2173432023057</v>
      </c>
      <c r="D200" s="67">
        <f t="shared" si="1499"/>
        <v>169.87226005642117</v>
      </c>
      <c r="E200" s="67">
        <f t="shared" si="1499"/>
        <v>180.94254120693199</v>
      </c>
      <c r="F200" s="67">
        <f t="shared" si="1499"/>
        <v>184.69582321213602</v>
      </c>
      <c r="G200" s="67">
        <f t="shared" si="1499"/>
        <v>191.17887368792901</v>
      </c>
      <c r="H200" s="67">
        <f t="shared" si="1499"/>
        <v>210.54616603142469</v>
      </c>
      <c r="I200" s="67">
        <f t="shared" si="1499"/>
        <v>201.50494490225344</v>
      </c>
      <c r="J200" s="67">
        <f t="shared" si="1499"/>
        <v>152.40122941653254</v>
      </c>
      <c r="K200" s="67">
        <f t="shared" si="1499"/>
        <v>165.01303210381423</v>
      </c>
      <c r="L200" s="67">
        <f t="shared" si="1499"/>
        <v>140.62963724804865</v>
      </c>
      <c r="M200" s="67">
        <f t="shared" si="1499"/>
        <v>61.363537675590855</v>
      </c>
      <c r="N200" s="67">
        <f t="shared" si="1499"/>
        <v>79.654930238729847</v>
      </c>
      <c r="O200" s="67">
        <f t="shared" si="1499"/>
        <v>83.10252592568888</v>
      </c>
      <c r="P200" s="67">
        <f t="shared" si="1499"/>
        <v>82.636007282476072</v>
      </c>
      <c r="Q200" s="67">
        <f t="shared" si="1499"/>
        <v>80.801872403088353</v>
      </c>
      <c r="R200" s="67">
        <f t="shared" si="1499"/>
        <v>70.946763798154961</v>
      </c>
      <c r="S200" s="67">
        <f t="shared" si="1499"/>
        <v>77.640970462051826</v>
      </c>
      <c r="T200" s="67">
        <f t="shared" si="1499"/>
        <v>68.464938299674216</v>
      </c>
      <c r="U200" s="67">
        <f t="shared" si="1499"/>
        <v>71.042145530830595</v>
      </c>
      <c r="V200" s="67">
        <f t="shared" si="1499"/>
        <v>69.517981328470711</v>
      </c>
      <c r="W200" s="67">
        <f t="shared" si="1499"/>
        <v>81.515266141375065</v>
      </c>
      <c r="X200" s="67">
        <f t="shared" si="1499"/>
        <v>64.282049428843024</v>
      </c>
      <c r="Y200" s="67">
        <f t="shared" si="1499"/>
        <v>69.557011046683286</v>
      </c>
      <c r="Z200" s="67">
        <f t="shared" si="1499"/>
        <v>78.808209754803528</v>
      </c>
      <c r="AA200" s="67">
        <f t="shared" ref="AA200" si="1500">AA165/AA28*365</f>
        <v>71.147046106564389</v>
      </c>
      <c r="AB200" s="18">
        <f t="shared" si="1499"/>
        <v>75.573142389114352</v>
      </c>
      <c r="AC200" s="18">
        <f t="shared" si="1499"/>
        <v>75.604799907667655</v>
      </c>
      <c r="AD200" s="18">
        <f t="shared" si="1499"/>
        <v>75.608444734796265</v>
      </c>
      <c r="AE200" s="18">
        <f t="shared" si="1499"/>
        <v>75.61313077450032</v>
      </c>
      <c r="AI200" s="67">
        <f>AJ165/AI28*90</f>
        <v>86.46820733089146</v>
      </c>
      <c r="AJ200" s="67">
        <f>AJ165/AJ28*90</f>
        <v>75.52365564669816</v>
      </c>
      <c r="AK200" s="67">
        <f>+AJ200</f>
        <v>75.52365564669816</v>
      </c>
      <c r="AL200" s="67">
        <f>AL165/AL28*90</f>
        <v>83.915006044534564</v>
      </c>
      <c r="AM200" s="67">
        <f t="shared" si="1459"/>
        <v>83.915006044534564</v>
      </c>
      <c r="AN200" s="67">
        <f>AN165/AN28*90</f>
        <v>90.350847397378217</v>
      </c>
      <c r="AO200" s="67">
        <f t="shared" si="1460"/>
        <v>90.350847397378217</v>
      </c>
      <c r="AP200" s="67">
        <f>AP165/AP28*90</f>
        <v>92.720496242311839</v>
      </c>
      <c r="AQ200" s="67">
        <f t="shared" si="1461"/>
        <v>92.720496242311839</v>
      </c>
      <c r="AR200" s="67">
        <f>AR165/AR28*90</f>
        <v>85.310499611072657</v>
      </c>
      <c r="AS200" s="67">
        <f t="shared" si="1462"/>
        <v>85.310499611072657</v>
      </c>
      <c r="AT200" s="67">
        <f>AT165/AT28*90</f>
        <v>92.56001756229125</v>
      </c>
      <c r="AU200" s="67">
        <f t="shared" si="1463"/>
        <v>92.56001756229125</v>
      </c>
      <c r="AV200" s="67">
        <f>AV165/AV28*90</f>
        <v>88.208133601360743</v>
      </c>
      <c r="AW200" s="67">
        <f t="shared" si="1464"/>
        <v>88.208133601360743</v>
      </c>
      <c r="AX200" s="67">
        <f>AX165/AX28*90</f>
        <v>81.046938323881378</v>
      </c>
      <c r="AY200" s="67">
        <f t="shared" si="1465"/>
        <v>81.046938323881378</v>
      </c>
      <c r="AZ200" s="67">
        <f>AZ165/AZ28*90</f>
        <v>72.501691609616302</v>
      </c>
      <c r="BA200" s="67">
        <f t="shared" si="1466"/>
        <v>72.501691609616302</v>
      </c>
      <c r="BB200" s="67">
        <f>BB165/BB28*90</f>
        <v>78.158374202480232</v>
      </c>
      <c r="BC200" s="67">
        <f t="shared" si="1467"/>
        <v>78.158374202480232</v>
      </c>
      <c r="BD200" s="67">
        <f>BD165/BD28*90</f>
        <v>69.058070534580608</v>
      </c>
      <c r="BE200" s="67">
        <f t="shared" si="1468"/>
        <v>69.058070534580608</v>
      </c>
      <c r="BF200" s="67">
        <f>BF165/BF28*90</f>
        <v>84.985587520488338</v>
      </c>
      <c r="BG200" s="67">
        <f t="shared" si="1469"/>
        <v>84.985587520488338</v>
      </c>
      <c r="BH200" s="67">
        <f>BH165/BH28*90</f>
        <v>68.957006314561156</v>
      </c>
      <c r="BI200" s="67">
        <f t="shared" si="1470"/>
        <v>68.957006314561156</v>
      </c>
      <c r="BJ200" s="67">
        <f>BJ165/BJ28*90</f>
        <v>66.219065920294085</v>
      </c>
      <c r="BK200" s="67">
        <f t="shared" si="1471"/>
        <v>66.219065920294085</v>
      </c>
      <c r="BL200" s="67">
        <f>BL165/BL28*90</f>
        <v>65.699327588586755</v>
      </c>
      <c r="BM200" s="67">
        <f t="shared" si="1472"/>
        <v>65.699327588586755</v>
      </c>
      <c r="BN200" s="67">
        <f>BN165/BN28*90</f>
        <v>70.08681851076156</v>
      </c>
      <c r="BO200" s="67">
        <f t="shared" si="1473"/>
        <v>70.08681851076156</v>
      </c>
      <c r="BP200" s="67">
        <f>BP165/BP28*90</f>
        <v>83.2989602402359</v>
      </c>
      <c r="BQ200" s="67">
        <f t="shared" si="1474"/>
        <v>83.2989602402359</v>
      </c>
      <c r="BR200" s="67">
        <f>BR165/BR28*90</f>
        <v>66.252963828518986</v>
      </c>
      <c r="BS200" s="67">
        <f t="shared" si="1475"/>
        <v>66.252963828518986</v>
      </c>
      <c r="BT200" s="67">
        <f>BT165/BT28*90</f>
        <v>71.572772803156781</v>
      </c>
      <c r="BU200" s="67">
        <f t="shared" si="1476"/>
        <v>71.572772803156781</v>
      </c>
      <c r="BV200" s="67">
        <f>BV165/BV28*90</f>
        <v>80.071887157975638</v>
      </c>
      <c r="BW200" s="67">
        <f t="shared" si="1477"/>
        <v>80.071887157975638</v>
      </c>
      <c r="BX200" s="67">
        <f>BX165/BX28*90</f>
        <v>71.855233247677404</v>
      </c>
      <c r="BY200" s="67">
        <f t="shared" si="1478"/>
        <v>71.855233247677404</v>
      </c>
      <c r="BZ200" s="67">
        <f>BZ165/BZ28*90</f>
        <v>67.979326267184376</v>
      </c>
      <c r="CA200" s="67">
        <f t="shared" si="1479"/>
        <v>67.979326267184376</v>
      </c>
      <c r="CB200" s="67">
        <f>CB165/CB28*90</f>
        <v>72.950075986118364</v>
      </c>
      <c r="CC200" s="67">
        <f t="shared" si="1480"/>
        <v>72.950075986118364</v>
      </c>
      <c r="CD200" s="67">
        <f>CD165/CD28*90</f>
        <v>71.74265721281607</v>
      </c>
      <c r="CE200" s="114">
        <f t="shared" ref="CE200" si="1501">+CD200</f>
        <v>71.74265721281607</v>
      </c>
      <c r="CF200" s="67">
        <f>CF165/CF28*90</f>
        <v>73.442165857168561</v>
      </c>
      <c r="CG200" s="67">
        <f t="shared" si="1481"/>
        <v>73.442165857168561</v>
      </c>
      <c r="CH200" s="67">
        <f>CH165/CH28*90</f>
        <v>77.28871803513502</v>
      </c>
      <c r="CI200" s="67">
        <f t="shared" si="1481"/>
        <v>77.28871803513502</v>
      </c>
      <c r="CJ200" s="67">
        <f>CJ165/CJ28*90</f>
        <v>77.791224997695636</v>
      </c>
      <c r="CK200" s="30">
        <f t="shared" si="1482"/>
        <v>77.791224997695636</v>
      </c>
      <c r="CL200" s="67">
        <f>CL165/CL28*90</f>
        <v>77.725689260475761</v>
      </c>
      <c r="CM200" s="30">
        <f t="shared" si="1483"/>
        <v>77.725689260475761</v>
      </c>
      <c r="CN200" s="30">
        <f t="shared" si="1484"/>
        <v>77.725689260475761</v>
      </c>
      <c r="CO200" s="30">
        <f t="shared" si="1485"/>
        <v>77.725689260475761</v>
      </c>
      <c r="CP200" s="30">
        <f t="shared" si="1486"/>
        <v>77.725689260475761</v>
      </c>
      <c r="CQ200" s="30">
        <f t="shared" si="1487"/>
        <v>77.725689260475761</v>
      </c>
      <c r="CR200" s="30">
        <f t="shared" si="1488"/>
        <v>77.725689260475761</v>
      </c>
      <c r="CS200" s="30">
        <f t="shared" si="1489"/>
        <v>77.725689260475761</v>
      </c>
      <c r="CT200" s="30">
        <f t="shared" si="1490"/>
        <v>77.725689260475761</v>
      </c>
      <c r="CU200" s="30">
        <f t="shared" si="1491"/>
        <v>77.725689260475761</v>
      </c>
      <c r="CV200" s="30">
        <f t="shared" si="1492"/>
        <v>77.725689260475761</v>
      </c>
      <c r="CW200" s="30">
        <f t="shared" si="1493"/>
        <v>77.725689260475761</v>
      </c>
      <c r="CX200" s="30">
        <f t="shared" si="1494"/>
        <v>77.725689260475761</v>
      </c>
      <c r="CY200" s="30">
        <f t="shared" si="1495"/>
        <v>77.725689260475761</v>
      </c>
      <c r="CZ200" s="30">
        <f t="shared" si="1496"/>
        <v>77.725689260475761</v>
      </c>
      <c r="DA200" s="30">
        <f t="shared" si="1497"/>
        <v>77.725689260475761</v>
      </c>
      <c r="DB200" s="30">
        <f t="shared" si="1498"/>
        <v>77.725689260475761</v>
      </c>
      <c r="DE200" s="139"/>
      <c r="DF200" s="62">
        <v>71.147046106564389</v>
      </c>
    </row>
    <row r="201" spans="1:110" s="62" customFormat="1" outlineLevel="1" x14ac:dyDescent="0.2">
      <c r="A201" s="68" t="s">
        <v>466</v>
      </c>
      <c r="B201" s="67">
        <f>B202-B200-B199</f>
        <v>21.301757236919649</v>
      </c>
      <c r="C201" s="67">
        <f t="shared" ref="C201:U201" si="1502">C202-C200-C199</f>
        <v>16.514170225283237</v>
      </c>
      <c r="D201" s="67">
        <f t="shared" si="1502"/>
        <v>20.685219844397849</v>
      </c>
      <c r="E201" s="67">
        <f t="shared" si="1502"/>
        <v>21.596632323379175</v>
      </c>
      <c r="F201" s="67">
        <f t="shared" si="1502"/>
        <v>21.88102452221522</v>
      </c>
      <c r="G201" s="67">
        <f t="shared" si="1502"/>
        <v>20.054875207103656</v>
      </c>
      <c r="H201" s="67">
        <f t="shared" si="1502"/>
        <v>24.922563198629653</v>
      </c>
      <c r="I201" s="67">
        <f t="shared" si="1502"/>
        <v>37.580596196366024</v>
      </c>
      <c r="J201" s="67">
        <f t="shared" si="1502"/>
        <v>29.191310935461352</v>
      </c>
      <c r="K201" s="67">
        <f t="shared" si="1502"/>
        <v>28.560358306812404</v>
      </c>
      <c r="L201" s="67">
        <f t="shared" si="1502"/>
        <v>27.718300594571133</v>
      </c>
      <c r="M201" s="67">
        <f t="shared" si="1502"/>
        <v>55.907752133015428</v>
      </c>
      <c r="N201" s="67">
        <f t="shared" si="1502"/>
        <v>46.337718435031924</v>
      </c>
      <c r="O201" s="67">
        <f t="shared" si="1502"/>
        <v>39.655247237234022</v>
      </c>
      <c r="P201" s="67">
        <f t="shared" si="1502"/>
        <v>35.936594010761468</v>
      </c>
      <c r="Q201" s="67">
        <f t="shared" si="1502"/>
        <v>144.15409889921355</v>
      </c>
      <c r="R201" s="67">
        <f t="shared" si="1502"/>
        <v>136.77836276243008</v>
      </c>
      <c r="S201" s="67">
        <f t="shared" si="1502"/>
        <v>152.70338877430939</v>
      </c>
      <c r="T201" s="67">
        <f t="shared" si="1502"/>
        <v>143.93322354351912</v>
      </c>
      <c r="U201" s="67">
        <f t="shared" si="1502"/>
        <v>60.706009441102843</v>
      </c>
      <c r="V201" s="67">
        <f>V202-V200-V199</f>
        <v>83.639642471327676</v>
      </c>
      <c r="W201" s="67">
        <f t="shared" ref="W201" si="1503">W202-W200-W199</f>
        <v>108.04615969037127</v>
      </c>
      <c r="X201" s="67">
        <f t="shared" ref="X201:Y201" si="1504">X202-X200-X199</f>
        <v>94.989226327083514</v>
      </c>
      <c r="Y201" s="67">
        <f t="shared" si="1504"/>
        <v>93.454815389758807</v>
      </c>
      <c r="Z201" s="67">
        <f t="shared" ref="Z201:AA201" si="1505">Z202-Z200-Z199</f>
        <v>114.37458171414309</v>
      </c>
      <c r="AA201" s="67">
        <f t="shared" si="1505"/>
        <v>140.41096876717793</v>
      </c>
      <c r="AB201" s="18">
        <f t="shared" ref="AB201:AD201" si="1506">AB202-AB200-AB199</f>
        <v>62.523901734303749</v>
      </c>
      <c r="AC201" s="18">
        <f t="shared" si="1506"/>
        <v>62.550092938170707</v>
      </c>
      <c r="AD201" s="18">
        <f t="shared" si="1506"/>
        <v>62.553108411737369</v>
      </c>
      <c r="AE201" s="18">
        <f t="shared" ref="AE201" si="1507">AE202-AE200-AE199</f>
        <v>62.556985311343738</v>
      </c>
      <c r="AI201" s="67">
        <f t="shared" ref="AI201:AK201" si="1508">AI202-AI200-AI199</f>
        <v>-128.41951039553084</v>
      </c>
      <c r="AJ201" s="67">
        <f t="shared" ref="AJ201:AM201" si="1509">AJ202-AJ200-AJ199</f>
        <v>41.561438395890264</v>
      </c>
      <c r="AK201" s="67">
        <f t="shared" si="1508"/>
        <v>40.688169333286368</v>
      </c>
      <c r="AL201" s="67">
        <f t="shared" si="1509"/>
        <v>48.816392387786138</v>
      </c>
      <c r="AM201" s="67">
        <f t="shared" si="1509"/>
        <v>42.553259206321727</v>
      </c>
      <c r="AN201" s="67">
        <f t="shared" ref="AN201:AY201" si="1510">AN202-AN200-AN199</f>
        <v>37.579773053118863</v>
      </c>
      <c r="AO201" s="67">
        <f t="shared" si="1510"/>
        <v>37.905958289257548</v>
      </c>
      <c r="AP201" s="67">
        <f t="shared" si="1510"/>
        <v>44.244875283248277</v>
      </c>
      <c r="AQ201" s="67">
        <f t="shared" si="1510"/>
        <v>38.515515816650961</v>
      </c>
      <c r="AR201" s="67">
        <f t="shared" si="1510"/>
        <v>33.731133455601608</v>
      </c>
      <c r="AS201" s="67">
        <f t="shared" si="1510"/>
        <v>34.56088213402613</v>
      </c>
      <c r="AT201" s="67">
        <f t="shared" si="1510"/>
        <v>40.252183525943614</v>
      </c>
      <c r="AU201" s="67">
        <f t="shared" si="1510"/>
        <v>35.520493500971433</v>
      </c>
      <c r="AV201" s="67">
        <f t="shared" si="1510"/>
        <v>33.980207205814111</v>
      </c>
      <c r="AW201" s="67">
        <f t="shared" si="1510"/>
        <v>33.216842555894885</v>
      </c>
      <c r="AX201" s="67">
        <f t="shared" si="1510"/>
        <v>35.768548581545026</v>
      </c>
      <c r="AY201" s="67">
        <f t="shared" si="1510"/>
        <v>34.456453953062159</v>
      </c>
      <c r="AZ201" s="67">
        <f t="shared" ref="AZ201:BC201" si="1511">AZ202-AZ200-AZ199</f>
        <v>37.200883617258413</v>
      </c>
      <c r="BA201" s="67">
        <f t="shared" si="1511"/>
        <v>40.565461766046255</v>
      </c>
      <c r="BB201" s="67">
        <f t="shared" si="1511"/>
        <v>29.530304118695746</v>
      </c>
      <c r="BC201" s="67">
        <f t="shared" si="1511"/>
        <v>31.863281167426472</v>
      </c>
      <c r="BD201" s="67">
        <f t="shared" ref="BD201:CE201" si="1512">BD202-BD200-BD199</f>
        <v>29.947397061491039</v>
      </c>
      <c r="BE201" s="67">
        <f t="shared" si="1512"/>
        <v>34.131494838256621</v>
      </c>
      <c r="BF201" s="67">
        <f t="shared" si="1512"/>
        <v>36.763409257898608</v>
      </c>
      <c r="BG201" s="67">
        <f t="shared" si="1512"/>
        <v>28.772990002850683</v>
      </c>
      <c r="BH201" s="67">
        <f t="shared" si="1512"/>
        <v>22.225096073670649</v>
      </c>
      <c r="BI201" s="67">
        <f t="shared" si="1512"/>
        <v>25.326914922020997</v>
      </c>
      <c r="BJ201" s="67">
        <f t="shared" si="1512"/>
        <v>23.765465547903531</v>
      </c>
      <c r="BK201" s="67">
        <f t="shared" si="1512"/>
        <v>22.316715608258065</v>
      </c>
      <c r="BL201" s="67">
        <f t="shared" si="1512"/>
        <v>18.991974444422524</v>
      </c>
      <c r="BM201" s="67">
        <f t="shared" si="1512"/>
        <v>20.22308180443828</v>
      </c>
      <c r="BN201" s="67">
        <f t="shared" si="1512"/>
        <v>18.716073485748574</v>
      </c>
      <c r="BO201" s="67">
        <f t="shared" si="1512"/>
        <v>15.895287055917713</v>
      </c>
      <c r="BP201" s="67">
        <f t="shared" si="1512"/>
        <v>20.981076011578949</v>
      </c>
      <c r="BQ201" s="67">
        <f t="shared" si="1512"/>
        <v>16.975850803605141</v>
      </c>
      <c r="BR201" s="67">
        <f t="shared" si="1512"/>
        <v>25.789537425135521</v>
      </c>
      <c r="BS201" s="67">
        <f t="shared" si="1512"/>
        <v>22.489826564794797</v>
      </c>
      <c r="BT201" s="67">
        <f t="shared" si="1512"/>
        <v>19.664896038852625</v>
      </c>
      <c r="BU201" s="67">
        <f t="shared" si="1512"/>
        <v>19.414767335386678</v>
      </c>
      <c r="BV201" s="67">
        <f t="shared" si="1512"/>
        <v>43.494932675835344</v>
      </c>
      <c r="BW201" s="67">
        <f t="shared" si="1512"/>
        <v>34.615384615384613</v>
      </c>
      <c r="BX201" s="67">
        <f t="shared" si="1512"/>
        <v>33.261884759833947</v>
      </c>
      <c r="BY201" s="67">
        <f t="shared" si="1512"/>
        <v>33.963870772413628</v>
      </c>
      <c r="BZ201" s="67">
        <f t="shared" si="1512"/>
        <v>38.813621576240898</v>
      </c>
      <c r="CA201" s="67">
        <f t="shared" si="1512"/>
        <v>33.015398348582885</v>
      </c>
      <c r="CB201" s="67">
        <f t="shared" si="1512"/>
        <v>29.029986163721752</v>
      </c>
      <c r="CC201" s="67">
        <f t="shared" si="1512"/>
        <v>30.309765426105081</v>
      </c>
      <c r="CD201" s="67">
        <f t="shared" si="1512"/>
        <v>27.034569992921213</v>
      </c>
      <c r="CE201" s="114">
        <f t="shared" si="1512"/>
        <v>23.194444444444436</v>
      </c>
      <c r="CF201" s="67">
        <f t="shared" ref="CF201:CG201" si="1513">CF202-CF200-CF199</f>
        <v>16.77909695988486</v>
      </c>
      <c r="CG201" s="67">
        <f t="shared" si="1513"/>
        <v>17.425712773355222</v>
      </c>
      <c r="CH201" s="67">
        <f t="shared" ref="CH201" si="1514">CH202-CH200-CH199</f>
        <v>112.16933900661417</v>
      </c>
      <c r="CI201" s="67">
        <f>CH201</f>
        <v>112.16933900661417</v>
      </c>
      <c r="CJ201" s="67">
        <f t="shared" ref="CJ201:CL201" si="1515">CJ202-CJ200-CJ199</f>
        <v>49.496266937044872</v>
      </c>
      <c r="CK201" s="30">
        <f t="shared" ref="CK201:DB201" si="1516">CJ201</f>
        <v>49.496266937044872</v>
      </c>
      <c r="CL201" s="67">
        <f t="shared" si="1515"/>
        <v>64.304767592316139</v>
      </c>
      <c r="CM201" s="30">
        <f t="shared" si="1516"/>
        <v>64.304767592316139</v>
      </c>
      <c r="CN201" s="30">
        <f t="shared" si="1516"/>
        <v>64.304767592316139</v>
      </c>
      <c r="CO201" s="30">
        <f t="shared" si="1516"/>
        <v>64.304767592316139</v>
      </c>
      <c r="CP201" s="30">
        <f t="shared" si="1516"/>
        <v>64.304767592316139</v>
      </c>
      <c r="CQ201" s="30">
        <f t="shared" si="1516"/>
        <v>64.304767592316139</v>
      </c>
      <c r="CR201" s="30">
        <f t="shared" si="1516"/>
        <v>64.304767592316139</v>
      </c>
      <c r="CS201" s="30">
        <f t="shared" si="1516"/>
        <v>64.304767592316139</v>
      </c>
      <c r="CT201" s="30">
        <f t="shared" si="1516"/>
        <v>64.304767592316139</v>
      </c>
      <c r="CU201" s="30">
        <f t="shared" si="1516"/>
        <v>64.304767592316139</v>
      </c>
      <c r="CV201" s="30">
        <f t="shared" si="1516"/>
        <v>64.304767592316139</v>
      </c>
      <c r="CW201" s="30">
        <f t="shared" si="1516"/>
        <v>64.304767592316139</v>
      </c>
      <c r="CX201" s="30">
        <f t="shared" si="1516"/>
        <v>64.304767592316139</v>
      </c>
      <c r="CY201" s="30">
        <f t="shared" si="1516"/>
        <v>64.304767592316139</v>
      </c>
      <c r="CZ201" s="30">
        <f t="shared" si="1516"/>
        <v>64.304767592316139</v>
      </c>
      <c r="DA201" s="30">
        <f t="shared" si="1516"/>
        <v>64.304767592316139</v>
      </c>
      <c r="DB201" s="30">
        <f t="shared" si="1516"/>
        <v>64.304767592316139</v>
      </c>
      <c r="DE201" s="139"/>
      <c r="DF201" s="62">
        <v>140.41096876717793</v>
      </c>
    </row>
    <row r="202" spans="1:110" s="7" customFormat="1" outlineLevel="1" x14ac:dyDescent="0.2">
      <c r="A202" s="69" t="s">
        <v>467</v>
      </c>
      <c r="B202" s="70">
        <f t="shared" ref="B202:AE202" si="1517">B168/B28*365</f>
        <v>210.34705429163228</v>
      </c>
      <c r="C202" s="70">
        <f t="shared" si="1517"/>
        <v>208.70814972707205</v>
      </c>
      <c r="D202" s="70">
        <f t="shared" si="1517"/>
        <v>232.32944726398406</v>
      </c>
      <c r="E202" s="70">
        <f t="shared" si="1517"/>
        <v>251.72532095788571</v>
      </c>
      <c r="F202" s="70">
        <f t="shared" si="1517"/>
        <v>258.16315396858039</v>
      </c>
      <c r="G202" s="70">
        <f t="shared" si="1517"/>
        <v>259.89320687642112</v>
      </c>
      <c r="H202" s="70">
        <f t="shared" si="1517"/>
        <v>291.6296055657287</v>
      </c>
      <c r="I202" s="70">
        <f t="shared" si="1517"/>
        <v>285.76567435302934</v>
      </c>
      <c r="J202" s="70">
        <f t="shared" si="1517"/>
        <v>222.24658159104632</v>
      </c>
      <c r="K202" s="70">
        <f t="shared" si="1517"/>
        <v>233.67773836098087</v>
      </c>
      <c r="L202" s="70">
        <f t="shared" si="1517"/>
        <v>213.79041729239898</v>
      </c>
      <c r="M202" s="70">
        <f t="shared" si="1517"/>
        <v>162.84023768080553</v>
      </c>
      <c r="N202" s="70">
        <f t="shared" si="1517"/>
        <v>169.52561457769639</v>
      </c>
      <c r="O202" s="70">
        <f t="shared" si="1517"/>
        <v>170.18293744587987</v>
      </c>
      <c r="P202" s="70">
        <f t="shared" si="1517"/>
        <v>165.90658533872255</v>
      </c>
      <c r="Q202" s="70">
        <f t="shared" si="1517"/>
        <v>280.66792813249873</v>
      </c>
      <c r="R202" s="70">
        <f t="shared" si="1517"/>
        <v>261.12031130213251</v>
      </c>
      <c r="S202" s="70">
        <f t="shared" si="1517"/>
        <v>285.52453875381804</v>
      </c>
      <c r="T202" s="70">
        <f t="shared" si="1517"/>
        <v>266.54345081707623</v>
      </c>
      <c r="U202" s="70">
        <f t="shared" si="1517"/>
        <v>188.23815138885138</v>
      </c>
      <c r="V202" s="70">
        <f t="shared" si="1517"/>
        <v>215.24660646167001</v>
      </c>
      <c r="W202" s="70">
        <f t="shared" si="1517"/>
        <v>249.69977746095702</v>
      </c>
      <c r="X202" s="70">
        <f t="shared" si="1517"/>
        <v>207.33033835584774</v>
      </c>
      <c r="Y202" s="70">
        <f t="shared" si="1517"/>
        <v>213.89598971847741</v>
      </c>
      <c r="Z202" s="70">
        <f t="shared" si="1517"/>
        <v>244.30752053145721</v>
      </c>
      <c r="AA202" s="70">
        <f t="shared" ref="AA202" si="1518">AA168/AA28*365</f>
        <v>273.82159733902301</v>
      </c>
      <c r="AB202" s="71">
        <f t="shared" si="1517"/>
        <v>204.23358419682063</v>
      </c>
      <c r="AC202" s="71">
        <f t="shared" si="1517"/>
        <v>204.3191374539239</v>
      </c>
      <c r="AD202" s="71">
        <f t="shared" si="1517"/>
        <v>204.32898746260051</v>
      </c>
      <c r="AE202" s="71">
        <f t="shared" si="1517"/>
        <v>204.34165130922898</v>
      </c>
      <c r="AI202" s="70">
        <f t="shared" ref="AI202:CD202" si="1519">AI168/AI28*90</f>
        <v>0</v>
      </c>
      <c r="AJ202" s="70">
        <f t="shared" si="1519"/>
        <v>153.72648935288754</v>
      </c>
      <c r="AK202" s="70">
        <f t="shared" si="1519"/>
        <v>152.85322029028364</v>
      </c>
      <c r="AL202" s="70">
        <f t="shared" si="1519"/>
        <v>178.5925983699255</v>
      </c>
      <c r="AM202" s="70">
        <f t="shared" si="1519"/>
        <v>172.32946518846109</v>
      </c>
      <c r="AN202" s="70">
        <f t="shared" si="1519"/>
        <v>164.0757226871838</v>
      </c>
      <c r="AO202" s="70">
        <f t="shared" si="1519"/>
        <v>164.40190792332248</v>
      </c>
      <c r="AP202" s="70">
        <f t="shared" si="1519"/>
        <v>189.87922029064117</v>
      </c>
      <c r="AQ202" s="70">
        <f t="shared" si="1519"/>
        <v>184.14986082404386</v>
      </c>
      <c r="AR202" s="70">
        <f t="shared" si="1519"/>
        <v>156.60516381334341</v>
      </c>
      <c r="AS202" s="70">
        <f t="shared" si="1519"/>
        <v>157.43491249176793</v>
      </c>
      <c r="AT202" s="70">
        <f t="shared" si="1519"/>
        <v>185.83060229250626</v>
      </c>
      <c r="AU202" s="70">
        <f t="shared" si="1519"/>
        <v>181.09891226753408</v>
      </c>
      <c r="AV202" s="70">
        <f t="shared" si="1519"/>
        <v>160.31544765733722</v>
      </c>
      <c r="AW202" s="70">
        <f t="shared" si="1519"/>
        <v>159.55208300741799</v>
      </c>
      <c r="AX202" s="70">
        <f t="shared" si="1519"/>
        <v>172.69646814793282</v>
      </c>
      <c r="AY202" s="70">
        <f t="shared" si="1519"/>
        <v>171.38437351944995</v>
      </c>
      <c r="AZ202" s="70">
        <f t="shared" si="1519"/>
        <v>151.4719988855278</v>
      </c>
      <c r="BA202" s="70">
        <f t="shared" si="1519"/>
        <v>154.83657703431564</v>
      </c>
      <c r="BB202" s="70">
        <f t="shared" si="1519"/>
        <v>166.51154893522539</v>
      </c>
      <c r="BC202" s="70">
        <f t="shared" si="1519"/>
        <v>168.84452598395612</v>
      </c>
      <c r="BD202" s="70">
        <f t="shared" si="1519"/>
        <v>136.50773496411082</v>
      </c>
      <c r="BE202" s="70">
        <f t="shared" si="1519"/>
        <v>140.69183274087641</v>
      </c>
      <c r="BF202" s="70">
        <f t="shared" si="1519"/>
        <v>182.14887243542645</v>
      </c>
      <c r="BG202" s="70">
        <f t="shared" si="1519"/>
        <v>174.15845318037853</v>
      </c>
      <c r="BH202" s="70">
        <f t="shared" si="1519"/>
        <v>130.45899440211511</v>
      </c>
      <c r="BI202" s="70">
        <f t="shared" si="1519"/>
        <v>133.56081325046546</v>
      </c>
      <c r="BJ202" s="70">
        <f t="shared" si="1519"/>
        <v>142.35367556664241</v>
      </c>
      <c r="BK202" s="70">
        <f t="shared" si="1519"/>
        <v>140.90492562699694</v>
      </c>
      <c r="BL202" s="70">
        <f t="shared" si="1519"/>
        <v>132.41397669236684</v>
      </c>
      <c r="BM202" s="70">
        <f t="shared" si="1519"/>
        <v>133.6450840523826</v>
      </c>
      <c r="BN202" s="70">
        <f t="shared" si="1519"/>
        <v>144.53334205050399</v>
      </c>
      <c r="BO202" s="70">
        <f t="shared" si="1519"/>
        <v>141.71255562067313</v>
      </c>
      <c r="BP202" s="70">
        <f t="shared" si="1519"/>
        <v>180.90027594665031</v>
      </c>
      <c r="BQ202" s="70">
        <f t="shared" si="1519"/>
        <v>176.8950507386765</v>
      </c>
      <c r="BR202" s="70">
        <f t="shared" si="1519"/>
        <v>151.21542988523146</v>
      </c>
      <c r="BS202" s="70">
        <f t="shared" si="1519"/>
        <v>147.91571902489073</v>
      </c>
      <c r="BT202" s="70">
        <f t="shared" si="1519"/>
        <v>146.33874639550766</v>
      </c>
      <c r="BU202" s="70">
        <f t="shared" si="1519"/>
        <v>146.08861769204171</v>
      </c>
      <c r="BV202" s="70">
        <f t="shared" si="1519"/>
        <v>182.63981171648601</v>
      </c>
      <c r="BW202" s="70">
        <f t="shared" si="1519"/>
        <v>173.76026365603528</v>
      </c>
      <c r="BX202" s="70">
        <f t="shared" si="1519"/>
        <v>154.54462344336824</v>
      </c>
      <c r="BY202" s="70">
        <f t="shared" si="1519"/>
        <v>155.24660945594792</v>
      </c>
      <c r="BZ202" s="70">
        <f t="shared" si="1519"/>
        <v>157.61688005037249</v>
      </c>
      <c r="CA202" s="70">
        <f t="shared" si="1519"/>
        <v>151.81865682271447</v>
      </c>
      <c r="CB202" s="70">
        <f t="shared" si="1519"/>
        <v>145.31222355796496</v>
      </c>
      <c r="CC202" s="70">
        <f t="shared" si="1519"/>
        <v>146.59200282034828</v>
      </c>
      <c r="CD202" s="70">
        <f t="shared" si="1519"/>
        <v>151.25990739558793</v>
      </c>
      <c r="CE202" s="115">
        <f>CE168/CE30*90</f>
        <v>147.41978184711115</v>
      </c>
      <c r="CF202" s="70">
        <f>CF168/CF28*90</f>
        <v>139.1212448282065</v>
      </c>
      <c r="CG202" s="70">
        <f>CG168/CG30*90</f>
        <v>139.76786064167686</v>
      </c>
      <c r="CH202" s="70">
        <f>CH168/CH28*90</f>
        <v>239.59705628343937</v>
      </c>
      <c r="CI202" s="70">
        <f>CI199+CI200+CI201</f>
        <v>239.59705628343937</v>
      </c>
      <c r="CJ202" s="70">
        <f>CJ168/CJ28*90</f>
        <v>175.11881279380586</v>
      </c>
      <c r="CK202" s="50">
        <f t="shared" ref="CK202:DB202" si="1520">CK199+CK200+CK201</f>
        <v>175.11881279380586</v>
      </c>
      <c r="CL202" s="70">
        <f>CL168/CL28*90</f>
        <v>210.05076142131981</v>
      </c>
      <c r="CM202" s="50">
        <f t="shared" si="1520"/>
        <v>210.05076142131981</v>
      </c>
      <c r="CN202" s="50">
        <f t="shared" si="1520"/>
        <v>210.05076142131981</v>
      </c>
      <c r="CO202" s="50">
        <f t="shared" si="1520"/>
        <v>210.05076142131981</v>
      </c>
      <c r="CP202" s="50">
        <f t="shared" si="1520"/>
        <v>210.05076142131981</v>
      </c>
      <c r="CQ202" s="50">
        <f t="shared" si="1520"/>
        <v>210.05076142131981</v>
      </c>
      <c r="CR202" s="50">
        <f t="shared" si="1520"/>
        <v>210.05076142131981</v>
      </c>
      <c r="CS202" s="50">
        <f t="shared" si="1520"/>
        <v>210.05076142131981</v>
      </c>
      <c r="CT202" s="50">
        <f t="shared" si="1520"/>
        <v>210.05076142131981</v>
      </c>
      <c r="CU202" s="50">
        <f t="shared" si="1520"/>
        <v>210.05076142131981</v>
      </c>
      <c r="CV202" s="50">
        <f t="shared" si="1520"/>
        <v>210.05076142131981</v>
      </c>
      <c r="CW202" s="50">
        <f t="shared" si="1520"/>
        <v>210.05076142131981</v>
      </c>
      <c r="CX202" s="50">
        <f t="shared" si="1520"/>
        <v>210.05076142131981</v>
      </c>
      <c r="CY202" s="50">
        <f t="shared" si="1520"/>
        <v>210.05076142131981</v>
      </c>
      <c r="CZ202" s="50">
        <f t="shared" si="1520"/>
        <v>210.05076142131981</v>
      </c>
      <c r="DA202" s="50">
        <f t="shared" si="1520"/>
        <v>210.05076142131981</v>
      </c>
      <c r="DB202" s="50">
        <f t="shared" si="1520"/>
        <v>210.05076142131981</v>
      </c>
      <c r="DE202" s="138"/>
      <c r="DF202" s="7">
        <v>273.82159733902301</v>
      </c>
    </row>
    <row r="203" spans="1:110" s="62" customFormat="1" outlineLevel="1" x14ac:dyDescent="0.2">
      <c r="A203" s="68" t="s">
        <v>468</v>
      </c>
      <c r="B203" s="67">
        <f t="shared" ref="B203:AE203" si="1521">B173/B28*365</f>
        <v>20.404055032585081</v>
      </c>
      <c r="C203" s="67">
        <f t="shared" si="1521"/>
        <v>23.687799680919966</v>
      </c>
      <c r="D203" s="67">
        <f t="shared" si="1521"/>
        <v>26.1026646356874</v>
      </c>
      <c r="E203" s="67">
        <f t="shared" si="1521"/>
        <v>32.051470440793864</v>
      </c>
      <c r="F203" s="67">
        <f t="shared" si="1521"/>
        <v>19.954450595704756</v>
      </c>
      <c r="G203" s="67">
        <f t="shared" si="1521"/>
        <v>19.29743357342705</v>
      </c>
      <c r="H203" s="67">
        <f t="shared" si="1521"/>
        <v>42.143102141092577</v>
      </c>
      <c r="I203" s="67">
        <f t="shared" si="1521"/>
        <v>27.328672351233855</v>
      </c>
      <c r="J203" s="67">
        <f t="shared" si="1521"/>
        <v>17.38744022731203</v>
      </c>
      <c r="K203" s="67">
        <f t="shared" si="1521"/>
        <v>20.711390950265873</v>
      </c>
      <c r="L203" s="67">
        <f t="shared" si="1521"/>
        <v>20.432779344199055</v>
      </c>
      <c r="M203" s="67">
        <f t="shared" si="1521"/>
        <v>16.728904691657768</v>
      </c>
      <c r="N203" s="67">
        <f t="shared" si="1521"/>
        <v>25.19804665933496</v>
      </c>
      <c r="O203" s="67">
        <f t="shared" si="1521"/>
        <v>21.435789491594601</v>
      </c>
      <c r="P203" s="67">
        <f t="shared" si="1521"/>
        <v>24.41579246548336</v>
      </c>
      <c r="Q203" s="67">
        <f t="shared" si="1521"/>
        <v>26.925165260874397</v>
      </c>
      <c r="R203" s="67">
        <f t="shared" si="1521"/>
        <v>26.40224560536776</v>
      </c>
      <c r="S203" s="67">
        <f t="shared" si="1521"/>
        <v>28.501268030011715</v>
      </c>
      <c r="T203" s="67">
        <f t="shared" si="1521"/>
        <v>26.072126686434597</v>
      </c>
      <c r="U203" s="67">
        <f t="shared" si="1521"/>
        <v>34.544677269336482</v>
      </c>
      <c r="V203" s="67">
        <f t="shared" si="1521"/>
        <v>33.40334042995385</v>
      </c>
      <c r="W203" s="67">
        <f t="shared" si="1521"/>
        <v>32.929561200366884</v>
      </c>
      <c r="X203" s="67">
        <f t="shared" si="1521"/>
        <v>26.642504611018232</v>
      </c>
      <c r="Y203" s="67">
        <f t="shared" si="1521"/>
        <v>36.079780424042895</v>
      </c>
      <c r="Z203" s="67">
        <f t="shared" si="1521"/>
        <v>39.696738947204189</v>
      </c>
      <c r="AA203" s="67">
        <f t="shared" ref="AA203" si="1522">AA173/AA28*365</f>
        <v>35.62135483159495</v>
      </c>
      <c r="AB203" s="18">
        <f t="shared" si="1521"/>
        <v>37.837378457563531</v>
      </c>
      <c r="AC203" s="18">
        <f t="shared" si="1521"/>
        <v>37.853228499955058</v>
      </c>
      <c r="AD203" s="18">
        <f t="shared" si="1521"/>
        <v>37.855053363909605</v>
      </c>
      <c r="AE203" s="18">
        <f t="shared" si="1521"/>
        <v>37.857399534151362</v>
      </c>
      <c r="AI203" s="67">
        <f>AJ173/AI28*90</f>
        <v>0</v>
      </c>
      <c r="AJ203" s="67">
        <f>AJ173/AJ28*90</f>
        <v>0</v>
      </c>
      <c r="AK203" s="67">
        <f t="shared" ref="AK203:CE203" si="1523">+AJ203</f>
        <v>0</v>
      </c>
      <c r="AL203" s="67">
        <f>AL173/AL28*90</f>
        <v>26.545840970245294</v>
      </c>
      <c r="AM203" s="67">
        <f t="shared" ref="AM203" si="1524">+AL203</f>
        <v>26.545840970245294</v>
      </c>
      <c r="AN203" s="67">
        <f>AN173/AN28*90</f>
        <v>15.611820512111599</v>
      </c>
      <c r="AO203" s="67">
        <f t="shared" ref="AO203" si="1525">+AN203</f>
        <v>15.611820512111599</v>
      </c>
      <c r="AP203" s="67">
        <f>AP173/AP28*90</f>
        <v>23.91674467843113</v>
      </c>
      <c r="AQ203" s="67">
        <f t="shared" ref="AQ203" si="1526">+AP203</f>
        <v>23.91674467843113</v>
      </c>
      <c r="AR203" s="67">
        <f>AR173/AR28*90</f>
        <v>19.385173661411987</v>
      </c>
      <c r="AS203" s="67">
        <f t="shared" ref="AS203" si="1527">+AR203</f>
        <v>19.385173661411987</v>
      </c>
      <c r="AT203" s="67">
        <f>AT173/AT28*90</f>
        <v>27.348015617894717</v>
      </c>
      <c r="AU203" s="67">
        <f t="shared" ref="AU203" si="1528">+AT203</f>
        <v>27.348015617894717</v>
      </c>
      <c r="AV203" s="67">
        <f>AV173/AV28*90</f>
        <v>18.672955002319465</v>
      </c>
      <c r="AW203" s="67">
        <f t="shared" ref="AW203" si="1529">+AV203</f>
        <v>18.672955002319465</v>
      </c>
      <c r="AX203" s="67">
        <f>AX173/AX28*90</f>
        <v>27.006926301117389</v>
      </c>
      <c r="AY203" s="67">
        <f t="shared" ref="AY203" si="1530">+AX203</f>
        <v>27.006926301117389</v>
      </c>
      <c r="AZ203" s="67">
        <f>AZ173/AZ28*90</f>
        <v>21.680265881229104</v>
      </c>
      <c r="BA203" s="67">
        <f t="shared" ref="BA203" si="1531">+AZ203</f>
        <v>21.680265881229104</v>
      </c>
      <c r="BB203" s="67">
        <f>BB173/BB28*90</f>
        <v>29.085978671856125</v>
      </c>
      <c r="BC203" s="67">
        <f t="shared" ref="BC203" si="1532">+BB203</f>
        <v>29.085978671856125</v>
      </c>
      <c r="BD203" s="67">
        <f>BD173/BD28*90</f>
        <v>15.975227384623357</v>
      </c>
      <c r="BE203" s="67">
        <f t="shared" ref="BE203" si="1533">+BD203</f>
        <v>15.975227384623357</v>
      </c>
      <c r="BF203" s="67">
        <f>BF173/BF28*90</f>
        <v>31.197366190018649</v>
      </c>
      <c r="BG203" s="67">
        <f t="shared" ref="BG203" si="1534">+BF203</f>
        <v>31.197366190018649</v>
      </c>
      <c r="BH203" s="67">
        <f>BH173/BH28*90</f>
        <v>19.266532366432905</v>
      </c>
      <c r="BI203" s="67">
        <f t="shared" ref="BI203" si="1535">+BH203</f>
        <v>19.266532366432905</v>
      </c>
      <c r="BJ203" s="67">
        <f>BJ173/BJ28*90</f>
        <v>25.216929448694842</v>
      </c>
      <c r="BK203" s="67">
        <f t="shared" ref="BK203" si="1536">+BJ203</f>
        <v>25.216929448694842</v>
      </c>
      <c r="BL203" s="67">
        <f>BL173/BL28*90</f>
        <v>21.183325774456257</v>
      </c>
      <c r="BM203" s="67">
        <f t="shared" ref="BM203" si="1537">+BL203</f>
        <v>21.183325774456257</v>
      </c>
      <c r="BN203" s="67">
        <f>BN173/BN28*90</f>
        <v>34.080041662063849</v>
      </c>
      <c r="BO203" s="67">
        <f t="shared" ref="BO203" si="1538">+BN203</f>
        <v>34.080041662063849</v>
      </c>
      <c r="BP203" s="67">
        <f>BP173/BP28*90</f>
        <v>29.445536608020486</v>
      </c>
      <c r="BQ203" s="67">
        <f t="shared" ref="BQ203" si="1539">+BP203</f>
        <v>29.445536608020486</v>
      </c>
      <c r="BR203" s="67">
        <f>BR173/BR28*90</f>
        <v>31.83461221863735</v>
      </c>
      <c r="BS203" s="67">
        <f t="shared" ref="BS203" si="1540">+BR203</f>
        <v>31.83461221863735</v>
      </c>
      <c r="BT203" s="67">
        <f>BT173/BT28*90</f>
        <v>28.927151312794052</v>
      </c>
      <c r="BU203" s="67">
        <f t="shared" ref="BU203" si="1541">+BT203</f>
        <v>28.927151312794052</v>
      </c>
      <c r="BV203" s="67">
        <f>BV173/BV28*90</f>
        <v>32.346339198514222</v>
      </c>
      <c r="BW203" s="67">
        <f t="shared" ref="BW203" si="1542">+BV203</f>
        <v>32.346339198514222</v>
      </c>
      <c r="BX203" s="67">
        <f>BX173/BX28*90</f>
        <v>28.243971140541607</v>
      </c>
      <c r="BY203" s="67">
        <f t="shared" ref="BY203" si="1543">+BX203</f>
        <v>28.243971140541607</v>
      </c>
      <c r="BZ203" s="67">
        <f>BZ173/BZ28*90</f>
        <v>28.17399517263091</v>
      </c>
      <c r="CA203" s="67">
        <f t="shared" ref="CA203" si="1544">+BZ203</f>
        <v>28.17399517263091</v>
      </c>
      <c r="CB203" s="67">
        <f>CB173/CB28*90</f>
        <v>32.908680563431396</v>
      </c>
      <c r="CC203" s="67">
        <f t="shared" ref="CC203" si="1545">+CB203</f>
        <v>32.908680563431396</v>
      </c>
      <c r="CD203" s="67">
        <f>CD173/CD28*90</f>
        <v>37.213396307428077</v>
      </c>
      <c r="CE203" s="114">
        <f t="shared" si="1523"/>
        <v>37.213396307428077</v>
      </c>
      <c r="CF203" s="67">
        <f>CF173/CF28*90</f>
        <v>30.805000899442348</v>
      </c>
      <c r="CG203" s="67">
        <f t="shared" ref="CG203:CI203" si="1546">+CF203</f>
        <v>30.805000899442348</v>
      </c>
      <c r="CH203" s="67">
        <f>CH173/CH28*90</f>
        <v>38.93135084467287</v>
      </c>
      <c r="CI203" s="67">
        <f t="shared" si="1546"/>
        <v>38.93135084467287</v>
      </c>
      <c r="CJ203" s="67">
        <f>CJ173/CJ28*90</f>
        <v>33.990782560604664</v>
      </c>
      <c r="CK203" s="30">
        <f t="shared" ref="CK203" si="1547">+CJ203</f>
        <v>33.990782560604664</v>
      </c>
      <c r="CL203" s="67">
        <f>CL173/CL28*90</f>
        <v>38.915099034537675</v>
      </c>
      <c r="CM203" s="30">
        <f t="shared" ref="CM203" si="1548">+CL203</f>
        <v>38.915099034537675</v>
      </c>
      <c r="CN203" s="30">
        <f t="shared" ref="CN203" si="1549">+CM203</f>
        <v>38.915099034537675</v>
      </c>
      <c r="CO203" s="30">
        <f t="shared" ref="CO203" si="1550">+CN203</f>
        <v>38.915099034537675</v>
      </c>
      <c r="CP203" s="30">
        <f t="shared" ref="CP203" si="1551">+CO203</f>
        <v>38.915099034537675</v>
      </c>
      <c r="CQ203" s="30">
        <f t="shared" ref="CQ203" si="1552">+CP203</f>
        <v>38.915099034537675</v>
      </c>
      <c r="CR203" s="30">
        <f t="shared" ref="CR203" si="1553">+CQ203</f>
        <v>38.915099034537675</v>
      </c>
      <c r="CS203" s="30">
        <f t="shared" ref="CS203" si="1554">+CR203</f>
        <v>38.915099034537675</v>
      </c>
      <c r="CT203" s="30">
        <f t="shared" ref="CT203" si="1555">+CS203</f>
        <v>38.915099034537675</v>
      </c>
      <c r="CU203" s="30">
        <f t="shared" ref="CU203" si="1556">+CT203</f>
        <v>38.915099034537675</v>
      </c>
      <c r="CV203" s="30">
        <f t="shared" ref="CV203" si="1557">+CU203</f>
        <v>38.915099034537675</v>
      </c>
      <c r="CW203" s="30">
        <f t="shared" ref="CW203" si="1558">+CV203</f>
        <v>38.915099034537675</v>
      </c>
      <c r="CX203" s="30">
        <f t="shared" ref="CX203" si="1559">+CW203</f>
        <v>38.915099034537675</v>
      </c>
      <c r="CY203" s="30">
        <f t="shared" ref="CY203" si="1560">+CX203</f>
        <v>38.915099034537675</v>
      </c>
      <c r="CZ203" s="30">
        <f t="shared" ref="CZ203" si="1561">+CY203</f>
        <v>38.915099034537675</v>
      </c>
      <c r="DA203" s="30">
        <f t="shared" ref="DA203" si="1562">+CZ203</f>
        <v>38.915099034537675</v>
      </c>
      <c r="DB203" s="30">
        <f t="shared" ref="DB203" si="1563">+DA203</f>
        <v>38.915099034537675</v>
      </c>
      <c r="DE203" s="139"/>
      <c r="DF203" s="62">
        <v>35.62135483159495</v>
      </c>
    </row>
    <row r="204" spans="1:110" s="62" customFormat="1" outlineLevel="1" x14ac:dyDescent="0.2">
      <c r="A204" s="68" t="s">
        <v>466</v>
      </c>
      <c r="B204" s="67">
        <f>B205-B203</f>
        <v>28.892273462101951</v>
      </c>
      <c r="C204" s="67">
        <f t="shared" ref="C204:V204" si="1564">C205-C203</f>
        <v>32.764682825466707</v>
      </c>
      <c r="D204" s="67">
        <f t="shared" si="1564"/>
        <v>39.955930368376826</v>
      </c>
      <c r="E204" s="67">
        <f t="shared" si="1564"/>
        <v>30.77201901434222</v>
      </c>
      <c r="F204" s="67">
        <f t="shared" si="1564"/>
        <v>26.800810017093582</v>
      </c>
      <c r="G204" s="67">
        <f t="shared" si="1564"/>
        <v>29.028704688046773</v>
      </c>
      <c r="H204" s="67">
        <f t="shared" si="1564"/>
        <v>25.559352933227224</v>
      </c>
      <c r="I204" s="67">
        <f t="shared" si="1564"/>
        <v>20.451787481270088</v>
      </c>
      <c r="J204" s="67">
        <f t="shared" si="1564"/>
        <v>25.799938445059322</v>
      </c>
      <c r="K204" s="67">
        <f t="shared" si="1564"/>
        <v>35.062801236293019</v>
      </c>
      <c r="L204" s="67">
        <f t="shared" si="1564"/>
        <v>29.433816749893253</v>
      </c>
      <c r="M204" s="67">
        <f t="shared" si="1564"/>
        <v>45.579637354628346</v>
      </c>
      <c r="N204" s="67">
        <f t="shared" si="1564"/>
        <v>60.106575518983746</v>
      </c>
      <c r="O204" s="67">
        <f t="shared" si="1564"/>
        <v>47.634977978789607</v>
      </c>
      <c r="P204" s="67">
        <f t="shared" si="1564"/>
        <v>84.193707494690344</v>
      </c>
      <c r="Q204" s="67">
        <f t="shared" si="1564"/>
        <v>156.24034058278326</v>
      </c>
      <c r="R204" s="67">
        <f t="shared" si="1564"/>
        <v>149.95076981430472</v>
      </c>
      <c r="S204" s="67">
        <f t="shared" si="1564"/>
        <v>157.50813535292005</v>
      </c>
      <c r="T204" s="67">
        <f t="shared" si="1564"/>
        <v>143.56064908455477</v>
      </c>
      <c r="U204" s="67">
        <f t="shared" si="1564"/>
        <v>68.552198191825454</v>
      </c>
      <c r="V204" s="67">
        <f t="shared" si="1564"/>
        <v>87.499398659940681</v>
      </c>
      <c r="W204" s="67">
        <f t="shared" ref="W204" si="1565">W205-W203</f>
        <v>93.674913067420931</v>
      </c>
      <c r="X204" s="67">
        <f t="shared" ref="X204:Y204" si="1566">X205-X203</f>
        <v>82.00293725118533</v>
      </c>
      <c r="Y204" s="67">
        <f t="shared" si="1566"/>
        <v>90.823477530378298</v>
      </c>
      <c r="Z204" s="67">
        <f t="shared" ref="Z204:AA204" si="1567">Z205-Z203</f>
        <v>97.30149027733799</v>
      </c>
      <c r="AA204" s="67">
        <f t="shared" si="1567"/>
        <v>104.60134805614399</v>
      </c>
      <c r="AB204" s="18">
        <f t="shared" ref="AB204:AD204" si="1568">AB205-AB203</f>
        <v>22.671652389517128</v>
      </c>
      <c r="AC204" s="18">
        <f t="shared" si="1568"/>
        <v>22.681149523465315</v>
      </c>
      <c r="AD204" s="18">
        <f t="shared" si="1568"/>
        <v>22.68224295760168</v>
      </c>
      <c r="AE204" s="18">
        <f t="shared" ref="AE204" si="1569">AE205-AE203</f>
        <v>22.683648751510667</v>
      </c>
      <c r="AI204" s="67">
        <f t="shared" ref="AI204:AK204" si="1570">AI205-AI203</f>
        <v>0</v>
      </c>
      <c r="AJ204" s="67">
        <f t="shared" ref="AJ204:AM204" si="1571">AJ205-AJ203</f>
        <v>63.528875631783912</v>
      </c>
      <c r="AK204" s="67">
        <f t="shared" si="1570"/>
        <v>67.555949327433282</v>
      </c>
      <c r="AL204" s="67">
        <f t="shared" si="1571"/>
        <v>65.77233553016417</v>
      </c>
      <c r="AM204" s="67">
        <f t="shared" si="1571"/>
        <v>57.356455650369298</v>
      </c>
      <c r="AN204" s="67">
        <f t="shared" ref="AN204:AY204" si="1572">AN205-AN203</f>
        <v>40.823778472038455</v>
      </c>
      <c r="AO204" s="67">
        <f t="shared" si="1572"/>
        <v>42.9284746862389</v>
      </c>
      <c r="AP204" s="67">
        <f t="shared" si="1572"/>
        <v>57.480817854924368</v>
      </c>
      <c r="AQ204" s="67">
        <f t="shared" si="1572"/>
        <v>50.037509091670699</v>
      </c>
      <c r="AR204" s="67">
        <f t="shared" si="1572"/>
        <v>36.684590627207783</v>
      </c>
      <c r="AS204" s="67">
        <f t="shared" si="1572"/>
        <v>38.814163232492021</v>
      </c>
      <c r="AT204" s="67">
        <f t="shared" si="1572"/>
        <v>94.336082668213805</v>
      </c>
      <c r="AU204" s="67">
        <f t="shared" si="1572"/>
        <v>84.557499808103785</v>
      </c>
      <c r="AV204" s="67">
        <f t="shared" si="1572"/>
        <v>37.128189268594411</v>
      </c>
      <c r="AW204" s="67">
        <f t="shared" si="1572"/>
        <v>37.996782161995085</v>
      </c>
      <c r="AX204" s="67">
        <f t="shared" si="1572"/>
        <v>48.010265590783419</v>
      </c>
      <c r="AY204" s="67">
        <f t="shared" si="1572"/>
        <v>46.24910909738837</v>
      </c>
      <c r="AZ204" s="67">
        <f t="shared" ref="AZ204:BC204" si="1573">AZ205-AZ203</f>
        <v>41.215073236745745</v>
      </c>
      <c r="BA204" s="67">
        <f t="shared" si="1573"/>
        <v>44.942708747766574</v>
      </c>
      <c r="BB204" s="67">
        <f t="shared" si="1573"/>
        <v>44.047286310413966</v>
      </c>
      <c r="BC204" s="67">
        <f t="shared" si="1573"/>
        <v>47.527145766246932</v>
      </c>
      <c r="BD204" s="67">
        <f t="shared" ref="BD204:CE204" si="1574">BD205-BD203</f>
        <v>41.500349822497469</v>
      </c>
      <c r="BE204" s="67">
        <f t="shared" si="1574"/>
        <v>47.298567312677605</v>
      </c>
      <c r="BF204" s="67">
        <f t="shared" si="1574"/>
        <v>42.02255129147121</v>
      </c>
      <c r="BG204" s="67">
        <f t="shared" si="1574"/>
        <v>32.889072929056603</v>
      </c>
      <c r="BH204" s="67">
        <f t="shared" si="1574"/>
        <v>29.209588761045879</v>
      </c>
      <c r="BI204" s="67">
        <f t="shared" si="1574"/>
        <v>33.286189945186976</v>
      </c>
      <c r="BJ204" s="67">
        <f t="shared" si="1574"/>
        <v>23.405607342778367</v>
      </c>
      <c r="BK204" s="67">
        <f t="shared" si="1574"/>
        <v>21.978794467732172</v>
      </c>
      <c r="BL204" s="67">
        <f t="shared" si="1574"/>
        <v>32.788042513753879</v>
      </c>
      <c r="BM204" s="67">
        <f t="shared" si="1574"/>
        <v>34.913445566359954</v>
      </c>
      <c r="BN204" s="67">
        <f t="shared" si="1574"/>
        <v>26.456898475772654</v>
      </c>
      <c r="BO204" s="67">
        <f t="shared" si="1574"/>
        <v>22.46945633131336</v>
      </c>
      <c r="BP204" s="67">
        <f t="shared" si="1574"/>
        <v>40.991874904185181</v>
      </c>
      <c r="BQ204" s="67">
        <f t="shared" si="1574"/>
        <v>33.16664751366703</v>
      </c>
      <c r="BR204" s="67">
        <f t="shared" si="1574"/>
        <v>25.265159758162941</v>
      </c>
      <c r="BS204" s="67">
        <f t="shared" si="1574"/>
        <v>22.032541791118671</v>
      </c>
      <c r="BT204" s="67">
        <f t="shared" si="1574"/>
        <v>23.868113522537548</v>
      </c>
      <c r="BU204" s="67">
        <f t="shared" si="1574"/>
        <v>23.564521768084575</v>
      </c>
      <c r="BV204" s="67">
        <f t="shared" si="1574"/>
        <v>24.558030067724424</v>
      </c>
      <c r="BW204" s="67">
        <f t="shared" si="1574"/>
        <v>19.544475732979947</v>
      </c>
      <c r="BX204" s="67">
        <f t="shared" si="1574"/>
        <v>24.31792350266851</v>
      </c>
      <c r="BY204" s="67">
        <f t="shared" si="1574"/>
        <v>24.831148843839497</v>
      </c>
      <c r="BZ204" s="67">
        <f t="shared" si="1574"/>
        <v>21.701909959072303</v>
      </c>
      <c r="CA204" s="67">
        <f t="shared" si="1574"/>
        <v>18.459941977237222</v>
      </c>
      <c r="CB204" s="67">
        <f t="shared" si="1574"/>
        <v>20.98373670242929</v>
      </c>
      <c r="CC204" s="67">
        <f t="shared" si="1574"/>
        <v>21.908799185326409</v>
      </c>
      <c r="CD204" s="67">
        <f t="shared" si="1574"/>
        <v>21.73940793520012</v>
      </c>
      <c r="CE204" s="114">
        <f t="shared" si="1574"/>
        <v>18.651433691756274</v>
      </c>
      <c r="CF204" s="67">
        <f t="shared" ref="CF204:CG204" si="1575">CF205-CF203</f>
        <v>20.590933621154875</v>
      </c>
      <c r="CG204" s="67">
        <f t="shared" si="1575"/>
        <v>21.384446128138329</v>
      </c>
      <c r="CH204" s="67">
        <f t="shared" ref="CH204" si="1576">CH205-CH203</f>
        <v>95.425431815309452</v>
      </c>
      <c r="CI204" s="67">
        <f>CH204</f>
        <v>95.425431815309452</v>
      </c>
      <c r="CJ204" s="67">
        <f t="shared" ref="CJ204:CL204" si="1577">CJ205-CJ203</f>
        <v>25.411374320213845</v>
      </c>
      <c r="CK204" s="30">
        <f t="shared" ref="CK204:DB204" si="1578">CJ204</f>
        <v>25.411374320213845</v>
      </c>
      <c r="CL204" s="67">
        <f t="shared" si="1577"/>
        <v>23.317408181546732</v>
      </c>
      <c r="CM204" s="30">
        <f t="shared" si="1578"/>
        <v>23.317408181546732</v>
      </c>
      <c r="CN204" s="30">
        <f t="shared" si="1578"/>
        <v>23.317408181546732</v>
      </c>
      <c r="CO204" s="30">
        <f t="shared" si="1578"/>
        <v>23.317408181546732</v>
      </c>
      <c r="CP204" s="30">
        <f t="shared" si="1578"/>
        <v>23.317408181546732</v>
      </c>
      <c r="CQ204" s="30">
        <f t="shared" si="1578"/>
        <v>23.317408181546732</v>
      </c>
      <c r="CR204" s="30">
        <f t="shared" si="1578"/>
        <v>23.317408181546732</v>
      </c>
      <c r="CS204" s="30">
        <f t="shared" si="1578"/>
        <v>23.317408181546732</v>
      </c>
      <c r="CT204" s="30">
        <f t="shared" si="1578"/>
        <v>23.317408181546732</v>
      </c>
      <c r="CU204" s="30">
        <f t="shared" si="1578"/>
        <v>23.317408181546732</v>
      </c>
      <c r="CV204" s="30">
        <f t="shared" si="1578"/>
        <v>23.317408181546732</v>
      </c>
      <c r="CW204" s="30">
        <f t="shared" si="1578"/>
        <v>23.317408181546732</v>
      </c>
      <c r="CX204" s="30">
        <f t="shared" si="1578"/>
        <v>23.317408181546732</v>
      </c>
      <c r="CY204" s="30">
        <f t="shared" si="1578"/>
        <v>23.317408181546732</v>
      </c>
      <c r="CZ204" s="30">
        <f t="shared" si="1578"/>
        <v>23.317408181546732</v>
      </c>
      <c r="DA204" s="30">
        <f t="shared" si="1578"/>
        <v>23.317408181546732</v>
      </c>
      <c r="DB204" s="30">
        <f t="shared" si="1578"/>
        <v>23.317408181546732</v>
      </c>
      <c r="DE204" s="139"/>
      <c r="DF204" s="62">
        <v>104.60134805614399</v>
      </c>
    </row>
    <row r="205" spans="1:110" s="7" customFormat="1" outlineLevel="1" x14ac:dyDescent="0.2">
      <c r="A205" s="69" t="s">
        <v>469</v>
      </c>
      <c r="B205" s="70">
        <f t="shared" ref="B205:AE205" si="1579">B176/B28*365</f>
        <v>49.296328494687032</v>
      </c>
      <c r="C205" s="70">
        <f t="shared" si="1579"/>
        <v>56.452482506386673</v>
      </c>
      <c r="D205" s="70">
        <f t="shared" si="1579"/>
        <v>66.05859500406423</v>
      </c>
      <c r="E205" s="70">
        <f t="shared" si="1579"/>
        <v>62.823489455136084</v>
      </c>
      <c r="F205" s="70">
        <f t="shared" si="1579"/>
        <v>46.755260612798338</v>
      </c>
      <c r="G205" s="70">
        <f t="shared" si="1579"/>
        <v>48.326138261473822</v>
      </c>
      <c r="H205" s="70">
        <f t="shared" si="1579"/>
        <v>67.702455074319801</v>
      </c>
      <c r="I205" s="70">
        <f t="shared" si="1579"/>
        <v>47.780459832503944</v>
      </c>
      <c r="J205" s="70">
        <f t="shared" si="1579"/>
        <v>43.187378672371352</v>
      </c>
      <c r="K205" s="70">
        <f t="shared" si="1579"/>
        <v>55.774192186558892</v>
      </c>
      <c r="L205" s="70">
        <f t="shared" si="1579"/>
        <v>49.866596094092309</v>
      </c>
      <c r="M205" s="70">
        <f t="shared" si="1579"/>
        <v>62.308542046286114</v>
      </c>
      <c r="N205" s="70">
        <f t="shared" si="1579"/>
        <v>85.304622178318709</v>
      </c>
      <c r="O205" s="70">
        <f t="shared" si="1579"/>
        <v>69.070767470384212</v>
      </c>
      <c r="P205" s="70">
        <f t="shared" si="1579"/>
        <v>108.60949996017371</v>
      </c>
      <c r="Q205" s="70">
        <f t="shared" si="1579"/>
        <v>183.16550584365766</v>
      </c>
      <c r="R205" s="70">
        <f t="shared" si="1579"/>
        <v>176.35301541967249</v>
      </c>
      <c r="S205" s="70">
        <f t="shared" si="1579"/>
        <v>186.00940338293177</v>
      </c>
      <c r="T205" s="70">
        <f t="shared" si="1579"/>
        <v>169.63277577098935</v>
      </c>
      <c r="U205" s="70">
        <f t="shared" si="1579"/>
        <v>103.09687546116193</v>
      </c>
      <c r="V205" s="70">
        <f t="shared" si="1579"/>
        <v>120.90273908989452</v>
      </c>
      <c r="W205" s="70">
        <f t="shared" si="1579"/>
        <v>126.60447426778781</v>
      </c>
      <c r="X205" s="70">
        <f t="shared" si="1579"/>
        <v>108.64544186220355</v>
      </c>
      <c r="Y205" s="70">
        <f t="shared" si="1579"/>
        <v>126.90325795442119</v>
      </c>
      <c r="Z205" s="70">
        <f t="shared" si="1579"/>
        <v>136.99822922454217</v>
      </c>
      <c r="AA205" s="70">
        <f t="shared" ref="AA205" si="1580">AA176/AA28*365</f>
        <v>140.22270288773893</v>
      </c>
      <c r="AB205" s="71">
        <f t="shared" si="1579"/>
        <v>60.509030847080659</v>
      </c>
      <c r="AC205" s="71">
        <f t="shared" si="1579"/>
        <v>60.534378023420373</v>
      </c>
      <c r="AD205" s="71">
        <f t="shared" si="1579"/>
        <v>60.537296321511285</v>
      </c>
      <c r="AE205" s="71">
        <f t="shared" si="1579"/>
        <v>60.541048285662029</v>
      </c>
      <c r="AI205" s="70">
        <f t="shared" ref="AI205:CD205" si="1581">AI176/AI28*90</f>
        <v>0</v>
      </c>
      <c r="AJ205" s="70">
        <f t="shared" si="1581"/>
        <v>63.528875631783912</v>
      </c>
      <c r="AK205" s="70">
        <f>AK176/AK28*90</f>
        <v>67.555949327433282</v>
      </c>
      <c r="AL205" s="70">
        <f t="shared" si="1581"/>
        <v>92.318176500409464</v>
      </c>
      <c r="AM205" s="70">
        <f t="shared" si="1581"/>
        <v>83.902296620614592</v>
      </c>
      <c r="AN205" s="70">
        <f t="shared" si="1581"/>
        <v>56.435598984150054</v>
      </c>
      <c r="AO205" s="70">
        <f t="shared" si="1581"/>
        <v>58.540295198350499</v>
      </c>
      <c r="AP205" s="70">
        <f t="shared" si="1581"/>
        <v>81.397562533355497</v>
      </c>
      <c r="AQ205" s="70">
        <f t="shared" si="1581"/>
        <v>73.954253770101829</v>
      </c>
      <c r="AR205" s="70">
        <f t="shared" si="1581"/>
        <v>56.069764288619773</v>
      </c>
      <c r="AS205" s="70">
        <f t="shared" si="1581"/>
        <v>58.199336893904004</v>
      </c>
      <c r="AT205" s="70">
        <f t="shared" si="1581"/>
        <v>121.68409828610852</v>
      </c>
      <c r="AU205" s="70">
        <f t="shared" si="1581"/>
        <v>111.9055154259985</v>
      </c>
      <c r="AV205" s="70">
        <f t="shared" si="1581"/>
        <v>55.801144270913873</v>
      </c>
      <c r="AW205" s="70">
        <f t="shared" si="1581"/>
        <v>56.669737164314547</v>
      </c>
      <c r="AX205" s="70">
        <f t="shared" si="1581"/>
        <v>75.017191891900808</v>
      </c>
      <c r="AY205" s="70">
        <f t="shared" si="1581"/>
        <v>73.256035398505759</v>
      </c>
      <c r="AZ205" s="70">
        <f t="shared" si="1581"/>
        <v>62.895339117974849</v>
      </c>
      <c r="BA205" s="70">
        <f t="shared" si="1581"/>
        <v>66.622974628995678</v>
      </c>
      <c r="BB205" s="70">
        <f t="shared" si="1581"/>
        <v>73.133264982270092</v>
      </c>
      <c r="BC205" s="70">
        <f t="shared" si="1581"/>
        <v>76.613124438103057</v>
      </c>
      <c r="BD205" s="70">
        <f t="shared" si="1581"/>
        <v>57.475577207120828</v>
      </c>
      <c r="BE205" s="70">
        <f t="shared" si="1581"/>
        <v>63.273794697300964</v>
      </c>
      <c r="BF205" s="70">
        <f t="shared" si="1581"/>
        <v>73.219917481489858</v>
      </c>
      <c r="BG205" s="70">
        <f t="shared" si="1581"/>
        <v>64.086439119075251</v>
      </c>
      <c r="BH205" s="70">
        <f t="shared" si="1581"/>
        <v>48.476121127478784</v>
      </c>
      <c r="BI205" s="70">
        <f t="shared" si="1581"/>
        <v>52.552722311619881</v>
      </c>
      <c r="BJ205" s="70">
        <f t="shared" si="1581"/>
        <v>48.622536791473209</v>
      </c>
      <c r="BK205" s="70">
        <f t="shared" si="1581"/>
        <v>47.195723916427013</v>
      </c>
      <c r="BL205" s="70">
        <f t="shared" si="1581"/>
        <v>53.971368288210137</v>
      </c>
      <c r="BM205" s="70">
        <f t="shared" si="1581"/>
        <v>56.096771340816211</v>
      </c>
      <c r="BN205" s="70">
        <f t="shared" si="1581"/>
        <v>60.536940137836503</v>
      </c>
      <c r="BO205" s="70">
        <f t="shared" si="1581"/>
        <v>56.549497993377209</v>
      </c>
      <c r="BP205" s="70">
        <f t="shared" si="1581"/>
        <v>70.437411512205671</v>
      </c>
      <c r="BQ205" s="70">
        <f t="shared" si="1581"/>
        <v>62.61218412168752</v>
      </c>
      <c r="BR205" s="70">
        <f t="shared" si="1581"/>
        <v>57.099771976800291</v>
      </c>
      <c r="BS205" s="70">
        <f t="shared" si="1581"/>
        <v>53.867154009756021</v>
      </c>
      <c r="BT205" s="70">
        <f t="shared" si="1581"/>
        <v>52.795264835331601</v>
      </c>
      <c r="BU205" s="70">
        <f t="shared" si="1581"/>
        <v>52.491673080878627</v>
      </c>
      <c r="BV205" s="70">
        <f t="shared" si="1581"/>
        <v>56.904369266238646</v>
      </c>
      <c r="BW205" s="70">
        <f t="shared" si="1581"/>
        <v>51.89081493149417</v>
      </c>
      <c r="BX205" s="70">
        <f t="shared" si="1581"/>
        <v>52.561894643210117</v>
      </c>
      <c r="BY205" s="70">
        <f t="shared" si="1581"/>
        <v>53.075119984381104</v>
      </c>
      <c r="BZ205" s="70">
        <f t="shared" si="1581"/>
        <v>49.875905131703213</v>
      </c>
      <c r="CA205" s="70">
        <f t="shared" si="1581"/>
        <v>46.633937149868132</v>
      </c>
      <c r="CB205" s="70">
        <f t="shared" si="1581"/>
        <v>53.892417265860686</v>
      </c>
      <c r="CC205" s="70">
        <f t="shared" si="1581"/>
        <v>54.817479748757805</v>
      </c>
      <c r="CD205" s="70">
        <f t="shared" si="1581"/>
        <v>58.952804242628197</v>
      </c>
      <c r="CE205" s="115">
        <f>CE176/CE30*90</f>
        <v>55.864829999184352</v>
      </c>
      <c r="CF205" s="70">
        <f>CF176/CF28*90</f>
        <v>51.395934520597223</v>
      </c>
      <c r="CG205" s="70">
        <f>CG176/CG30*90</f>
        <v>52.189447027580677</v>
      </c>
      <c r="CH205" s="70">
        <f>CH176/CH28*90</f>
        <v>134.35678265998231</v>
      </c>
      <c r="CI205" s="70">
        <f>CI203+CI204</f>
        <v>134.35678265998231</v>
      </c>
      <c r="CJ205" s="70">
        <f>CJ176/CJ28*90</f>
        <v>59.402156880818509</v>
      </c>
      <c r="CK205" s="50">
        <f t="shared" ref="CK205:DB205" si="1582">CK203+CK204</f>
        <v>59.402156880818509</v>
      </c>
      <c r="CL205" s="70">
        <f>CL176/CL28*90</f>
        <v>62.232507216084407</v>
      </c>
      <c r="CM205" s="50">
        <f t="shared" si="1582"/>
        <v>62.232507216084407</v>
      </c>
      <c r="CN205" s="50">
        <f t="shared" si="1582"/>
        <v>62.232507216084407</v>
      </c>
      <c r="CO205" s="50">
        <f t="shared" si="1582"/>
        <v>62.232507216084407</v>
      </c>
      <c r="CP205" s="50">
        <f t="shared" si="1582"/>
        <v>62.232507216084407</v>
      </c>
      <c r="CQ205" s="50">
        <f t="shared" si="1582"/>
        <v>62.232507216084407</v>
      </c>
      <c r="CR205" s="50">
        <f t="shared" si="1582"/>
        <v>62.232507216084407</v>
      </c>
      <c r="CS205" s="50">
        <f t="shared" si="1582"/>
        <v>62.232507216084407</v>
      </c>
      <c r="CT205" s="50">
        <f t="shared" si="1582"/>
        <v>62.232507216084407</v>
      </c>
      <c r="CU205" s="50">
        <f t="shared" si="1582"/>
        <v>62.232507216084407</v>
      </c>
      <c r="CV205" s="50">
        <f t="shared" si="1582"/>
        <v>62.232507216084407</v>
      </c>
      <c r="CW205" s="50">
        <f t="shared" si="1582"/>
        <v>62.232507216084407</v>
      </c>
      <c r="CX205" s="50">
        <f t="shared" si="1582"/>
        <v>62.232507216084407</v>
      </c>
      <c r="CY205" s="50">
        <f t="shared" si="1582"/>
        <v>62.232507216084407</v>
      </c>
      <c r="CZ205" s="50">
        <f t="shared" si="1582"/>
        <v>62.232507216084407</v>
      </c>
      <c r="DA205" s="50">
        <f t="shared" si="1582"/>
        <v>62.232507216084407</v>
      </c>
      <c r="DB205" s="50">
        <f t="shared" si="1582"/>
        <v>62.232507216084407</v>
      </c>
      <c r="DE205" s="138"/>
      <c r="DF205" s="7">
        <v>140.22270288773893</v>
      </c>
    </row>
    <row r="206" spans="1:110" s="7" customFormat="1" x14ac:dyDescent="0.2">
      <c r="A206" s="69" t="s">
        <v>470</v>
      </c>
      <c r="B206" s="70">
        <f>B202-B205</f>
        <v>161.05072579694524</v>
      </c>
      <c r="C206" s="70">
        <f t="shared" ref="C206:V206" si="1583">C202-C205</f>
        <v>152.25566722068538</v>
      </c>
      <c r="D206" s="70">
        <f t="shared" si="1583"/>
        <v>166.27085225991982</v>
      </c>
      <c r="E206" s="70">
        <f t="shared" si="1583"/>
        <v>188.90183150274964</v>
      </c>
      <c r="F206" s="70">
        <f t="shared" si="1583"/>
        <v>211.40789335578205</v>
      </c>
      <c r="G206" s="70">
        <f t="shared" si="1583"/>
        <v>211.56706861494729</v>
      </c>
      <c r="H206" s="70">
        <f t="shared" si="1583"/>
        <v>223.9271504914089</v>
      </c>
      <c r="I206" s="70">
        <f t="shared" si="1583"/>
        <v>237.9852145205254</v>
      </c>
      <c r="J206" s="70">
        <f t="shared" si="1583"/>
        <v>179.05920291867497</v>
      </c>
      <c r="K206" s="70">
        <f t="shared" si="1583"/>
        <v>177.90354617442199</v>
      </c>
      <c r="L206" s="70">
        <f t="shared" si="1583"/>
        <v>163.92382119830668</v>
      </c>
      <c r="M206" s="70">
        <f t="shared" si="1583"/>
        <v>100.53169563451942</v>
      </c>
      <c r="N206" s="70">
        <f t="shared" si="1583"/>
        <v>84.220992399377678</v>
      </c>
      <c r="O206" s="70">
        <f t="shared" si="1583"/>
        <v>101.11216997549566</v>
      </c>
      <c r="P206" s="70">
        <f t="shared" si="1583"/>
        <v>57.297085378548843</v>
      </c>
      <c r="Q206" s="70">
        <f t="shared" si="1583"/>
        <v>97.502422288841075</v>
      </c>
      <c r="R206" s="70">
        <f t="shared" si="1583"/>
        <v>84.767295882460019</v>
      </c>
      <c r="S206" s="70">
        <f t="shared" si="1583"/>
        <v>99.51513537088627</v>
      </c>
      <c r="T206" s="70">
        <f t="shared" si="1583"/>
        <v>96.91067504608688</v>
      </c>
      <c r="U206" s="70">
        <f t="shared" si="1583"/>
        <v>85.141275927689449</v>
      </c>
      <c r="V206" s="70">
        <f t="shared" si="1583"/>
        <v>94.343867371775488</v>
      </c>
      <c r="W206" s="70">
        <f t="shared" ref="W206" si="1584">W202-W205</f>
        <v>123.09530319316922</v>
      </c>
      <c r="X206" s="70">
        <f t="shared" ref="X206:Y206" si="1585">X202-X205</f>
        <v>98.684896493644189</v>
      </c>
      <c r="Y206" s="70">
        <f t="shared" si="1585"/>
        <v>86.992731764056217</v>
      </c>
      <c r="Z206" s="70">
        <f t="shared" ref="Z206:AA206" si="1586">Z202-Z205</f>
        <v>107.30929130691504</v>
      </c>
      <c r="AA206" s="70">
        <f t="shared" si="1586"/>
        <v>133.59889445128408</v>
      </c>
      <c r="AB206" s="71">
        <f t="shared" ref="AB206:AD206" si="1587">AB202-AB205</f>
        <v>143.72455334973998</v>
      </c>
      <c r="AC206" s="71">
        <f t="shared" si="1587"/>
        <v>143.78475943050353</v>
      </c>
      <c r="AD206" s="71">
        <f t="shared" si="1587"/>
        <v>143.79169114108922</v>
      </c>
      <c r="AE206" s="71">
        <f t="shared" ref="AE206" si="1588">AE202-AE205</f>
        <v>143.80060302356696</v>
      </c>
      <c r="AI206" s="70">
        <f t="shared" ref="AI206:AK206" si="1589">AI202-AI205</f>
        <v>0</v>
      </c>
      <c r="AJ206" s="70">
        <f t="shared" ref="AJ206:AM206" si="1590">AJ202-AJ205</f>
        <v>90.197613721103636</v>
      </c>
      <c r="AK206" s="70">
        <f t="shared" si="1589"/>
        <v>85.297270962850362</v>
      </c>
      <c r="AL206" s="70">
        <f t="shared" si="1590"/>
        <v>86.274421869516033</v>
      </c>
      <c r="AM206" s="70">
        <f t="shared" si="1590"/>
        <v>88.427168567846493</v>
      </c>
      <c r="AN206" s="70">
        <f t="shared" ref="AN206:AY206" si="1591">AN202-AN205</f>
        <v>107.64012370303374</v>
      </c>
      <c r="AO206" s="70">
        <f t="shared" si="1591"/>
        <v>105.86161272497199</v>
      </c>
      <c r="AP206" s="70">
        <f t="shared" si="1591"/>
        <v>108.48165775728567</v>
      </c>
      <c r="AQ206" s="70">
        <f t="shared" si="1591"/>
        <v>110.19560705394203</v>
      </c>
      <c r="AR206" s="70">
        <f t="shared" si="1591"/>
        <v>100.53539952472363</v>
      </c>
      <c r="AS206" s="70">
        <f t="shared" si="1591"/>
        <v>99.235575597863928</v>
      </c>
      <c r="AT206" s="70">
        <f t="shared" si="1591"/>
        <v>64.146504006397734</v>
      </c>
      <c r="AU206" s="70">
        <f t="shared" si="1591"/>
        <v>69.193396841535574</v>
      </c>
      <c r="AV206" s="70">
        <f t="shared" si="1591"/>
        <v>104.51430338642334</v>
      </c>
      <c r="AW206" s="70">
        <f t="shared" si="1591"/>
        <v>102.88234584310345</v>
      </c>
      <c r="AX206" s="70">
        <f t="shared" si="1591"/>
        <v>97.679276256032011</v>
      </c>
      <c r="AY206" s="70">
        <f t="shared" si="1591"/>
        <v>98.128338120944193</v>
      </c>
      <c r="AZ206" s="70">
        <f t="shared" ref="AZ206:BC206" si="1592">AZ202-AZ205</f>
        <v>88.57665976755294</v>
      </c>
      <c r="BA206" s="70">
        <f t="shared" si="1592"/>
        <v>88.213602405319961</v>
      </c>
      <c r="BB206" s="70">
        <f t="shared" si="1592"/>
        <v>93.3782839529553</v>
      </c>
      <c r="BC206" s="70">
        <f t="shared" si="1592"/>
        <v>92.23140154585306</v>
      </c>
      <c r="BD206" s="70">
        <f t="shared" ref="BD206:CE206" si="1593">BD202-BD205</f>
        <v>79.032157756989989</v>
      </c>
      <c r="BE206" s="70">
        <f t="shared" si="1593"/>
        <v>77.41803804357545</v>
      </c>
      <c r="BF206" s="70">
        <f t="shared" si="1593"/>
        <v>108.9289549539366</v>
      </c>
      <c r="BG206" s="70">
        <f t="shared" si="1593"/>
        <v>110.07201406130328</v>
      </c>
      <c r="BH206" s="70">
        <f t="shared" si="1593"/>
        <v>81.982873274636319</v>
      </c>
      <c r="BI206" s="70">
        <f t="shared" si="1593"/>
        <v>81.008090938845584</v>
      </c>
      <c r="BJ206" s="70">
        <f t="shared" si="1593"/>
        <v>93.7311387751692</v>
      </c>
      <c r="BK206" s="70">
        <f t="shared" si="1593"/>
        <v>93.709201710569928</v>
      </c>
      <c r="BL206" s="70">
        <f t="shared" si="1593"/>
        <v>78.442608404156715</v>
      </c>
      <c r="BM206" s="70">
        <f t="shared" si="1593"/>
        <v>77.548312711566382</v>
      </c>
      <c r="BN206" s="70">
        <f t="shared" si="1593"/>
        <v>83.996401912667494</v>
      </c>
      <c r="BO206" s="70">
        <f t="shared" si="1593"/>
        <v>85.163057627295927</v>
      </c>
      <c r="BP206" s="70">
        <f t="shared" si="1593"/>
        <v>110.46286443444464</v>
      </c>
      <c r="BQ206" s="70">
        <f t="shared" si="1593"/>
        <v>114.28286661698898</v>
      </c>
      <c r="BR206" s="70">
        <f t="shared" si="1593"/>
        <v>94.11565790843116</v>
      </c>
      <c r="BS206" s="70">
        <f t="shared" si="1593"/>
        <v>94.048565015134713</v>
      </c>
      <c r="BT206" s="70">
        <f t="shared" si="1593"/>
        <v>93.543481560176048</v>
      </c>
      <c r="BU206" s="70">
        <f t="shared" si="1593"/>
        <v>93.596944611163082</v>
      </c>
      <c r="BV206" s="70">
        <f t="shared" si="1593"/>
        <v>125.73544245024736</v>
      </c>
      <c r="BW206" s="70">
        <f t="shared" si="1593"/>
        <v>121.86944872454112</v>
      </c>
      <c r="BX206" s="70">
        <f t="shared" si="1593"/>
        <v>101.98272880015813</v>
      </c>
      <c r="BY206" s="70">
        <f t="shared" si="1593"/>
        <v>102.17148947156682</v>
      </c>
      <c r="BZ206" s="70">
        <f t="shared" si="1593"/>
        <v>107.74097491866928</v>
      </c>
      <c r="CA206" s="70">
        <f t="shared" si="1593"/>
        <v>105.18471967284634</v>
      </c>
      <c r="CB206" s="70">
        <f t="shared" si="1593"/>
        <v>91.419806292104269</v>
      </c>
      <c r="CC206" s="70">
        <f t="shared" si="1593"/>
        <v>91.77452307159048</v>
      </c>
      <c r="CD206" s="70">
        <f t="shared" si="1593"/>
        <v>92.307103152959741</v>
      </c>
      <c r="CE206" s="115">
        <f t="shared" si="1593"/>
        <v>91.554951847926802</v>
      </c>
      <c r="CF206" s="70">
        <f t="shared" ref="CF206:CG206" si="1594">CF202-CF205</f>
        <v>87.725310307609277</v>
      </c>
      <c r="CG206" s="70">
        <f t="shared" si="1594"/>
        <v>87.578413614096178</v>
      </c>
      <c r="CH206" s="70">
        <f t="shared" ref="CH206:CI206" si="1595">CH202-CH205</f>
        <v>105.24027362345706</v>
      </c>
      <c r="CI206" s="70">
        <f t="shared" si="1595"/>
        <v>105.24027362345706</v>
      </c>
      <c r="CJ206" s="70">
        <f t="shared" ref="CJ206:DB206" si="1596">CJ202-CJ205</f>
        <v>115.71665591298735</v>
      </c>
      <c r="CK206" s="50">
        <f t="shared" si="1596"/>
        <v>115.71665591298735</v>
      </c>
      <c r="CL206" s="70">
        <f t="shared" ref="CL206" si="1597">CL202-CL205</f>
        <v>147.81825420523541</v>
      </c>
      <c r="CM206" s="50">
        <f t="shared" si="1596"/>
        <v>147.81825420523541</v>
      </c>
      <c r="CN206" s="50">
        <f t="shared" si="1596"/>
        <v>147.81825420523541</v>
      </c>
      <c r="CO206" s="50">
        <f t="shared" si="1596"/>
        <v>147.81825420523541</v>
      </c>
      <c r="CP206" s="50">
        <f t="shared" si="1596"/>
        <v>147.81825420523541</v>
      </c>
      <c r="CQ206" s="50">
        <f t="shared" si="1596"/>
        <v>147.81825420523541</v>
      </c>
      <c r="CR206" s="50">
        <f t="shared" si="1596"/>
        <v>147.81825420523541</v>
      </c>
      <c r="CS206" s="50">
        <f t="shared" si="1596"/>
        <v>147.81825420523541</v>
      </c>
      <c r="CT206" s="50">
        <f t="shared" si="1596"/>
        <v>147.81825420523541</v>
      </c>
      <c r="CU206" s="50">
        <f t="shared" si="1596"/>
        <v>147.81825420523541</v>
      </c>
      <c r="CV206" s="50">
        <f t="shared" si="1596"/>
        <v>147.81825420523541</v>
      </c>
      <c r="CW206" s="50">
        <f t="shared" si="1596"/>
        <v>147.81825420523541</v>
      </c>
      <c r="CX206" s="50">
        <f t="shared" si="1596"/>
        <v>147.81825420523541</v>
      </c>
      <c r="CY206" s="50">
        <f t="shared" si="1596"/>
        <v>147.81825420523541</v>
      </c>
      <c r="CZ206" s="50">
        <f t="shared" si="1596"/>
        <v>147.81825420523541</v>
      </c>
      <c r="DA206" s="50">
        <f t="shared" si="1596"/>
        <v>147.81825420523541</v>
      </c>
      <c r="DB206" s="50">
        <f t="shared" si="1596"/>
        <v>147.81825420523541</v>
      </c>
      <c r="DE206" s="138"/>
      <c r="DF206" s="7">
        <v>133.59889445128408</v>
      </c>
    </row>
    <row r="207" spans="1:110" s="7" customFormat="1" x14ac:dyDescent="0.2">
      <c r="A207" s="69" t="s">
        <v>86</v>
      </c>
      <c r="AB207" s="77"/>
      <c r="AC207" s="77"/>
      <c r="AD207" s="77"/>
      <c r="AE207" s="77"/>
      <c r="CE207" s="115"/>
      <c r="CG207" s="115"/>
      <c r="CK207" s="50"/>
      <c r="CM207" s="50"/>
      <c r="CN207" s="50"/>
      <c r="CO207" s="50"/>
      <c r="CP207" s="50"/>
      <c r="CQ207" s="50"/>
      <c r="CR207" s="50"/>
      <c r="CS207" s="50"/>
      <c r="CT207" s="50"/>
      <c r="CU207" s="50"/>
      <c r="CV207" s="50"/>
      <c r="CW207" s="50"/>
      <c r="CX207" s="50"/>
      <c r="CY207" s="50"/>
      <c r="CZ207" s="50"/>
      <c r="DA207" s="50"/>
      <c r="DB207" s="50"/>
      <c r="DE207" s="138"/>
    </row>
    <row r="208" spans="1:110" s="86" customFormat="1" x14ac:dyDescent="0.2">
      <c r="A208" s="86" t="s">
        <v>440</v>
      </c>
      <c r="C208" s="86">
        <f t="shared" ref="C208:Y208" si="1598">C30/B30-1</f>
        <v>0.15956304681463229</v>
      </c>
      <c r="D208" s="86">
        <f t="shared" si="1598"/>
        <v>5.4750434719188501E-2</v>
      </c>
      <c r="E208" s="86">
        <f t="shared" si="1598"/>
        <v>0.10220390266697033</v>
      </c>
      <c r="F208" s="86">
        <f t="shared" si="1598"/>
        <v>0.1740015333847984</v>
      </c>
      <c r="G208" s="86">
        <f t="shared" si="1598"/>
        <v>0.29771339311177347</v>
      </c>
      <c r="H208" s="86">
        <f t="shared" si="1598"/>
        <v>0.12259336349584626</v>
      </c>
      <c r="I208" s="86">
        <f t="shared" si="1598"/>
        <v>9.0113356253243238E-2</v>
      </c>
      <c r="J208" s="86">
        <f t="shared" si="1598"/>
        <v>0.26996482626626572</v>
      </c>
      <c r="K208" s="86">
        <f t="shared" si="1598"/>
        <v>5.5491973056143173E-2</v>
      </c>
      <c r="L208" s="86">
        <f t="shared" si="1598"/>
        <v>0.17691828297576406</v>
      </c>
      <c r="M208" s="86">
        <f t="shared" si="1598"/>
        <v>-9.9823808179364204E-2</v>
      </c>
      <c r="N208" s="86">
        <f t="shared" si="1598"/>
        <v>8.0134346234369547E-2</v>
      </c>
      <c r="O208" s="86">
        <f t="shared" si="1598"/>
        <v>0.17981121906568753</v>
      </c>
      <c r="P208" s="86">
        <f t="shared" si="1598"/>
        <v>0.11973219155138626</v>
      </c>
      <c r="Q208" s="86">
        <f t="shared" si="1598"/>
        <v>7.6356554730807602E-2</v>
      </c>
      <c r="R208" s="86">
        <f t="shared" si="1598"/>
        <v>0.11102287779038211</v>
      </c>
      <c r="S208" s="86">
        <f t="shared" si="1598"/>
        <v>3.321657189087035E-2</v>
      </c>
      <c r="T208" s="86">
        <f t="shared" si="1598"/>
        <v>0.16228449961867852</v>
      </c>
      <c r="U208" s="86">
        <f t="shared" si="1598"/>
        <v>8.0044223455641772E-2</v>
      </c>
      <c r="V208" s="86">
        <f t="shared" si="1598"/>
        <v>0.15089198683900551</v>
      </c>
      <c r="W208" s="86">
        <f t="shared" si="1598"/>
        <v>0.18688777572231174</v>
      </c>
      <c r="X208" s="86">
        <f t="shared" si="1598"/>
        <v>0.29907841777299793</v>
      </c>
      <c r="Y208" s="86">
        <f t="shared" si="1598"/>
        <v>0.10634198999213407</v>
      </c>
      <c r="Z208" s="86">
        <f>Z30/Y30-1</f>
        <v>0.12450686441972425</v>
      </c>
      <c r="AA208" s="86">
        <f>AA30/Z30-1</f>
        <v>5.8653386587189216E-2</v>
      </c>
      <c r="AB208" s="87">
        <f t="shared" ref="AB208:AE208" si="1599">AB30/AA30-1</f>
        <v>0.14053438891184489</v>
      </c>
      <c r="AC208" s="87">
        <f t="shared" si="1599"/>
        <v>9.7904623952742131E-2</v>
      </c>
      <c r="AD208" s="87">
        <f t="shared" si="1599"/>
        <v>0.10386515646982919</v>
      </c>
      <c r="AE208" s="87">
        <f t="shared" si="1599"/>
        <v>0.10399884125456649</v>
      </c>
      <c r="AN208" s="86">
        <f t="shared" ref="AN208:CI208" si="1600">+(AN30+AM30)/(AJ30+AI30)-1</f>
        <v>0.22790436190005603</v>
      </c>
      <c r="AO208" s="86">
        <f t="shared" si="1600"/>
        <v>0.17925510961165259</v>
      </c>
      <c r="AP208" s="86">
        <f t="shared" si="1600"/>
        <v>0.15291268760219023</v>
      </c>
      <c r="AQ208" s="86">
        <f t="shared" si="1600"/>
        <v>0.11551406198902647</v>
      </c>
      <c r="AR208" s="86">
        <f t="shared" si="1600"/>
        <v>0.11402631692409404</v>
      </c>
      <c r="AS208" s="86">
        <f t="shared" si="1600"/>
        <v>0.10797190701525339</v>
      </c>
      <c r="AT208" s="86">
        <f t="shared" si="1600"/>
        <v>0.10900666698229755</v>
      </c>
      <c r="AU208" s="86">
        <f t="shared" si="1600"/>
        <v>9.4692396798866429E-2</v>
      </c>
      <c r="AV208" s="86">
        <f t="shared" si="1600"/>
        <v>4.1297380579836673E-2</v>
      </c>
      <c r="AW208" s="86">
        <f t="shared" si="1600"/>
        <v>3.645151266286395E-2</v>
      </c>
      <c r="AX208" s="86">
        <f t="shared" si="1600"/>
        <v>0.12765193632830174</v>
      </c>
      <c r="AY208" s="86">
        <f t="shared" si="1600"/>
        <v>0.14753753854279394</v>
      </c>
      <c r="AZ208" s="86">
        <f t="shared" si="1600"/>
        <v>8.9851666079655557E-2</v>
      </c>
      <c r="BA208" s="86">
        <f t="shared" si="1600"/>
        <v>3.1457517984520011E-2</v>
      </c>
      <c r="BB208" s="86">
        <f t="shared" si="1600"/>
        <v>2.8049573749728829E-3</v>
      </c>
      <c r="BC208" s="86">
        <f t="shared" si="1600"/>
        <v>-4.3670903513022497E-2</v>
      </c>
      <c r="BD208" s="86">
        <f t="shared" si="1600"/>
        <v>2.4978238840097644E-2</v>
      </c>
      <c r="BE208" s="86">
        <f t="shared" si="1600"/>
        <v>0.12819177465958442</v>
      </c>
      <c r="BF208" s="86">
        <f t="shared" si="1600"/>
        <v>6.9450736515519695E-2</v>
      </c>
      <c r="BG208" s="86">
        <f t="shared" si="1600"/>
        <v>0.2292662260633791</v>
      </c>
      <c r="BH208" s="86">
        <f t="shared" si="1600"/>
        <v>0.3344682860207524</v>
      </c>
      <c r="BI208" s="86">
        <f t="shared" si="1600"/>
        <v>0.25351615876428735</v>
      </c>
      <c r="BJ208" s="86">
        <f t="shared" si="1600"/>
        <v>0.28517400066750542</v>
      </c>
      <c r="BK208" s="86">
        <f t="shared" si="1600"/>
        <v>0.19249645018541761</v>
      </c>
      <c r="BL208" s="86">
        <f t="shared" si="1600"/>
        <v>7.1555186706226959E-2</v>
      </c>
      <c r="BM208" s="86">
        <f t="shared" si="1600"/>
        <v>8.2802259444632709E-2</v>
      </c>
      <c r="BN208" s="86">
        <f t="shared" si="1600"/>
        <v>8.8970348627426921E-2</v>
      </c>
      <c r="BO208" s="86">
        <f t="shared" si="1600"/>
        <v>0.11656194907661632</v>
      </c>
      <c r="BP208" s="86">
        <f t="shared" si="1600"/>
        <v>7.0160781893505497E-2</v>
      </c>
      <c r="BQ208" s="86">
        <f t="shared" si="1600"/>
        <v>0.12059445296249138</v>
      </c>
      <c r="BR208" s="86">
        <f t="shared" si="1600"/>
        <v>0.23443105430972899</v>
      </c>
      <c r="BS208" s="86">
        <f t="shared" si="1600"/>
        <v>0.17455122616875851</v>
      </c>
      <c r="BT208" s="86">
        <f t="shared" si="1600"/>
        <v>0.24139487642478286</v>
      </c>
      <c r="BU208" s="86">
        <f t="shared" si="1600"/>
        <v>0.20355199383734912</v>
      </c>
      <c r="BV208" s="86">
        <f t="shared" si="1600"/>
        <v>0.13798817095642879</v>
      </c>
      <c r="BW208" s="86">
        <f t="shared" si="1600"/>
        <v>0.24236961686110825</v>
      </c>
      <c r="BX208" s="86">
        <f t="shared" si="1600"/>
        <v>0.3296497080900751</v>
      </c>
      <c r="BY208" s="86">
        <f t="shared" si="1600"/>
        <v>0.34221637652262804</v>
      </c>
      <c r="BZ208" s="86">
        <f t="shared" si="1600"/>
        <v>0.26916359243903254</v>
      </c>
      <c r="CA208" s="86">
        <f t="shared" si="1600"/>
        <v>0.17675606641123864</v>
      </c>
      <c r="CB208" s="86">
        <f t="shared" si="1600"/>
        <v>0.11522032303591034</v>
      </c>
      <c r="CC208" s="86">
        <f t="shared" si="1600"/>
        <v>7.74584152545017E-2</v>
      </c>
      <c r="CD208" s="86">
        <f t="shared" si="1600"/>
        <v>9.7239281557268908E-2</v>
      </c>
      <c r="CE208" s="86">
        <f t="shared" si="1600"/>
        <v>0.12517786942575326</v>
      </c>
      <c r="CF208" s="86">
        <f t="shared" si="1600"/>
        <v>0.12772084547285045</v>
      </c>
      <c r="CG208" s="86">
        <f t="shared" si="1600"/>
        <v>0.13779000724112977</v>
      </c>
      <c r="CH208" s="86">
        <f t="shared" si="1600"/>
        <v>0.12116114966241565</v>
      </c>
      <c r="CI208" s="86">
        <f t="shared" si="1600"/>
        <v>9.5004099392861141E-2</v>
      </c>
      <c r="CJ208" s="86">
        <f>+(CJ30+CI30)/(CF30+CE30)-1</f>
        <v>8.6692402070802421E-2</v>
      </c>
      <c r="CK208" s="87"/>
      <c r="CL208" s="86">
        <f>+(CL30+CK30)/(CH30+CG30)-1</f>
        <v>2.9263396707737144E-2</v>
      </c>
      <c r="CM208" s="87"/>
      <c r="CN208" s="87"/>
      <c r="CO208" s="87"/>
      <c r="CP208" s="87"/>
      <c r="CQ208" s="87"/>
      <c r="CR208" s="87"/>
      <c r="CS208" s="87"/>
      <c r="CT208" s="87"/>
      <c r="CU208" s="87"/>
      <c r="CV208" s="87"/>
      <c r="CW208" s="87"/>
      <c r="CX208" s="87"/>
      <c r="CY208" s="87"/>
      <c r="CZ208" s="87"/>
      <c r="DA208" s="87"/>
      <c r="DB208" s="87"/>
      <c r="DE208" s="141"/>
      <c r="DF208" s="86">
        <v>5.8653386587189216E-2</v>
      </c>
    </row>
    <row r="209" spans="1:110" s="86" customFormat="1" x14ac:dyDescent="0.2">
      <c r="A209" s="86" t="s">
        <v>441</v>
      </c>
      <c r="C209" s="86">
        <f t="shared" ref="C209" si="1601">C206/B206-1</f>
        <v>-5.4610487054549406E-2</v>
      </c>
      <c r="D209" s="86">
        <f t="shared" ref="D209" si="1602">D206/C206-1</f>
        <v>9.20503341193879E-2</v>
      </c>
      <c r="E209" s="86">
        <f>E206/D206-1</f>
        <v>0.13610911915849422</v>
      </c>
      <c r="F209" s="86">
        <f t="shared" ref="F209" si="1603">F206/E206-1</f>
        <v>0.11914157567447825</v>
      </c>
      <c r="G209" s="86">
        <f t="shared" ref="G209" si="1604">G206/F206-1</f>
        <v>7.5292959330219844E-4</v>
      </c>
      <c r="H209" s="86">
        <f t="shared" ref="H209" si="1605">H206/G206-1</f>
        <v>5.842157740984244E-2</v>
      </c>
      <c r="I209" s="86">
        <f t="shared" ref="I209" si="1606">I206/H206-1</f>
        <v>6.2779631671577185E-2</v>
      </c>
      <c r="J209" s="86">
        <f t="shared" ref="J209" si="1607">J206/I206-1</f>
        <v>-0.24760366613770568</v>
      </c>
      <c r="K209" s="86">
        <f>K206/J206-1</f>
        <v>-6.4540483003147076E-3</v>
      </c>
      <c r="L209" s="86">
        <f t="shared" ref="L209" si="1608">L206/K206-1</f>
        <v>-7.8580361531462417E-2</v>
      </c>
      <c r="M209" s="86">
        <f t="shared" ref="M209" si="1609">M206/L206-1</f>
        <v>-0.38671698292768997</v>
      </c>
      <c r="N209" s="86">
        <f t="shared" ref="N209" si="1610">N206/M206-1</f>
        <v>-0.16224438603362379</v>
      </c>
      <c r="O209" s="86">
        <f t="shared" ref="O209" si="1611">O206/N206-1</f>
        <v>0.20055780744092488</v>
      </c>
      <c r="P209" s="86">
        <f t="shared" ref="P209" si="1612">P206/O206-1</f>
        <v>-0.43333146353762675</v>
      </c>
      <c r="Q209" s="86">
        <f t="shared" ref="Q209" si="1613">Q206/P206-1</f>
        <v>0.70169951306710798</v>
      </c>
      <c r="R209" s="86">
        <f t="shared" ref="R209" si="1614">R206/Q206-1</f>
        <v>-0.13061343613243304</v>
      </c>
      <c r="S209" s="86">
        <f t="shared" ref="S209" si="1615">S206/R206-1</f>
        <v>0.17398029906340162</v>
      </c>
      <c r="T209" s="86">
        <f t="shared" ref="T209" si="1616">T206/S206-1</f>
        <v>-2.6171499592426262E-2</v>
      </c>
      <c r="U209" s="86">
        <f t="shared" ref="U209" si="1617">U206/T206-1</f>
        <v>-0.12144584807401626</v>
      </c>
      <c r="V209" s="86">
        <f t="shared" ref="V209" si="1618">V206/U206-1</f>
        <v>0.10808613500109865</v>
      </c>
      <c r="W209" s="86">
        <f t="shared" ref="W209:AA209" si="1619">W206/V206-1</f>
        <v>0.30475150767452197</v>
      </c>
      <c r="X209" s="86">
        <f t="shared" si="1619"/>
        <v>-0.19830493988238218</v>
      </c>
      <c r="Y209" s="86">
        <f t="shared" si="1619"/>
        <v>-0.11847977902414897</v>
      </c>
      <c r="Z209" s="86">
        <f t="shared" si="1619"/>
        <v>0.23354318379105377</v>
      </c>
      <c r="AA209" s="86">
        <f t="shared" si="1619"/>
        <v>0.2449890668756558</v>
      </c>
      <c r="AB209" s="87">
        <f t="shared" ref="AB209" si="1620">AB206/AA206-1</f>
        <v>7.5791487197883534E-2</v>
      </c>
      <c r="AC209" s="87">
        <f t="shared" ref="AC209" si="1621">AC206/AB206-1</f>
        <v>4.1889906324521498E-4</v>
      </c>
      <c r="AD209" s="87">
        <f t="shared" ref="AD209" si="1622">AD206/AC206-1</f>
        <v>4.8208938229210574E-5</v>
      </c>
      <c r="AE209" s="87">
        <f t="shared" ref="AE209" si="1623">AE206/AD206-1</f>
        <v>6.1977729081785782E-5</v>
      </c>
      <c r="AN209" s="86">
        <f t="shared" ref="AN209:CI209" si="1624">+AN206/AJ206-1</f>
        <v>0.19338105812714046</v>
      </c>
      <c r="AO209" s="86">
        <f t="shared" si="1624"/>
        <v>0.24109026619477714</v>
      </c>
      <c r="AP209" s="86">
        <f t="shared" si="1624"/>
        <v>0.25740231469016983</v>
      </c>
      <c r="AQ209" s="86">
        <f t="shared" si="1624"/>
        <v>0.24617364593545155</v>
      </c>
      <c r="AR209" s="86">
        <f t="shared" si="1624"/>
        <v>-6.6004422272044172E-2</v>
      </c>
      <c r="AS209" s="86">
        <f t="shared" si="1624"/>
        <v>-6.2591499945523044E-2</v>
      </c>
      <c r="AT209" s="86">
        <f t="shared" si="1624"/>
        <v>-0.4086880184858751</v>
      </c>
      <c r="AU209" s="86">
        <f t="shared" si="1624"/>
        <v>-0.37208570567005816</v>
      </c>
      <c r="AV209" s="86">
        <f t="shared" si="1624"/>
        <v>3.9577142782639685E-2</v>
      </c>
      <c r="AW209" s="86">
        <f t="shared" si="1624"/>
        <v>3.6748617854724497E-2</v>
      </c>
      <c r="AX209" s="86">
        <f t="shared" si="1624"/>
        <v>0.52275291957126524</v>
      </c>
      <c r="AY209" s="86">
        <f t="shared" si="1624"/>
        <v>0.41817489240591077</v>
      </c>
      <c r="AZ209" s="86">
        <f t="shared" si="1624"/>
        <v>-0.15249246373430581</v>
      </c>
      <c r="BA209" s="86">
        <f t="shared" si="1624"/>
        <v>-0.14257784771114634</v>
      </c>
      <c r="BB209" s="86">
        <f t="shared" si="1624"/>
        <v>-4.4031778980458069E-2</v>
      </c>
      <c r="BC209" s="86">
        <f t="shared" si="1624"/>
        <v>-6.0094124572079188E-2</v>
      </c>
      <c r="BD209" s="86">
        <f t="shared" si="1624"/>
        <v>-0.10775414240738002</v>
      </c>
      <c r="BE209" s="86">
        <f t="shared" si="1624"/>
        <v>-0.1223798152142288</v>
      </c>
      <c r="BF209" s="86">
        <f t="shared" si="1624"/>
        <v>0.16653412702267945</v>
      </c>
      <c r="BG209" s="86">
        <f t="shared" si="1624"/>
        <v>0.19343317152760298</v>
      </c>
      <c r="BH209" s="86">
        <f t="shared" si="1624"/>
        <v>3.7335631487112719E-2</v>
      </c>
      <c r="BI209" s="86">
        <f t="shared" si="1624"/>
        <v>4.6372305292074589E-2</v>
      </c>
      <c r="BJ209" s="86">
        <f t="shared" si="1624"/>
        <v>-0.13952044417569398</v>
      </c>
      <c r="BK209" s="86">
        <f t="shared" si="1624"/>
        <v>-0.14865551875538752</v>
      </c>
      <c r="BL209" s="86">
        <f t="shared" si="1624"/>
        <v>-4.3182981140707177E-2</v>
      </c>
      <c r="BM209" s="86">
        <f t="shared" si="1624"/>
        <v>-4.2709045321053796E-2</v>
      </c>
      <c r="BN209" s="86">
        <f t="shared" si="1624"/>
        <v>-0.10385808803467333</v>
      </c>
      <c r="BO209" s="86">
        <f t="shared" si="1624"/>
        <v>-9.1198558170088817E-2</v>
      </c>
      <c r="BP209" s="86">
        <f t="shared" si="1624"/>
        <v>0.40819978684685299</v>
      </c>
      <c r="BQ209" s="86">
        <f t="shared" si="1624"/>
        <v>0.47369894483782393</v>
      </c>
      <c r="BR209" s="86">
        <f t="shared" si="1624"/>
        <v>0.1204724936466306</v>
      </c>
      <c r="BS209" s="86">
        <f t="shared" si="1624"/>
        <v>0.10433523214637219</v>
      </c>
      <c r="BT209" s="86">
        <f t="shared" si="1624"/>
        <v>-0.15316806205319422</v>
      </c>
      <c r="BU209" s="86">
        <f t="shared" si="1624"/>
        <v>-0.18100632770398839</v>
      </c>
      <c r="BV209" s="86">
        <f t="shared" si="1624"/>
        <v>0.33596731133283209</v>
      </c>
      <c r="BW209" s="86">
        <f t="shared" si="1624"/>
        <v>0.29581401592814682</v>
      </c>
      <c r="BX209" s="86">
        <f t="shared" si="1624"/>
        <v>9.021737377342709E-2</v>
      </c>
      <c r="BY209" s="86">
        <f t="shared" si="1624"/>
        <v>9.1611375734812928E-2</v>
      </c>
      <c r="BZ209" s="86">
        <f t="shared" si="1624"/>
        <v>-0.14311372498409403</v>
      </c>
      <c r="CA209" s="86">
        <f t="shared" si="1624"/>
        <v>-0.13690657688463748</v>
      </c>
      <c r="CB209" s="86">
        <f t="shared" si="1624"/>
        <v>-0.10357560179383507</v>
      </c>
      <c r="CC209" s="86">
        <f t="shared" si="1624"/>
        <v>-0.10175995724198283</v>
      </c>
      <c r="CD209" s="86">
        <f t="shared" si="1624"/>
        <v>-0.14324978753311035</v>
      </c>
      <c r="CE209" s="86">
        <f t="shared" si="1624"/>
        <v>-0.12957935208946603</v>
      </c>
      <c r="CF209" s="86">
        <f t="shared" si="1624"/>
        <v>-4.0412424116174073E-2</v>
      </c>
      <c r="CG209" s="86">
        <f t="shared" si="1624"/>
        <v>-4.5721942398121218E-2</v>
      </c>
      <c r="CH209" s="86">
        <f t="shared" si="1624"/>
        <v>0.14011024101867964</v>
      </c>
      <c r="CI209" s="86">
        <f t="shared" si="1624"/>
        <v>0.14947658754997373</v>
      </c>
      <c r="CJ209" s="86">
        <f>+CJ206/CF206-1</f>
        <v>0.31907947098991452</v>
      </c>
      <c r="CK209" s="87"/>
      <c r="CL209" s="86">
        <f>+CL206/CH206-1</f>
        <v>0.40457877118525576</v>
      </c>
      <c r="CM209" s="87"/>
      <c r="CN209" s="87"/>
      <c r="CO209" s="87"/>
      <c r="CP209" s="87"/>
      <c r="CQ209" s="87"/>
      <c r="CR209" s="87"/>
      <c r="CS209" s="87"/>
      <c r="CT209" s="87"/>
      <c r="CU209" s="87"/>
      <c r="CV209" s="87"/>
      <c r="CW209" s="87"/>
      <c r="CX209" s="87"/>
      <c r="CY209" s="87"/>
      <c r="CZ209" s="87"/>
      <c r="DA209" s="87"/>
      <c r="DB209" s="87"/>
      <c r="DE209" s="141"/>
      <c r="DF209" s="86">
        <v>0.2449890668756558</v>
      </c>
    </row>
    <row r="210" spans="1:110" s="103" customFormat="1" x14ac:dyDescent="0.2">
      <c r="A210" s="147" t="s">
        <v>87</v>
      </c>
      <c r="C210" s="103">
        <f>IF(C209&gt;C208,"RF",0)</f>
        <v>0</v>
      </c>
      <c r="D210" s="103" t="str">
        <f>IF(D209&gt;D208,"RF",0)</f>
        <v>RF</v>
      </c>
      <c r="E210" s="103" t="str">
        <f t="shared" ref="E210:U210" si="1625">IF(E209&gt;E208,"RF",0)</f>
        <v>RF</v>
      </c>
      <c r="F210" s="103">
        <f t="shared" si="1625"/>
        <v>0</v>
      </c>
      <c r="G210" s="103">
        <f t="shared" si="1625"/>
        <v>0</v>
      </c>
      <c r="H210" s="103">
        <f t="shared" si="1625"/>
        <v>0</v>
      </c>
      <c r="I210" s="103">
        <f t="shared" si="1625"/>
        <v>0</v>
      </c>
      <c r="J210" s="103">
        <f t="shared" si="1625"/>
        <v>0</v>
      </c>
      <c r="K210" s="103">
        <f t="shared" si="1625"/>
        <v>0</v>
      </c>
      <c r="L210" s="103">
        <f t="shared" si="1625"/>
        <v>0</v>
      </c>
      <c r="M210" s="103">
        <f t="shared" si="1625"/>
        <v>0</v>
      </c>
      <c r="N210" s="103">
        <f t="shared" si="1625"/>
        <v>0</v>
      </c>
      <c r="O210" s="103" t="str">
        <f t="shared" si="1625"/>
        <v>RF</v>
      </c>
      <c r="P210" s="103">
        <f t="shared" si="1625"/>
        <v>0</v>
      </c>
      <c r="Q210" s="103" t="str">
        <f t="shared" si="1625"/>
        <v>RF</v>
      </c>
      <c r="R210" s="103">
        <f t="shared" si="1625"/>
        <v>0</v>
      </c>
      <c r="S210" s="103" t="str">
        <f t="shared" si="1625"/>
        <v>RF</v>
      </c>
      <c r="T210" s="103">
        <f t="shared" si="1625"/>
        <v>0</v>
      </c>
      <c r="U210" s="103">
        <f t="shared" si="1625"/>
        <v>0</v>
      </c>
      <c r="V210" s="103">
        <f>IF(V209&gt;V208,"RF",0)</f>
        <v>0</v>
      </c>
      <c r="W210" s="103" t="str">
        <f t="shared" ref="W210" si="1626">IF(W209&gt;W208,"RF",0)</f>
        <v>RF</v>
      </c>
      <c r="X210" s="103">
        <f t="shared" ref="X210:Y210" si="1627">IF(X209&gt;X208,"RF",0)</f>
        <v>0</v>
      </c>
      <c r="Y210" s="103">
        <f t="shared" si="1627"/>
        <v>0</v>
      </c>
      <c r="Z210" s="103" t="str">
        <f t="shared" ref="Z210:AA210" si="1628">IF(Z209&gt;Z208,"RF",0)</f>
        <v>RF</v>
      </c>
      <c r="AA210" s="103" t="str">
        <f t="shared" si="1628"/>
        <v>RF</v>
      </c>
      <c r="AB210" s="73">
        <f t="shared" ref="AB210:AD210" si="1629">IF(AB209&gt;AB208,"RF",0)</f>
        <v>0</v>
      </c>
      <c r="AC210" s="73">
        <f t="shared" si="1629"/>
        <v>0</v>
      </c>
      <c r="AD210" s="73">
        <f t="shared" si="1629"/>
        <v>0</v>
      </c>
      <c r="AE210" s="73">
        <f t="shared" ref="AE210" si="1630">IF(AE209&gt;AE208,"RF",0)</f>
        <v>0</v>
      </c>
      <c r="CK210" s="73"/>
      <c r="CM210" s="73"/>
      <c r="CN210" s="73"/>
      <c r="CO210" s="73"/>
      <c r="CP210" s="73"/>
      <c r="CQ210" s="73"/>
      <c r="CR210" s="73"/>
      <c r="CS210" s="73"/>
      <c r="CT210" s="73"/>
      <c r="CU210" s="73"/>
      <c r="CV210" s="73"/>
      <c r="CW210" s="73"/>
      <c r="CX210" s="73"/>
      <c r="CY210" s="73"/>
      <c r="CZ210" s="73"/>
      <c r="DA210" s="73"/>
      <c r="DB210" s="73"/>
      <c r="DE210" s="142"/>
      <c r="DF210" s="103" t="s">
        <v>538</v>
      </c>
    </row>
    <row r="211" spans="1:110" x14ac:dyDescent="0.2">
      <c r="A211" s="153" t="s">
        <v>494</v>
      </c>
      <c r="AA211" s="2"/>
      <c r="CL211" s="2"/>
    </row>
    <row r="212" spans="1:110" x14ac:dyDescent="0.2">
      <c r="A212" s="152" t="s">
        <v>495</v>
      </c>
      <c r="AA212" s="2"/>
      <c r="CL212" s="2"/>
    </row>
    <row r="213" spans="1:110" s="23" customFormat="1" x14ac:dyDescent="0.2">
      <c r="A213" s="23" t="s">
        <v>22</v>
      </c>
      <c r="C213" s="23">
        <f t="shared" ref="C213:AE213" si="1631">C68</f>
        <v>42.282500000000049</v>
      </c>
      <c r="D213" s="23">
        <f t="shared" si="1631"/>
        <v>47.968100000000007</v>
      </c>
      <c r="E213" s="23">
        <f t="shared" si="1631"/>
        <v>50.790000000000006</v>
      </c>
      <c r="F213" s="23">
        <f t="shared" si="1631"/>
        <v>58.344800000000014</v>
      </c>
      <c r="G213" s="23">
        <f t="shared" si="1631"/>
        <v>70.237099999999984</v>
      </c>
      <c r="H213" s="23">
        <f t="shared" si="1631"/>
        <v>62.177200000000035</v>
      </c>
      <c r="I213" s="23">
        <f t="shared" si="1631"/>
        <v>45.320399999999978</v>
      </c>
      <c r="J213" s="23">
        <f t="shared" si="1631"/>
        <v>25.709700000000012</v>
      </c>
      <c r="K213" s="23">
        <f t="shared" si="1631"/>
        <v>118.7526</v>
      </c>
      <c r="L213" s="23">
        <f t="shared" si="1631"/>
        <v>139.32369999999992</v>
      </c>
      <c r="M213" s="23">
        <f t="shared" si="1631"/>
        <v>677.90890000000013</v>
      </c>
      <c r="N213" s="23">
        <f t="shared" si="1631"/>
        <v>79.444100000000077</v>
      </c>
      <c r="O213" s="23">
        <f t="shared" si="1631"/>
        <v>61.495799999999988</v>
      </c>
      <c r="P213" s="23">
        <f t="shared" si="1631"/>
        <v>100.40510000000012</v>
      </c>
      <c r="Q213" s="23">
        <f t="shared" si="1631"/>
        <v>162.54650000000021</v>
      </c>
      <c r="R213" s="23">
        <f t="shared" si="1631"/>
        <v>184.06270000000004</v>
      </c>
      <c r="S213" s="23">
        <f t="shared" si="1631"/>
        <v>138.34089999999992</v>
      </c>
      <c r="T213" s="23">
        <f t="shared" si="1631"/>
        <v>193.46629999999982</v>
      </c>
      <c r="U213" s="23">
        <f t="shared" si="1631"/>
        <v>272.0471</v>
      </c>
      <c r="V213" s="23">
        <f t="shared" si="1631"/>
        <v>447.96359999999993</v>
      </c>
      <c r="W213" s="23">
        <f t="shared" si="1631"/>
        <v>385.35739999999987</v>
      </c>
      <c r="X213" s="23">
        <f t="shared" si="1631"/>
        <v>409.83550000000037</v>
      </c>
      <c r="Y213" s="23">
        <f t="shared" si="1631"/>
        <v>552.62779999999964</v>
      </c>
      <c r="Z213" s="23">
        <f t="shared" si="1631"/>
        <v>659.58179999999936</v>
      </c>
      <c r="AA213" s="23">
        <f t="shared" ref="AA213" si="1632">AA68</f>
        <v>709.47470000000067</v>
      </c>
      <c r="AB213" s="24">
        <f t="shared" si="1631"/>
        <v>818.34367797344999</v>
      </c>
      <c r="AC213" s="24">
        <f t="shared" si="1631"/>
        <v>957.32990659263942</v>
      </c>
      <c r="AD213" s="24">
        <f t="shared" si="1631"/>
        <v>1131.236715859271</v>
      </c>
      <c r="AE213" s="24">
        <f t="shared" si="1631"/>
        <v>1329.0935998842174</v>
      </c>
      <c r="AI213" s="23">
        <f t="shared" ref="AI213:BN213" si="1633">AI68</f>
        <v>4.3080000000000105</v>
      </c>
      <c r="AJ213" s="23">
        <f t="shared" si="1633"/>
        <v>39.002999999999993</v>
      </c>
      <c r="AK213" s="23">
        <f t="shared" si="1633"/>
        <v>21.873999999999995</v>
      </c>
      <c r="AL213" s="23">
        <f t="shared" si="1633"/>
        <v>19.751999999999995</v>
      </c>
      <c r="AM213" s="23">
        <f t="shared" si="1633"/>
        <v>20.324999999999982</v>
      </c>
      <c r="AN213" s="23">
        <f t="shared" si="1633"/>
        <v>33.143000000000036</v>
      </c>
      <c r="AO213" s="23">
        <f t="shared" si="1633"/>
        <v>-6.4750000000000085</v>
      </c>
      <c r="AP213" s="23">
        <f t="shared" si="1633"/>
        <v>21.431000000000029</v>
      </c>
      <c r="AQ213" s="23">
        <f t="shared" si="1633"/>
        <v>31.792000000000009</v>
      </c>
      <c r="AR213" s="23">
        <f t="shared" si="1633"/>
        <v>31.887</v>
      </c>
      <c r="AS213" s="23">
        <f t="shared" si="1633"/>
        <v>24.16699999999998</v>
      </c>
      <c r="AT213" s="23">
        <f t="shared" si="1633"/>
        <v>25.737000000000023</v>
      </c>
      <c r="AU213" s="23">
        <f t="shared" si="1633"/>
        <v>39.637999999999991</v>
      </c>
      <c r="AV213" s="23">
        <f t="shared" si="1633"/>
        <v>42.14700000000007</v>
      </c>
      <c r="AW213" s="23">
        <f t="shared" si="1633"/>
        <v>46.880999999999979</v>
      </c>
      <c r="AX213" s="23">
        <f t="shared" si="1633"/>
        <v>50.536000000000065</v>
      </c>
      <c r="AY213" s="23">
        <f t="shared" si="1633"/>
        <v>49.855000000000025</v>
      </c>
      <c r="AZ213" s="23">
        <f t="shared" si="1633"/>
        <v>45.200000000000031</v>
      </c>
      <c r="BA213" s="23">
        <f t="shared" si="1633"/>
        <v>35.762000000000029</v>
      </c>
      <c r="BB213" s="23">
        <f t="shared" si="1633"/>
        <v>42.149000000000029</v>
      </c>
      <c r="BC213" s="23">
        <f t="shared" si="1633"/>
        <v>20.368000000000016</v>
      </c>
      <c r="BD213" s="23">
        <f t="shared" si="1633"/>
        <v>51.721999999999973</v>
      </c>
      <c r="BE213" s="23">
        <f t="shared" si="1633"/>
        <v>33.850000000000037</v>
      </c>
      <c r="BF213" s="23">
        <f t="shared" si="1633"/>
        <v>22.057000000000016</v>
      </c>
      <c r="BG213" s="23">
        <f t="shared" si="1633"/>
        <v>45.623999999999967</v>
      </c>
      <c r="BH213" s="23">
        <f t="shared" si="1633"/>
        <v>51.327999999999996</v>
      </c>
      <c r="BI213" s="23">
        <f t="shared" si="1633"/>
        <v>49.85500000000004</v>
      </c>
      <c r="BJ213" s="23">
        <f t="shared" si="1633"/>
        <v>46.657000000000018</v>
      </c>
      <c r="BK213" s="23">
        <f t="shared" si="1633"/>
        <v>62.006999999999969</v>
      </c>
      <c r="BL213" s="23">
        <f t="shared" si="1633"/>
        <v>93.622999999999948</v>
      </c>
      <c r="BM213" s="23">
        <f t="shared" si="1633"/>
        <v>66.276000000000025</v>
      </c>
      <c r="BN213" s="23">
        <f t="shared" si="1633"/>
        <v>50.139999999999958</v>
      </c>
      <c r="BO213" s="23">
        <f t="shared" ref="BO213:CT213" si="1634">BO68</f>
        <v>119.42299999999994</v>
      </c>
      <c r="BP213" s="23">
        <f t="shared" si="1634"/>
        <v>73.823000000000036</v>
      </c>
      <c r="BQ213" s="23">
        <f t="shared" si="1634"/>
        <v>154.10700000000003</v>
      </c>
      <c r="BR213" s="23">
        <f t="shared" si="1634"/>
        <v>100.61200000000005</v>
      </c>
      <c r="BS213" s="23">
        <f t="shared" si="1634"/>
        <v>118.87000000000006</v>
      </c>
      <c r="BT213" s="23">
        <f t="shared" si="1634"/>
        <v>97.749999999999957</v>
      </c>
      <c r="BU213" s="23">
        <f t="shared" si="1634"/>
        <v>83.879999999999896</v>
      </c>
      <c r="BV213" s="23">
        <f t="shared" si="1634"/>
        <v>84.840000000000018</v>
      </c>
      <c r="BW213" s="23">
        <f t="shared" si="1634"/>
        <v>105.02999999999999</v>
      </c>
      <c r="BX213" s="23">
        <f t="shared" si="1634"/>
        <v>111.08000000000004</v>
      </c>
      <c r="BY213" s="23">
        <f t="shared" si="1634"/>
        <v>106.10000000000008</v>
      </c>
      <c r="BZ213" s="23">
        <f t="shared" si="1634"/>
        <v>87.630000000000038</v>
      </c>
      <c r="CA213" s="23">
        <f t="shared" si="1634"/>
        <v>142.32000000000002</v>
      </c>
      <c r="CB213" s="23">
        <f t="shared" si="1634"/>
        <v>150.58999999999995</v>
      </c>
      <c r="CC213" s="23">
        <f t="shared" si="1634"/>
        <v>133.57</v>
      </c>
      <c r="CD213" s="23">
        <f t="shared" si="1634"/>
        <v>126.16000000000005</v>
      </c>
      <c r="CE213" s="23">
        <f t="shared" si="1634"/>
        <v>176.83</v>
      </c>
      <c r="CF213" s="23">
        <f t="shared" si="1634"/>
        <v>174.56999999999991</v>
      </c>
      <c r="CG213" s="23">
        <f t="shared" si="1634"/>
        <v>162.48999999999998</v>
      </c>
      <c r="CH213" s="23">
        <f t="shared" si="1634"/>
        <v>145.68999999999994</v>
      </c>
      <c r="CI213" s="23">
        <f t="shared" si="1634"/>
        <v>202.38000000000011</v>
      </c>
      <c r="CJ213" s="23">
        <f t="shared" si="1634"/>
        <v>207.82000000000005</v>
      </c>
      <c r="CK213" s="24">
        <f t="shared" si="1634"/>
        <v>197.89000000000004</v>
      </c>
      <c r="CL213" s="23">
        <f t="shared" ref="CL213" si="1635">CL68</f>
        <v>101.37</v>
      </c>
      <c r="CM213" s="24">
        <f t="shared" si="1634"/>
        <v>213.93346222963768</v>
      </c>
      <c r="CN213" s="24">
        <f t="shared" si="1634"/>
        <v>208.56108004826689</v>
      </c>
      <c r="CO213" s="24">
        <f t="shared" si="1634"/>
        <v>202.66519641207918</v>
      </c>
      <c r="CP213" s="24">
        <f t="shared" si="1634"/>
        <v>193.18393928346643</v>
      </c>
      <c r="CQ213" s="24">
        <f t="shared" si="1634"/>
        <v>243.25996552911857</v>
      </c>
      <c r="CR213" s="24">
        <f t="shared" si="1634"/>
        <v>241.16810323794419</v>
      </c>
      <c r="CS213" s="24">
        <f t="shared" si="1634"/>
        <v>239.35487982228173</v>
      </c>
      <c r="CT213" s="24">
        <f t="shared" si="1634"/>
        <v>233.54695800329523</v>
      </c>
      <c r="CU213" s="24">
        <f t="shared" ref="CU213:DB213" si="1636">CU68</f>
        <v>285.29148124241618</v>
      </c>
      <c r="CV213" s="24">
        <f t="shared" si="1636"/>
        <v>284.49404423758153</v>
      </c>
      <c r="CW213" s="24">
        <f t="shared" si="1636"/>
        <v>283.81329595579649</v>
      </c>
      <c r="CX213" s="24">
        <f t="shared" si="1636"/>
        <v>277.63789442347667</v>
      </c>
      <c r="CY213" s="24">
        <f t="shared" si="1636"/>
        <v>334.48740534941305</v>
      </c>
      <c r="CZ213" s="24">
        <f t="shared" si="1636"/>
        <v>334.3141484453073</v>
      </c>
      <c r="DA213" s="24">
        <f t="shared" si="1636"/>
        <v>333.71779976405094</v>
      </c>
      <c r="DB213" s="24">
        <f t="shared" si="1636"/>
        <v>326.57424632544615</v>
      </c>
      <c r="DE213" s="123"/>
      <c r="DF213" s="23">
        <v>709.47470000000067</v>
      </c>
    </row>
    <row r="214" spans="1:110" s="23" customFormat="1" x14ac:dyDescent="0.2">
      <c r="A214" s="23" t="s">
        <v>88</v>
      </c>
      <c r="C214" s="23">
        <f t="shared" ref="C214:AE214" si="1637">C52</f>
        <v>5.9066999999999998</v>
      </c>
      <c r="D214" s="23">
        <f t="shared" si="1637"/>
        <v>7.3320999999999996</v>
      </c>
      <c r="E214" s="23">
        <f t="shared" si="1637"/>
        <v>9.4491999999999994</v>
      </c>
      <c r="F214" s="23">
        <f t="shared" si="1637"/>
        <v>10.4892</v>
      </c>
      <c r="G214" s="23">
        <f t="shared" si="1637"/>
        <v>10.730700000000001</v>
      </c>
      <c r="H214" s="23">
        <f t="shared" si="1637"/>
        <v>11.336399999999999</v>
      </c>
      <c r="I214" s="23">
        <f t="shared" si="1637"/>
        <v>16.900200000000002</v>
      </c>
      <c r="J214" s="23">
        <f t="shared" si="1637"/>
        <v>20.428699999999999</v>
      </c>
      <c r="K214" s="23">
        <f t="shared" si="1637"/>
        <v>21.5686</v>
      </c>
      <c r="L214" s="23">
        <f t="shared" si="1637"/>
        <v>22.787800000000001</v>
      </c>
      <c r="M214" s="23">
        <f t="shared" si="1637"/>
        <v>22.424600000000002</v>
      </c>
      <c r="N214" s="23">
        <f t="shared" si="1637"/>
        <v>24.658200000000001</v>
      </c>
      <c r="O214" s="23">
        <f t="shared" si="1637"/>
        <v>28.020700000000001</v>
      </c>
      <c r="P214" s="23">
        <f t="shared" si="1637"/>
        <v>38.641199999999998</v>
      </c>
      <c r="Q214" s="23">
        <f t="shared" si="1637"/>
        <v>41.222299999999997</v>
      </c>
      <c r="R214" s="23">
        <f t="shared" si="1637"/>
        <v>47.224400000000003</v>
      </c>
      <c r="S214" s="23">
        <f t="shared" si="1637"/>
        <v>56.973700000000001</v>
      </c>
      <c r="T214" s="23">
        <f t="shared" si="1637"/>
        <v>55.642000000000003</v>
      </c>
      <c r="U214" s="23">
        <f t="shared" si="1637"/>
        <v>66.322299999999998</v>
      </c>
      <c r="V214" s="23">
        <f t="shared" si="1637"/>
        <v>68.665499999999994</v>
      </c>
      <c r="W214" s="23">
        <f t="shared" si="1637"/>
        <v>72.659899999999993</v>
      </c>
      <c r="X214" s="23">
        <f t="shared" si="1637"/>
        <v>114.40689999999999</v>
      </c>
      <c r="Y214" s="23">
        <f t="shared" si="1637"/>
        <v>138.32040000000001</v>
      </c>
      <c r="Z214" s="23">
        <f t="shared" si="1637"/>
        <v>171.0369</v>
      </c>
      <c r="AA214" s="23">
        <f t="shared" ref="AA214" si="1638">AA52</f>
        <v>182.4991</v>
      </c>
      <c r="AB214" s="24">
        <f t="shared" si="1637"/>
        <v>195.44109052185476</v>
      </c>
      <c r="AC214" s="24">
        <f t="shared" si="1637"/>
        <v>187.54802685746193</v>
      </c>
      <c r="AD214" s="24">
        <f t="shared" si="1637"/>
        <v>180.48077911883587</v>
      </c>
      <c r="AE214" s="24">
        <f t="shared" si="1637"/>
        <v>174.15294588160612</v>
      </c>
      <c r="AI214" s="23">
        <f t="shared" ref="AI214:BN214" si="1639">AI52</f>
        <v>6.0129999999999999</v>
      </c>
      <c r="AJ214" s="23">
        <f t="shared" si="1639"/>
        <v>6.1269999999999998</v>
      </c>
      <c r="AK214" s="23">
        <f t="shared" si="1639"/>
        <v>6.25</v>
      </c>
      <c r="AL214" s="23">
        <f t="shared" si="1639"/>
        <v>6.0060000000000002</v>
      </c>
      <c r="AM214" s="23">
        <f t="shared" si="1639"/>
        <v>7.5</v>
      </c>
      <c r="AN214" s="23">
        <f t="shared" si="1639"/>
        <v>7.5</v>
      </c>
      <c r="AO214" s="23">
        <f t="shared" si="1639"/>
        <v>6</v>
      </c>
      <c r="AP214" s="23">
        <f t="shared" si="1639"/>
        <v>6.165</v>
      </c>
      <c r="AQ214" s="23">
        <f t="shared" si="1639"/>
        <v>9.9</v>
      </c>
      <c r="AR214" s="23">
        <f t="shared" si="1639"/>
        <v>10.01</v>
      </c>
      <c r="AS214" s="23">
        <f t="shared" si="1639"/>
        <v>10.11</v>
      </c>
      <c r="AT214" s="23">
        <f t="shared" si="1639"/>
        <v>7.58</v>
      </c>
      <c r="AU214" s="23">
        <f t="shared" si="1639"/>
        <v>9.77</v>
      </c>
      <c r="AV214" s="23">
        <f t="shared" si="1639"/>
        <v>10.039999999999999</v>
      </c>
      <c r="AW214" s="23">
        <f t="shared" si="1639"/>
        <v>10.226000000000001</v>
      </c>
      <c r="AX214" s="23">
        <f t="shared" si="1639"/>
        <v>10.372999999999999</v>
      </c>
      <c r="AY214" s="23">
        <f t="shared" si="1639"/>
        <v>11.317</v>
      </c>
      <c r="AZ214" s="23">
        <f t="shared" si="1639"/>
        <v>11.183</v>
      </c>
      <c r="BA214" s="23">
        <f t="shared" si="1639"/>
        <v>11.36</v>
      </c>
      <c r="BB214" s="23">
        <f t="shared" si="1639"/>
        <v>12.406000000000001</v>
      </c>
      <c r="BC214" s="23">
        <f t="shared" si="1639"/>
        <v>14.327999999999999</v>
      </c>
      <c r="BD214" s="23">
        <f t="shared" si="1639"/>
        <v>14.327</v>
      </c>
      <c r="BE214" s="23">
        <f t="shared" si="1639"/>
        <v>14.25</v>
      </c>
      <c r="BF214" s="23">
        <f t="shared" si="1639"/>
        <v>13.042999999999999</v>
      </c>
      <c r="BG214" s="23">
        <f t="shared" si="1639"/>
        <v>14.69</v>
      </c>
      <c r="BH214" s="23">
        <f t="shared" si="1639"/>
        <v>14.692</v>
      </c>
      <c r="BI214" s="23">
        <f t="shared" si="1639"/>
        <v>14.66</v>
      </c>
      <c r="BJ214" s="23">
        <f t="shared" si="1639"/>
        <v>11.6</v>
      </c>
      <c r="BK214" s="23">
        <f t="shared" si="1639"/>
        <v>15.798</v>
      </c>
      <c r="BL214" s="23">
        <f t="shared" si="1639"/>
        <v>16.387</v>
      </c>
      <c r="BM214" s="23">
        <f t="shared" si="1639"/>
        <v>16.748999999999999</v>
      </c>
      <c r="BN214" s="23">
        <f t="shared" si="1639"/>
        <v>17.388999999999999</v>
      </c>
      <c r="BO214" s="23">
        <f t="shared" ref="BO214:CT214" si="1640">BO52</f>
        <v>17.294</v>
      </c>
      <c r="BP214" s="23">
        <f t="shared" si="1640"/>
        <v>17.446000000000002</v>
      </c>
      <c r="BQ214" s="23">
        <f t="shared" si="1640"/>
        <v>17.393000000000001</v>
      </c>
      <c r="BR214" s="23">
        <f t="shared" si="1640"/>
        <v>16.532</v>
      </c>
      <c r="BS214" s="23">
        <f t="shared" si="1640"/>
        <v>17.850000000000001</v>
      </c>
      <c r="BT214" s="23">
        <f t="shared" si="1640"/>
        <v>15.74</v>
      </c>
      <c r="BU214" s="23">
        <f t="shared" si="1640"/>
        <v>16.97</v>
      </c>
      <c r="BV214" s="23">
        <f t="shared" si="1640"/>
        <v>22.11</v>
      </c>
      <c r="BW214" s="23">
        <f t="shared" si="1640"/>
        <v>26.08</v>
      </c>
      <c r="BX214" s="23">
        <f t="shared" si="1640"/>
        <v>28.13</v>
      </c>
      <c r="BY214" s="23">
        <f t="shared" si="1640"/>
        <v>28.4</v>
      </c>
      <c r="BZ214" s="23">
        <f t="shared" si="1640"/>
        <v>31.8</v>
      </c>
      <c r="CA214" s="23">
        <f t="shared" si="1640"/>
        <v>31.38</v>
      </c>
      <c r="CB214" s="23">
        <f t="shared" si="1640"/>
        <v>32.17</v>
      </c>
      <c r="CC214" s="23">
        <f t="shared" si="1640"/>
        <v>34.03</v>
      </c>
      <c r="CD214" s="23">
        <f t="shared" si="1640"/>
        <v>40.74</v>
      </c>
      <c r="CE214" s="23">
        <f t="shared" si="1640"/>
        <v>40.78</v>
      </c>
      <c r="CF214" s="23">
        <f t="shared" si="1640"/>
        <v>41.88</v>
      </c>
      <c r="CG214" s="23">
        <f t="shared" si="1640"/>
        <v>41.94</v>
      </c>
      <c r="CH214" s="23">
        <f t="shared" si="1640"/>
        <v>46.44</v>
      </c>
      <c r="CI214" s="23">
        <f t="shared" si="1640"/>
        <v>42.7</v>
      </c>
      <c r="CJ214" s="23">
        <f t="shared" si="1640"/>
        <v>44.44</v>
      </c>
      <c r="CK214" s="24">
        <f t="shared" si="1640"/>
        <v>45.35</v>
      </c>
      <c r="CL214" s="23">
        <f t="shared" ref="CL214" si="1641">CL52</f>
        <v>50.01</v>
      </c>
      <c r="CM214" s="24">
        <f t="shared" si="1640"/>
        <v>49.648935658940061</v>
      </c>
      <c r="CN214" s="24">
        <f t="shared" si="1640"/>
        <v>49.113499432055228</v>
      </c>
      <c r="CO214" s="24">
        <f t="shared" si="1640"/>
        <v>48.592653916750749</v>
      </c>
      <c r="CP214" s="24">
        <f t="shared" si="1640"/>
        <v>48.086001514108716</v>
      </c>
      <c r="CQ214" s="24">
        <f t="shared" si="1640"/>
        <v>47.593155459836979</v>
      </c>
      <c r="CR214" s="24">
        <f t="shared" si="1640"/>
        <v>47.11373952902408</v>
      </c>
      <c r="CS214" s="24">
        <f t="shared" si="1640"/>
        <v>46.647387748939686</v>
      </c>
      <c r="CT214" s="24">
        <f t="shared" si="1640"/>
        <v>46.19374411966119</v>
      </c>
      <c r="CU214" s="24">
        <f t="shared" ref="CU214:DB214" si="1642">CU52</f>
        <v>45.752462342313372</v>
      </c>
      <c r="CV214" s="24">
        <f t="shared" si="1642"/>
        <v>45.323205554713475</v>
      </c>
      <c r="CW214" s="24">
        <f t="shared" si="1642"/>
        <v>44.905646074220009</v>
      </c>
      <c r="CX214" s="24">
        <f t="shared" si="1642"/>
        <v>44.499465147589007</v>
      </c>
      <c r="CY214" s="24">
        <f t="shared" si="1642"/>
        <v>44.104352707646697</v>
      </c>
      <c r="CZ214" s="24">
        <f t="shared" si="1642"/>
        <v>43.720007136592869</v>
      </c>
      <c r="DA214" s="24">
        <f t="shared" si="1642"/>
        <v>43.346135035754273</v>
      </c>
      <c r="DB214" s="24">
        <f t="shared" si="1642"/>
        <v>42.982451001612276</v>
      </c>
      <c r="DE214" s="123"/>
      <c r="DF214" s="23">
        <v>182.4991</v>
      </c>
    </row>
    <row r="215" spans="1:110" s="22" customFormat="1" x14ac:dyDescent="0.2">
      <c r="A215" s="22" t="s">
        <v>89</v>
      </c>
      <c r="C215" s="22">
        <f t="shared" ref="C215:W215" si="1643">C213+C214</f>
        <v>48.189200000000049</v>
      </c>
      <c r="D215" s="22">
        <f t="shared" si="1643"/>
        <v>55.300200000000004</v>
      </c>
      <c r="E215" s="22">
        <f t="shared" si="1643"/>
        <v>60.239200000000004</v>
      </c>
      <c r="F215" s="22">
        <f t="shared" si="1643"/>
        <v>68.834000000000017</v>
      </c>
      <c r="G215" s="22">
        <f t="shared" si="1643"/>
        <v>80.967799999999983</v>
      </c>
      <c r="H215" s="22">
        <f t="shared" si="1643"/>
        <v>73.513600000000039</v>
      </c>
      <c r="I215" s="22">
        <f t="shared" si="1643"/>
        <v>62.220599999999976</v>
      </c>
      <c r="J215" s="22">
        <f t="shared" si="1643"/>
        <v>46.138400000000011</v>
      </c>
      <c r="K215" s="22">
        <f t="shared" si="1643"/>
        <v>140.3212</v>
      </c>
      <c r="L215" s="22">
        <f t="shared" si="1643"/>
        <v>162.11149999999992</v>
      </c>
      <c r="M215" s="22">
        <f t="shared" si="1643"/>
        <v>700.33350000000019</v>
      </c>
      <c r="N215" s="22">
        <f t="shared" si="1643"/>
        <v>104.10230000000007</v>
      </c>
      <c r="O215" s="22">
        <f t="shared" si="1643"/>
        <v>89.516499999999994</v>
      </c>
      <c r="P215" s="22">
        <f t="shared" si="1643"/>
        <v>139.04630000000012</v>
      </c>
      <c r="Q215" s="22">
        <f t="shared" si="1643"/>
        <v>203.7688000000002</v>
      </c>
      <c r="R215" s="22">
        <f t="shared" si="1643"/>
        <v>231.28710000000004</v>
      </c>
      <c r="S215" s="22">
        <f t="shared" si="1643"/>
        <v>195.31459999999993</v>
      </c>
      <c r="T215" s="22">
        <f t="shared" si="1643"/>
        <v>249.10829999999982</v>
      </c>
      <c r="U215" s="22">
        <f t="shared" si="1643"/>
        <v>338.36939999999998</v>
      </c>
      <c r="V215" s="22">
        <f t="shared" si="1643"/>
        <v>516.62909999999988</v>
      </c>
      <c r="W215" s="22">
        <f t="shared" si="1643"/>
        <v>458.01729999999986</v>
      </c>
      <c r="X215" s="22">
        <f t="shared" ref="X215:Y215" si="1644">X213+X214</f>
        <v>524.24240000000032</v>
      </c>
      <c r="Y215" s="22">
        <f t="shared" si="1644"/>
        <v>690.94819999999959</v>
      </c>
      <c r="Z215" s="22">
        <f t="shared" ref="Z215:AA215" si="1645">Z213+Z214</f>
        <v>830.61869999999931</v>
      </c>
      <c r="AA215" s="22">
        <f t="shared" si="1645"/>
        <v>891.97380000000067</v>
      </c>
      <c r="AB215" s="21">
        <f t="shared" ref="AB215:AD215" si="1646">AB213+AB214</f>
        <v>1013.7847684953048</v>
      </c>
      <c r="AC215" s="21">
        <f t="shared" si="1646"/>
        <v>1144.8779334501014</v>
      </c>
      <c r="AD215" s="21">
        <f t="shared" si="1646"/>
        <v>1311.717494978107</v>
      </c>
      <c r="AE215" s="21">
        <f t="shared" ref="AE215" si="1647">AE213+AE214</f>
        <v>1503.2465457658236</v>
      </c>
      <c r="AI215" s="22">
        <f t="shared" ref="AI215" si="1648">AI213+AI214</f>
        <v>10.32100000000001</v>
      </c>
      <c r="AJ215" s="22">
        <f t="shared" ref="AJ215:AL215" si="1649">AJ213+AJ214</f>
        <v>45.129999999999995</v>
      </c>
      <c r="AK215" s="22">
        <f t="shared" si="1649"/>
        <v>28.123999999999995</v>
      </c>
      <c r="AL215" s="22">
        <f t="shared" si="1649"/>
        <v>25.757999999999996</v>
      </c>
      <c r="AM215" s="22">
        <f t="shared" ref="AM215" si="1650">AM213+AM214</f>
        <v>27.824999999999982</v>
      </c>
      <c r="AN215" s="22">
        <f t="shared" ref="AN215:CD215" si="1651">AN213+AN214</f>
        <v>40.643000000000036</v>
      </c>
      <c r="AO215" s="22">
        <f t="shared" si="1651"/>
        <v>-0.47500000000000853</v>
      </c>
      <c r="AP215" s="22">
        <f t="shared" si="1651"/>
        <v>27.596000000000029</v>
      </c>
      <c r="AQ215" s="22">
        <f t="shared" si="1651"/>
        <v>41.692000000000007</v>
      </c>
      <c r="AR215" s="22">
        <f t="shared" si="1651"/>
        <v>41.896999999999998</v>
      </c>
      <c r="AS215" s="22">
        <f t="shared" si="1651"/>
        <v>34.27699999999998</v>
      </c>
      <c r="AT215" s="22">
        <f t="shared" si="1651"/>
        <v>33.317000000000021</v>
      </c>
      <c r="AU215" s="22">
        <f t="shared" si="1651"/>
        <v>49.407999999999987</v>
      </c>
      <c r="AV215" s="22">
        <f t="shared" si="1651"/>
        <v>52.187000000000069</v>
      </c>
      <c r="AW215" s="22">
        <f t="shared" si="1651"/>
        <v>57.106999999999978</v>
      </c>
      <c r="AX215" s="22">
        <f t="shared" si="1651"/>
        <v>60.909000000000063</v>
      </c>
      <c r="AY215" s="22">
        <f t="shared" si="1651"/>
        <v>61.172000000000025</v>
      </c>
      <c r="AZ215" s="22">
        <f t="shared" si="1651"/>
        <v>56.383000000000031</v>
      </c>
      <c r="BA215" s="22">
        <f t="shared" si="1651"/>
        <v>47.122000000000028</v>
      </c>
      <c r="BB215" s="22">
        <f t="shared" si="1651"/>
        <v>54.555000000000028</v>
      </c>
      <c r="BC215" s="22">
        <f t="shared" si="1651"/>
        <v>34.696000000000012</v>
      </c>
      <c r="BD215" s="22">
        <f t="shared" si="1651"/>
        <v>66.048999999999978</v>
      </c>
      <c r="BE215" s="22">
        <f t="shared" si="1651"/>
        <v>48.100000000000037</v>
      </c>
      <c r="BF215" s="22">
        <f t="shared" si="1651"/>
        <v>35.100000000000016</v>
      </c>
      <c r="BG215" s="22">
        <f t="shared" si="1651"/>
        <v>60.313999999999965</v>
      </c>
      <c r="BH215" s="22">
        <f t="shared" si="1651"/>
        <v>66.02</v>
      </c>
      <c r="BI215" s="22">
        <f t="shared" si="1651"/>
        <v>64.515000000000043</v>
      </c>
      <c r="BJ215" s="22">
        <f t="shared" si="1651"/>
        <v>58.257000000000019</v>
      </c>
      <c r="BK215" s="22">
        <f t="shared" si="1651"/>
        <v>77.804999999999964</v>
      </c>
      <c r="BL215" s="22">
        <f t="shared" si="1651"/>
        <v>110.00999999999995</v>
      </c>
      <c r="BM215" s="22">
        <f t="shared" si="1651"/>
        <v>83.02500000000002</v>
      </c>
      <c r="BN215" s="22">
        <f t="shared" si="1651"/>
        <v>67.528999999999954</v>
      </c>
      <c r="BO215" s="22">
        <f t="shared" si="1651"/>
        <v>136.71699999999996</v>
      </c>
      <c r="BP215" s="22">
        <f t="shared" si="1651"/>
        <v>91.269000000000034</v>
      </c>
      <c r="BQ215" s="22">
        <f t="shared" si="1651"/>
        <v>171.50000000000003</v>
      </c>
      <c r="BR215" s="22">
        <f t="shared" si="1651"/>
        <v>117.14400000000005</v>
      </c>
      <c r="BS215" s="22">
        <f t="shared" si="1651"/>
        <v>136.72000000000006</v>
      </c>
      <c r="BT215" s="22">
        <f t="shared" si="1651"/>
        <v>113.48999999999995</v>
      </c>
      <c r="BU215" s="22">
        <f t="shared" si="1651"/>
        <v>100.84999999999989</v>
      </c>
      <c r="BV215" s="22">
        <f t="shared" si="1651"/>
        <v>106.95000000000002</v>
      </c>
      <c r="BW215" s="22">
        <f t="shared" si="1651"/>
        <v>131.10999999999999</v>
      </c>
      <c r="BX215" s="22">
        <f t="shared" si="1651"/>
        <v>139.21000000000004</v>
      </c>
      <c r="BY215" s="22">
        <f t="shared" si="1651"/>
        <v>134.50000000000009</v>
      </c>
      <c r="BZ215" s="22">
        <f t="shared" si="1651"/>
        <v>119.43000000000004</v>
      </c>
      <c r="CA215" s="22">
        <f t="shared" si="1651"/>
        <v>173.70000000000002</v>
      </c>
      <c r="CB215" s="22">
        <f t="shared" si="1651"/>
        <v>182.75999999999993</v>
      </c>
      <c r="CC215" s="22">
        <f t="shared" si="1651"/>
        <v>167.6</v>
      </c>
      <c r="CD215" s="22">
        <f t="shared" si="1651"/>
        <v>166.90000000000006</v>
      </c>
      <c r="CE215" s="22">
        <f t="shared" ref="CE215:CF215" si="1652">CE213+CE214</f>
        <v>217.61</v>
      </c>
      <c r="CF215" s="22">
        <f t="shared" si="1652"/>
        <v>216.4499999999999</v>
      </c>
      <c r="CG215" s="22">
        <f t="shared" ref="CG215:CH215" si="1653">CG213+CG214</f>
        <v>204.42999999999998</v>
      </c>
      <c r="CH215" s="22">
        <f t="shared" si="1653"/>
        <v>192.12999999999994</v>
      </c>
      <c r="CI215" s="22">
        <f t="shared" ref="CI215:CJ215" si="1654">CI213+CI214</f>
        <v>245.0800000000001</v>
      </c>
      <c r="CJ215" s="22">
        <f t="shared" si="1654"/>
        <v>252.26000000000005</v>
      </c>
      <c r="CK215" s="21">
        <f t="shared" ref="CK215:DB215" si="1655">CK213+CK214</f>
        <v>243.24000000000004</v>
      </c>
      <c r="CL215" s="22">
        <f t="shared" si="1655"/>
        <v>151.38</v>
      </c>
      <c r="CM215" s="21">
        <f t="shared" si="1655"/>
        <v>263.58239788857776</v>
      </c>
      <c r="CN215" s="21">
        <f t="shared" si="1655"/>
        <v>257.67457948032211</v>
      </c>
      <c r="CO215" s="21">
        <f t="shared" si="1655"/>
        <v>251.25785032882993</v>
      </c>
      <c r="CP215" s="21">
        <f t="shared" si="1655"/>
        <v>241.26994079757515</v>
      </c>
      <c r="CQ215" s="21">
        <f t="shared" si="1655"/>
        <v>290.85312098895554</v>
      </c>
      <c r="CR215" s="21">
        <f t="shared" si="1655"/>
        <v>288.28184276696828</v>
      </c>
      <c r="CS215" s="21">
        <f t="shared" si="1655"/>
        <v>286.00226757122141</v>
      </c>
      <c r="CT215" s="21">
        <f t="shared" si="1655"/>
        <v>279.74070212295641</v>
      </c>
      <c r="CU215" s="21">
        <f t="shared" si="1655"/>
        <v>331.04394358472956</v>
      </c>
      <c r="CV215" s="21">
        <f t="shared" si="1655"/>
        <v>329.817249792295</v>
      </c>
      <c r="CW215" s="21">
        <f t="shared" si="1655"/>
        <v>328.71894203001648</v>
      </c>
      <c r="CX215" s="21">
        <f t="shared" si="1655"/>
        <v>322.13735957106564</v>
      </c>
      <c r="CY215" s="21">
        <f t="shared" si="1655"/>
        <v>378.59175805705974</v>
      </c>
      <c r="CZ215" s="21">
        <f t="shared" si="1655"/>
        <v>378.03415558190017</v>
      </c>
      <c r="DA215" s="21">
        <f t="shared" si="1655"/>
        <v>377.06393479980522</v>
      </c>
      <c r="DB215" s="21">
        <f t="shared" si="1655"/>
        <v>369.55669732705843</v>
      </c>
      <c r="DE215" s="126"/>
      <c r="DF215" s="22">
        <v>891.97380000000067</v>
      </c>
    </row>
    <row r="216" spans="1:110" s="23" customFormat="1" x14ac:dyDescent="0.2">
      <c r="A216" s="23" t="s">
        <v>65</v>
      </c>
      <c r="C216" s="23">
        <f t="shared" ref="C216:AA216" si="1656">B168-C168+B183+B184-C183-C184</f>
        <v>-20.954999999999966</v>
      </c>
      <c r="D216" s="23">
        <f t="shared" si="1656"/>
        <v>-28.539800000000021</v>
      </c>
      <c r="E216" s="23">
        <f>D168-E168+D183+D184-E183-E184</f>
        <v>-22.474599999999999</v>
      </c>
      <c r="F216" s="23">
        <f t="shared" si="1656"/>
        <v>-41.052800000000005</v>
      </c>
      <c r="G216" s="23">
        <f t="shared" si="1656"/>
        <v>-78.151899999999998</v>
      </c>
      <c r="H216" s="23">
        <f t="shared" si="1656"/>
        <v>-87.425400000000053</v>
      </c>
      <c r="I216" s="23">
        <f t="shared" si="1656"/>
        <v>-26.285899999999984</v>
      </c>
      <c r="J216" s="23">
        <f>I168-J168+I183+I184-J183-J184</f>
        <v>13.047899999999998</v>
      </c>
      <c r="K216" s="23">
        <f>J168-K168+J183+J184-K183-K184</f>
        <v>-43.730699999999956</v>
      </c>
      <c r="L216" s="23">
        <f t="shared" si="1656"/>
        <v>-36.642000000000003</v>
      </c>
      <c r="M216" s="23">
        <f t="shared" si="1656"/>
        <v>166.77029999999999</v>
      </c>
      <c r="N216" s="23">
        <f t="shared" si="1656"/>
        <v>-39.770400000000052</v>
      </c>
      <c r="O216" s="23">
        <f t="shared" si="1656"/>
        <v>-80.935299999999984</v>
      </c>
      <c r="P216" s="23">
        <f t="shared" si="1656"/>
        <v>-43.479700000000001</v>
      </c>
      <c r="Q216" s="23">
        <f t="shared" si="1656"/>
        <v>-423.74010000000004</v>
      </c>
      <c r="R216" s="23">
        <f t="shared" si="1656"/>
        <v>-38.17399999999995</v>
      </c>
      <c r="S216" s="23">
        <f t="shared" si="1656"/>
        <v>-105.11930000000011</v>
      </c>
      <c r="T216" s="23">
        <f t="shared" si="1656"/>
        <v>-69.502899999999784</v>
      </c>
      <c r="U216" s="23">
        <f t="shared" si="1656"/>
        <v>275.92510000000004</v>
      </c>
      <c r="V216" s="23">
        <f t="shared" si="1656"/>
        <v>-287.56090000000012</v>
      </c>
      <c r="W216" s="23">
        <f t="shared" si="1656"/>
        <v>-506.3812999999999</v>
      </c>
      <c r="X216" s="23">
        <f t="shared" si="1656"/>
        <v>-99.760700000000128</v>
      </c>
      <c r="Y216" s="23">
        <f t="shared" si="1656"/>
        <v>-208.19869999999986</v>
      </c>
      <c r="Z216" s="23">
        <f t="shared" si="1656"/>
        <v>-389.7467000000002</v>
      </c>
      <c r="AA216" s="23">
        <f t="shared" si="1656"/>
        <v>-469.37250000000006</v>
      </c>
      <c r="AB216" s="24">
        <f t="shared" ref="AB216" si="1657">AA168-AB168+AA183+AA184-AB183-AB184</f>
        <v>358.42067727016308</v>
      </c>
      <c r="AC216" s="24">
        <f t="shared" ref="AC216" si="1658">AB168-AC168+AB183+AB184-AC183-AC184</f>
        <v>-260.37434008347464</v>
      </c>
      <c r="AD216" s="24">
        <f t="shared" ref="AD216" si="1659">AC168-AD168+AC183+AC184-AD183-AD184</f>
        <v>-302.13321839754053</v>
      </c>
      <c r="AE216" s="24">
        <f t="shared" ref="AE216" si="1660">AD168-AE168+AD183+AD184-AE183-AE184</f>
        <v>-334.0082858097162</v>
      </c>
      <c r="AI216" s="23">
        <f>AH168-AI168+AH183+AH184-AI183-AJ184</f>
        <v>0</v>
      </c>
      <c r="AJ216" s="23">
        <f t="shared" ref="AJ216:AL216" si="1661">AI168-AJ168+AI183+AI184-AJ183-AK184</f>
        <v>-351.94799999999992</v>
      </c>
      <c r="AK216" s="23">
        <f t="shared" si="1661"/>
        <v>24.101776893970737</v>
      </c>
      <c r="AL216" s="23">
        <f t="shared" si="1661"/>
        <v>-54.25377689397078</v>
      </c>
      <c r="AM216" s="23">
        <f t="shared" ref="AM216" si="1662">AL168-AM168+AL183+AL184-AM183-AM184</f>
        <v>-43.327949303903608</v>
      </c>
      <c r="AN216" s="23">
        <f t="shared" ref="AN216" si="1663">AM168-AN168+AM183+AM184-AN183-AN184</f>
        <v>-11.803050696096435</v>
      </c>
      <c r="AO216" s="23">
        <f t="shared" ref="AO216" si="1664">AN168-AO168+AN183+AN184-AO183-AO184</f>
        <v>24.044069004332812</v>
      </c>
      <c r="AP216" s="23">
        <f t="shared" ref="AP216" si="1665">AO168-AP168+AO183+AO184-AP183-AP184</f>
        <v>-49.847069004332781</v>
      </c>
      <c r="AQ216" s="23">
        <f t="shared" ref="AQ216" si="1666">AP168-AQ168+AP183+AP184-AQ183-AQ184</f>
        <v>-55.025510021959917</v>
      </c>
      <c r="AR216" s="23">
        <f t="shared" ref="AR216" si="1667">AQ168-AR168+AQ183+AQ184-AR183-AR184</f>
        <v>48.578510021959943</v>
      </c>
      <c r="AS216" s="23">
        <f t="shared" ref="AS216" si="1668">AR168-AS168+AR183+AR184-AS183-AS184</f>
        <v>26.786538617987674</v>
      </c>
      <c r="AT216" s="23">
        <f t="shared" ref="AT216" si="1669">AS168-AT168+AS183+AS184-AT183-AT184</f>
        <v>-63.817538617987744</v>
      </c>
      <c r="AU216" s="23">
        <f t="shared" ref="AU216" si="1670">AT168-AU168+AT183+AT184-AU183-AU184</f>
        <v>-45.176218419236996</v>
      </c>
      <c r="AV216" s="23">
        <f t="shared" ref="AV216" si="1671">AU168-AV168+AU183+AU184-AV183-AV184</f>
        <v>55.780218419237031</v>
      </c>
      <c r="AW216" s="23">
        <f t="shared" ref="AW216" si="1672">AV168-AW168+AV183+AV184-AW183-AW184</f>
        <v>17.771157156847664</v>
      </c>
      <c r="AX216" s="23">
        <f t="shared" ref="AX216" si="1673">AW168-AX168+AW183+AW184-AX183-AX184</f>
        <v>-86.036157156847636</v>
      </c>
      <c r="AY216" s="23">
        <f t="shared" ref="AY216" si="1674">AX168-AY168+AX183+AX184-AY183-AY184</f>
        <v>-17.540466496454311</v>
      </c>
      <c r="AZ216" s="23">
        <f t="shared" ref="AZ216" si="1675">AY168-AZ168+AY183+AY184-AZ183-AZ184</f>
        <v>120.79246649645427</v>
      </c>
      <c r="BA216" s="23">
        <f t="shared" ref="BA216" si="1676">AZ168-BA168+AZ183+AZ184-BA183-BA184</f>
        <v>31.749594537759322</v>
      </c>
      <c r="BB216" s="23">
        <f t="shared" ref="BB216" si="1677">BA168-BB168+BA183+BA184-BB183-BB184</f>
        <v>-126.98859453775935</v>
      </c>
      <c r="BC216" s="23">
        <f t="shared" ref="BC216" si="1678">BB168-BC168+BB183+BB184-BC183-BC184</f>
        <v>34.129638152954044</v>
      </c>
      <c r="BD216" s="23">
        <f t="shared" ref="BD216" si="1679">BC168-BD168+BC183+BC184-BD183-BD184</f>
        <v>23.579361847045952</v>
      </c>
      <c r="BE216" s="23">
        <f t="shared" ref="BE216" si="1680">BD168-BE168+BD183+BD184-BE183-BE184</f>
        <v>50.411327854220474</v>
      </c>
      <c r="BF216" s="23">
        <f t="shared" ref="BF216" si="1681">BE168-BF168+BE183+BE184-BF183-BF184</f>
        <v>-164.12632785422048</v>
      </c>
      <c r="BG216" s="23">
        <f t="shared" ref="BG216" si="1682">BF168-BG168+BF183+BF184-BG183-BG184</f>
        <v>-142.86867927052117</v>
      </c>
      <c r="BH216" s="23">
        <f t="shared" ref="BH216" si="1683">BG168-BH168+BG183+BG184-BH183-BH184</f>
        <v>181.3816792705212</v>
      </c>
      <c r="BI216" s="23">
        <f t="shared" ref="BI216" si="1684">BH168-BI168+BH183+BH184-BI183-BI184</f>
        <v>64.118963968640855</v>
      </c>
      <c r="BJ216" s="23">
        <f t="shared" ref="BJ216" si="1685">BI168-BJ168+BI183+BI184-BJ183-BJ184</f>
        <v>-96.159963968640895</v>
      </c>
      <c r="BK216" s="23">
        <f t="shared" ref="BK216" si="1686">BJ168-BK168+BJ183+BJ184-BK183-BK184</f>
        <v>-35.833404127329004</v>
      </c>
      <c r="BL216" s="23">
        <f t="shared" ref="BL216" si="1687">BK168-BL168+BK183+BK184-BL183-BL184</f>
        <v>18.391404127329039</v>
      </c>
      <c r="BM216" s="23">
        <f t="shared" ref="BM216" si="1688">BL168-BM168+BL183+BL184-BM183-BM184</f>
        <v>35.015892582879246</v>
      </c>
      <c r="BN216" s="23">
        <f t="shared" ref="BN216" si="1689">BM168-BN168+BM183+BM184-BN183-BN184</f>
        <v>-76.078892582879334</v>
      </c>
      <c r="BO216" s="23">
        <f t="shared" ref="BO216" si="1690">BN168-BO168+BN183+BN184-BO183-BO184</f>
        <v>-110.04257902603625</v>
      </c>
      <c r="BP216" s="23">
        <f t="shared" ref="BP216" si="1691">BO168-BP168+BO183+BO184-BP183-BP184</f>
        <v>-70.248420973963732</v>
      </c>
      <c r="BQ216" s="23">
        <f t="shared" ref="BQ216" si="1692">BP168-BQ168+BP183+BP184-BQ183-BQ184</f>
        <v>-185.95582256450007</v>
      </c>
      <c r="BR216" s="23">
        <f t="shared" ref="BR216" si="1693">BQ168-BR168+BQ183+BQ184-BR183-BR184</f>
        <v>192.37482256450016</v>
      </c>
      <c r="BS216" s="23">
        <f t="shared" ref="BS216" si="1694">BR168-BS168+BR183+BR184-BS183-BS184</f>
        <v>-108.05440635437255</v>
      </c>
      <c r="BT216" s="23">
        <f t="shared" ref="BT216" si="1695">BS168-BT168+BS183+BS184-BT183-BT184</f>
        <v>34.012406354372516</v>
      </c>
      <c r="BU216" s="23">
        <f t="shared" ref="BU216" si="1696">BT168-BU168+BT183+BT184-BU183-BU184</f>
        <v>-10.75320240805388</v>
      </c>
      <c r="BV216" s="23">
        <f t="shared" ref="BV216" si="1697">BU168-BV168+BU183+BU184-BV183-BV184</f>
        <v>-303.50379759194612</v>
      </c>
      <c r="BW216" s="23">
        <f t="shared" ref="BW216" si="1698">BV168-BW168+BV183+BV184-BW183-BW184</f>
        <v>-247.70880577658932</v>
      </c>
      <c r="BX216" s="23">
        <f t="shared" ref="BX216" si="1699">BW168-BX168+BW183+BW184-BX183-BX184</f>
        <v>144.45880577658926</v>
      </c>
      <c r="BY216" s="23">
        <f t="shared" ref="BY216" si="1700">BX168-BY168+BX183+BX184-BY183-BY184</f>
        <v>22.54511353528369</v>
      </c>
      <c r="BZ216" s="23">
        <f t="shared" ref="BZ216" si="1701">BY168-BZ168+BY183+BY184-BZ183-BZ184</f>
        <v>68.334886464716647</v>
      </c>
      <c r="CA216" s="23">
        <f t="shared" ref="CA216" si="1702">BZ168-CA168+BZ183+BZ184-CA183-CA184</f>
        <v>-176.72644716129707</v>
      </c>
      <c r="CB216" s="23">
        <f t="shared" ref="CB216" si="1703">CA168-CB168+CA183+CA184-CB183-CB184</f>
        <v>113.8264471612967</v>
      </c>
      <c r="CC216" s="23">
        <f t="shared" ref="CC216" si="1704">CB168-CC168+CB183+CB184-CC183-CC184</f>
        <v>48.10208553541861</v>
      </c>
      <c r="CD216" s="23">
        <f t="shared" ref="CD216" si="1705">CC168-CD168+CC183+CC184-CD183-CD184</f>
        <v>-51.422085535418489</v>
      </c>
      <c r="CE216" s="23">
        <f t="shared" ref="CE216" si="1706">CD168-CE168+CD183+CD184-CE183-CE184</f>
        <v>-196.9247654137605</v>
      </c>
      <c r="CF216" s="23">
        <f t="shared" ref="CF216" si="1707">CE168-CF168+CE183+CE184-CF183-CF184</f>
        <v>114.03476541376071</v>
      </c>
      <c r="CG216" s="23">
        <f t="shared" ref="CG216" si="1708">CF168-CG168+CF183+CF184-CG183-CG184</f>
        <v>50.472932781674899</v>
      </c>
      <c r="CH216" s="23">
        <f t="shared" ref="CH216:CL216" si="1709">CG168-CH168+CG183+CG184-CH183-CH184</f>
        <v>-1021.3958327816754</v>
      </c>
      <c r="CI216" s="23">
        <f t="shared" si="1709"/>
        <v>-384.57989723006273</v>
      </c>
      <c r="CJ216" s="23">
        <f t="shared" si="1709"/>
        <v>808.12279723006282</v>
      </c>
      <c r="CK216" s="24">
        <f t="shared" ref="CK216" si="1710">CJ168-CK168+CJ183+CJ184-CK183-CK184</f>
        <v>39.265529357544892</v>
      </c>
      <c r="CL216" s="23">
        <f t="shared" si="1709"/>
        <v>-37.105529357544953</v>
      </c>
      <c r="CM216" s="24">
        <f t="shared" ref="CM216" si="1711">CL168-CM168+CL183+CL184-CM183-CM184</f>
        <v>-718.43895318668956</v>
      </c>
      <c r="CN216" s="24">
        <f t="shared" ref="CN216" si="1712">CM168-CN168+CM183+CM184-CN183-CN184</f>
        <v>20.001500282007328</v>
      </c>
      <c r="CO216" s="24">
        <f t="shared" ref="CO216" si="1713">CN168-CO168+CN183+CN184-CO183-CO184</f>
        <v>52.522025944727375</v>
      </c>
      <c r="CP216" s="24">
        <f t="shared" ref="CP216" si="1714">CO168-CP168+CO183+CO184-CP183-CP184</f>
        <v>109.26070423011788</v>
      </c>
      <c r="CQ216" s="24">
        <f t="shared" ref="CQ216" si="1715">CP168-CQ168+CP183+CP184-CQ183-CQ184</f>
        <v>-456.8315591201353</v>
      </c>
      <c r="CR216" s="24">
        <f t="shared" ref="CR216" si="1716">CQ168-CR168+CQ183+CQ184-CR183-CR184</f>
        <v>19.796117315285301</v>
      </c>
      <c r="CS216" s="24">
        <f t="shared" ref="CS216" si="1717">CR168-CS168+CR183+CR184-CS183-CS184</f>
        <v>57.487439232937959</v>
      </c>
      <c r="CT216" s="24">
        <f t="shared" ref="CT216" si="1718">CS168-CT168+CS183+CS184-CT183-CT184</f>
        <v>119.17366248843746</v>
      </c>
      <c r="CU216" s="24">
        <f t="shared" ref="CU216" si="1719">CT168-CU168+CT183+CT184-CU183-CU184</f>
        <v>-517.78803849046835</v>
      </c>
      <c r="CV216" s="24">
        <f t="shared" ref="CV216" si="1720">CU168-CV168+CU183+CU184-CV183-CV184</f>
        <v>20.287075961647133</v>
      </c>
      <c r="CW216" s="24">
        <f t="shared" ref="CW216" si="1721">CV168-CW168+CV183+CV184-CW183-CW184</f>
        <v>63.585225906825144</v>
      </c>
      <c r="CX216" s="24">
        <f t="shared" ref="CX216" si="1722">CW168-CX168+CW183+CW184-CX183-CX184</f>
        <v>131.78251822445554</v>
      </c>
      <c r="CY216" s="24">
        <f t="shared" ref="CY216" si="1723">CX168-CY168+CX183+CX184-CY183-CY184</f>
        <v>-570.67397053170362</v>
      </c>
      <c r="CZ216" s="24">
        <f t="shared" ref="CZ216" si="1724">CY168-CZ168+CY183+CY184-CZ183-CZ184</f>
        <v>20.65272672577612</v>
      </c>
      <c r="DA216" s="24">
        <f t="shared" ref="DA216" si="1725">CZ168-DA168+CZ183+CZ184-DA183-DA184</f>
        <v>70.313849088992356</v>
      </c>
      <c r="DB216" s="24">
        <f t="shared" ref="DB216" si="1726">DA168-DB168+DA183+DA184-DB183-DB184</f>
        <v>145.69910890721894</v>
      </c>
      <c r="DE216" s="123"/>
      <c r="DF216" s="23">
        <v>-469.37250000000006</v>
      </c>
    </row>
    <row r="217" spans="1:110" s="23" customFormat="1" x14ac:dyDescent="0.2">
      <c r="A217" s="23" t="s">
        <v>73</v>
      </c>
      <c r="C217" s="23">
        <f t="shared" ref="C217:AA217" si="1727">B176-C176</f>
        <v>-10.613400000000006</v>
      </c>
      <c r="D217" s="23">
        <f t="shared" si="1727"/>
        <v>-10.297199999999989</v>
      </c>
      <c r="E217" s="23">
        <f>D176-E176</f>
        <v>-1.9439000000000135</v>
      </c>
      <c r="F217" s="23">
        <f t="shared" si="1727"/>
        <v>7.0945000000000107</v>
      </c>
      <c r="G217" s="23">
        <f t="shared" si="1727"/>
        <v>-16.024900000000002</v>
      </c>
      <c r="H217" s="23">
        <f t="shared" si="1727"/>
        <v>-36.881699999999995</v>
      </c>
      <c r="I217" s="23">
        <f t="shared" si="1727"/>
        <v>24.295199999999994</v>
      </c>
      <c r="J217" s="23">
        <f>I176-J176</f>
        <v>-9.355400000000003</v>
      </c>
      <c r="K217" s="23">
        <f>J176-K176</f>
        <v>-30.742499999999993</v>
      </c>
      <c r="L217" s="23">
        <f t="shared" si="1727"/>
        <v>-5.9919000000000011</v>
      </c>
      <c r="M217" s="23">
        <f t="shared" si="1727"/>
        <v>-15.604399999999998</v>
      </c>
      <c r="N217" s="23">
        <f t="shared" si="1727"/>
        <v>-66.694099999999992</v>
      </c>
      <c r="O217" s="23">
        <f t="shared" si="1727"/>
        <v>9.0977999999999781</v>
      </c>
      <c r="P217" s="23">
        <f t="shared" si="1727"/>
        <v>-149.06480000000002</v>
      </c>
      <c r="Q217" s="23">
        <f t="shared" si="1727"/>
        <v>-273.22969999999998</v>
      </c>
      <c r="R217" s="23">
        <f t="shared" si="1727"/>
        <v>-43.077499999999986</v>
      </c>
      <c r="S217" s="23">
        <f t="shared" si="1727"/>
        <v>-59.36239999999998</v>
      </c>
      <c r="T217" s="23">
        <f t="shared" si="1727"/>
        <v>-43.196000000000026</v>
      </c>
      <c r="U217" s="23">
        <f t="shared" si="1727"/>
        <v>262.38800000000003</v>
      </c>
      <c r="V217" s="23">
        <f t="shared" si="1727"/>
        <v>-175.28060000000005</v>
      </c>
      <c r="W217" s="23">
        <f t="shared" si="1727"/>
        <v>-186.49279999999999</v>
      </c>
      <c r="X217" s="23">
        <f t="shared" si="1727"/>
        <v>-110.12240000000008</v>
      </c>
      <c r="Y217" s="23">
        <f t="shared" si="1727"/>
        <v>-280.06789999999978</v>
      </c>
      <c r="Z217" s="23">
        <f t="shared" si="1727"/>
        <v>-164.18550000000005</v>
      </c>
      <c r="AA217" s="23">
        <f t="shared" si="1727"/>
        <v>-121.64550000000031</v>
      </c>
      <c r="AB217" s="24">
        <f t="shared" ref="AB217" si="1728">AA176-AB176</f>
        <v>754.83304281654023</v>
      </c>
      <c r="AC217" s="24">
        <f t="shared" ref="AC217" si="1729">AB176-AC176</f>
        <v>-77.142057893456467</v>
      </c>
      <c r="AD217" s="24">
        <f t="shared" ref="AD217" si="1730">AC176-AD176</f>
        <v>-89.514113478644958</v>
      </c>
      <c r="AE217" s="24">
        <f t="shared" ref="AE217" si="1731">AD176-AE176</f>
        <v>-98.957856264049497</v>
      </c>
      <c r="AI217" s="23">
        <f t="shared" ref="AI217" si="1732">AH176-AI176</f>
        <v>0</v>
      </c>
      <c r="AJ217" s="23">
        <f t="shared" ref="AJ217" si="1733">AI176-AJ176</f>
        <v>-153.346</v>
      </c>
      <c r="AK217" s="23">
        <f t="shared" ref="AK217" si="1734">AJ176-AK176</f>
        <v>0</v>
      </c>
      <c r="AL217" s="23">
        <f t="shared" ref="AL217" si="1735">AK176-AL176</f>
        <v>-57.081999999999994</v>
      </c>
      <c r="AM217" s="23">
        <f t="shared" ref="AM217" si="1736">AL176-AM176</f>
        <v>-8.8627714385992249</v>
      </c>
      <c r="AN217" s="23">
        <f t="shared" ref="AN217" si="1737">AM176-AN176</f>
        <v>60.526771438599212</v>
      </c>
      <c r="AO217" s="23">
        <f t="shared" ref="AO217" si="1738">AN176-AO176</f>
        <v>2.967460150007696</v>
      </c>
      <c r="AP217" s="23">
        <f t="shared" ref="AP217" si="1739">AO176-AP176</f>
        <v>-50.951460150007676</v>
      </c>
      <c r="AQ217" s="23">
        <f t="shared" ref="AQ217" si="1740">AP176-AQ176</f>
        <v>-9.0365433643339088</v>
      </c>
      <c r="AR217" s="23">
        <f t="shared" ref="AR217" si="1741">AQ176-AR176</f>
        <v>41.184543364333905</v>
      </c>
      <c r="AS217" s="23">
        <f t="shared" ref="AS217" si="1742">AR176-AS176</f>
        <v>4.2259678581878006</v>
      </c>
      <c r="AT217" s="23">
        <f t="shared" ref="AT217" si="1743">AS176-AT176</f>
        <v>-174.52196785818776</v>
      </c>
      <c r="AU217" s="23">
        <f t="shared" ref="AU217" si="1744">AT176-AU176</f>
        <v>-8.4866969799131766</v>
      </c>
      <c r="AV217" s="23">
        <f t="shared" ref="AV217" si="1745">AU176-AV176</f>
        <v>172.94969697991311</v>
      </c>
      <c r="AW217" s="23">
        <f t="shared" ref="AW217" si="1746">AV176-AW176</f>
        <v>2.6266623369929789</v>
      </c>
      <c r="AX217" s="23">
        <f t="shared" ref="AX217" si="1747">AW176-AX176</f>
        <v>-74.550662336992957</v>
      </c>
      <c r="AY217" s="23">
        <f t="shared" ref="AY217" si="1748">AX176-AY176</f>
        <v>-3.4595872591731336</v>
      </c>
      <c r="AZ217" s="23">
        <f t="shared" ref="AZ217" si="1749">AY176-AZ176</f>
        <v>45.12558725917313</v>
      </c>
      <c r="BA217" s="23">
        <f t="shared" ref="BA217" si="1750">AZ176-BA176</f>
        <v>6.0237414291779316</v>
      </c>
      <c r="BB217" s="23">
        <f t="shared" ref="BB217" si="1751">BA176-BB176</f>
        <v>-44.198741429177943</v>
      </c>
      <c r="BC217" s="23">
        <f t="shared" ref="BC217" si="1752">BB176-BC176</f>
        <v>7.2469331748633579</v>
      </c>
      <c r="BD217" s="23">
        <f t="shared" ref="BD217" si="1753">BC176-BD176</f>
        <v>19.815066825136654</v>
      </c>
      <c r="BE217" s="23">
        <f t="shared" ref="BE217" si="1754">BD176-BE176</f>
        <v>7.5575250706123143</v>
      </c>
      <c r="BF217" s="23">
        <f t="shared" ref="BF217" si="1755">BE176-BF176</f>
        <v>-44.849525070612316</v>
      </c>
      <c r="BG217" s="23">
        <f t="shared" ref="BG217" si="1756">BF176-BG176</f>
        <v>-30.657305117529177</v>
      </c>
      <c r="BH217" s="23">
        <f t="shared" ref="BH217" si="1757">BG176-BH176</f>
        <v>55.26730511752919</v>
      </c>
      <c r="BI217" s="23">
        <f t="shared" ref="BI217" si="1758">BH176-BI176</f>
        <v>11.413707846456674</v>
      </c>
      <c r="BJ217" s="23">
        <f t="shared" ref="BJ217" si="1759">BI176-BJ176</f>
        <v>-3.2467078464566725</v>
      </c>
      <c r="BK217" s="23">
        <f t="shared" ref="BK217" si="1760">BJ176-BK176</f>
        <v>-7.6197155150806282</v>
      </c>
      <c r="BL217" s="23">
        <f t="shared" ref="BL217" si="1761">BK176-BL176</f>
        <v>-39.766284484919424</v>
      </c>
      <c r="BM217" s="23">
        <f t="shared" ref="BM217" si="1762">BL176-BM176</f>
        <v>6.5397634071474613</v>
      </c>
      <c r="BN217" s="23">
        <f t="shared" ref="BN217" si="1763">BM176-BN176</f>
        <v>-31.193763407147401</v>
      </c>
      <c r="BO217" s="23">
        <f t="shared" ref="BO217" si="1764">BN176-BO176</f>
        <v>-29.807161771900155</v>
      </c>
      <c r="BP217" s="23">
        <f t="shared" ref="BP217" si="1765">BO176-BP176</f>
        <v>-18.983838228099842</v>
      </c>
      <c r="BQ217" s="23">
        <f t="shared" ref="BQ217" si="1766">BP176-BQ176</f>
        <v>-34.239597140435194</v>
      </c>
      <c r="BR217" s="23">
        <f t="shared" ref="BR217" si="1767">BQ176-BR176</f>
        <v>46.11559714043517</v>
      </c>
      <c r="BS217" s="23">
        <f t="shared" ref="BS217" si="1768">BR176-BS176</f>
        <v>-27.42551842635612</v>
      </c>
      <c r="BT217" s="23">
        <f t="shared" ref="BT217" si="1769">BS176-BT176</f>
        <v>14.831518426356183</v>
      </c>
      <c r="BU217" s="23">
        <f t="shared" ref="BU217" si="1770">BT176-BU176</f>
        <v>-2.4555937336639317</v>
      </c>
      <c r="BV217" s="23">
        <f t="shared" ref="BV217" si="1771">BU176-BV176</f>
        <v>-44.586406266336098</v>
      </c>
      <c r="BW217" s="23">
        <f t="shared" ref="BW217" si="1772">BV176-BW176</f>
        <v>-57.583671848732706</v>
      </c>
      <c r="BX217" s="23">
        <f t="shared" ref="BX217" si="1773">BW176-BX176</f>
        <v>-20.236328151267344</v>
      </c>
      <c r="BY217" s="23">
        <f t="shared" ref="BY217" si="1774">BX176-BY176</f>
        <v>5.2502404131250842</v>
      </c>
      <c r="BZ217" s="23">
        <f t="shared" ref="BZ217" si="1775">BY176-BZ176</f>
        <v>45.019759586875011</v>
      </c>
      <c r="CA217" s="23">
        <f t="shared" ref="CA217" si="1776">BZ176-CA176</f>
        <v>-41.91038304124254</v>
      </c>
      <c r="CB217" s="23">
        <f t="shared" ref="CB217" si="1777">CA176-CB176</f>
        <v>-63.619616958757547</v>
      </c>
      <c r="CC217" s="23">
        <f t="shared" ref="CC217" si="1778">CB176-CC176</f>
        <v>13.61322419307271</v>
      </c>
      <c r="CD217" s="23">
        <f t="shared" ref="CD217" si="1779">CC176-CD176</f>
        <v>-50.083224193072738</v>
      </c>
      <c r="CE217" s="23">
        <f t="shared" ref="CE217" si="1780">CD176-CE176</f>
        <v>-58.991502790897357</v>
      </c>
      <c r="CF217" s="23">
        <f t="shared" ref="CF217" si="1781">CE176-CF176</f>
        <v>52.031502790897434</v>
      </c>
      <c r="CG217" s="23">
        <f t="shared" ref="CG217" si="1782">CF176-CG176</f>
        <v>12.708774259958773</v>
      </c>
      <c r="CH217" s="23">
        <f t="shared" ref="CH217:CL217" si="1783">CG176-CH176</f>
        <v>-858.72297425995873</v>
      </c>
      <c r="CI217" s="23">
        <f t="shared" si="1783"/>
        <v>-215.65756470067868</v>
      </c>
      <c r="CJ217" s="23">
        <f t="shared" si="1783"/>
        <v>917.03176470067854</v>
      </c>
      <c r="CK217" s="24">
        <f t="shared" ref="CK217" si="1784">CJ176-CK176</f>
        <v>13.319283620610236</v>
      </c>
      <c r="CL217" s="23">
        <f t="shared" si="1783"/>
        <v>77.490716379389823</v>
      </c>
      <c r="CM217" s="24">
        <f t="shared" ref="CM217" si="1785">CL176-CM176</f>
        <v>-212.85453590347606</v>
      </c>
      <c r="CN217" s="24">
        <f t="shared" ref="CN217" si="1786">CM176-CN176</f>
        <v>5.9259176315759987</v>
      </c>
      <c r="CO217" s="24">
        <f t="shared" ref="CO217" si="1787">CN176-CO176</f>
        <v>15.560892693230812</v>
      </c>
      <c r="CP217" s="24">
        <f t="shared" ref="CP217" si="1788">CO176-CP176</f>
        <v>32.37106839520925</v>
      </c>
      <c r="CQ217" s="24">
        <f t="shared" ref="CQ217" si="1789">CP176-CQ176</f>
        <v>-135.34715659732592</v>
      </c>
      <c r="CR217" s="24">
        <f t="shared" ref="CR217" si="1790">CQ176-CR176</f>
        <v>5.8650680689647743</v>
      </c>
      <c r="CS217" s="24">
        <f t="shared" ref="CS217" si="1791">CR176-CS176</f>
        <v>17.032013846034602</v>
      </c>
      <c r="CT217" s="24">
        <f t="shared" ref="CT217" si="1792">CS176-CT176</f>
        <v>35.308016788870077</v>
      </c>
      <c r="CU217" s="24">
        <f t="shared" ref="CU217" si="1793">CT176-CU176</f>
        <v>-153.4069556507194</v>
      </c>
      <c r="CV217" s="24">
        <f t="shared" ref="CV217" si="1794">CU176-CV176</f>
        <v>6.0105261824977561</v>
      </c>
      <c r="CW217" s="24">
        <f t="shared" ref="CW217" si="1795">CV176-CW176</f>
        <v>18.838627402762768</v>
      </c>
      <c r="CX217" s="24">
        <f t="shared" ref="CX217" si="1796">CW176-CX176</f>
        <v>39.043688586813914</v>
      </c>
      <c r="CY217" s="24">
        <f t="shared" ref="CY217" si="1797">CX176-CY176</f>
        <v>-169.07566413392215</v>
      </c>
      <c r="CZ217" s="24">
        <f t="shared" ref="CZ217" si="1798">CY176-CZ176</f>
        <v>6.1188588715258447</v>
      </c>
      <c r="DA217" s="24">
        <f t="shared" ref="DA217" si="1799">CZ176-DA176</f>
        <v>20.832141198690579</v>
      </c>
      <c r="DB217" s="24">
        <f t="shared" ref="DB217" si="1800">DA176-DB176</f>
        <v>43.166807799656226</v>
      </c>
      <c r="DE217" s="123"/>
      <c r="DF217" s="23">
        <v>-121.64550000000031</v>
      </c>
    </row>
    <row r="218" spans="1:110" s="22" customFormat="1" x14ac:dyDescent="0.2">
      <c r="A218" s="22" t="s">
        <v>90</v>
      </c>
      <c r="C218" s="22">
        <f t="shared" ref="C218:W218" si="1801">C216-C217</f>
        <v>-10.341599999999961</v>
      </c>
      <c r="D218" s="22">
        <f t="shared" si="1801"/>
        <v>-18.242600000000031</v>
      </c>
      <c r="E218" s="22">
        <f t="shared" si="1801"/>
        <v>-20.530699999999985</v>
      </c>
      <c r="F218" s="22">
        <f t="shared" si="1801"/>
        <v>-48.147300000000016</v>
      </c>
      <c r="G218" s="22">
        <f t="shared" si="1801"/>
        <v>-62.126999999999995</v>
      </c>
      <c r="H218" s="22">
        <f t="shared" si="1801"/>
        <v>-50.543700000000058</v>
      </c>
      <c r="I218" s="22">
        <f t="shared" si="1801"/>
        <v>-50.581099999999978</v>
      </c>
      <c r="J218" s="22">
        <f>J216-J217</f>
        <v>22.403300000000002</v>
      </c>
      <c r="K218" s="22">
        <f t="shared" si="1801"/>
        <v>-12.988199999999964</v>
      </c>
      <c r="L218" s="22">
        <f t="shared" si="1801"/>
        <v>-30.650100000000002</v>
      </c>
      <c r="M218" s="22">
        <f t="shared" si="1801"/>
        <v>182.37469999999999</v>
      </c>
      <c r="N218" s="22">
        <f t="shared" si="1801"/>
        <v>26.92369999999994</v>
      </c>
      <c r="O218" s="22">
        <f t="shared" si="1801"/>
        <v>-90.033099999999962</v>
      </c>
      <c r="P218" s="22">
        <f t="shared" si="1801"/>
        <v>105.58510000000001</v>
      </c>
      <c r="Q218" s="22">
        <f t="shared" si="1801"/>
        <v>-150.51040000000006</v>
      </c>
      <c r="R218" s="22">
        <f t="shared" si="1801"/>
        <v>4.9035000000000366</v>
      </c>
      <c r="S218" s="22">
        <f t="shared" si="1801"/>
        <v>-45.75690000000013</v>
      </c>
      <c r="T218" s="22">
        <f t="shared" si="1801"/>
        <v>-26.306899999999757</v>
      </c>
      <c r="U218" s="22">
        <f t="shared" si="1801"/>
        <v>13.537100000000009</v>
      </c>
      <c r="V218" s="22">
        <f t="shared" si="1801"/>
        <v>-112.28030000000007</v>
      </c>
      <c r="W218" s="22">
        <f t="shared" si="1801"/>
        <v>-319.88849999999991</v>
      </c>
      <c r="X218" s="22">
        <f t="shared" ref="X218:Y218" si="1802">X216-X217</f>
        <v>10.361699999999956</v>
      </c>
      <c r="Y218" s="22">
        <f t="shared" si="1802"/>
        <v>71.869199999999921</v>
      </c>
      <c r="Z218" s="22">
        <f t="shared" ref="Z218:AA218" si="1803">Z216-Z217</f>
        <v>-225.56120000000016</v>
      </c>
      <c r="AA218" s="22">
        <f t="shared" si="1803"/>
        <v>-347.72699999999975</v>
      </c>
      <c r="AB218" s="21">
        <f t="shared" ref="AB218:AD218" si="1804">AB216-AB217</f>
        <v>-396.41236554637715</v>
      </c>
      <c r="AC218" s="21">
        <f t="shared" si="1804"/>
        <v>-183.23228219001817</v>
      </c>
      <c r="AD218" s="21">
        <f t="shared" si="1804"/>
        <v>-212.61910491889557</v>
      </c>
      <c r="AE218" s="21">
        <f t="shared" ref="AE218" si="1805">AE216-AE217</f>
        <v>-235.0504295456667</v>
      </c>
      <c r="AI218" s="22">
        <f t="shared" ref="AI218" si="1806">AI216-AI217</f>
        <v>0</v>
      </c>
      <c r="AJ218" s="22">
        <f t="shared" ref="AJ218:AL218" si="1807">AJ216-AJ217</f>
        <v>-198.60199999999992</v>
      </c>
      <c r="AK218" s="22">
        <f t="shared" si="1807"/>
        <v>24.101776893970737</v>
      </c>
      <c r="AL218" s="22">
        <f t="shared" si="1807"/>
        <v>2.8282231060292133</v>
      </c>
      <c r="AM218" s="22">
        <f t="shared" ref="AM218" si="1808">AM216-AM217</f>
        <v>-34.465177865304383</v>
      </c>
      <c r="AN218" s="22">
        <f t="shared" ref="AN218:CD218" si="1809">AN216-AN217</f>
        <v>-72.329822134695647</v>
      </c>
      <c r="AO218" s="22">
        <f t="shared" si="1809"/>
        <v>21.076608854325116</v>
      </c>
      <c r="AP218" s="22">
        <f t="shared" si="1809"/>
        <v>1.1043911456748958</v>
      </c>
      <c r="AQ218" s="22">
        <f t="shared" si="1809"/>
        <v>-45.988966657626008</v>
      </c>
      <c r="AR218" s="22">
        <f t="shared" si="1809"/>
        <v>7.3939666576260379</v>
      </c>
      <c r="AS218" s="22">
        <f t="shared" si="1809"/>
        <v>22.560570759799873</v>
      </c>
      <c r="AT218" s="22">
        <f t="shared" si="1809"/>
        <v>110.70442924020003</v>
      </c>
      <c r="AU218" s="22">
        <f t="shared" si="1809"/>
        <v>-36.689521439323819</v>
      </c>
      <c r="AV218" s="22">
        <f t="shared" si="1809"/>
        <v>-117.16947856067608</v>
      </c>
      <c r="AW218" s="22">
        <f t="shared" si="1809"/>
        <v>15.144494819854685</v>
      </c>
      <c r="AX218" s="22">
        <f t="shared" si="1809"/>
        <v>-11.485494819854679</v>
      </c>
      <c r="AY218" s="22">
        <f t="shared" si="1809"/>
        <v>-14.080879237281177</v>
      </c>
      <c r="AZ218" s="22">
        <f t="shared" si="1809"/>
        <v>75.666879237281137</v>
      </c>
      <c r="BA218" s="22">
        <f t="shared" si="1809"/>
        <v>25.72585310858139</v>
      </c>
      <c r="BB218" s="22">
        <f t="shared" si="1809"/>
        <v>-82.789853108581411</v>
      </c>
      <c r="BC218" s="22">
        <f t="shared" si="1809"/>
        <v>26.882704978090686</v>
      </c>
      <c r="BD218" s="22">
        <f t="shared" si="1809"/>
        <v>3.7642950219092981</v>
      </c>
      <c r="BE218" s="22">
        <f t="shared" si="1809"/>
        <v>42.85380278360816</v>
      </c>
      <c r="BF218" s="22">
        <f t="shared" si="1809"/>
        <v>-119.27680278360816</v>
      </c>
      <c r="BG218" s="22">
        <f t="shared" si="1809"/>
        <v>-112.21137415299199</v>
      </c>
      <c r="BH218" s="22">
        <f t="shared" si="1809"/>
        <v>126.11437415299201</v>
      </c>
      <c r="BI218" s="22">
        <f t="shared" si="1809"/>
        <v>52.705256122184181</v>
      </c>
      <c r="BJ218" s="22">
        <f t="shared" si="1809"/>
        <v>-92.913256122184222</v>
      </c>
      <c r="BK218" s="22">
        <f t="shared" si="1809"/>
        <v>-28.213688612248376</v>
      </c>
      <c r="BL218" s="22">
        <f t="shared" si="1809"/>
        <v>58.157688612248464</v>
      </c>
      <c r="BM218" s="22">
        <f t="shared" si="1809"/>
        <v>28.476129175731785</v>
      </c>
      <c r="BN218" s="22">
        <f t="shared" si="1809"/>
        <v>-44.885129175731933</v>
      </c>
      <c r="BO218" s="22">
        <f t="shared" si="1809"/>
        <v>-80.235417254136095</v>
      </c>
      <c r="BP218" s="22">
        <f t="shared" si="1809"/>
        <v>-51.264582745863891</v>
      </c>
      <c r="BQ218" s="22">
        <f t="shared" si="1809"/>
        <v>-151.71622542406487</v>
      </c>
      <c r="BR218" s="22">
        <f t="shared" si="1809"/>
        <v>146.25922542406499</v>
      </c>
      <c r="BS218" s="22">
        <f t="shared" si="1809"/>
        <v>-80.628887928016425</v>
      </c>
      <c r="BT218" s="22">
        <f t="shared" si="1809"/>
        <v>19.180887928016332</v>
      </c>
      <c r="BU218" s="22">
        <f t="shared" si="1809"/>
        <v>-8.2976086743899486</v>
      </c>
      <c r="BV218" s="22">
        <f t="shared" si="1809"/>
        <v>-258.91739132561003</v>
      </c>
      <c r="BW218" s="22">
        <f t="shared" si="1809"/>
        <v>-190.12513392785661</v>
      </c>
      <c r="BX218" s="22">
        <f t="shared" si="1809"/>
        <v>164.6951339278566</v>
      </c>
      <c r="BY218" s="22">
        <f t="shared" si="1809"/>
        <v>17.294873122158606</v>
      </c>
      <c r="BZ218" s="22">
        <f t="shared" si="1809"/>
        <v>23.315126877841635</v>
      </c>
      <c r="CA218" s="22">
        <f t="shared" si="1809"/>
        <v>-134.81606412005453</v>
      </c>
      <c r="CB218" s="22">
        <f t="shared" si="1809"/>
        <v>177.44606412005425</v>
      </c>
      <c r="CC218" s="22">
        <f t="shared" si="1809"/>
        <v>34.488861342345899</v>
      </c>
      <c r="CD218" s="22">
        <f t="shared" si="1809"/>
        <v>-1.3388613423457514</v>
      </c>
      <c r="CE218" s="22">
        <f t="shared" ref="CE218:CF218" si="1810">CE216-CE217</f>
        <v>-137.93326262286314</v>
      </c>
      <c r="CF218" s="22">
        <f t="shared" si="1810"/>
        <v>62.003262622863275</v>
      </c>
      <c r="CG218" s="22">
        <f t="shared" ref="CG218:CH218" si="1811">CG216-CG217</f>
        <v>37.764158521716126</v>
      </c>
      <c r="CH218" s="22">
        <f t="shared" si="1811"/>
        <v>-162.67285852171665</v>
      </c>
      <c r="CI218" s="22">
        <f t="shared" ref="CI218:CJ218" si="1812">CI216-CI217</f>
        <v>-168.92233252938405</v>
      </c>
      <c r="CJ218" s="22">
        <f t="shared" si="1812"/>
        <v>-108.90896747061572</v>
      </c>
      <c r="CK218" s="21">
        <f t="shared" ref="CK218:DB218" si="1813">CK216-CK217</f>
        <v>25.946245736934657</v>
      </c>
      <c r="CL218" s="22">
        <f t="shared" si="1813"/>
        <v>-114.59624573693478</v>
      </c>
      <c r="CM218" s="21">
        <f t="shared" si="1813"/>
        <v>-505.5844172832135</v>
      </c>
      <c r="CN218" s="21">
        <f t="shared" si="1813"/>
        <v>14.075582650431329</v>
      </c>
      <c r="CO218" s="21">
        <f t="shared" si="1813"/>
        <v>36.961133251496562</v>
      </c>
      <c r="CP218" s="21">
        <f t="shared" si="1813"/>
        <v>76.889635834908631</v>
      </c>
      <c r="CQ218" s="21">
        <f t="shared" si="1813"/>
        <v>-321.48440252280938</v>
      </c>
      <c r="CR218" s="21">
        <f t="shared" si="1813"/>
        <v>13.931049246320526</v>
      </c>
      <c r="CS218" s="21">
        <f t="shared" si="1813"/>
        <v>40.455425386903357</v>
      </c>
      <c r="CT218" s="21">
        <f t="shared" si="1813"/>
        <v>83.865645699567381</v>
      </c>
      <c r="CU218" s="21">
        <f t="shared" si="1813"/>
        <v>-364.38108283974896</v>
      </c>
      <c r="CV218" s="21">
        <f t="shared" si="1813"/>
        <v>14.276549779149377</v>
      </c>
      <c r="CW218" s="21">
        <f t="shared" si="1813"/>
        <v>44.746598504062376</v>
      </c>
      <c r="CX218" s="21">
        <f t="shared" si="1813"/>
        <v>92.738829637641629</v>
      </c>
      <c r="CY218" s="21">
        <f t="shared" si="1813"/>
        <v>-401.59830639778147</v>
      </c>
      <c r="CZ218" s="21">
        <f t="shared" si="1813"/>
        <v>14.533867854250275</v>
      </c>
      <c r="DA218" s="21">
        <f t="shared" si="1813"/>
        <v>49.481707890301777</v>
      </c>
      <c r="DB218" s="21">
        <f t="shared" si="1813"/>
        <v>102.53230110756272</v>
      </c>
      <c r="DE218" s="126"/>
      <c r="DF218" s="22">
        <v>-347.72699999999975</v>
      </c>
    </row>
    <row r="219" spans="1:110" s="22" customFormat="1" x14ac:dyDescent="0.2">
      <c r="A219" s="22" t="s">
        <v>91</v>
      </c>
      <c r="C219" s="22">
        <f t="shared" ref="C219:W219" si="1814">C215+C218</f>
        <v>37.847600000000085</v>
      </c>
      <c r="D219" s="22">
        <f>D215+D218</f>
        <v>37.057599999999972</v>
      </c>
      <c r="E219" s="22">
        <f t="shared" si="1814"/>
        <v>39.708500000000015</v>
      </c>
      <c r="F219" s="22">
        <f t="shared" si="1814"/>
        <v>20.686700000000002</v>
      </c>
      <c r="G219" s="22">
        <f t="shared" si="1814"/>
        <v>18.840799999999987</v>
      </c>
      <c r="H219" s="22">
        <f t="shared" si="1814"/>
        <v>22.969899999999981</v>
      </c>
      <c r="I219" s="22">
        <f t="shared" si="1814"/>
        <v>11.639499999999998</v>
      </c>
      <c r="J219" s="22">
        <f>J215+J218</f>
        <v>68.54170000000002</v>
      </c>
      <c r="K219" s="22">
        <f t="shared" si="1814"/>
        <v>127.33300000000004</v>
      </c>
      <c r="L219" s="22">
        <f t="shared" si="1814"/>
        <v>131.46139999999991</v>
      </c>
      <c r="M219" s="22">
        <f t="shared" si="1814"/>
        <v>882.70820000000015</v>
      </c>
      <c r="N219" s="22">
        <f t="shared" si="1814"/>
        <v>131.02600000000001</v>
      </c>
      <c r="O219" s="22">
        <f t="shared" si="1814"/>
        <v>-0.51659999999996842</v>
      </c>
      <c r="P219" s="22">
        <f t="shared" si="1814"/>
        <v>244.63140000000013</v>
      </c>
      <c r="Q219" s="22">
        <f t="shared" si="1814"/>
        <v>53.258400000000137</v>
      </c>
      <c r="R219" s="22">
        <f t="shared" si="1814"/>
        <v>236.19060000000007</v>
      </c>
      <c r="S219" s="22">
        <f t="shared" si="1814"/>
        <v>149.55769999999978</v>
      </c>
      <c r="T219" s="22">
        <f t="shared" si="1814"/>
        <v>222.80140000000006</v>
      </c>
      <c r="U219" s="22">
        <f t="shared" si="1814"/>
        <v>351.90649999999999</v>
      </c>
      <c r="V219" s="22">
        <f t="shared" si="1814"/>
        <v>404.34879999999981</v>
      </c>
      <c r="W219" s="22">
        <f t="shared" si="1814"/>
        <v>138.12879999999996</v>
      </c>
      <c r="X219" s="22">
        <f t="shared" ref="X219:Y219" si="1815">X215+X218</f>
        <v>534.60410000000024</v>
      </c>
      <c r="Y219" s="22">
        <f t="shared" si="1815"/>
        <v>762.81739999999945</v>
      </c>
      <c r="Z219" s="22">
        <f t="shared" ref="Z219:AA219" si="1816">Z215+Z218</f>
        <v>605.05749999999921</v>
      </c>
      <c r="AA219" s="22">
        <f t="shared" si="1816"/>
        <v>544.24680000000092</v>
      </c>
      <c r="AB219" s="21">
        <f t="shared" ref="AB219:AD219" si="1817">AB215+AB218</f>
        <v>617.37240294892763</v>
      </c>
      <c r="AC219" s="21">
        <f t="shared" si="1817"/>
        <v>961.64565126008324</v>
      </c>
      <c r="AD219" s="21">
        <f t="shared" si="1817"/>
        <v>1099.0983900592114</v>
      </c>
      <c r="AE219" s="21">
        <f t="shared" ref="AE219" si="1818">AE215+AE218</f>
        <v>1268.1961162201569</v>
      </c>
      <c r="AI219" s="22">
        <f t="shared" ref="AI219" si="1819">AI215+AI218</f>
        <v>10.32100000000001</v>
      </c>
      <c r="AJ219" s="22">
        <f t="shared" ref="AJ219:AL219" si="1820">AJ215+AJ218</f>
        <v>-153.47199999999992</v>
      </c>
      <c r="AK219" s="22">
        <f t="shared" si="1820"/>
        <v>52.225776893970732</v>
      </c>
      <c r="AL219" s="22">
        <f t="shared" si="1820"/>
        <v>28.586223106029209</v>
      </c>
      <c r="AM219" s="22">
        <f t="shared" ref="AM219" si="1821">AM215+AM218</f>
        <v>-6.6401778653044019</v>
      </c>
      <c r="AN219" s="22">
        <f t="shared" ref="AN219:CD219" si="1822">AN215+AN218</f>
        <v>-31.68682213469561</v>
      </c>
      <c r="AO219" s="22">
        <f t="shared" si="1822"/>
        <v>20.601608854325107</v>
      </c>
      <c r="AP219" s="22">
        <f t="shared" si="1822"/>
        <v>28.700391145674924</v>
      </c>
      <c r="AQ219" s="22">
        <f t="shared" si="1822"/>
        <v>-4.2969666576260011</v>
      </c>
      <c r="AR219" s="22">
        <f t="shared" si="1822"/>
        <v>49.290966657626036</v>
      </c>
      <c r="AS219" s="22">
        <f t="shared" si="1822"/>
        <v>56.837570759799853</v>
      </c>
      <c r="AT219" s="22">
        <f t="shared" si="1822"/>
        <v>144.02142924020006</v>
      </c>
      <c r="AU219" s="22">
        <f t="shared" si="1822"/>
        <v>12.718478560676168</v>
      </c>
      <c r="AV219" s="22">
        <f t="shared" si="1822"/>
        <v>-64.982478560676014</v>
      </c>
      <c r="AW219" s="22">
        <f t="shared" si="1822"/>
        <v>72.251494819854656</v>
      </c>
      <c r="AX219" s="22">
        <f t="shared" si="1822"/>
        <v>49.423505180145384</v>
      </c>
      <c r="AY219" s="22">
        <f t="shared" si="1822"/>
        <v>47.091120762718845</v>
      </c>
      <c r="AZ219" s="22">
        <f t="shared" si="1822"/>
        <v>132.04987923728117</v>
      </c>
      <c r="BA219" s="22">
        <f t="shared" si="1822"/>
        <v>72.847853108581418</v>
      </c>
      <c r="BB219" s="22">
        <f t="shared" si="1822"/>
        <v>-28.234853108581383</v>
      </c>
      <c r="BC219" s="22">
        <f t="shared" si="1822"/>
        <v>61.578704978090698</v>
      </c>
      <c r="BD219" s="22">
        <f t="shared" si="1822"/>
        <v>69.813295021909283</v>
      </c>
      <c r="BE219" s="22">
        <f t="shared" si="1822"/>
        <v>90.953802783608197</v>
      </c>
      <c r="BF219" s="22">
        <f t="shared" si="1822"/>
        <v>-84.176802783608139</v>
      </c>
      <c r="BG219" s="22">
        <f t="shared" si="1822"/>
        <v>-51.897374152992029</v>
      </c>
      <c r="BH219" s="22">
        <f t="shared" si="1822"/>
        <v>192.134374152992</v>
      </c>
      <c r="BI219" s="22">
        <f t="shared" si="1822"/>
        <v>117.22025612218422</v>
      </c>
      <c r="BJ219" s="22">
        <f t="shared" si="1822"/>
        <v>-34.656256122184203</v>
      </c>
      <c r="BK219" s="22">
        <f t="shared" si="1822"/>
        <v>49.591311387751588</v>
      </c>
      <c r="BL219" s="22">
        <f t="shared" si="1822"/>
        <v>168.16768861224841</v>
      </c>
      <c r="BM219" s="22">
        <f t="shared" si="1822"/>
        <v>111.5011291757318</v>
      </c>
      <c r="BN219" s="22">
        <f t="shared" si="1822"/>
        <v>22.643870824268021</v>
      </c>
      <c r="BO219" s="22">
        <f t="shared" si="1822"/>
        <v>56.481582745863861</v>
      </c>
      <c r="BP219" s="22">
        <f t="shared" si="1822"/>
        <v>40.004417254136143</v>
      </c>
      <c r="BQ219" s="22">
        <f t="shared" si="1822"/>
        <v>19.783774575935155</v>
      </c>
      <c r="BR219" s="22">
        <f t="shared" si="1822"/>
        <v>263.40322542406506</v>
      </c>
      <c r="BS219" s="22">
        <f t="shared" si="1822"/>
        <v>56.09111207198363</v>
      </c>
      <c r="BT219" s="22">
        <f t="shared" si="1822"/>
        <v>132.67088792801627</v>
      </c>
      <c r="BU219" s="22">
        <f t="shared" si="1822"/>
        <v>92.552391325609946</v>
      </c>
      <c r="BV219" s="22">
        <f t="shared" si="1822"/>
        <v>-151.96739132561001</v>
      </c>
      <c r="BW219" s="22">
        <f t="shared" si="1822"/>
        <v>-59.015133927856624</v>
      </c>
      <c r="BX219" s="22">
        <f t="shared" si="1822"/>
        <v>303.90513392785664</v>
      </c>
      <c r="BY219" s="22">
        <f t="shared" si="1822"/>
        <v>151.79487312215869</v>
      </c>
      <c r="BZ219" s="22">
        <f t="shared" si="1822"/>
        <v>142.74512687784167</v>
      </c>
      <c r="CA219" s="22">
        <f t="shared" si="1822"/>
        <v>38.883935879945483</v>
      </c>
      <c r="CB219" s="22">
        <f t="shared" si="1822"/>
        <v>360.20606412005418</v>
      </c>
      <c r="CC219" s="22">
        <f t="shared" si="1822"/>
        <v>202.08886134234589</v>
      </c>
      <c r="CD219" s="22">
        <f t="shared" si="1822"/>
        <v>165.56113865765431</v>
      </c>
      <c r="CE219" s="22">
        <f t="shared" ref="CE219:CF219" si="1823">CE215+CE218</f>
        <v>79.676737377136874</v>
      </c>
      <c r="CF219" s="22">
        <f t="shared" si="1823"/>
        <v>278.45326262286318</v>
      </c>
      <c r="CG219" s="22">
        <f t="shared" ref="CG219:CH219" si="1824">CG215+CG218</f>
        <v>242.1941585217161</v>
      </c>
      <c r="CH219" s="22">
        <f t="shared" si="1824"/>
        <v>29.45714147828329</v>
      </c>
      <c r="CI219" s="22">
        <f t="shared" ref="CI219:CJ219" si="1825">CI215+CI218</f>
        <v>76.157667470616047</v>
      </c>
      <c r="CJ219" s="22">
        <f t="shared" si="1825"/>
        <v>143.35103252938433</v>
      </c>
      <c r="CK219" s="21">
        <f t="shared" ref="CK219:DB219" si="1826">CK215+CK218</f>
        <v>269.18624573693467</v>
      </c>
      <c r="CL219" s="22">
        <f t="shared" si="1826"/>
        <v>36.783754263065219</v>
      </c>
      <c r="CM219" s="21">
        <f t="shared" si="1826"/>
        <v>-242.00201939463574</v>
      </c>
      <c r="CN219" s="21">
        <f t="shared" si="1826"/>
        <v>271.75016213075344</v>
      </c>
      <c r="CO219" s="21">
        <f t="shared" si="1826"/>
        <v>288.21898358032649</v>
      </c>
      <c r="CP219" s="21">
        <f t="shared" si="1826"/>
        <v>318.15957663248378</v>
      </c>
      <c r="CQ219" s="21">
        <f t="shared" si="1826"/>
        <v>-30.631281533853837</v>
      </c>
      <c r="CR219" s="21">
        <f t="shared" si="1826"/>
        <v>302.21289201328881</v>
      </c>
      <c r="CS219" s="21">
        <f t="shared" si="1826"/>
        <v>326.45769295812477</v>
      </c>
      <c r="CT219" s="21">
        <f t="shared" si="1826"/>
        <v>363.60634782252379</v>
      </c>
      <c r="CU219" s="21">
        <f t="shared" si="1826"/>
        <v>-33.337139255019395</v>
      </c>
      <c r="CV219" s="21">
        <f t="shared" si="1826"/>
        <v>344.09379957144438</v>
      </c>
      <c r="CW219" s="21">
        <f t="shared" si="1826"/>
        <v>373.46554053407885</v>
      </c>
      <c r="CX219" s="21">
        <f t="shared" si="1826"/>
        <v>414.87618920870727</v>
      </c>
      <c r="CY219" s="21">
        <f t="shared" si="1826"/>
        <v>-23.006548340721736</v>
      </c>
      <c r="CZ219" s="21">
        <f t="shared" si="1826"/>
        <v>392.56802343615044</v>
      </c>
      <c r="DA219" s="21">
        <f t="shared" si="1826"/>
        <v>426.545642690107</v>
      </c>
      <c r="DB219" s="21">
        <f t="shared" si="1826"/>
        <v>472.08899843462115</v>
      </c>
      <c r="DE219" s="126"/>
      <c r="DF219" s="22">
        <v>544.24680000000092</v>
      </c>
    </row>
    <row r="220" spans="1:110" s="23" customFormat="1" x14ac:dyDescent="0.2">
      <c r="AB220" s="24"/>
      <c r="AC220" s="24"/>
      <c r="AD220" s="24"/>
      <c r="AE220" s="24"/>
      <c r="CK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E220" s="123"/>
    </row>
    <row r="221" spans="1:110" s="22" customFormat="1" x14ac:dyDescent="0.2">
      <c r="A221" s="22" t="s">
        <v>92</v>
      </c>
      <c r="C221" s="22">
        <f t="shared" ref="C221:W221" si="1827">C222+C223</f>
        <v>-29.826299999999986</v>
      </c>
      <c r="D221" s="22">
        <f>D222+D223</f>
        <v>-20.7532</v>
      </c>
      <c r="E221" s="22">
        <f t="shared" si="1827"/>
        <v>-42.093100000000021</v>
      </c>
      <c r="F221" s="22">
        <f t="shared" si="1827"/>
        <v>-17.221199999999982</v>
      </c>
      <c r="G221" s="22">
        <f t="shared" si="1827"/>
        <v>-23.286500000000011</v>
      </c>
      <c r="H221" s="22">
        <f t="shared" si="1827"/>
        <v>-118.83409999999995</v>
      </c>
      <c r="I221" s="22">
        <f t="shared" si="1827"/>
        <v>-28.293000000000085</v>
      </c>
      <c r="J221" s="22">
        <f t="shared" si="1827"/>
        <v>-12.227099999999886</v>
      </c>
      <c r="K221" s="22">
        <f t="shared" si="1827"/>
        <v>-31.803000000000047</v>
      </c>
      <c r="L221" s="22">
        <f t="shared" si="1827"/>
        <v>-17.739100000000036</v>
      </c>
      <c r="M221" s="22">
        <f t="shared" si="1827"/>
        <v>-74.650599999999983</v>
      </c>
      <c r="N221" s="22">
        <f t="shared" si="1827"/>
        <v>-48.560400000000115</v>
      </c>
      <c r="O221" s="22">
        <f t="shared" si="1827"/>
        <v>-45.473799999999876</v>
      </c>
      <c r="P221" s="22">
        <f t="shared" si="1827"/>
        <v>-247.54640000000015</v>
      </c>
      <c r="Q221" s="22">
        <f t="shared" si="1827"/>
        <v>-279.18089999999995</v>
      </c>
      <c r="R221" s="22">
        <f t="shared" si="1827"/>
        <v>-109.74790000000004</v>
      </c>
      <c r="S221" s="22">
        <f t="shared" si="1827"/>
        <v>105.21150000000026</v>
      </c>
      <c r="T221" s="22">
        <f t="shared" si="1827"/>
        <v>-80.678100000000114</v>
      </c>
      <c r="U221" s="22">
        <f t="shared" si="1827"/>
        <v>-71.306200000000004</v>
      </c>
      <c r="V221" s="22">
        <f t="shared" si="1827"/>
        <v>-3.909999999999954</v>
      </c>
      <c r="W221" s="22">
        <f t="shared" si="1827"/>
        <v>-708.92339999999979</v>
      </c>
      <c r="X221" s="22">
        <f t="shared" ref="X221:Y221" si="1828">X222+X223</f>
        <v>-775.96180000000038</v>
      </c>
      <c r="Y221" s="22">
        <f t="shared" si="1828"/>
        <v>-272.87819999999948</v>
      </c>
      <c r="Z221" s="22">
        <f t="shared" ref="Z221:AA221" si="1829">Z222+Z223</f>
        <v>-125.75540000000058</v>
      </c>
      <c r="AA221" s="22">
        <f t="shared" si="1829"/>
        <v>-108.65170000000016</v>
      </c>
      <c r="AB221" s="21">
        <f t="shared" ref="AB221:AD221" si="1830">AB222+AB223</f>
        <v>-101.24459999999966</v>
      </c>
      <c r="AC221" s="21">
        <f t="shared" si="1830"/>
        <v>-120</v>
      </c>
      <c r="AD221" s="21">
        <f t="shared" si="1830"/>
        <v>-120.00000000000023</v>
      </c>
      <c r="AE221" s="21">
        <f t="shared" ref="AE221" si="1831">AE222+AE223</f>
        <v>-120.00000000000023</v>
      </c>
      <c r="AI221" s="22">
        <f t="shared" ref="AI221" si="1832">AI222+AI223</f>
        <v>-6.0129999999999999</v>
      </c>
      <c r="AJ221" s="22">
        <f t="shared" ref="AJ221:AL221" si="1833">AJ222+AJ223</f>
        <v>-335.35299999999995</v>
      </c>
      <c r="AK221" s="22">
        <f t="shared" si="1833"/>
        <v>-6.25</v>
      </c>
      <c r="AL221" s="22">
        <f t="shared" si="1833"/>
        <v>-18.987999999999978</v>
      </c>
      <c r="AM221" s="22">
        <f t="shared" ref="AM221" si="1834">AM222+AM223</f>
        <v>-7.5</v>
      </c>
      <c r="AN221" s="22">
        <f t="shared" ref="AN221:CD221" si="1835">AN222+AN223</f>
        <v>-49.510000000000069</v>
      </c>
      <c r="AO221" s="22">
        <f t="shared" si="1835"/>
        <v>-6</v>
      </c>
      <c r="AP221" s="22">
        <f t="shared" si="1835"/>
        <v>18.392000000000067</v>
      </c>
      <c r="AQ221" s="22">
        <f t="shared" si="1835"/>
        <v>-9.8999999999999773</v>
      </c>
      <c r="AR221" s="22">
        <f t="shared" si="1835"/>
        <v>-19.650000000000027</v>
      </c>
      <c r="AS221" s="22">
        <f t="shared" si="1835"/>
        <v>-10.110000000000014</v>
      </c>
      <c r="AT221" s="22">
        <f t="shared" si="1835"/>
        <v>-206.84499999999997</v>
      </c>
      <c r="AU221" s="22">
        <f t="shared" si="1835"/>
        <v>-9.7699999999999818</v>
      </c>
      <c r="AV221" s="22">
        <f t="shared" si="1835"/>
        <v>-121.85200000000003</v>
      </c>
      <c r="AW221" s="22">
        <f t="shared" si="1835"/>
        <v>-10.225999999999999</v>
      </c>
      <c r="AX221" s="22">
        <f t="shared" si="1835"/>
        <v>-136.52100000000002</v>
      </c>
      <c r="AY221" s="22">
        <f t="shared" si="1835"/>
        <v>-11.317000000000007</v>
      </c>
      <c r="AZ221" s="22">
        <f t="shared" si="1835"/>
        <v>-106.97899999999993</v>
      </c>
      <c r="BA221" s="22">
        <f t="shared" si="1835"/>
        <v>-11.360000000000014</v>
      </c>
      <c r="BB221" s="22">
        <f t="shared" si="1835"/>
        <v>20.86699999999999</v>
      </c>
      <c r="BC221" s="22">
        <f t="shared" si="1835"/>
        <v>-14.327999999999975</v>
      </c>
      <c r="BD221" s="22">
        <f t="shared" si="1835"/>
        <v>81.094000000000051</v>
      </c>
      <c r="BE221" s="22">
        <f t="shared" si="1835"/>
        <v>-14.25</v>
      </c>
      <c r="BF221" s="22">
        <f t="shared" si="1835"/>
        <v>53.721999999999866</v>
      </c>
      <c r="BG221" s="22">
        <f t="shared" si="1835"/>
        <v>-14.690000000000055</v>
      </c>
      <c r="BH221" s="22">
        <f t="shared" si="1835"/>
        <v>-110.76699999999994</v>
      </c>
      <c r="BI221" s="22">
        <f t="shared" si="1835"/>
        <v>-14.659999999999968</v>
      </c>
      <c r="BJ221" s="22">
        <f t="shared" si="1835"/>
        <v>59.437000000000012</v>
      </c>
      <c r="BK221" s="22">
        <f t="shared" si="1835"/>
        <v>-15.798000000000002</v>
      </c>
      <c r="BL221" s="22">
        <f t="shared" si="1835"/>
        <v>-9.8430000000000177</v>
      </c>
      <c r="BM221" s="22">
        <f t="shared" si="1835"/>
        <v>-16.749000000000024</v>
      </c>
      <c r="BN221" s="22">
        <f t="shared" si="1835"/>
        <v>-28.916000000000039</v>
      </c>
      <c r="BO221" s="22">
        <f t="shared" si="1835"/>
        <v>-17.293999999999983</v>
      </c>
      <c r="BP221" s="22">
        <f t="shared" si="1835"/>
        <v>41.097999999999921</v>
      </c>
      <c r="BQ221" s="22">
        <f t="shared" si="1835"/>
        <v>-17.393000000000029</v>
      </c>
      <c r="BR221" s="22">
        <f t="shared" si="1835"/>
        <v>14.357000000000067</v>
      </c>
      <c r="BS221" s="22">
        <f t="shared" si="1835"/>
        <v>-17.850000000000023</v>
      </c>
      <c r="BT221" s="22">
        <f t="shared" si="1835"/>
        <v>-46.619000000000113</v>
      </c>
      <c r="BU221" s="22">
        <f t="shared" si="1835"/>
        <v>-16.970000000000027</v>
      </c>
      <c r="BV221" s="22">
        <f t="shared" si="1835"/>
        <v>-618.73</v>
      </c>
      <c r="BW221" s="22">
        <f t="shared" si="1835"/>
        <v>-26.079999999999927</v>
      </c>
      <c r="BX221" s="22">
        <f t="shared" si="1835"/>
        <v>-364.84000000000015</v>
      </c>
      <c r="BY221" s="22">
        <f t="shared" si="1835"/>
        <v>-28.400000000000091</v>
      </c>
      <c r="BZ221" s="22">
        <f t="shared" si="1835"/>
        <v>-361.46000000000009</v>
      </c>
      <c r="CA221" s="22">
        <f t="shared" si="1835"/>
        <v>-31.380000000000109</v>
      </c>
      <c r="CB221" s="22">
        <f t="shared" si="1835"/>
        <v>-67.720000000000013</v>
      </c>
      <c r="CC221" s="22">
        <f t="shared" si="1835"/>
        <v>-34.029999999999973</v>
      </c>
      <c r="CD221" s="22">
        <f t="shared" si="1835"/>
        <v>-143.64999999999958</v>
      </c>
      <c r="CE221" s="22">
        <f t="shared" ref="CE221:CF221" si="1836">CE222+CE223</f>
        <v>-40.779999999999973</v>
      </c>
      <c r="CF221" s="22">
        <f t="shared" si="1836"/>
        <v>-22.680000000000536</v>
      </c>
      <c r="CG221" s="22">
        <f t="shared" ref="CG221:CH221" si="1837">CG222+CG223</f>
        <v>-41.940000000000055</v>
      </c>
      <c r="CH221" s="22">
        <f t="shared" si="1837"/>
        <v>-45.082800000000006</v>
      </c>
      <c r="CI221" s="22">
        <f t="shared" ref="CI221:CJ221" si="1838">CI222+CI223</f>
        <v>0</v>
      </c>
      <c r="CJ221" s="22">
        <f t="shared" si="1838"/>
        <v>-27.657199999999843</v>
      </c>
      <c r="CK221" s="21">
        <f t="shared" ref="CK221:DB221" si="1839">CK222+CK223</f>
        <v>0</v>
      </c>
      <c r="CL221" s="22">
        <f t="shared" si="1839"/>
        <v>-62.239999999999753</v>
      </c>
      <c r="CM221" s="21">
        <f t="shared" si="1839"/>
        <v>-30</v>
      </c>
      <c r="CN221" s="21">
        <f t="shared" si="1839"/>
        <v>-30</v>
      </c>
      <c r="CO221" s="21">
        <f t="shared" si="1839"/>
        <v>-30</v>
      </c>
      <c r="CP221" s="21">
        <f t="shared" si="1839"/>
        <v>-29.999999999999773</v>
      </c>
      <c r="CQ221" s="21">
        <f t="shared" si="1839"/>
        <v>-30</v>
      </c>
      <c r="CR221" s="21">
        <f t="shared" si="1839"/>
        <v>-30</v>
      </c>
      <c r="CS221" s="21">
        <f t="shared" si="1839"/>
        <v>-30</v>
      </c>
      <c r="CT221" s="21">
        <f t="shared" si="1839"/>
        <v>-30</v>
      </c>
      <c r="CU221" s="21">
        <f t="shared" si="1839"/>
        <v>-30</v>
      </c>
      <c r="CV221" s="21">
        <f t="shared" si="1839"/>
        <v>-30</v>
      </c>
      <c r="CW221" s="21">
        <f t="shared" si="1839"/>
        <v>-30</v>
      </c>
      <c r="CX221" s="21">
        <f t="shared" si="1839"/>
        <v>-30</v>
      </c>
      <c r="CY221" s="21">
        <f t="shared" si="1839"/>
        <v>-30</v>
      </c>
      <c r="CZ221" s="21">
        <f t="shared" si="1839"/>
        <v>-30</v>
      </c>
      <c r="DA221" s="21">
        <f t="shared" si="1839"/>
        <v>-30</v>
      </c>
      <c r="DB221" s="21">
        <f t="shared" si="1839"/>
        <v>-30.000000000000227</v>
      </c>
      <c r="DE221" s="126"/>
      <c r="DF221" s="22">
        <v>-108.65170000000016</v>
      </c>
    </row>
    <row r="222" spans="1:110" s="23" customFormat="1" x14ac:dyDescent="0.2">
      <c r="A222" s="23" t="s">
        <v>93</v>
      </c>
      <c r="C222" s="23">
        <f t="shared" ref="C222:AA222" si="1840">B160-C160</f>
        <v>-0.60049999999999981</v>
      </c>
      <c r="D222" s="23">
        <f t="shared" si="1840"/>
        <v>6.5999999999997172E-3</v>
      </c>
      <c r="E222" s="23">
        <f>D160-E160</f>
        <v>-0.19179999999999975</v>
      </c>
      <c r="F222" s="23">
        <f t="shared" si="1840"/>
        <v>-0.15629999999999988</v>
      </c>
      <c r="G222" s="23">
        <f t="shared" si="1840"/>
        <v>-1.5000000000000568E-3</v>
      </c>
      <c r="H222" s="23">
        <f t="shared" si="1840"/>
        <v>-4.5838999999999999</v>
      </c>
      <c r="I222" s="23">
        <f t="shared" si="1840"/>
        <v>-3.1899999999999373E-2</v>
      </c>
      <c r="J222" s="23">
        <f>I160-J160</f>
        <v>2.9699999999999172E-2</v>
      </c>
      <c r="K222" s="23">
        <f>J160-K160</f>
        <v>-16.784500000000001</v>
      </c>
      <c r="L222" s="23">
        <f t="shared" si="1840"/>
        <v>20.336500000000001</v>
      </c>
      <c r="M222" s="23">
        <f t="shared" si="1840"/>
        <v>0.94029999999999969</v>
      </c>
      <c r="N222" s="23">
        <f t="shared" si="1840"/>
        <v>3.0000000000001137E-3</v>
      </c>
      <c r="O222" s="23">
        <f t="shared" si="1840"/>
        <v>0.24000000000000021</v>
      </c>
      <c r="P222" s="23">
        <f t="shared" si="1840"/>
        <v>-182.07930000000002</v>
      </c>
      <c r="Q222" s="23">
        <f t="shared" si="1840"/>
        <v>-46.583100000000002</v>
      </c>
      <c r="R222" s="23">
        <f t="shared" si="1840"/>
        <v>45.573499999999996</v>
      </c>
      <c r="S222" s="23">
        <f t="shared" si="1840"/>
        <v>135.88410000000002</v>
      </c>
      <c r="T222" s="23">
        <f t="shared" si="1840"/>
        <v>-45.917700000000004</v>
      </c>
      <c r="U222" s="23">
        <f t="shared" si="1840"/>
        <v>26.42110000000001</v>
      </c>
      <c r="V222" s="23">
        <f t="shared" si="1840"/>
        <v>56.5458</v>
      </c>
      <c r="W222" s="23">
        <f t="shared" si="1840"/>
        <v>0.18660000000000032</v>
      </c>
      <c r="X222" s="23">
        <f t="shared" si="1840"/>
        <v>-1.0620000000000012</v>
      </c>
      <c r="Y222" s="23">
        <f t="shared" si="1840"/>
        <v>-9.924100000000001</v>
      </c>
      <c r="Z222" s="23">
        <f t="shared" si="1840"/>
        <v>-4.2713000000000001</v>
      </c>
      <c r="AA222" s="23">
        <f t="shared" si="1840"/>
        <v>1.9500000000000028</v>
      </c>
      <c r="AB222" s="24">
        <f t="shared" ref="AB222" si="1841">AA160-AB160</f>
        <v>-5.0000000000238742E-4</v>
      </c>
      <c r="AC222" s="24">
        <f t="shared" ref="AC222" si="1842">AB160-AC160</f>
        <v>0</v>
      </c>
      <c r="AD222" s="24">
        <f t="shared" ref="AD222" si="1843">AC160-AD160</f>
        <v>0</v>
      </c>
      <c r="AE222" s="24">
        <f t="shared" ref="AE222" si="1844">AD160-AE160</f>
        <v>0</v>
      </c>
      <c r="AI222" s="23">
        <f t="shared" ref="AI222" si="1845">AH160-AI160</f>
        <v>0</v>
      </c>
      <c r="AJ222" s="23">
        <f t="shared" ref="AJ222" si="1846">AI160-AJ160</f>
        <v>-38.844999999999999</v>
      </c>
      <c r="AK222" s="23">
        <f t="shared" ref="AK222" si="1847">AJ160-AK160</f>
        <v>0</v>
      </c>
      <c r="AL222" s="23">
        <f t="shared" ref="AL222" si="1848">AK160-AL160</f>
        <v>35.851999999999997</v>
      </c>
      <c r="AM222" s="23">
        <f t="shared" ref="AM222" si="1849">AL160-AM160</f>
        <v>0</v>
      </c>
      <c r="AN222" s="23">
        <f t="shared" ref="AN222" si="1850">AM160-AN160</f>
        <v>-35.875999999999998</v>
      </c>
      <c r="AO222" s="23">
        <f t="shared" ref="AO222" si="1851">AN160-AO160</f>
        <v>0</v>
      </c>
      <c r="AP222" s="23">
        <f t="shared" ref="AP222" si="1852">AO160-AP160</f>
        <v>36.116</v>
      </c>
      <c r="AQ222" s="23">
        <f t="shared" ref="AQ222" si="1853">AP160-AQ160</f>
        <v>0</v>
      </c>
      <c r="AR222" s="23">
        <f t="shared" ref="AR222" si="1854">AQ160-AR160</f>
        <v>-36.764000000000003</v>
      </c>
      <c r="AS222" s="23">
        <f t="shared" ref="AS222" si="1855">AR160-AS160</f>
        <v>0</v>
      </c>
      <c r="AT222" s="23">
        <f t="shared" ref="AT222" si="1856">AS160-AT160</f>
        <v>-145.315</v>
      </c>
      <c r="AU222" s="23">
        <f t="shared" ref="AU222" si="1857">AT160-AU160</f>
        <v>0</v>
      </c>
      <c r="AV222" s="23">
        <f t="shared" ref="AV222" si="1858">AU160-AV160</f>
        <v>-45.884000000000015</v>
      </c>
      <c r="AW222" s="23">
        <f t="shared" ref="AW222" si="1859">AV160-AW160</f>
        <v>0</v>
      </c>
      <c r="AX222" s="23">
        <f t="shared" ref="AX222" si="1860">AW160-AX160</f>
        <v>-0.69999999999998863</v>
      </c>
      <c r="AY222" s="23">
        <f t="shared" ref="AY222" si="1861">AX160-AY160</f>
        <v>0</v>
      </c>
      <c r="AZ222" s="23">
        <f t="shared" ref="AZ222" si="1862">AY160-AZ160</f>
        <v>-103.649</v>
      </c>
      <c r="BA222" s="23">
        <f t="shared" ref="BA222" si="1863">AZ160-BA160</f>
        <v>0</v>
      </c>
      <c r="BB222" s="23">
        <f t="shared" ref="BB222" si="1864">BA160-BB160</f>
        <v>149.22299999999998</v>
      </c>
      <c r="BC222" s="23">
        <f t="shared" ref="BC222" si="1865">BB160-BC160</f>
        <v>0</v>
      </c>
      <c r="BD222" s="23">
        <f t="shared" ref="BD222" si="1866">BC160-BD160</f>
        <v>14.788000000000011</v>
      </c>
      <c r="BE222" s="23">
        <f t="shared" ref="BE222" si="1867">BD160-BE160</f>
        <v>0</v>
      </c>
      <c r="BF222" s="23">
        <f t="shared" ref="BF222" si="1868">BE160-BF160</f>
        <v>121.096</v>
      </c>
      <c r="BG222" s="23">
        <f t="shared" ref="BG222" si="1869">BF160-BG160</f>
        <v>0</v>
      </c>
      <c r="BH222" s="23">
        <f t="shared" ref="BH222" si="1870">BG160-BH160</f>
        <v>-173.48500000000001</v>
      </c>
      <c r="BI222" s="23">
        <f t="shared" ref="BI222" si="1871">BH160-BI160</f>
        <v>0</v>
      </c>
      <c r="BJ222" s="23">
        <f t="shared" ref="BJ222" si="1872">BI160-BJ160</f>
        <v>127.56700000000001</v>
      </c>
      <c r="BK222" s="23">
        <f t="shared" ref="BK222" si="1873">BJ160-BK160</f>
        <v>0</v>
      </c>
      <c r="BL222" s="23">
        <f t="shared" ref="BL222" si="1874">BK160-BL160</f>
        <v>28.531000000000006</v>
      </c>
      <c r="BM222" s="23">
        <f t="shared" ref="BM222" si="1875">BL160-BM160</f>
        <v>0</v>
      </c>
      <c r="BN222" s="23">
        <f t="shared" ref="BN222" si="1876">BM160-BN160</f>
        <v>-2.1099999999999994</v>
      </c>
      <c r="BO222" s="23">
        <f t="shared" ref="BO222" si="1877">BN160-BO160</f>
        <v>0</v>
      </c>
      <c r="BP222" s="23">
        <f t="shared" ref="BP222" si="1878">BO160-BP160</f>
        <v>56.488999999999997</v>
      </c>
      <c r="BQ222" s="23">
        <f t="shared" ref="BQ222" si="1879">BP160-BQ160</f>
        <v>0</v>
      </c>
      <c r="BR222" s="23">
        <f t="shared" ref="BR222" si="1880">BQ160-BR160</f>
        <v>5.6999999999998607E-2</v>
      </c>
      <c r="BS222" s="23">
        <f t="shared" ref="BS222" si="1881">BR160-BS160</f>
        <v>0</v>
      </c>
      <c r="BT222" s="23">
        <f t="shared" ref="BT222" si="1882">BS160-BT160</f>
        <v>-0.19099999999999895</v>
      </c>
      <c r="BU222" s="23">
        <f t="shared" ref="BU222" si="1883">BT160-BU160</f>
        <v>0</v>
      </c>
      <c r="BV222" s="23">
        <f t="shared" ref="BV222" si="1884">BU160-BV160</f>
        <v>0.37999999999999901</v>
      </c>
      <c r="BW222" s="23">
        <f t="shared" ref="BW222" si="1885">BV160-BW160</f>
        <v>0</v>
      </c>
      <c r="BX222" s="23">
        <f t="shared" ref="BX222" si="1886">BW160-BX160</f>
        <v>0</v>
      </c>
      <c r="BY222" s="23">
        <f t="shared" ref="BY222" si="1887">BX160-BY160</f>
        <v>0</v>
      </c>
      <c r="BZ222" s="23">
        <f t="shared" ref="BZ222" si="1888">BY160-BZ160</f>
        <v>-1.0599999999999987</v>
      </c>
      <c r="CA222" s="23">
        <f t="shared" ref="CA222" si="1889">BZ160-CA160</f>
        <v>0</v>
      </c>
      <c r="CB222" s="23">
        <f t="shared" ref="CB222" si="1890">CA160-CB160</f>
        <v>-0.99000000000000021</v>
      </c>
      <c r="CC222" s="23">
        <f t="shared" ref="CC222" si="1891">CB160-CC160</f>
        <v>0</v>
      </c>
      <c r="CD222" s="23">
        <f t="shared" ref="CD222" si="1892">CC160-CD160</f>
        <v>-8.9400000000000013</v>
      </c>
      <c r="CE222" s="23">
        <f t="shared" ref="CE222" si="1893">CD160-CE160</f>
        <v>0</v>
      </c>
      <c r="CF222" s="23">
        <f t="shared" ref="CF222" si="1894">CE160-CF160</f>
        <v>-2.2699999999999996</v>
      </c>
      <c r="CG222" s="23">
        <f t="shared" ref="CG222" si="1895">CF160-CG160</f>
        <v>0</v>
      </c>
      <c r="CH222" s="23">
        <f t="shared" ref="CH222:CL222" si="1896">CG160-CH160</f>
        <v>-1.9995000000000012</v>
      </c>
      <c r="CI222" s="23">
        <f t="shared" si="1896"/>
        <v>0</v>
      </c>
      <c r="CJ222" s="23">
        <f t="shared" si="1896"/>
        <v>-1.5804999999999971</v>
      </c>
      <c r="CK222" s="24">
        <f t="shared" ref="CK222" si="1897">CJ160-CK160</f>
        <v>0</v>
      </c>
      <c r="CL222" s="23">
        <f t="shared" si="1896"/>
        <v>3.5299999999999976</v>
      </c>
      <c r="CM222" s="24">
        <f t="shared" ref="CM222" si="1898">CL160-CM160</f>
        <v>0</v>
      </c>
      <c r="CN222" s="24">
        <f t="shared" ref="CN222" si="1899">CM160-CN160</f>
        <v>0</v>
      </c>
      <c r="CO222" s="24">
        <f t="shared" ref="CO222" si="1900">CN160-CO160</f>
        <v>0</v>
      </c>
      <c r="CP222" s="24">
        <f t="shared" ref="CP222" si="1901">CO160-CP160</f>
        <v>0</v>
      </c>
      <c r="CQ222" s="24">
        <f t="shared" ref="CQ222" si="1902">CP160-CQ160</f>
        <v>0</v>
      </c>
      <c r="CR222" s="24">
        <f t="shared" ref="CR222" si="1903">CQ160-CR160</f>
        <v>0</v>
      </c>
      <c r="CS222" s="24">
        <f t="shared" ref="CS222" si="1904">CR160-CS160</f>
        <v>0</v>
      </c>
      <c r="CT222" s="24">
        <f t="shared" ref="CT222" si="1905">CS160-CT160</f>
        <v>0</v>
      </c>
      <c r="CU222" s="24">
        <f t="shared" ref="CU222" si="1906">CT160-CU160</f>
        <v>0</v>
      </c>
      <c r="CV222" s="24">
        <f t="shared" ref="CV222" si="1907">CU160-CV160</f>
        <v>0</v>
      </c>
      <c r="CW222" s="24">
        <f t="shared" ref="CW222" si="1908">CV160-CW160</f>
        <v>0</v>
      </c>
      <c r="CX222" s="24">
        <f t="shared" ref="CX222" si="1909">CW160-CX160</f>
        <v>0</v>
      </c>
      <c r="CY222" s="24">
        <f t="shared" ref="CY222" si="1910">CX160-CY160</f>
        <v>0</v>
      </c>
      <c r="CZ222" s="24">
        <f t="shared" ref="CZ222" si="1911">CY160-CZ160</f>
        <v>0</v>
      </c>
      <c r="DA222" s="24">
        <f t="shared" ref="DA222" si="1912">CZ160-DA160</f>
        <v>0</v>
      </c>
      <c r="DB222" s="24">
        <f t="shared" ref="DB222" si="1913">DA160-DB160</f>
        <v>0</v>
      </c>
      <c r="DE222" s="123"/>
      <c r="DF222" s="23">
        <v>1.9500000000000028</v>
      </c>
    </row>
    <row r="223" spans="1:110" s="23" customFormat="1" x14ac:dyDescent="0.2">
      <c r="A223" s="23" t="s">
        <v>94</v>
      </c>
      <c r="C223" s="23">
        <f t="shared" ref="C223:AE223" si="1914">B158-C52-C158</f>
        <v>-29.225799999999985</v>
      </c>
      <c r="D223" s="23">
        <f t="shared" si="1914"/>
        <v>-20.759799999999998</v>
      </c>
      <c r="E223" s="23">
        <f t="shared" si="1914"/>
        <v>-41.90130000000002</v>
      </c>
      <c r="F223" s="23">
        <f t="shared" si="1914"/>
        <v>-17.06489999999998</v>
      </c>
      <c r="G223" s="23">
        <f t="shared" si="1914"/>
        <v>-23.285000000000011</v>
      </c>
      <c r="H223" s="23">
        <f t="shared" si="1914"/>
        <v>-114.25019999999995</v>
      </c>
      <c r="I223" s="23">
        <f t="shared" si="1914"/>
        <v>-28.261100000000084</v>
      </c>
      <c r="J223" s="23">
        <f t="shared" si="1914"/>
        <v>-12.256799999999885</v>
      </c>
      <c r="K223" s="23">
        <f t="shared" si="1914"/>
        <v>-15.018500000000046</v>
      </c>
      <c r="L223" s="23">
        <f t="shared" si="1914"/>
        <v>-38.075600000000037</v>
      </c>
      <c r="M223" s="23">
        <f t="shared" si="1914"/>
        <v>-75.590899999999976</v>
      </c>
      <c r="N223" s="23">
        <f t="shared" si="1914"/>
        <v>-48.563400000000115</v>
      </c>
      <c r="O223" s="23">
        <f t="shared" si="1914"/>
        <v>-45.713799999999878</v>
      </c>
      <c r="P223" s="23">
        <f t="shared" si="1914"/>
        <v>-65.46710000000013</v>
      </c>
      <c r="Q223" s="23">
        <f t="shared" si="1914"/>
        <v>-232.59779999999995</v>
      </c>
      <c r="R223" s="23">
        <f t="shared" si="1914"/>
        <v>-155.32140000000004</v>
      </c>
      <c r="S223" s="23">
        <f t="shared" si="1914"/>
        <v>-30.672599999999761</v>
      </c>
      <c r="T223" s="23">
        <f t="shared" si="1914"/>
        <v>-34.760400000000118</v>
      </c>
      <c r="U223" s="23">
        <f t="shared" si="1914"/>
        <v>-97.727300000000014</v>
      </c>
      <c r="V223" s="23">
        <f t="shared" si="1914"/>
        <v>-60.455799999999954</v>
      </c>
      <c r="W223" s="23">
        <f t="shared" si="1914"/>
        <v>-709.10999999999979</v>
      </c>
      <c r="X223" s="23">
        <f t="shared" si="1914"/>
        <v>-774.89980000000037</v>
      </c>
      <c r="Y223" s="23">
        <f t="shared" si="1914"/>
        <v>-262.95409999999947</v>
      </c>
      <c r="Z223" s="23">
        <f t="shared" si="1914"/>
        <v>-121.48410000000058</v>
      </c>
      <c r="AA223" s="23">
        <f t="shared" si="1914"/>
        <v>-110.60170000000016</v>
      </c>
      <c r="AB223" s="24">
        <f t="shared" si="1914"/>
        <v>-101.24409999999966</v>
      </c>
      <c r="AC223" s="24">
        <f t="shared" si="1914"/>
        <v>-120</v>
      </c>
      <c r="AD223" s="24">
        <f t="shared" si="1914"/>
        <v>-120.00000000000023</v>
      </c>
      <c r="AE223" s="24">
        <f t="shared" si="1914"/>
        <v>-120.00000000000023</v>
      </c>
      <c r="AI223" s="23">
        <f t="shared" ref="AI223:BN223" si="1915">AH158-AI52-AI158</f>
        <v>-6.0129999999999999</v>
      </c>
      <c r="AJ223" s="23">
        <f t="shared" si="1915"/>
        <v>-296.50799999999998</v>
      </c>
      <c r="AK223" s="23">
        <f t="shared" si="1915"/>
        <v>-6.25</v>
      </c>
      <c r="AL223" s="23">
        <f t="shared" si="1915"/>
        <v>-54.839999999999975</v>
      </c>
      <c r="AM223" s="23">
        <f t="shared" si="1915"/>
        <v>-7.5</v>
      </c>
      <c r="AN223" s="23">
        <f t="shared" si="1915"/>
        <v>-13.634000000000071</v>
      </c>
      <c r="AO223" s="23">
        <f t="shared" si="1915"/>
        <v>-6</v>
      </c>
      <c r="AP223" s="23">
        <f t="shared" si="1915"/>
        <v>-17.723999999999933</v>
      </c>
      <c r="AQ223" s="23">
        <f t="shared" si="1915"/>
        <v>-9.8999999999999773</v>
      </c>
      <c r="AR223" s="23">
        <f t="shared" si="1915"/>
        <v>17.113999999999976</v>
      </c>
      <c r="AS223" s="23">
        <f t="shared" si="1915"/>
        <v>-10.110000000000014</v>
      </c>
      <c r="AT223" s="23">
        <f t="shared" si="1915"/>
        <v>-61.529999999999973</v>
      </c>
      <c r="AU223" s="23">
        <f t="shared" si="1915"/>
        <v>-9.7699999999999818</v>
      </c>
      <c r="AV223" s="23">
        <f t="shared" si="1915"/>
        <v>-75.968000000000018</v>
      </c>
      <c r="AW223" s="23">
        <f t="shared" si="1915"/>
        <v>-10.225999999999999</v>
      </c>
      <c r="AX223" s="23">
        <f t="shared" si="1915"/>
        <v>-135.82100000000003</v>
      </c>
      <c r="AY223" s="23">
        <f t="shared" si="1915"/>
        <v>-11.317000000000007</v>
      </c>
      <c r="AZ223" s="23">
        <f t="shared" si="1915"/>
        <v>-3.3299999999999272</v>
      </c>
      <c r="BA223" s="23">
        <f t="shared" si="1915"/>
        <v>-11.360000000000014</v>
      </c>
      <c r="BB223" s="23">
        <f t="shared" si="1915"/>
        <v>-128.35599999999999</v>
      </c>
      <c r="BC223" s="23">
        <f t="shared" si="1915"/>
        <v>-14.327999999999975</v>
      </c>
      <c r="BD223" s="23">
        <f t="shared" si="1915"/>
        <v>66.30600000000004</v>
      </c>
      <c r="BE223" s="23">
        <f t="shared" si="1915"/>
        <v>-14.25</v>
      </c>
      <c r="BF223" s="23">
        <f t="shared" si="1915"/>
        <v>-67.374000000000137</v>
      </c>
      <c r="BG223" s="23">
        <f t="shared" si="1915"/>
        <v>-14.690000000000055</v>
      </c>
      <c r="BH223" s="23">
        <f t="shared" si="1915"/>
        <v>62.718000000000075</v>
      </c>
      <c r="BI223" s="23">
        <f t="shared" si="1915"/>
        <v>-14.659999999999968</v>
      </c>
      <c r="BJ223" s="23">
        <f t="shared" si="1915"/>
        <v>-68.13</v>
      </c>
      <c r="BK223" s="23">
        <f t="shared" si="1915"/>
        <v>-15.798000000000002</v>
      </c>
      <c r="BL223" s="23">
        <f t="shared" si="1915"/>
        <v>-38.374000000000024</v>
      </c>
      <c r="BM223" s="23">
        <f t="shared" si="1915"/>
        <v>-16.749000000000024</v>
      </c>
      <c r="BN223" s="23">
        <f t="shared" si="1915"/>
        <v>-26.80600000000004</v>
      </c>
      <c r="BO223" s="23">
        <f t="shared" ref="BO223:CT223" si="1916">BN158-BO52-BO158</f>
        <v>-17.293999999999983</v>
      </c>
      <c r="BP223" s="23">
        <f t="shared" si="1916"/>
        <v>-15.391000000000076</v>
      </c>
      <c r="BQ223" s="23">
        <f t="shared" si="1916"/>
        <v>-17.393000000000029</v>
      </c>
      <c r="BR223" s="23">
        <f t="shared" si="1916"/>
        <v>14.300000000000068</v>
      </c>
      <c r="BS223" s="23">
        <f t="shared" si="1916"/>
        <v>-17.850000000000023</v>
      </c>
      <c r="BT223" s="23">
        <f t="shared" si="1916"/>
        <v>-46.428000000000111</v>
      </c>
      <c r="BU223" s="23">
        <f t="shared" si="1916"/>
        <v>-16.970000000000027</v>
      </c>
      <c r="BV223" s="23">
        <f t="shared" si="1916"/>
        <v>-619.11</v>
      </c>
      <c r="BW223" s="23">
        <f t="shared" si="1916"/>
        <v>-26.079999999999927</v>
      </c>
      <c r="BX223" s="23">
        <f t="shared" si="1916"/>
        <v>-364.84000000000015</v>
      </c>
      <c r="BY223" s="23">
        <f t="shared" si="1916"/>
        <v>-28.400000000000091</v>
      </c>
      <c r="BZ223" s="23">
        <f t="shared" si="1916"/>
        <v>-360.40000000000009</v>
      </c>
      <c r="CA223" s="23">
        <f t="shared" si="1916"/>
        <v>-31.380000000000109</v>
      </c>
      <c r="CB223" s="23">
        <f t="shared" si="1916"/>
        <v>-66.730000000000018</v>
      </c>
      <c r="CC223" s="23">
        <f t="shared" si="1916"/>
        <v>-34.029999999999973</v>
      </c>
      <c r="CD223" s="23">
        <f t="shared" si="1916"/>
        <v>-134.70999999999958</v>
      </c>
      <c r="CE223" s="23">
        <f t="shared" si="1916"/>
        <v>-40.779999999999973</v>
      </c>
      <c r="CF223" s="23">
        <f t="shared" si="1916"/>
        <v>-20.410000000000537</v>
      </c>
      <c r="CG223" s="23">
        <f t="shared" si="1916"/>
        <v>-41.940000000000055</v>
      </c>
      <c r="CH223" s="23">
        <f t="shared" si="1916"/>
        <v>-43.083300000000008</v>
      </c>
      <c r="CI223" s="23">
        <f t="shared" si="1916"/>
        <v>0</v>
      </c>
      <c r="CJ223" s="23">
        <f t="shared" si="1916"/>
        <v>-26.076699999999846</v>
      </c>
      <c r="CK223" s="24">
        <f t="shared" si="1916"/>
        <v>0</v>
      </c>
      <c r="CL223" s="23">
        <f t="shared" si="1916"/>
        <v>-65.769999999999754</v>
      </c>
      <c r="CM223" s="24">
        <f t="shared" si="1916"/>
        <v>-30</v>
      </c>
      <c r="CN223" s="24">
        <f t="shared" si="1916"/>
        <v>-30</v>
      </c>
      <c r="CO223" s="24">
        <f t="shared" si="1916"/>
        <v>-30</v>
      </c>
      <c r="CP223" s="24">
        <f t="shared" si="1916"/>
        <v>-29.999999999999773</v>
      </c>
      <c r="CQ223" s="24">
        <f t="shared" si="1916"/>
        <v>-30</v>
      </c>
      <c r="CR223" s="24">
        <f t="shared" si="1916"/>
        <v>-30</v>
      </c>
      <c r="CS223" s="24">
        <f t="shared" si="1916"/>
        <v>-30</v>
      </c>
      <c r="CT223" s="24">
        <f t="shared" si="1916"/>
        <v>-30</v>
      </c>
      <c r="CU223" s="24">
        <f t="shared" ref="CU223:DB223" si="1917">CT158-CU52-CU158</f>
        <v>-30</v>
      </c>
      <c r="CV223" s="24">
        <f t="shared" si="1917"/>
        <v>-30</v>
      </c>
      <c r="CW223" s="24">
        <f t="shared" si="1917"/>
        <v>-30</v>
      </c>
      <c r="CX223" s="24">
        <f t="shared" si="1917"/>
        <v>-30</v>
      </c>
      <c r="CY223" s="24">
        <f t="shared" si="1917"/>
        <v>-30</v>
      </c>
      <c r="CZ223" s="24">
        <f t="shared" si="1917"/>
        <v>-30</v>
      </c>
      <c r="DA223" s="24">
        <f t="shared" si="1917"/>
        <v>-30</v>
      </c>
      <c r="DB223" s="24">
        <f t="shared" si="1917"/>
        <v>-30.000000000000227</v>
      </c>
      <c r="DE223" s="123"/>
      <c r="DF223" s="23">
        <v>-110.60170000000016</v>
      </c>
    </row>
    <row r="224" spans="1:110" s="23" customFormat="1" x14ac:dyDescent="0.2">
      <c r="AB224" s="24"/>
      <c r="AC224" s="24"/>
      <c r="AD224" s="24"/>
      <c r="AE224" s="24"/>
      <c r="CK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E224" s="123"/>
    </row>
    <row r="225" spans="1:110" s="22" customFormat="1" x14ac:dyDescent="0.2">
      <c r="A225" s="22" t="s">
        <v>95</v>
      </c>
      <c r="C225" s="22">
        <f t="shared" ref="C225:W225" si="1918">C226+C227</f>
        <v>-7.0824000000000371</v>
      </c>
      <c r="D225" s="22">
        <f t="shared" si="1918"/>
        <v>-13.578899999999987</v>
      </c>
      <c r="E225" s="22">
        <f t="shared" si="1918"/>
        <v>-1.6929000000000407</v>
      </c>
      <c r="F225" s="22">
        <f t="shared" si="1918"/>
        <v>0.21510000000002094</v>
      </c>
      <c r="G225" s="22">
        <f t="shared" si="1918"/>
        <v>6.5546999999999684</v>
      </c>
      <c r="H225" s="22">
        <f t="shared" si="1918"/>
        <v>104.64959999999996</v>
      </c>
      <c r="I225" s="22">
        <f t="shared" si="1918"/>
        <v>11.228700000000032</v>
      </c>
      <c r="J225" s="22">
        <f t="shared" si="1918"/>
        <v>-27.43010000000001</v>
      </c>
      <c r="K225" s="22">
        <f t="shared" si="1918"/>
        <v>-61.513500000000022</v>
      </c>
      <c r="L225" s="22">
        <f t="shared" si="1918"/>
        <v>16.34780000000012</v>
      </c>
      <c r="M225" s="22">
        <f t="shared" si="1918"/>
        <v>-497.53530000000012</v>
      </c>
      <c r="N225" s="22">
        <f t="shared" si="1918"/>
        <v>-50.007000000000026</v>
      </c>
      <c r="O225" s="22">
        <f t="shared" si="1918"/>
        <v>4.1404999999999674</v>
      </c>
      <c r="P225" s="22">
        <f t="shared" si="1918"/>
        <v>-114.17870000000023</v>
      </c>
      <c r="Q225" s="22">
        <f t="shared" si="1918"/>
        <v>94.138499999999766</v>
      </c>
      <c r="R225" s="22">
        <f t="shared" si="1918"/>
        <v>-148.27989999999997</v>
      </c>
      <c r="S225" s="22">
        <f t="shared" si="1918"/>
        <v>-79.428099999999802</v>
      </c>
      <c r="T225" s="22">
        <f t="shared" si="1918"/>
        <v>-158.36549999999986</v>
      </c>
      <c r="U225" s="22">
        <f t="shared" si="1918"/>
        <v>-313.28660000000002</v>
      </c>
      <c r="V225" s="22">
        <f t="shared" si="1918"/>
        <v>-69.373000000000047</v>
      </c>
      <c r="W225" s="22">
        <f t="shared" si="1918"/>
        <v>-66.503999999999778</v>
      </c>
      <c r="X225" s="22">
        <f t="shared" ref="X225:Y225" si="1919">X226+X227</f>
        <v>453.82709999999997</v>
      </c>
      <c r="Y225" s="22">
        <f t="shared" si="1919"/>
        <v>-300.74799999999971</v>
      </c>
      <c r="Z225" s="22">
        <f t="shared" ref="Z225:AA225" si="1920">Z226+Z227</f>
        <v>-492.93319999999994</v>
      </c>
      <c r="AA225" s="22">
        <f t="shared" si="1920"/>
        <v>2.6261999999993808</v>
      </c>
      <c r="AB225" s="21">
        <f t="shared" ref="AB225:AD225" si="1921">AB226+AB227</f>
        <v>2.0000000040454324E-4</v>
      </c>
      <c r="AC225" s="21">
        <f t="shared" si="1921"/>
        <v>0</v>
      </c>
      <c r="AD225" s="21">
        <f t="shared" si="1921"/>
        <v>-9.0949470177292824E-13</v>
      </c>
      <c r="AE225" s="21">
        <f t="shared" ref="AE225" si="1922">AE226+AE227</f>
        <v>-1.8189894035458565E-12</v>
      </c>
      <c r="AI225" s="22">
        <f t="shared" ref="AI225" si="1923">AI226+AI227</f>
        <v>-4.3080000000000105</v>
      </c>
      <c r="AJ225" s="22">
        <f t="shared" ref="AJ225:AL225" si="1924">AJ226+AJ227</f>
        <v>1004.322</v>
      </c>
      <c r="AK225" s="22">
        <f t="shared" si="1924"/>
        <v>0</v>
      </c>
      <c r="AL225" s="22">
        <f t="shared" si="1924"/>
        <v>-20.15799999999993</v>
      </c>
      <c r="AM225" s="22">
        <f t="shared" ref="AM225" si="1925">AM226+AM227</f>
        <v>0</v>
      </c>
      <c r="AN225" s="22">
        <f t="shared" ref="AN225:CD225" si="1926">AN226+AN227</f>
        <v>26.477000000000018</v>
      </c>
      <c r="AO225" s="22">
        <f t="shared" si="1926"/>
        <v>0</v>
      </c>
      <c r="AP225" s="22">
        <f t="shared" si="1926"/>
        <v>-34.684000000000268</v>
      </c>
      <c r="AQ225" s="22">
        <f t="shared" si="1926"/>
        <v>0</v>
      </c>
      <c r="AR225" s="22">
        <f t="shared" si="1926"/>
        <v>2.1940000000001589</v>
      </c>
      <c r="AS225" s="22">
        <f t="shared" si="1926"/>
        <v>0</v>
      </c>
      <c r="AT225" s="22">
        <f t="shared" si="1926"/>
        <v>-118.63199999999991</v>
      </c>
      <c r="AU225" s="22">
        <f t="shared" si="1926"/>
        <v>1.1368683772161603E-13</v>
      </c>
      <c r="AV225" s="22">
        <f t="shared" si="1926"/>
        <v>37.461999999999705</v>
      </c>
      <c r="AW225" s="22">
        <f t="shared" si="1926"/>
        <v>0</v>
      </c>
      <c r="AX225" s="22">
        <f t="shared" si="1926"/>
        <v>39.707999999999807</v>
      </c>
      <c r="AY225" s="22">
        <f t="shared" si="1926"/>
        <v>0</v>
      </c>
      <c r="AZ225" s="22">
        <f t="shared" si="1926"/>
        <v>-46.584000000000053</v>
      </c>
      <c r="BA225" s="22">
        <f t="shared" si="1926"/>
        <v>0</v>
      </c>
      <c r="BB225" s="22">
        <f t="shared" si="1926"/>
        <v>-90.218000000000174</v>
      </c>
      <c r="BC225" s="22">
        <f t="shared" si="1926"/>
        <v>0</v>
      </c>
      <c r="BD225" s="22">
        <f t="shared" si="1926"/>
        <v>-36.603999999999814</v>
      </c>
      <c r="BE225" s="22">
        <f t="shared" si="1926"/>
        <v>0</v>
      </c>
      <c r="BF225" s="22">
        <f t="shared" si="1926"/>
        <v>-32.461000000000126</v>
      </c>
      <c r="BG225" s="22">
        <f t="shared" si="1926"/>
        <v>0</v>
      </c>
      <c r="BH225" s="22">
        <f t="shared" si="1926"/>
        <v>-2.17500000000007</v>
      </c>
      <c r="BI225" s="22">
        <f t="shared" si="1926"/>
        <v>0</v>
      </c>
      <c r="BJ225" s="22">
        <f t="shared" si="1926"/>
        <v>-156.18899999999979</v>
      </c>
      <c r="BK225" s="22">
        <f t="shared" si="1926"/>
        <v>0</v>
      </c>
      <c r="BL225" s="22">
        <f t="shared" si="1926"/>
        <v>-30.610000000000117</v>
      </c>
      <c r="BM225" s="22">
        <f t="shared" si="1926"/>
        <v>0</v>
      </c>
      <c r="BN225" s="22">
        <f t="shared" si="1926"/>
        <v>-282.67500000000024</v>
      </c>
      <c r="BO225" s="22">
        <f t="shared" si="1926"/>
        <v>0</v>
      </c>
      <c r="BP225" s="22">
        <f t="shared" si="1926"/>
        <v>-1.3120000000000611</v>
      </c>
      <c r="BQ225" s="22">
        <f t="shared" si="1926"/>
        <v>0</v>
      </c>
      <c r="BR225" s="22">
        <f t="shared" si="1926"/>
        <v>-68.06299999999996</v>
      </c>
      <c r="BS225" s="22">
        <f t="shared" si="1926"/>
        <v>0</v>
      </c>
      <c r="BT225" s="22">
        <f t="shared" si="1926"/>
        <v>-52.812000000000197</v>
      </c>
      <c r="BU225" s="22">
        <f t="shared" si="1926"/>
        <v>2.2737367544323206E-13</v>
      </c>
      <c r="BV225" s="22">
        <f t="shared" si="1926"/>
        <v>-13.672000000000221</v>
      </c>
      <c r="BW225" s="22">
        <f t="shared" si="1926"/>
        <v>0</v>
      </c>
      <c r="BX225" s="22">
        <f t="shared" si="1926"/>
        <v>284.32999999999993</v>
      </c>
      <c r="BY225" s="22">
        <f t="shared" si="1926"/>
        <v>0</v>
      </c>
      <c r="BZ225" s="22">
        <f t="shared" si="1926"/>
        <v>169.48999999999995</v>
      </c>
      <c r="CA225" s="22">
        <f t="shared" si="1926"/>
        <v>0</v>
      </c>
      <c r="CB225" s="22">
        <f t="shared" si="1926"/>
        <v>-177.69000000000017</v>
      </c>
      <c r="CC225" s="22">
        <f t="shared" si="1926"/>
        <v>0</v>
      </c>
      <c r="CD225" s="22">
        <f t="shared" si="1926"/>
        <v>-123.07000000000016</v>
      </c>
      <c r="CE225" s="22">
        <f t="shared" ref="CE225:CF225" si="1927">CE226+CE227</f>
        <v>0</v>
      </c>
      <c r="CF225" s="22">
        <f t="shared" si="1927"/>
        <v>-337.99999999999955</v>
      </c>
      <c r="CG225" s="22">
        <f t="shared" ref="CG225:CH225" si="1928">CG226+CG227</f>
        <v>0</v>
      </c>
      <c r="CH225" s="22">
        <f t="shared" si="1928"/>
        <v>-154.93110000000007</v>
      </c>
      <c r="CI225" s="22">
        <f t="shared" ref="CI225:CJ225" si="1929">CI226+CI227</f>
        <v>0</v>
      </c>
      <c r="CJ225" s="22">
        <f t="shared" si="1929"/>
        <v>-44.258900000000295</v>
      </c>
      <c r="CK225" s="21">
        <f t="shared" ref="CK225:DB225" si="1930">CK226+CK227</f>
        <v>0</v>
      </c>
      <c r="CL225" s="22">
        <f t="shared" si="1930"/>
        <v>46.900000000000709</v>
      </c>
      <c r="CM225" s="21">
        <f t="shared" si="1930"/>
        <v>0</v>
      </c>
      <c r="CN225" s="21">
        <f t="shared" si="1930"/>
        <v>0</v>
      </c>
      <c r="CO225" s="21">
        <f t="shared" si="1930"/>
        <v>0</v>
      </c>
      <c r="CP225" s="21">
        <f t="shared" si="1930"/>
        <v>0</v>
      </c>
      <c r="CQ225" s="21">
        <f t="shared" si="1930"/>
        <v>0</v>
      </c>
      <c r="CR225" s="21">
        <f t="shared" si="1930"/>
        <v>0</v>
      </c>
      <c r="CS225" s="21">
        <f t="shared" si="1930"/>
        <v>0</v>
      </c>
      <c r="CT225" s="21">
        <f t="shared" si="1930"/>
        <v>0</v>
      </c>
      <c r="CU225" s="21">
        <f t="shared" si="1930"/>
        <v>0</v>
      </c>
      <c r="CV225" s="21">
        <f t="shared" si="1930"/>
        <v>0</v>
      </c>
      <c r="CW225" s="21">
        <f t="shared" si="1930"/>
        <v>0</v>
      </c>
      <c r="CX225" s="21">
        <f t="shared" si="1930"/>
        <v>0</v>
      </c>
      <c r="CY225" s="21">
        <f t="shared" si="1930"/>
        <v>0</v>
      </c>
      <c r="CZ225" s="21">
        <f t="shared" si="1930"/>
        <v>0</v>
      </c>
      <c r="DA225" s="21">
        <f t="shared" si="1930"/>
        <v>0</v>
      </c>
      <c r="DB225" s="21">
        <f t="shared" si="1930"/>
        <v>-1.8189894035458565E-12</v>
      </c>
      <c r="DE225" s="126"/>
      <c r="DF225" s="22">
        <v>2.6261999999993808</v>
      </c>
    </row>
    <row r="226" spans="1:110" s="23" customFormat="1" x14ac:dyDescent="0.2">
      <c r="A226" s="23" t="s">
        <v>49</v>
      </c>
      <c r="C226" s="23">
        <f t="shared" ref="C226:AA226" si="1931">C148-B148</f>
        <v>5.4881000000000011</v>
      </c>
      <c r="D226" s="23">
        <f t="shared" si="1931"/>
        <v>-1.1939999999999991</v>
      </c>
      <c r="E226" s="23">
        <f>E148-D148</f>
        <v>26.506899999999998</v>
      </c>
      <c r="F226" s="23">
        <f t="shared" si="1931"/>
        <v>22.188200000000009</v>
      </c>
      <c r="G226" s="23">
        <f t="shared" si="1931"/>
        <v>30.581799999999987</v>
      </c>
      <c r="H226" s="23">
        <f t="shared" si="1931"/>
        <v>78.741600000000005</v>
      </c>
      <c r="I226" s="23">
        <f t="shared" si="1931"/>
        <v>21.986500000000007</v>
      </c>
      <c r="J226" s="23">
        <f>J148-I148</f>
        <v>-17.587299999999999</v>
      </c>
      <c r="K226" s="23">
        <f>K148-J148</f>
        <v>-41.986899999999991</v>
      </c>
      <c r="L226" s="23">
        <f t="shared" si="1931"/>
        <v>32.246499999999969</v>
      </c>
      <c r="M226" s="23">
        <f t="shared" si="1931"/>
        <v>-98.036799999999985</v>
      </c>
      <c r="N226" s="23">
        <f t="shared" si="1931"/>
        <v>-20.8812</v>
      </c>
      <c r="O226" s="23">
        <f t="shared" si="1931"/>
        <v>43.095099999999995</v>
      </c>
      <c r="P226" s="23">
        <f t="shared" si="1931"/>
        <v>34.164599999999993</v>
      </c>
      <c r="Q226" s="23">
        <f t="shared" si="1931"/>
        <v>66.055900000000008</v>
      </c>
      <c r="R226" s="23">
        <f t="shared" si="1931"/>
        <v>-144.5634</v>
      </c>
      <c r="S226" s="23">
        <f t="shared" si="1931"/>
        <v>-19.567500000000003</v>
      </c>
      <c r="T226" s="23">
        <f t="shared" si="1931"/>
        <v>-3.4951000000000008</v>
      </c>
      <c r="U226" s="23">
        <f t="shared" si="1931"/>
        <v>3.6959000000000017</v>
      </c>
      <c r="V226" s="23">
        <f t="shared" si="1931"/>
        <v>3.1509999999999962</v>
      </c>
      <c r="W226" s="23">
        <f t="shared" si="1931"/>
        <v>-6.3295999999999957</v>
      </c>
      <c r="X226" s="23">
        <f t="shared" si="1931"/>
        <v>521.92329999999993</v>
      </c>
      <c r="Y226" s="23">
        <f t="shared" si="1931"/>
        <v>-191.09730000000002</v>
      </c>
      <c r="Z226" s="23">
        <f t="shared" si="1931"/>
        <v>-343.33719999999994</v>
      </c>
      <c r="AA226" s="23">
        <f t="shared" si="1931"/>
        <v>-13.803800000000001</v>
      </c>
      <c r="AB226" s="24">
        <f t="shared" ref="AB226" si="1932">AB148-AA148</f>
        <v>0</v>
      </c>
      <c r="AC226" s="24">
        <f t="shared" ref="AC226" si="1933">AC148-AB148</f>
        <v>0</v>
      </c>
      <c r="AD226" s="24">
        <f t="shared" ref="AD226" si="1934">AD148-AC148</f>
        <v>0</v>
      </c>
      <c r="AE226" s="24">
        <f t="shared" ref="AE226" si="1935">AE148-AD148</f>
        <v>0</v>
      </c>
      <c r="AI226" s="23">
        <f t="shared" ref="AI226" si="1936">AI148-AH148</f>
        <v>0</v>
      </c>
      <c r="AJ226" s="23">
        <f t="shared" ref="AJ226" si="1937">AJ148-AI148</f>
        <v>46.209999999999994</v>
      </c>
      <c r="AK226" s="23">
        <f t="shared" ref="AK226" si="1938">AK148-AJ148</f>
        <v>0</v>
      </c>
      <c r="AL226" s="23">
        <f t="shared" ref="AL226" si="1939">AL148-AK148</f>
        <v>-1.688999999999993</v>
      </c>
      <c r="AM226" s="23">
        <f t="shared" ref="AM226" si="1940">AM148-AL148</f>
        <v>0</v>
      </c>
      <c r="AN226" s="23">
        <f t="shared" ref="AN226" si="1941">AN148-AM148</f>
        <v>37.775999999999996</v>
      </c>
      <c r="AO226" s="23">
        <f t="shared" ref="AO226" si="1942">AO148-AN148</f>
        <v>0</v>
      </c>
      <c r="AP226" s="23">
        <f t="shared" ref="AP226" si="1943">AP148-AO148</f>
        <v>-9.9000000000003752E-2</v>
      </c>
      <c r="AQ226" s="23">
        <f t="shared" ref="AQ226" si="1944">AQ148-AP148</f>
        <v>0</v>
      </c>
      <c r="AR226" s="23">
        <f t="shared" ref="AR226" si="1945">AR148-AQ148</f>
        <v>0.34499999999999886</v>
      </c>
      <c r="AS226" s="23">
        <f t="shared" ref="AS226" si="1946">AS148-AR148</f>
        <v>0</v>
      </c>
      <c r="AT226" s="23">
        <f t="shared" ref="AT226" si="1947">AT148-AS148</f>
        <v>44.737000000000009</v>
      </c>
      <c r="AU226" s="23">
        <f t="shared" ref="AU226" si="1948">AU148-AT148</f>
        <v>0</v>
      </c>
      <c r="AV226" s="23">
        <f t="shared" ref="AV226" si="1949">AV148-AU148</f>
        <v>14.449999999999989</v>
      </c>
      <c r="AW226" s="23">
        <f t="shared" ref="AW226" si="1950">AW148-AV148</f>
        <v>0</v>
      </c>
      <c r="AX226" s="23">
        <f t="shared" ref="AX226" si="1951">AX148-AW148</f>
        <v>51.294000000000011</v>
      </c>
      <c r="AY226" s="23">
        <f t="shared" ref="AY226" si="1952">AY148-AX148</f>
        <v>0</v>
      </c>
      <c r="AZ226" s="23">
        <f t="shared" ref="AZ226" si="1953">AZ148-AY148</f>
        <v>-74.382999999999996</v>
      </c>
      <c r="BA226" s="23">
        <f t="shared" ref="BA226" si="1954">BA148-AZ148</f>
        <v>0</v>
      </c>
      <c r="BB226" s="23">
        <f t="shared" ref="BB226" si="1955">BB148-BA148</f>
        <v>-69.781000000000006</v>
      </c>
      <c r="BC226" s="23">
        <f t="shared" ref="BC226" si="1956">BC148-BB148</f>
        <v>0</v>
      </c>
      <c r="BD226" s="23">
        <f t="shared" ref="BD226" si="1957">BD148-BC148</f>
        <v>2.2289999999999992</v>
      </c>
      <c r="BE226" s="23">
        <f t="shared" ref="BE226" si="1958">BE148-BD148</f>
        <v>0</v>
      </c>
      <c r="BF226" s="23">
        <f t="shared" ref="BF226" si="1959">BF148-BE148</f>
        <v>-21.795999999999999</v>
      </c>
      <c r="BG226" s="23">
        <f t="shared" ref="BG226" si="1960">BG148-BF148</f>
        <v>0</v>
      </c>
      <c r="BH226" s="23">
        <f t="shared" ref="BH226" si="1961">BH148-BG148</f>
        <v>13.594000000000001</v>
      </c>
      <c r="BI226" s="23">
        <f t="shared" ref="BI226" si="1962">BI148-BH148</f>
        <v>0</v>
      </c>
      <c r="BJ226" s="23">
        <f t="shared" ref="BJ226" si="1963">BJ148-BI148</f>
        <v>-17.089000000000002</v>
      </c>
      <c r="BK226" s="23">
        <f t="shared" ref="BK226" si="1964">BK148-BJ148</f>
        <v>0</v>
      </c>
      <c r="BL226" s="23">
        <f t="shared" ref="BL226" si="1965">BL148-BK148</f>
        <v>21.315999999999999</v>
      </c>
      <c r="BM226" s="23">
        <f t="shared" ref="BM226" si="1966">BM148-BL148</f>
        <v>0</v>
      </c>
      <c r="BN226" s="23">
        <f t="shared" ref="BN226" si="1967">BN148-BM148</f>
        <v>-17.619999999999997</v>
      </c>
      <c r="BO226" s="23">
        <f t="shared" ref="BO226" si="1968">BO148-BN148</f>
        <v>0</v>
      </c>
      <c r="BP226" s="23">
        <f t="shared" ref="BP226" si="1969">BP148-BO148</f>
        <v>1.0760000000000005</v>
      </c>
      <c r="BQ226" s="23">
        <f t="shared" ref="BQ226" si="1970">BQ148-BP148</f>
        <v>0</v>
      </c>
      <c r="BR226" s="23">
        <f t="shared" ref="BR226" si="1971">BR148-BQ148</f>
        <v>2.0750000000000028</v>
      </c>
      <c r="BS226" s="23">
        <f t="shared" ref="BS226" si="1972">BS148-BR148</f>
        <v>0</v>
      </c>
      <c r="BT226" s="23">
        <f t="shared" ref="BT226" si="1973">BT148-BS148</f>
        <v>-6.2040000000000042</v>
      </c>
      <c r="BU226" s="23">
        <f t="shared" ref="BU226" si="1974">BU148-BT148</f>
        <v>0</v>
      </c>
      <c r="BV226" s="23">
        <f t="shared" ref="BV226" si="1975">BV148-BU148</f>
        <v>-0.12099999999999866</v>
      </c>
      <c r="BW226" s="23">
        <f t="shared" ref="BW226" si="1976">BW148-BV148</f>
        <v>0</v>
      </c>
      <c r="BX226" s="23">
        <f t="shared" ref="BX226" si="1977">BX148-BW148</f>
        <v>323.74</v>
      </c>
      <c r="BY226" s="23">
        <f t="shared" ref="BY226" si="1978">BY148-BX148</f>
        <v>0</v>
      </c>
      <c r="BZ226" s="23">
        <f t="shared" ref="BZ226" si="1979">BZ148-BY148</f>
        <v>198.18</v>
      </c>
      <c r="CA226" s="23">
        <f t="shared" ref="CA226" si="1980">CA148-BZ148</f>
        <v>0</v>
      </c>
      <c r="CB226" s="23">
        <f t="shared" ref="CB226" si="1981">CB148-CA148</f>
        <v>-121.13999999999999</v>
      </c>
      <c r="CC226" s="23">
        <f t="shared" ref="CC226" si="1982">CC148-CB148</f>
        <v>0</v>
      </c>
      <c r="CD226" s="23">
        <f t="shared" ref="CD226" si="1983">CD148-CC148</f>
        <v>-69.960000000000036</v>
      </c>
      <c r="CE226" s="23">
        <f t="shared" ref="CE226" si="1984">CE148-CD148</f>
        <v>0</v>
      </c>
      <c r="CF226" s="23">
        <f t="shared" ref="CF226" si="1985">CF148-CE148</f>
        <v>-275.5</v>
      </c>
      <c r="CG226" s="23">
        <f t="shared" ref="CG226" si="1986">CG148-CF148</f>
        <v>0</v>
      </c>
      <c r="CH226" s="23">
        <f t="shared" ref="CH226:CL226" si="1987">CH148-CG148</f>
        <v>-67.836200000000005</v>
      </c>
      <c r="CI226" s="23">
        <f t="shared" si="1987"/>
        <v>0</v>
      </c>
      <c r="CJ226" s="23">
        <f t="shared" si="1987"/>
        <v>-6.4838000000000005</v>
      </c>
      <c r="CK226" s="24">
        <f t="shared" ref="CK226" si="1988">CK148-CJ148</f>
        <v>0</v>
      </c>
      <c r="CL226" s="23">
        <f t="shared" si="1987"/>
        <v>-7.32</v>
      </c>
      <c r="CM226" s="24">
        <f t="shared" ref="CM226" si="1989">CM148-CL148</f>
        <v>0</v>
      </c>
      <c r="CN226" s="24">
        <f t="shared" ref="CN226" si="1990">CN148-CM148</f>
        <v>0</v>
      </c>
      <c r="CO226" s="24">
        <f t="shared" ref="CO226" si="1991">CO148-CN148</f>
        <v>0</v>
      </c>
      <c r="CP226" s="24">
        <f t="shared" ref="CP226" si="1992">CP148-CO148</f>
        <v>0</v>
      </c>
      <c r="CQ226" s="24">
        <f t="shared" ref="CQ226" si="1993">CQ148-CP148</f>
        <v>0</v>
      </c>
      <c r="CR226" s="24">
        <f t="shared" ref="CR226" si="1994">CR148-CQ148</f>
        <v>0</v>
      </c>
      <c r="CS226" s="24">
        <f t="shared" ref="CS226" si="1995">CS148-CR148</f>
        <v>0</v>
      </c>
      <c r="CT226" s="24">
        <f t="shared" ref="CT226" si="1996">CT148-CS148</f>
        <v>0</v>
      </c>
      <c r="CU226" s="24">
        <f t="shared" ref="CU226" si="1997">CU148-CT148</f>
        <v>0</v>
      </c>
      <c r="CV226" s="24">
        <f t="shared" ref="CV226" si="1998">CV148-CU148</f>
        <v>0</v>
      </c>
      <c r="CW226" s="24">
        <f t="shared" ref="CW226" si="1999">CW148-CV148</f>
        <v>0</v>
      </c>
      <c r="CX226" s="24">
        <f t="shared" ref="CX226" si="2000">CX148-CW148</f>
        <v>0</v>
      </c>
      <c r="CY226" s="24">
        <f t="shared" ref="CY226" si="2001">CY148-CX148</f>
        <v>0</v>
      </c>
      <c r="CZ226" s="24">
        <f t="shared" ref="CZ226" si="2002">CZ148-CY148</f>
        <v>0</v>
      </c>
      <c r="DA226" s="24">
        <f t="shared" ref="DA226" si="2003">DA148-CZ148</f>
        <v>0</v>
      </c>
      <c r="DB226" s="24">
        <f t="shared" ref="DB226" si="2004">DB148-DA148</f>
        <v>0</v>
      </c>
      <c r="DE226" s="123"/>
      <c r="DF226" s="23">
        <v>-13.803800000000001</v>
      </c>
    </row>
    <row r="227" spans="1:110" s="23" customFormat="1" x14ac:dyDescent="0.2">
      <c r="A227" s="23" t="s">
        <v>27</v>
      </c>
      <c r="C227" s="23">
        <f t="shared" ref="C227:AE227" si="2005">C140-C68-B140+C142-B142</f>
        <v>-12.570500000000038</v>
      </c>
      <c r="D227" s="23">
        <f t="shared" si="2005"/>
        <v>-12.384899999999988</v>
      </c>
      <c r="E227" s="23">
        <f t="shared" si="2005"/>
        <v>-28.199800000000039</v>
      </c>
      <c r="F227" s="23">
        <f t="shared" si="2005"/>
        <v>-21.973099999999988</v>
      </c>
      <c r="G227" s="23">
        <f t="shared" si="2005"/>
        <v>-24.027100000000019</v>
      </c>
      <c r="H227" s="23">
        <f t="shared" si="2005"/>
        <v>25.907999999999959</v>
      </c>
      <c r="I227" s="23">
        <f t="shared" si="2005"/>
        <v>-10.757799999999975</v>
      </c>
      <c r="J227" s="23">
        <f t="shared" si="2005"/>
        <v>-9.8428000000000111</v>
      </c>
      <c r="K227" s="23">
        <f t="shared" si="2005"/>
        <v>-19.52660000000003</v>
      </c>
      <c r="L227" s="23">
        <f t="shared" si="2005"/>
        <v>-15.898699999999849</v>
      </c>
      <c r="M227" s="23">
        <f t="shared" si="2005"/>
        <v>-399.49850000000015</v>
      </c>
      <c r="N227" s="23">
        <f t="shared" si="2005"/>
        <v>-29.125800000000027</v>
      </c>
      <c r="O227" s="23">
        <f t="shared" si="2005"/>
        <v>-38.954600000000028</v>
      </c>
      <c r="P227" s="23">
        <f t="shared" si="2005"/>
        <v>-148.34330000000023</v>
      </c>
      <c r="Q227" s="23">
        <f t="shared" si="2005"/>
        <v>28.082599999999765</v>
      </c>
      <c r="R227" s="23">
        <f t="shared" si="2005"/>
        <v>-3.716499999999971</v>
      </c>
      <c r="S227" s="23">
        <f t="shared" si="2005"/>
        <v>-59.860599999999799</v>
      </c>
      <c r="T227" s="23">
        <f t="shared" si="2005"/>
        <v>-154.87039999999985</v>
      </c>
      <c r="U227" s="23">
        <f t="shared" si="2005"/>
        <v>-316.98250000000002</v>
      </c>
      <c r="V227" s="23">
        <f t="shared" si="2005"/>
        <v>-72.524000000000044</v>
      </c>
      <c r="W227" s="23">
        <f t="shared" si="2005"/>
        <v>-60.174399999999785</v>
      </c>
      <c r="X227" s="23">
        <f t="shared" si="2005"/>
        <v>-68.096199999999925</v>
      </c>
      <c r="Y227" s="23">
        <f t="shared" si="2005"/>
        <v>-109.65069999999969</v>
      </c>
      <c r="Z227" s="23">
        <f t="shared" si="2005"/>
        <v>-149.596</v>
      </c>
      <c r="AA227" s="23">
        <f t="shared" si="2005"/>
        <v>16.429999999999382</v>
      </c>
      <c r="AB227" s="24">
        <f t="shared" si="2005"/>
        <v>2.0000000040454324E-4</v>
      </c>
      <c r="AC227" s="24">
        <f t="shared" si="2005"/>
        <v>0</v>
      </c>
      <c r="AD227" s="24">
        <f t="shared" si="2005"/>
        <v>-9.0949470177292824E-13</v>
      </c>
      <c r="AE227" s="24">
        <f t="shared" si="2005"/>
        <v>-1.8189894035458565E-12</v>
      </c>
      <c r="AI227" s="23">
        <f t="shared" ref="AI227:BN227" si="2006">AI140-AI68-AH140+AI142-AH142</f>
        <v>-4.3080000000000105</v>
      </c>
      <c r="AJ227" s="23">
        <f t="shared" si="2006"/>
        <v>958.11199999999997</v>
      </c>
      <c r="AK227" s="23">
        <f t="shared" si="2006"/>
        <v>0</v>
      </c>
      <c r="AL227" s="23">
        <f t="shared" si="2006"/>
        <v>-18.468999999999937</v>
      </c>
      <c r="AM227" s="23">
        <f t="shared" si="2006"/>
        <v>0</v>
      </c>
      <c r="AN227" s="23">
        <f t="shared" si="2006"/>
        <v>-11.298999999999978</v>
      </c>
      <c r="AO227" s="23">
        <f t="shared" si="2006"/>
        <v>0</v>
      </c>
      <c r="AP227" s="23">
        <f t="shared" si="2006"/>
        <v>-34.585000000000264</v>
      </c>
      <c r="AQ227" s="23">
        <f t="shared" si="2006"/>
        <v>0</v>
      </c>
      <c r="AR227" s="23">
        <f t="shared" si="2006"/>
        <v>1.8490000000001601</v>
      </c>
      <c r="AS227" s="23">
        <f t="shared" si="2006"/>
        <v>0</v>
      </c>
      <c r="AT227" s="23">
        <f t="shared" si="2006"/>
        <v>-163.36899999999991</v>
      </c>
      <c r="AU227" s="23">
        <f t="shared" si="2006"/>
        <v>1.1368683772161603E-13</v>
      </c>
      <c r="AV227" s="23">
        <f t="shared" si="2006"/>
        <v>23.011999999999716</v>
      </c>
      <c r="AW227" s="23">
        <f t="shared" si="2006"/>
        <v>0</v>
      </c>
      <c r="AX227" s="23">
        <f t="shared" si="2006"/>
        <v>-11.586000000000205</v>
      </c>
      <c r="AY227" s="23">
        <f t="shared" si="2006"/>
        <v>0</v>
      </c>
      <c r="AZ227" s="23">
        <f t="shared" si="2006"/>
        <v>27.798999999999943</v>
      </c>
      <c r="BA227" s="23">
        <f t="shared" si="2006"/>
        <v>0</v>
      </c>
      <c r="BB227" s="23">
        <f t="shared" si="2006"/>
        <v>-20.437000000000165</v>
      </c>
      <c r="BC227" s="23">
        <f t="shared" si="2006"/>
        <v>0</v>
      </c>
      <c r="BD227" s="23">
        <f t="shared" si="2006"/>
        <v>-38.832999999999814</v>
      </c>
      <c r="BE227" s="23">
        <f t="shared" si="2006"/>
        <v>0</v>
      </c>
      <c r="BF227" s="23">
        <f t="shared" si="2006"/>
        <v>-10.665000000000125</v>
      </c>
      <c r="BG227" s="23">
        <f t="shared" si="2006"/>
        <v>0</v>
      </c>
      <c r="BH227" s="23">
        <f t="shared" si="2006"/>
        <v>-15.769000000000071</v>
      </c>
      <c r="BI227" s="23">
        <f t="shared" si="2006"/>
        <v>0</v>
      </c>
      <c r="BJ227" s="23">
        <f t="shared" si="2006"/>
        <v>-139.0999999999998</v>
      </c>
      <c r="BK227" s="23">
        <f t="shared" si="2006"/>
        <v>0</v>
      </c>
      <c r="BL227" s="23">
        <f t="shared" si="2006"/>
        <v>-51.926000000000116</v>
      </c>
      <c r="BM227" s="23">
        <f t="shared" si="2006"/>
        <v>0</v>
      </c>
      <c r="BN227" s="23">
        <f t="shared" si="2006"/>
        <v>-265.05500000000023</v>
      </c>
      <c r="BO227" s="23">
        <f t="shared" ref="BO227:CT227" si="2007">BO140-BO68-BN140+BO142-BN142</f>
        <v>0</v>
      </c>
      <c r="BP227" s="23">
        <f t="shared" si="2007"/>
        <v>-2.3880000000000616</v>
      </c>
      <c r="BQ227" s="23">
        <f t="shared" si="2007"/>
        <v>0</v>
      </c>
      <c r="BR227" s="23">
        <f t="shared" si="2007"/>
        <v>-70.137999999999963</v>
      </c>
      <c r="BS227" s="23">
        <f t="shared" si="2007"/>
        <v>0</v>
      </c>
      <c r="BT227" s="23">
        <f t="shared" si="2007"/>
        <v>-46.608000000000189</v>
      </c>
      <c r="BU227" s="23">
        <f t="shared" si="2007"/>
        <v>2.2737367544323206E-13</v>
      </c>
      <c r="BV227" s="23">
        <f t="shared" si="2007"/>
        <v>-13.551000000000222</v>
      </c>
      <c r="BW227" s="23">
        <f t="shared" si="2007"/>
        <v>0</v>
      </c>
      <c r="BX227" s="23">
        <f t="shared" si="2007"/>
        <v>-39.410000000000075</v>
      </c>
      <c r="BY227" s="23">
        <f t="shared" si="2007"/>
        <v>0</v>
      </c>
      <c r="BZ227" s="23">
        <f t="shared" si="2007"/>
        <v>-28.690000000000055</v>
      </c>
      <c r="CA227" s="23">
        <f t="shared" si="2007"/>
        <v>0</v>
      </c>
      <c r="CB227" s="23">
        <f t="shared" si="2007"/>
        <v>-56.550000000000182</v>
      </c>
      <c r="CC227" s="23">
        <f t="shared" si="2007"/>
        <v>0</v>
      </c>
      <c r="CD227" s="23">
        <f t="shared" si="2007"/>
        <v>-53.110000000000127</v>
      </c>
      <c r="CE227" s="23">
        <f t="shared" si="2007"/>
        <v>0</v>
      </c>
      <c r="CF227" s="23">
        <f t="shared" si="2007"/>
        <v>-62.499999999999545</v>
      </c>
      <c r="CG227" s="23">
        <f t="shared" si="2007"/>
        <v>0</v>
      </c>
      <c r="CH227" s="23">
        <f t="shared" si="2007"/>
        <v>-87.094900000000052</v>
      </c>
      <c r="CI227" s="23">
        <f t="shared" si="2007"/>
        <v>0</v>
      </c>
      <c r="CJ227" s="23">
        <f t="shared" si="2007"/>
        <v>-37.775100000000293</v>
      </c>
      <c r="CK227" s="24">
        <f t="shared" si="2007"/>
        <v>0</v>
      </c>
      <c r="CL227" s="23">
        <f t="shared" si="2007"/>
        <v>54.220000000000709</v>
      </c>
      <c r="CM227" s="24">
        <f t="shared" si="2007"/>
        <v>0</v>
      </c>
      <c r="CN227" s="24">
        <f t="shared" si="2007"/>
        <v>0</v>
      </c>
      <c r="CO227" s="24">
        <f t="shared" si="2007"/>
        <v>0</v>
      </c>
      <c r="CP227" s="24">
        <f t="shared" si="2007"/>
        <v>0</v>
      </c>
      <c r="CQ227" s="24">
        <f t="shared" si="2007"/>
        <v>0</v>
      </c>
      <c r="CR227" s="24">
        <f t="shared" si="2007"/>
        <v>0</v>
      </c>
      <c r="CS227" s="24">
        <f t="shared" si="2007"/>
        <v>0</v>
      </c>
      <c r="CT227" s="24">
        <f t="shared" si="2007"/>
        <v>0</v>
      </c>
      <c r="CU227" s="24">
        <f t="shared" ref="CU227:DB227" si="2008">CU140-CU68-CT140+CU142-CT142</f>
        <v>0</v>
      </c>
      <c r="CV227" s="24">
        <f t="shared" si="2008"/>
        <v>0</v>
      </c>
      <c r="CW227" s="24">
        <f t="shared" si="2008"/>
        <v>0</v>
      </c>
      <c r="CX227" s="24">
        <f t="shared" si="2008"/>
        <v>0</v>
      </c>
      <c r="CY227" s="24">
        <f t="shared" si="2008"/>
        <v>0</v>
      </c>
      <c r="CZ227" s="24">
        <f t="shared" si="2008"/>
        <v>0</v>
      </c>
      <c r="DA227" s="24">
        <f t="shared" si="2008"/>
        <v>0</v>
      </c>
      <c r="DB227" s="24">
        <f t="shared" si="2008"/>
        <v>-1.8189894035458565E-12</v>
      </c>
      <c r="DE227" s="123"/>
      <c r="DF227" s="23">
        <v>16.429999999999382</v>
      </c>
    </row>
    <row r="228" spans="1:110" s="23" customFormat="1" x14ac:dyDescent="0.2">
      <c r="AB228" s="24"/>
      <c r="AC228" s="24"/>
      <c r="AD228" s="24"/>
      <c r="AE228" s="24"/>
      <c r="CK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E228" s="123"/>
    </row>
    <row r="229" spans="1:110" s="23" customFormat="1" x14ac:dyDescent="0.2">
      <c r="A229" s="23" t="s">
        <v>442</v>
      </c>
      <c r="C229" s="23">
        <f t="shared" ref="C229" si="2009">B181</f>
        <v>6.2237999999999998</v>
      </c>
      <c r="D229" s="23">
        <f t="shared" ref="D229" si="2010">C181</f>
        <v>7.1627000000000001</v>
      </c>
      <c r="E229" s="23">
        <f>D181</f>
        <v>9.8881999999999994</v>
      </c>
      <c r="F229" s="23">
        <f t="shared" ref="F229" si="2011">E181</f>
        <v>5.8106999999999998</v>
      </c>
      <c r="G229" s="23">
        <f t="shared" ref="G229" si="2012">F181</f>
        <v>9.4913000000000007</v>
      </c>
      <c r="H229" s="23">
        <f t="shared" ref="H229" si="2013">G181</f>
        <v>11.600300000000001</v>
      </c>
      <c r="I229" s="23">
        <f t="shared" ref="I229" si="2014">H181</f>
        <v>20.3857</v>
      </c>
      <c r="J229" s="23">
        <f>I181</f>
        <v>14.960900000000001</v>
      </c>
      <c r="K229" s="23">
        <f>J181</f>
        <v>43.845399999999998</v>
      </c>
      <c r="L229" s="23">
        <f t="shared" ref="L229" si="2015">K181</f>
        <v>77.861900000000006</v>
      </c>
      <c r="M229" s="23">
        <f t="shared" ref="M229" si="2016">L181</f>
        <v>207.93200000000002</v>
      </c>
      <c r="N229" s="23">
        <f t="shared" ref="N229" si="2017">M181</f>
        <v>518.45429999999999</v>
      </c>
      <c r="O229" s="23">
        <f t="shared" ref="O229" si="2018">N181</f>
        <v>550.91290000000004</v>
      </c>
      <c r="P229" s="23">
        <f t="shared" ref="P229" si="2019">O181</f>
        <v>509.06300000000005</v>
      </c>
      <c r="Q229" s="23">
        <f t="shared" ref="Q229" si="2020">P181</f>
        <v>391.96929999999998</v>
      </c>
      <c r="R229" s="23">
        <f t="shared" ref="R229" si="2021">Q181</f>
        <v>260.18529999999998</v>
      </c>
      <c r="S229" s="23">
        <f t="shared" ref="S229" si="2022">R181</f>
        <v>238.34810000000002</v>
      </c>
      <c r="T229" s="23">
        <f t="shared" ref="T229" si="2023">S181</f>
        <v>413.68920000000003</v>
      </c>
      <c r="U229" s="23">
        <f t="shared" ref="U229" si="2024">T181</f>
        <v>397.447</v>
      </c>
      <c r="V229" s="23">
        <f t="shared" ref="V229" si="2025">U181</f>
        <v>364.76069999999999</v>
      </c>
      <c r="W229" s="23">
        <f t="shared" ref="W229:AA229" si="2026">V181</f>
        <v>695.82650000000001</v>
      </c>
      <c r="X229" s="23">
        <f t="shared" si="2026"/>
        <v>58.527900000000002</v>
      </c>
      <c r="Y229" s="23">
        <f t="shared" si="2026"/>
        <v>270.9973</v>
      </c>
      <c r="Z229" s="23">
        <f t="shared" si="2026"/>
        <v>460.18849999999998</v>
      </c>
      <c r="AA229" s="23">
        <f t="shared" si="2026"/>
        <v>446.55740000000003</v>
      </c>
      <c r="AB229" s="24">
        <f t="shared" ref="AB229" si="2027">AA181</f>
        <v>884.77870000000007</v>
      </c>
      <c r="AC229" s="24">
        <f t="shared" ref="AC229" si="2028">AB181</f>
        <v>1400.9067029489283</v>
      </c>
      <c r="AD229" s="24">
        <f t="shared" ref="AD229" si="2029">AC181</f>
        <v>2242.5523542090118</v>
      </c>
      <c r="AE229" s="24">
        <f t="shared" ref="AE229" si="2030">AD181</f>
        <v>3221.6507442682228</v>
      </c>
      <c r="AI229" s="23">
        <f t="shared" ref="AI229" si="2031">AH181</f>
        <v>0</v>
      </c>
      <c r="AJ229" s="23">
        <f t="shared" ref="AJ229" si="2032">AI181</f>
        <v>0</v>
      </c>
      <c r="AK229" s="23">
        <f t="shared" ref="AK229" si="2033">AJ181</f>
        <v>515.49700000000007</v>
      </c>
      <c r="AL229" s="23">
        <f t="shared" ref="AL229" si="2034">AK181</f>
        <v>561.47277689397083</v>
      </c>
      <c r="AM229" s="23">
        <f t="shared" ref="AM229" si="2035">AL181</f>
        <v>550.91300000000001</v>
      </c>
      <c r="AN229" s="23">
        <f t="shared" ref="AN229" si="2036">AM181</f>
        <v>536.77282213469562</v>
      </c>
      <c r="AO229" s="23">
        <f t="shared" ref="AO229" si="2037">AN181</f>
        <v>482.053</v>
      </c>
      <c r="AP229" s="23">
        <f t="shared" ref="AP229" si="2038">AO181</f>
        <v>496.65460885432509</v>
      </c>
      <c r="AQ229" s="23">
        <f t="shared" ref="AQ229" si="2039">AP181</f>
        <v>509.06299999999999</v>
      </c>
      <c r="AR229" s="23">
        <f t="shared" ref="AR229" si="2040">AQ181</f>
        <v>494.86603334237401</v>
      </c>
      <c r="AS229" s="23">
        <f t="shared" ref="AS229" si="2041">AR181</f>
        <v>526.721</v>
      </c>
      <c r="AT229" s="23">
        <f t="shared" ref="AT229" si="2042">AS181</f>
        <v>573.44857075979985</v>
      </c>
      <c r="AU229" s="23">
        <f t="shared" ref="AU229" si="2043">AT181</f>
        <v>391.96999999999997</v>
      </c>
      <c r="AV229" s="23">
        <f t="shared" ref="AV229" si="2044">AU181</f>
        <v>394.91847856067625</v>
      </c>
      <c r="AW229" s="23">
        <f t="shared" ref="AW229" si="2045">AV181</f>
        <v>245.548</v>
      </c>
      <c r="AX229" s="23">
        <f t="shared" ref="AX229" si="2046">AW181</f>
        <v>307.57349481985466</v>
      </c>
      <c r="AY229" s="23">
        <f t="shared" ref="AY229" si="2047">AX181</f>
        <v>260.185</v>
      </c>
      <c r="AZ229" s="23">
        <f t="shared" ref="AZ229" si="2048">AY181</f>
        <v>295.95912076271884</v>
      </c>
      <c r="BA229" s="23">
        <f t="shared" ref="BA229" si="2049">AZ181</f>
        <v>274.44600000000003</v>
      </c>
      <c r="BB229" s="23">
        <f t="shared" ref="BB229" si="2050">BA181</f>
        <v>335.93385310858145</v>
      </c>
      <c r="BC229" s="23">
        <f t="shared" ref="BC229" si="2051">BB181</f>
        <v>238.34799999999998</v>
      </c>
      <c r="BD229" s="23">
        <f t="shared" ref="BD229" si="2052">BC181</f>
        <v>285.59870497809072</v>
      </c>
      <c r="BE229" s="23">
        <f t="shared" ref="BE229" si="2053">BD181</f>
        <v>399.90200000000004</v>
      </c>
      <c r="BF229" s="23">
        <f t="shared" ref="BF229" si="2054">BE181</f>
        <v>476.60580278360823</v>
      </c>
      <c r="BG229" s="23">
        <f t="shared" ref="BG229" si="2055">BF181</f>
        <v>413.68900000000002</v>
      </c>
      <c r="BH229" s="23">
        <f t="shared" ref="BH229" si="2056">BG181</f>
        <v>347.10162584700794</v>
      </c>
      <c r="BI229" s="23">
        <f t="shared" ref="BI229" si="2057">BH181</f>
        <v>426.29199999999997</v>
      </c>
      <c r="BJ229" s="23">
        <f t="shared" ref="BJ229" si="2058">BI181</f>
        <v>528.85225612218426</v>
      </c>
      <c r="BK229" s="23">
        <f t="shared" ref="BK229" si="2059">BJ181</f>
        <v>397.447</v>
      </c>
      <c r="BL229" s="23">
        <f t="shared" ref="BL229" si="2060">BK181</f>
        <v>431.2403113877516</v>
      </c>
      <c r="BM229" s="23">
        <f t="shared" ref="BM229" si="2061">BL181</f>
        <v>558.95400000000006</v>
      </c>
      <c r="BN229" s="23">
        <f t="shared" ref="BN229" si="2062">BM181</f>
        <v>653.7061291757318</v>
      </c>
      <c r="BO229" s="23">
        <f t="shared" ref="BO229" si="2063">BN181</f>
        <v>364.76099999999997</v>
      </c>
      <c r="BP229" s="23">
        <f t="shared" ref="BP229" si="2064">BO181</f>
        <v>403.94858274586386</v>
      </c>
      <c r="BQ229" s="23">
        <f t="shared" ref="BQ229" si="2065">BP181</f>
        <v>483.73899999999998</v>
      </c>
      <c r="BR229" s="23">
        <f t="shared" ref="BR229" si="2066">BQ181</f>
        <v>486.12977457593513</v>
      </c>
      <c r="BS229" s="23">
        <f t="shared" ref="BS229" si="2067">BR181</f>
        <v>695.82600000000002</v>
      </c>
      <c r="BT229" s="23">
        <f t="shared" ref="BT229" si="2068">BS181</f>
        <v>734.06711207198362</v>
      </c>
      <c r="BU229" s="23">
        <f t="shared" ref="BU229" si="2069">BT181</f>
        <v>767.30700000000002</v>
      </c>
      <c r="BV229" s="23">
        <f t="shared" ref="BV229" si="2070">BU181</f>
        <v>842.88939132561018</v>
      </c>
      <c r="BW229" s="23">
        <f t="shared" ref="BW229" si="2071">BV181</f>
        <v>58.52</v>
      </c>
      <c r="BX229" s="23">
        <f t="shared" ref="BX229" si="2072">BW181</f>
        <v>-26.575133927856548</v>
      </c>
      <c r="BY229" s="23">
        <f t="shared" ref="BY229" si="2073">BX181</f>
        <v>196.82</v>
      </c>
      <c r="BZ229" s="23">
        <f t="shared" ref="BZ229" si="2074">BY181</f>
        <v>320.21487312215856</v>
      </c>
      <c r="CA229" s="23">
        <f t="shared" ref="CA229" si="2075">BZ181</f>
        <v>270.99</v>
      </c>
      <c r="CB229" s="23">
        <f t="shared" ref="CB229" si="2076">CA181</f>
        <v>278.49393587994541</v>
      </c>
      <c r="CC229" s="23">
        <f t="shared" ref="CC229" si="2077">CB181</f>
        <v>393.28999999999996</v>
      </c>
      <c r="CD229" s="23">
        <f t="shared" ref="CD229" si="2078">CC181</f>
        <v>561.34886134234591</v>
      </c>
      <c r="CE229" s="23">
        <f t="shared" ref="CE229" si="2079">CD181</f>
        <v>460.19</v>
      </c>
      <c r="CF229" s="23">
        <f t="shared" ref="CF229" si="2080">CE181</f>
        <v>499.0867373771369</v>
      </c>
      <c r="CG229" s="23">
        <f t="shared" ref="CG229" si="2081">CF181</f>
        <v>416.85999999999996</v>
      </c>
      <c r="CH229" s="23">
        <f t="shared" ref="CH229:CL229" si="2082">CG181</f>
        <v>617.11415852171604</v>
      </c>
      <c r="CI229" s="23">
        <f t="shared" si="2082"/>
        <v>446.55740000000003</v>
      </c>
      <c r="CJ229" s="23">
        <f t="shared" si="2082"/>
        <v>522.71506747061608</v>
      </c>
      <c r="CK229" s="24">
        <f t="shared" ref="CK229" si="2083">CJ181</f>
        <v>594.15</v>
      </c>
      <c r="CL229" s="23">
        <f t="shared" si="2082"/>
        <v>863.33624573693464</v>
      </c>
      <c r="CM229" s="24">
        <f t="shared" ref="CM229" si="2084">CL181</f>
        <v>884.78</v>
      </c>
      <c r="CN229" s="24">
        <f t="shared" ref="CN229" si="2085">CM181</f>
        <v>612.77798060536429</v>
      </c>
      <c r="CO229" s="24">
        <f t="shared" ref="CO229" si="2086">CN181</f>
        <v>854.52814273611773</v>
      </c>
      <c r="CP229" s="24">
        <f t="shared" ref="CP229" si="2087">CO181</f>
        <v>1112.7471263164443</v>
      </c>
      <c r="CQ229" s="24">
        <f t="shared" ref="CQ229" si="2088">CP181</f>
        <v>1400.9067029489283</v>
      </c>
      <c r="CR229" s="24">
        <f t="shared" ref="CR229" si="2089">CQ181</f>
        <v>1340.2754214150746</v>
      </c>
      <c r="CS229" s="24">
        <f t="shared" ref="CS229" si="2090">CR181</f>
        <v>1612.4883134283634</v>
      </c>
      <c r="CT229" s="24">
        <f t="shared" ref="CT229" si="2091">CS181</f>
        <v>1908.9460063864881</v>
      </c>
      <c r="CU229" s="24">
        <f t="shared" ref="CU229" si="2092">CT181</f>
        <v>2242.5523542090118</v>
      </c>
      <c r="CV229" s="24">
        <f t="shared" ref="CV229" si="2093">CU181</f>
        <v>2179.2152149539925</v>
      </c>
      <c r="CW229" s="24">
        <f t="shared" ref="CW229" si="2094">CV181</f>
        <v>2493.3090145254369</v>
      </c>
      <c r="CX229" s="24">
        <f t="shared" ref="CX229" si="2095">CW181</f>
        <v>2836.7745550595155</v>
      </c>
      <c r="CY229" s="24">
        <f t="shared" ref="CY229" si="2096">CX181</f>
        <v>3221.6507442682228</v>
      </c>
      <c r="CZ229" s="24">
        <f t="shared" ref="CZ229" si="2097">CY181</f>
        <v>3168.6441959275012</v>
      </c>
      <c r="DA229" s="24">
        <f t="shared" ref="DA229" si="2098">CZ181</f>
        <v>3531.2122193636515</v>
      </c>
      <c r="DB229" s="24">
        <f t="shared" ref="DB229" si="2099">DA181</f>
        <v>3927.7578620537583</v>
      </c>
      <c r="DE229" s="123"/>
      <c r="DF229" s="23">
        <v>446.55740000000003</v>
      </c>
    </row>
    <row r="230" spans="1:110" s="23" customFormat="1" x14ac:dyDescent="0.2">
      <c r="A230" s="23" t="s">
        <v>443</v>
      </c>
      <c r="C230" s="23">
        <f t="shared" ref="C230:W230" si="2100">C229+C225+C221+C219</f>
        <v>7.1627000000000614</v>
      </c>
      <c r="D230" s="23">
        <f t="shared" si="2100"/>
        <v>9.888199999999987</v>
      </c>
      <c r="E230" s="23">
        <f t="shared" si="2100"/>
        <v>5.8106999999999545</v>
      </c>
      <c r="F230" s="23">
        <f t="shared" si="2100"/>
        <v>9.4913000000000416</v>
      </c>
      <c r="G230" s="23">
        <f t="shared" si="2100"/>
        <v>11.600299999999947</v>
      </c>
      <c r="H230" s="23">
        <f t="shared" si="2100"/>
        <v>20.3857</v>
      </c>
      <c r="I230" s="23">
        <f t="shared" si="2100"/>
        <v>14.960899999999945</v>
      </c>
      <c r="J230" s="23">
        <f>J229+J225+J221+J219</f>
        <v>43.845400000000126</v>
      </c>
      <c r="K230" s="23">
        <f>K229+K225+K221+K219</f>
        <v>77.861899999999963</v>
      </c>
      <c r="L230" s="23">
        <f>L229+L225+L221+L219</f>
        <v>207.93200000000002</v>
      </c>
      <c r="M230" s="23">
        <f>M229+M225+M221+M219</f>
        <v>518.4543000000001</v>
      </c>
      <c r="N230" s="23">
        <f t="shared" si="2100"/>
        <v>550.91289999999981</v>
      </c>
      <c r="O230" s="23">
        <f t="shared" si="2100"/>
        <v>509.06300000000016</v>
      </c>
      <c r="P230" s="23">
        <f t="shared" si="2100"/>
        <v>391.96929999999981</v>
      </c>
      <c r="Q230" s="23">
        <f t="shared" si="2100"/>
        <v>260.18529999999998</v>
      </c>
      <c r="R230" s="23">
        <f t="shared" si="2100"/>
        <v>238.34810000000004</v>
      </c>
      <c r="S230" s="23">
        <f t="shared" si="2100"/>
        <v>413.68920000000026</v>
      </c>
      <c r="T230" s="23">
        <f t="shared" si="2100"/>
        <v>397.44700000000012</v>
      </c>
      <c r="U230" s="23">
        <f t="shared" si="2100"/>
        <v>364.76069999999999</v>
      </c>
      <c r="V230" s="23">
        <f t="shared" si="2100"/>
        <v>695.82649999999978</v>
      </c>
      <c r="W230" s="23">
        <f t="shared" si="2100"/>
        <v>58.527900000000386</v>
      </c>
      <c r="X230" s="23">
        <f t="shared" ref="X230:Y230" si="2101">X229+X225+X221+X219</f>
        <v>270.99729999999988</v>
      </c>
      <c r="Y230" s="23">
        <f t="shared" si="2101"/>
        <v>460.18850000000026</v>
      </c>
      <c r="Z230" s="23">
        <f t="shared" ref="Z230:AA230" si="2102">Z229+Z225+Z221+Z219</f>
        <v>446.55739999999867</v>
      </c>
      <c r="AA230" s="23">
        <f t="shared" si="2102"/>
        <v>884.77870000000007</v>
      </c>
      <c r="AB230" s="24">
        <f t="shared" ref="AB230:AD230" si="2103">AB229+AB225+AB221+AB219</f>
        <v>1400.9067029489283</v>
      </c>
      <c r="AC230" s="24">
        <f t="shared" si="2103"/>
        <v>2242.5523542090114</v>
      </c>
      <c r="AD230" s="24">
        <f t="shared" si="2103"/>
        <v>3221.6507442682218</v>
      </c>
      <c r="AE230" s="24">
        <f t="shared" ref="AE230" si="2104">AE229+AE225+AE221+AE219</f>
        <v>4369.8468604883774</v>
      </c>
      <c r="AI230" s="23">
        <f t="shared" ref="AI230" si="2105">AI229+AI225+AI221+AI219</f>
        <v>0</v>
      </c>
      <c r="AJ230" s="23">
        <f t="shared" ref="AJ230:AL230" si="2106">AJ229+AJ225+AJ221+AJ219</f>
        <v>515.49700000000007</v>
      </c>
      <c r="AK230" s="23">
        <f t="shared" si="2106"/>
        <v>561.47277689397083</v>
      </c>
      <c r="AL230" s="23">
        <f t="shared" si="2106"/>
        <v>550.91300000000024</v>
      </c>
      <c r="AM230" s="23">
        <f t="shared" ref="AM230" si="2107">AM229+AM225+AM221+AM219</f>
        <v>536.77282213469562</v>
      </c>
      <c r="AN230" s="23">
        <f t="shared" ref="AN230:CD230" si="2108">AN229+AN225+AN221+AN219</f>
        <v>482.05299999999988</v>
      </c>
      <c r="AO230" s="23">
        <f t="shared" si="2108"/>
        <v>496.65460885432509</v>
      </c>
      <c r="AP230" s="23">
        <f t="shared" si="2108"/>
        <v>509.06299999999982</v>
      </c>
      <c r="AQ230" s="23">
        <f t="shared" si="2108"/>
        <v>494.86603334237401</v>
      </c>
      <c r="AR230" s="23">
        <f t="shared" si="2108"/>
        <v>526.70100000000014</v>
      </c>
      <c r="AS230" s="23">
        <f t="shared" si="2108"/>
        <v>573.44857075979985</v>
      </c>
      <c r="AT230" s="23">
        <f t="shared" si="2108"/>
        <v>391.99300000000005</v>
      </c>
      <c r="AU230" s="23">
        <f t="shared" si="2108"/>
        <v>394.91847856067625</v>
      </c>
      <c r="AV230" s="23">
        <f t="shared" si="2108"/>
        <v>245.54599999999991</v>
      </c>
      <c r="AW230" s="23">
        <f t="shared" si="2108"/>
        <v>307.57349481985466</v>
      </c>
      <c r="AX230" s="23">
        <f t="shared" si="2108"/>
        <v>260.18399999999986</v>
      </c>
      <c r="AY230" s="23">
        <f t="shared" si="2108"/>
        <v>295.95912076271884</v>
      </c>
      <c r="AZ230" s="23">
        <f t="shared" si="2108"/>
        <v>274.44600000000003</v>
      </c>
      <c r="BA230" s="23">
        <f t="shared" si="2108"/>
        <v>335.93385310858145</v>
      </c>
      <c r="BB230" s="23">
        <f t="shared" si="2108"/>
        <v>238.3479999999999</v>
      </c>
      <c r="BC230" s="23">
        <f t="shared" si="2108"/>
        <v>285.59870497809072</v>
      </c>
      <c r="BD230" s="23">
        <f t="shared" si="2108"/>
        <v>399.90200000000027</v>
      </c>
      <c r="BE230" s="23">
        <f t="shared" si="2108"/>
        <v>476.60580278360823</v>
      </c>
      <c r="BF230" s="23">
        <f t="shared" si="2108"/>
        <v>413.68999999999983</v>
      </c>
      <c r="BG230" s="23">
        <f t="shared" si="2108"/>
        <v>347.10162584700794</v>
      </c>
      <c r="BH230" s="23">
        <f t="shared" si="2108"/>
        <v>426.29399999999993</v>
      </c>
      <c r="BI230" s="23">
        <f t="shared" si="2108"/>
        <v>528.85225612218426</v>
      </c>
      <c r="BJ230" s="23">
        <f t="shared" si="2108"/>
        <v>397.4440000000003</v>
      </c>
      <c r="BK230" s="23">
        <f t="shared" si="2108"/>
        <v>431.2403113877516</v>
      </c>
      <c r="BL230" s="23">
        <f t="shared" si="2108"/>
        <v>558.95499999999993</v>
      </c>
      <c r="BM230" s="23">
        <f t="shared" si="2108"/>
        <v>653.7061291757318</v>
      </c>
      <c r="BN230" s="23">
        <f t="shared" si="2108"/>
        <v>364.75899999999956</v>
      </c>
      <c r="BO230" s="23">
        <f t="shared" si="2108"/>
        <v>403.94858274586386</v>
      </c>
      <c r="BP230" s="23">
        <f t="shared" si="2108"/>
        <v>483.73899999999981</v>
      </c>
      <c r="BQ230" s="23">
        <f t="shared" si="2108"/>
        <v>486.12977457593513</v>
      </c>
      <c r="BR230" s="23">
        <f t="shared" si="2108"/>
        <v>695.82700000000023</v>
      </c>
      <c r="BS230" s="23">
        <f t="shared" si="2108"/>
        <v>734.06711207198362</v>
      </c>
      <c r="BT230" s="23">
        <f t="shared" si="2108"/>
        <v>767.30699999999956</v>
      </c>
      <c r="BU230" s="23">
        <f t="shared" si="2108"/>
        <v>842.88939132561018</v>
      </c>
      <c r="BV230" s="23">
        <f t="shared" si="2108"/>
        <v>58.519999999999897</v>
      </c>
      <c r="BW230" s="23">
        <f t="shared" si="2108"/>
        <v>-26.575133927856548</v>
      </c>
      <c r="BX230" s="23">
        <f t="shared" si="2108"/>
        <v>196.81999999999988</v>
      </c>
      <c r="BY230" s="23">
        <f t="shared" si="2108"/>
        <v>320.21487312215856</v>
      </c>
      <c r="BZ230" s="23">
        <f t="shared" si="2108"/>
        <v>270.99000000000012</v>
      </c>
      <c r="CA230" s="23">
        <f t="shared" si="2108"/>
        <v>278.49393587994541</v>
      </c>
      <c r="CB230" s="23">
        <f t="shared" si="2108"/>
        <v>393.2899999999994</v>
      </c>
      <c r="CC230" s="23">
        <f t="shared" si="2108"/>
        <v>561.34886134234591</v>
      </c>
      <c r="CD230" s="23">
        <f t="shared" si="2108"/>
        <v>460.19000000000051</v>
      </c>
      <c r="CE230" s="23">
        <f t="shared" ref="CE230:CF230" si="2109">CE229+CE225+CE221+CE219</f>
        <v>499.0867373771369</v>
      </c>
      <c r="CF230" s="23">
        <f t="shared" si="2109"/>
        <v>416.86</v>
      </c>
      <c r="CG230" s="23">
        <f t="shared" ref="CG230:CH230" si="2110">CG229+CG225+CG221+CG219</f>
        <v>617.11415852171604</v>
      </c>
      <c r="CH230" s="23">
        <f t="shared" si="2110"/>
        <v>446.55739999999923</v>
      </c>
      <c r="CI230" s="23">
        <f t="shared" ref="CI230:CJ230" si="2111">CI229+CI225+CI221+CI219</f>
        <v>522.71506747061608</v>
      </c>
      <c r="CJ230" s="23">
        <f t="shared" si="2111"/>
        <v>594.15000000000032</v>
      </c>
      <c r="CK230" s="24">
        <f t="shared" ref="CK230:DB230" si="2112">CK229+CK225+CK221+CK219</f>
        <v>863.33624573693464</v>
      </c>
      <c r="CL230" s="23">
        <f t="shared" si="2112"/>
        <v>884.78000000000077</v>
      </c>
      <c r="CM230" s="24">
        <f t="shared" si="2112"/>
        <v>612.77798060536429</v>
      </c>
      <c r="CN230" s="24">
        <f t="shared" si="2112"/>
        <v>854.52814273611773</v>
      </c>
      <c r="CO230" s="24">
        <f t="shared" si="2112"/>
        <v>1112.7471263164443</v>
      </c>
      <c r="CP230" s="24">
        <f t="shared" si="2112"/>
        <v>1400.9067029489283</v>
      </c>
      <c r="CQ230" s="24">
        <f t="shared" si="2112"/>
        <v>1340.2754214150746</v>
      </c>
      <c r="CR230" s="24">
        <f t="shared" si="2112"/>
        <v>1612.4883134283634</v>
      </c>
      <c r="CS230" s="24">
        <f t="shared" si="2112"/>
        <v>1908.9460063864881</v>
      </c>
      <c r="CT230" s="24">
        <f t="shared" si="2112"/>
        <v>2242.5523542090118</v>
      </c>
      <c r="CU230" s="24">
        <f t="shared" si="2112"/>
        <v>2179.2152149539925</v>
      </c>
      <c r="CV230" s="24">
        <f t="shared" si="2112"/>
        <v>2493.3090145254369</v>
      </c>
      <c r="CW230" s="24">
        <f t="shared" si="2112"/>
        <v>2836.7745550595155</v>
      </c>
      <c r="CX230" s="24">
        <f t="shared" si="2112"/>
        <v>3221.6507442682228</v>
      </c>
      <c r="CY230" s="24">
        <f t="shared" si="2112"/>
        <v>3168.6441959275012</v>
      </c>
      <c r="CZ230" s="24">
        <f t="shared" si="2112"/>
        <v>3531.2122193636515</v>
      </c>
      <c r="DA230" s="24">
        <f t="shared" si="2112"/>
        <v>3927.7578620537583</v>
      </c>
      <c r="DB230" s="24">
        <f t="shared" si="2112"/>
        <v>4369.8468604883774</v>
      </c>
      <c r="DE230" s="123"/>
      <c r="DF230" s="23">
        <v>884.77870000000007</v>
      </c>
    </row>
    <row r="231" spans="1:110" s="28" customFormat="1" x14ac:dyDescent="0.2">
      <c r="A231" s="28" t="s">
        <v>444</v>
      </c>
      <c r="C231" s="28">
        <f t="shared" ref="C231:W231" si="2113">C230-C181</f>
        <v>6.1284310959308641E-14</v>
      </c>
      <c r="D231" s="28">
        <f t="shared" si="2113"/>
        <v>0</v>
      </c>
      <c r="E231" s="28">
        <f t="shared" si="2113"/>
        <v>-4.5297099404706387E-14</v>
      </c>
      <c r="F231" s="28">
        <f t="shared" si="2113"/>
        <v>4.0856207306205761E-14</v>
      </c>
      <c r="G231" s="28">
        <f t="shared" si="2113"/>
        <v>-5.3290705182007514E-14</v>
      </c>
      <c r="H231" s="28">
        <f t="shared" si="2113"/>
        <v>0</v>
      </c>
      <c r="I231" s="28">
        <f t="shared" si="2113"/>
        <v>-5.5067062021407764E-14</v>
      </c>
      <c r="J231" s="28">
        <f>J230-J181</f>
        <v>1.2789769243681803E-13</v>
      </c>
      <c r="K231" s="28">
        <f t="shared" si="2113"/>
        <v>0</v>
      </c>
      <c r="L231" s="28">
        <f t="shared" si="2113"/>
        <v>0</v>
      </c>
      <c r="M231" s="28">
        <f t="shared" si="2113"/>
        <v>0</v>
      </c>
      <c r="N231" s="28">
        <f t="shared" si="2113"/>
        <v>0</v>
      </c>
      <c r="O231" s="28">
        <f t="shared" si="2113"/>
        <v>0</v>
      </c>
      <c r="P231" s="28">
        <f t="shared" si="2113"/>
        <v>0</v>
      </c>
      <c r="Q231" s="28">
        <f t="shared" si="2113"/>
        <v>0</v>
      </c>
      <c r="R231" s="28">
        <f t="shared" si="2113"/>
        <v>0</v>
      </c>
      <c r="S231" s="28">
        <f t="shared" si="2113"/>
        <v>0</v>
      </c>
      <c r="T231" s="28">
        <f t="shared" si="2113"/>
        <v>0</v>
      </c>
      <c r="U231" s="28">
        <f t="shared" si="2113"/>
        <v>0</v>
      </c>
      <c r="V231" s="28">
        <f t="shared" si="2113"/>
        <v>0</v>
      </c>
      <c r="W231" s="28">
        <f t="shared" si="2113"/>
        <v>3.836930773104541E-13</v>
      </c>
      <c r="X231" s="28">
        <f t="shared" ref="X231:Y231" si="2114">X230-X181</f>
        <v>0</v>
      </c>
      <c r="Y231" s="28">
        <f t="shared" si="2114"/>
        <v>0</v>
      </c>
      <c r="Z231" s="28">
        <f t="shared" ref="Z231:AA231" si="2115">Z230-Z181</f>
        <v>-1.3642420526593924E-12</v>
      </c>
      <c r="AA231" s="28">
        <f t="shared" si="2115"/>
        <v>0</v>
      </c>
      <c r="AB231" s="30">
        <f t="shared" ref="AB231:AD231" si="2116">AB230-AB181</f>
        <v>0</v>
      </c>
      <c r="AC231" s="30">
        <f t="shared" si="2116"/>
        <v>0</v>
      </c>
      <c r="AD231" s="30">
        <f t="shared" si="2116"/>
        <v>0</v>
      </c>
      <c r="AE231" s="30">
        <f t="shared" ref="AE231" si="2117">AE230-AE181</f>
        <v>0</v>
      </c>
      <c r="AI231" s="28">
        <f t="shared" ref="AI231" si="2118">AI230-AI181</f>
        <v>0</v>
      </c>
      <c r="AJ231" s="28">
        <f t="shared" ref="AJ231:AL231" si="2119">AJ230-AJ181</f>
        <v>0</v>
      </c>
      <c r="AK231" s="28">
        <f t="shared" si="2119"/>
        <v>0</v>
      </c>
      <c r="AL231" s="28">
        <f t="shared" si="2119"/>
        <v>0</v>
      </c>
      <c r="AM231" s="28">
        <f t="shared" ref="AM231" si="2120">AM230-AM181</f>
        <v>0</v>
      </c>
      <c r="AN231" s="28">
        <f t="shared" ref="AN231:CD231" si="2121">AN230-AN181</f>
        <v>0</v>
      </c>
      <c r="AO231" s="28">
        <f t="shared" si="2121"/>
        <v>0</v>
      </c>
      <c r="AP231" s="28">
        <f t="shared" si="2121"/>
        <v>0</v>
      </c>
      <c r="AQ231" s="28">
        <f t="shared" si="2121"/>
        <v>0</v>
      </c>
      <c r="AR231" s="28">
        <f t="shared" si="2121"/>
        <v>-1.9999999999868123E-2</v>
      </c>
      <c r="AS231" s="28">
        <f t="shared" si="2121"/>
        <v>0</v>
      </c>
      <c r="AT231" s="28">
        <f t="shared" si="2121"/>
        <v>2.30000000000814E-2</v>
      </c>
      <c r="AU231" s="28">
        <f t="shared" si="2121"/>
        <v>0</v>
      </c>
      <c r="AV231" s="28">
        <f t="shared" si="2121"/>
        <v>-2.0000000000948148E-3</v>
      </c>
      <c r="AW231" s="28">
        <f t="shared" si="2121"/>
        <v>0</v>
      </c>
      <c r="AX231" s="28">
        <f t="shared" si="2121"/>
        <v>-1.0000000001468834E-3</v>
      </c>
      <c r="AY231" s="28">
        <f t="shared" si="2121"/>
        <v>0</v>
      </c>
      <c r="AZ231" s="28">
        <f t="shared" si="2121"/>
        <v>0</v>
      </c>
      <c r="BA231" s="28">
        <f t="shared" si="2121"/>
        <v>0</v>
      </c>
      <c r="BB231" s="28">
        <f t="shared" si="2121"/>
        <v>0</v>
      </c>
      <c r="BC231" s="28">
        <f t="shared" si="2121"/>
        <v>0</v>
      </c>
      <c r="BD231" s="28">
        <f t="shared" si="2121"/>
        <v>0</v>
      </c>
      <c r="BE231" s="28">
        <f t="shared" si="2121"/>
        <v>0</v>
      </c>
      <c r="BF231" s="28">
        <f t="shared" si="2121"/>
        <v>9.9999999980582288E-4</v>
      </c>
      <c r="BG231" s="28">
        <f t="shared" si="2121"/>
        <v>0</v>
      </c>
      <c r="BH231" s="28">
        <f t="shared" si="2121"/>
        <v>1.9999999999527063E-3</v>
      </c>
      <c r="BI231" s="28">
        <f t="shared" si="2121"/>
        <v>0</v>
      </c>
      <c r="BJ231" s="28">
        <f t="shared" si="2121"/>
        <v>-2.9999999997016857E-3</v>
      </c>
      <c r="BK231" s="28">
        <f t="shared" si="2121"/>
        <v>0</v>
      </c>
      <c r="BL231" s="28">
        <f t="shared" si="2121"/>
        <v>9.999999998626663E-4</v>
      </c>
      <c r="BM231" s="28">
        <f t="shared" si="2121"/>
        <v>0</v>
      </c>
      <c r="BN231" s="28">
        <f t="shared" si="2121"/>
        <v>-2.0000000004074536E-3</v>
      </c>
      <c r="BO231" s="28">
        <f t="shared" si="2121"/>
        <v>0</v>
      </c>
      <c r="BP231" s="28">
        <f t="shared" si="2121"/>
        <v>0</v>
      </c>
      <c r="BQ231" s="28">
        <f t="shared" si="2121"/>
        <v>0</v>
      </c>
      <c r="BR231" s="28">
        <f t="shared" si="2121"/>
        <v>1.0000000002037268E-3</v>
      </c>
      <c r="BS231" s="28">
        <f t="shared" si="2121"/>
        <v>0</v>
      </c>
      <c r="BT231" s="28">
        <f t="shared" si="2121"/>
        <v>0</v>
      </c>
      <c r="BU231" s="28">
        <f t="shared" si="2121"/>
        <v>0</v>
      </c>
      <c r="BV231" s="28">
        <f t="shared" si="2121"/>
        <v>-1.0658141036401503E-13</v>
      </c>
      <c r="BW231" s="28">
        <f t="shared" si="2121"/>
        <v>0</v>
      </c>
      <c r="BX231" s="28">
        <f t="shared" si="2121"/>
        <v>0</v>
      </c>
      <c r="BY231" s="28">
        <f t="shared" si="2121"/>
        <v>0</v>
      </c>
      <c r="BZ231" s="28">
        <f t="shared" si="2121"/>
        <v>0</v>
      </c>
      <c r="CA231" s="28">
        <f t="shared" si="2121"/>
        <v>0</v>
      </c>
      <c r="CB231" s="28">
        <f t="shared" si="2121"/>
        <v>-5.6843418860808015E-13</v>
      </c>
      <c r="CC231" s="28">
        <f t="shared" si="2121"/>
        <v>0</v>
      </c>
      <c r="CD231" s="28">
        <f t="shared" si="2121"/>
        <v>5.1159076974727213E-13</v>
      </c>
      <c r="CE231" s="28">
        <f t="shared" ref="CE231:CF231" si="2122">CE230-CE181</f>
        <v>0</v>
      </c>
      <c r="CF231" s="28">
        <f t="shared" si="2122"/>
        <v>0</v>
      </c>
      <c r="CG231" s="28">
        <f t="shared" ref="CG231:CH231" si="2123">CG230-CG181</f>
        <v>0</v>
      </c>
      <c r="CH231" s="28">
        <f t="shared" si="2123"/>
        <v>-7.9580786405131221E-13</v>
      </c>
      <c r="CI231" s="28">
        <f t="shared" ref="CI231:CJ231" si="2124">CI230-CI181</f>
        <v>0</v>
      </c>
      <c r="CJ231" s="28">
        <f t="shared" si="2124"/>
        <v>0</v>
      </c>
      <c r="CK231" s="30">
        <f t="shared" ref="CK231:DB231" si="2125">CK230-CK181</f>
        <v>0</v>
      </c>
      <c r="CL231" s="28">
        <f t="shared" si="2125"/>
        <v>0</v>
      </c>
      <c r="CM231" s="30">
        <f t="shared" si="2125"/>
        <v>0</v>
      </c>
      <c r="CN231" s="30">
        <f t="shared" si="2125"/>
        <v>0</v>
      </c>
      <c r="CO231" s="30">
        <f t="shared" si="2125"/>
        <v>0</v>
      </c>
      <c r="CP231" s="30">
        <f t="shared" si="2125"/>
        <v>0</v>
      </c>
      <c r="CQ231" s="30">
        <f t="shared" si="2125"/>
        <v>0</v>
      </c>
      <c r="CR231" s="30">
        <f t="shared" si="2125"/>
        <v>0</v>
      </c>
      <c r="CS231" s="30">
        <f t="shared" si="2125"/>
        <v>0</v>
      </c>
      <c r="CT231" s="30">
        <f t="shared" si="2125"/>
        <v>0</v>
      </c>
      <c r="CU231" s="30">
        <f t="shared" si="2125"/>
        <v>0</v>
      </c>
      <c r="CV231" s="30">
        <f t="shared" si="2125"/>
        <v>0</v>
      </c>
      <c r="CW231" s="30">
        <f t="shared" si="2125"/>
        <v>0</v>
      </c>
      <c r="CX231" s="30">
        <f t="shared" si="2125"/>
        <v>0</v>
      </c>
      <c r="CY231" s="30">
        <f t="shared" si="2125"/>
        <v>0</v>
      </c>
      <c r="CZ231" s="30">
        <f t="shared" si="2125"/>
        <v>0</v>
      </c>
      <c r="DA231" s="30">
        <f t="shared" si="2125"/>
        <v>0</v>
      </c>
      <c r="DB231" s="30">
        <f t="shared" si="2125"/>
        <v>0</v>
      </c>
      <c r="DE231" s="139"/>
      <c r="DF231" s="28">
        <v>0</v>
      </c>
    </row>
    <row r="232" spans="1:110" s="23" customFormat="1" x14ac:dyDescent="0.2">
      <c r="AB232" s="24"/>
      <c r="AC232" s="24"/>
      <c r="AD232" s="24"/>
      <c r="AE232" s="24"/>
      <c r="CK232" s="24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  <c r="CW232" s="24"/>
      <c r="CX232" s="24"/>
      <c r="CY232" s="24"/>
      <c r="CZ232" s="24"/>
      <c r="DA232" s="24"/>
      <c r="DB232" s="24"/>
      <c r="DE232" s="123"/>
    </row>
    <row r="233" spans="1:110" s="22" customFormat="1" x14ac:dyDescent="0.2">
      <c r="A233" s="22" t="s">
        <v>96</v>
      </c>
      <c r="C233" s="22">
        <f t="shared" ref="C233:W233" si="2126">C219+C221</f>
        <v>8.0213000000000996</v>
      </c>
      <c r="D233" s="22">
        <f t="shared" si="2126"/>
        <v>16.304399999999973</v>
      </c>
      <c r="E233" s="22">
        <f t="shared" si="2126"/>
        <v>-2.384600000000006</v>
      </c>
      <c r="F233" s="22">
        <f t="shared" si="2126"/>
        <v>3.46550000000002</v>
      </c>
      <c r="G233" s="22">
        <f t="shared" si="2126"/>
        <v>-4.4457000000000235</v>
      </c>
      <c r="H233" s="22">
        <f t="shared" si="2126"/>
        <v>-95.864199999999968</v>
      </c>
      <c r="I233" s="22">
        <f t="shared" si="2126"/>
        <v>-16.653500000000086</v>
      </c>
      <c r="J233" s="22">
        <f>J219+J221</f>
        <v>56.314600000000134</v>
      </c>
      <c r="K233" s="22">
        <f t="shared" si="2126"/>
        <v>95.53</v>
      </c>
      <c r="L233" s="22">
        <f t="shared" si="2126"/>
        <v>113.72229999999988</v>
      </c>
      <c r="M233" s="22">
        <f t="shared" si="2126"/>
        <v>808.05760000000021</v>
      </c>
      <c r="N233" s="22">
        <f t="shared" si="2126"/>
        <v>82.465599999999895</v>
      </c>
      <c r="O233" s="22">
        <f t="shared" si="2126"/>
        <v>-45.990399999999845</v>
      </c>
      <c r="P233" s="22">
        <f t="shared" si="2126"/>
        <v>-2.9150000000000205</v>
      </c>
      <c r="Q233" s="22">
        <f t="shared" si="2126"/>
        <v>-225.92249999999981</v>
      </c>
      <c r="R233" s="22">
        <f t="shared" si="2126"/>
        <v>126.44270000000003</v>
      </c>
      <c r="S233" s="22">
        <f t="shared" si="2126"/>
        <v>254.76920000000004</v>
      </c>
      <c r="T233" s="22">
        <f t="shared" si="2126"/>
        <v>142.12329999999994</v>
      </c>
      <c r="U233" s="22">
        <f t="shared" si="2126"/>
        <v>280.6003</v>
      </c>
      <c r="V233" s="22">
        <f t="shared" si="2126"/>
        <v>400.43879999999984</v>
      </c>
      <c r="W233" s="22">
        <f t="shared" si="2126"/>
        <v>-570.79459999999983</v>
      </c>
      <c r="X233" s="22">
        <f t="shared" ref="X233:Y233" si="2127">X219+X221</f>
        <v>-241.35770000000014</v>
      </c>
      <c r="Y233" s="22">
        <f t="shared" si="2127"/>
        <v>489.93919999999997</v>
      </c>
      <c r="Z233" s="22">
        <f t="shared" ref="Z233:AA233" si="2128">Z219+Z221</f>
        <v>479.30209999999863</v>
      </c>
      <c r="AA233" s="22">
        <f t="shared" si="2128"/>
        <v>435.59510000000074</v>
      </c>
      <c r="AB233" s="21">
        <f t="shared" ref="AB233:AD233" si="2129">AB219+AB221</f>
        <v>516.12780294892798</v>
      </c>
      <c r="AC233" s="21">
        <f t="shared" si="2129"/>
        <v>841.64565126008324</v>
      </c>
      <c r="AD233" s="21">
        <f t="shared" si="2129"/>
        <v>979.09839005921117</v>
      </c>
      <c r="AE233" s="21">
        <f t="shared" ref="AE233" si="2130">AE219+AE221</f>
        <v>1148.1961162201567</v>
      </c>
      <c r="AI233" s="22">
        <f t="shared" ref="AI233" si="2131">AI219+AI221</f>
        <v>4.3080000000000105</v>
      </c>
      <c r="AJ233" s="22">
        <f t="shared" ref="AJ233:AL233" si="2132">AJ219+AJ221</f>
        <v>-488.82499999999987</v>
      </c>
      <c r="AK233" s="22">
        <f t="shared" si="2132"/>
        <v>45.975776893970732</v>
      </c>
      <c r="AL233" s="22">
        <f t="shared" si="2132"/>
        <v>9.5982231060292307</v>
      </c>
      <c r="AM233" s="22">
        <f t="shared" ref="AM233" si="2133">AM219+AM221</f>
        <v>-14.140177865304402</v>
      </c>
      <c r="AN233" s="22">
        <f t="shared" ref="AN233:CD233" si="2134">AN219+AN221</f>
        <v>-81.19682213469568</v>
      </c>
      <c r="AO233" s="22">
        <f t="shared" si="2134"/>
        <v>14.601608854325107</v>
      </c>
      <c r="AP233" s="22">
        <f t="shared" si="2134"/>
        <v>47.092391145674995</v>
      </c>
      <c r="AQ233" s="22">
        <f t="shared" si="2134"/>
        <v>-14.196966657625978</v>
      </c>
      <c r="AR233" s="22">
        <f t="shared" si="2134"/>
        <v>29.640966657626009</v>
      </c>
      <c r="AS233" s="22">
        <f t="shared" si="2134"/>
        <v>46.727570759799839</v>
      </c>
      <c r="AT233" s="22">
        <f t="shared" si="2134"/>
        <v>-62.823570759799907</v>
      </c>
      <c r="AU233" s="22">
        <f t="shared" si="2134"/>
        <v>2.9484785606761861</v>
      </c>
      <c r="AV233" s="22">
        <f t="shared" si="2134"/>
        <v>-186.83447856067605</v>
      </c>
      <c r="AW233" s="22">
        <f t="shared" si="2134"/>
        <v>62.025494819854657</v>
      </c>
      <c r="AX233" s="22">
        <f t="shared" si="2134"/>
        <v>-87.097494819854631</v>
      </c>
      <c r="AY233" s="22">
        <f t="shared" si="2134"/>
        <v>35.774120762718837</v>
      </c>
      <c r="AZ233" s="22">
        <f t="shared" si="2134"/>
        <v>25.070879237281247</v>
      </c>
      <c r="BA233" s="22">
        <f t="shared" si="2134"/>
        <v>61.487853108581405</v>
      </c>
      <c r="BB233" s="22">
        <f t="shared" si="2134"/>
        <v>-7.367853108581393</v>
      </c>
      <c r="BC233" s="22">
        <f t="shared" si="2134"/>
        <v>47.250704978090724</v>
      </c>
      <c r="BD233" s="22">
        <f t="shared" si="2134"/>
        <v>150.90729502190933</v>
      </c>
      <c r="BE233" s="22">
        <f t="shared" si="2134"/>
        <v>76.703802783608197</v>
      </c>
      <c r="BF233" s="22">
        <f t="shared" si="2134"/>
        <v>-30.454802783608272</v>
      </c>
      <c r="BG233" s="22">
        <f t="shared" si="2134"/>
        <v>-66.587374152992084</v>
      </c>
      <c r="BH233" s="22">
        <f t="shared" si="2134"/>
        <v>81.367374152992056</v>
      </c>
      <c r="BI233" s="22">
        <f t="shared" si="2134"/>
        <v>102.56025612218426</v>
      </c>
      <c r="BJ233" s="22">
        <f t="shared" si="2134"/>
        <v>24.780743877815809</v>
      </c>
      <c r="BK233" s="22">
        <f t="shared" si="2134"/>
        <v>33.793311387751586</v>
      </c>
      <c r="BL233" s="22">
        <f t="shared" si="2134"/>
        <v>158.32468861224839</v>
      </c>
      <c r="BM233" s="22">
        <f t="shared" si="2134"/>
        <v>94.752129175731781</v>
      </c>
      <c r="BN233" s="22">
        <f t="shared" si="2134"/>
        <v>-6.2721291757320188</v>
      </c>
      <c r="BO233" s="22">
        <f t="shared" si="2134"/>
        <v>39.187582745863878</v>
      </c>
      <c r="BP233" s="22">
        <f t="shared" si="2134"/>
        <v>81.102417254136071</v>
      </c>
      <c r="BQ233" s="22">
        <f t="shared" si="2134"/>
        <v>2.3907745759351258</v>
      </c>
      <c r="BR233" s="22">
        <f t="shared" si="2134"/>
        <v>277.76022542406514</v>
      </c>
      <c r="BS233" s="22">
        <f t="shared" si="2134"/>
        <v>38.241112071983608</v>
      </c>
      <c r="BT233" s="22">
        <f t="shared" si="2134"/>
        <v>86.051887928016157</v>
      </c>
      <c r="BU233" s="22">
        <f t="shared" si="2134"/>
        <v>75.582391325609919</v>
      </c>
      <c r="BV233" s="22">
        <f t="shared" si="2134"/>
        <v>-770.69739132561006</v>
      </c>
      <c r="BW233" s="22">
        <f t="shared" si="2134"/>
        <v>-85.095133927856551</v>
      </c>
      <c r="BX233" s="22">
        <f t="shared" si="2134"/>
        <v>-60.934866072143507</v>
      </c>
      <c r="BY233" s="22">
        <f t="shared" si="2134"/>
        <v>123.3948731221586</v>
      </c>
      <c r="BZ233" s="22">
        <f t="shared" si="2134"/>
        <v>-218.71487312215842</v>
      </c>
      <c r="CA233" s="22">
        <f t="shared" si="2134"/>
        <v>7.5039358799453737</v>
      </c>
      <c r="CB233" s="22">
        <f t="shared" si="2134"/>
        <v>292.48606412005415</v>
      </c>
      <c r="CC233" s="22">
        <f t="shared" si="2134"/>
        <v>168.05886134234592</v>
      </c>
      <c r="CD233" s="22">
        <f t="shared" si="2134"/>
        <v>21.911138657654732</v>
      </c>
      <c r="CE233" s="22">
        <f t="shared" ref="CE233:CF233" si="2135">CE219+CE221</f>
        <v>38.896737377136901</v>
      </c>
      <c r="CF233" s="22">
        <f t="shared" si="2135"/>
        <v>255.77326262286263</v>
      </c>
      <c r="CG233" s="22">
        <f t="shared" ref="CG233:CH233" si="2136">CG219+CG221</f>
        <v>200.25415852171605</v>
      </c>
      <c r="CH233" s="22">
        <f t="shared" si="2136"/>
        <v>-15.625658521716716</v>
      </c>
      <c r="CI233" s="22">
        <f t="shared" ref="CI233:CJ233" si="2137">CI219+CI221</f>
        <v>76.157667470616047</v>
      </c>
      <c r="CJ233" s="22">
        <f t="shared" si="2137"/>
        <v>115.69383252938448</v>
      </c>
      <c r="CK233" s="21">
        <f t="shared" ref="CK233:DB233" si="2138">CK219+CK221</f>
        <v>269.18624573693467</v>
      </c>
      <c r="CL233" s="22">
        <f t="shared" si="2138"/>
        <v>-25.456245736934534</v>
      </c>
      <c r="CM233" s="21">
        <f t="shared" si="2138"/>
        <v>-272.00201939463574</v>
      </c>
      <c r="CN233" s="21">
        <f t="shared" si="2138"/>
        <v>241.75016213075344</v>
      </c>
      <c r="CO233" s="21">
        <f t="shared" si="2138"/>
        <v>258.21898358032649</v>
      </c>
      <c r="CP233" s="21">
        <f t="shared" si="2138"/>
        <v>288.159576632484</v>
      </c>
      <c r="CQ233" s="21">
        <f t="shared" si="2138"/>
        <v>-60.631281533853837</v>
      </c>
      <c r="CR233" s="21">
        <f t="shared" si="2138"/>
        <v>272.21289201328881</v>
      </c>
      <c r="CS233" s="21">
        <f t="shared" si="2138"/>
        <v>296.45769295812477</v>
      </c>
      <c r="CT233" s="21">
        <f t="shared" si="2138"/>
        <v>333.60634782252379</v>
      </c>
      <c r="CU233" s="21">
        <f t="shared" si="2138"/>
        <v>-63.337139255019395</v>
      </c>
      <c r="CV233" s="21">
        <f t="shared" si="2138"/>
        <v>314.09379957144438</v>
      </c>
      <c r="CW233" s="21">
        <f t="shared" si="2138"/>
        <v>343.46554053407885</v>
      </c>
      <c r="CX233" s="21">
        <f t="shared" si="2138"/>
        <v>384.87618920870727</v>
      </c>
      <c r="CY233" s="21">
        <f t="shared" si="2138"/>
        <v>-53.006548340721736</v>
      </c>
      <c r="CZ233" s="21">
        <f t="shared" si="2138"/>
        <v>362.56802343615044</v>
      </c>
      <c r="DA233" s="21">
        <f t="shared" si="2138"/>
        <v>396.545642690107</v>
      </c>
      <c r="DB233" s="21">
        <f t="shared" si="2138"/>
        <v>442.08899843462092</v>
      </c>
      <c r="DE233" s="126"/>
      <c r="DF233" s="22">
        <v>435.59510000000074</v>
      </c>
    </row>
    <row r="234" spans="1:110" x14ac:dyDescent="0.2">
      <c r="A234" s="152" t="s">
        <v>496</v>
      </c>
      <c r="AA234" s="2"/>
      <c r="CL234" s="2"/>
    </row>
    <row r="235" spans="1:110" x14ac:dyDescent="0.2">
      <c r="AA235" s="2"/>
      <c r="CL235" s="2"/>
    </row>
    <row r="236" spans="1:110" s="7" customFormat="1" hidden="1" outlineLevel="1" x14ac:dyDescent="0.2">
      <c r="A236" s="61" t="s">
        <v>97</v>
      </c>
      <c r="AB236" s="77"/>
      <c r="AC236" s="77"/>
      <c r="AD236" s="77"/>
      <c r="AE236" s="77"/>
      <c r="CK236" s="50"/>
      <c r="CM236" s="50"/>
      <c r="CN236" s="50"/>
      <c r="CO236" s="50"/>
      <c r="CP236" s="50"/>
      <c r="CQ236" s="50"/>
      <c r="CR236" s="50"/>
      <c r="CS236" s="50"/>
      <c r="CT236" s="50"/>
      <c r="CU236" s="50"/>
      <c r="CV236" s="50"/>
      <c r="CW236" s="50"/>
      <c r="CX236" s="50"/>
      <c r="CY236" s="50"/>
      <c r="CZ236" s="50"/>
      <c r="DA236" s="50"/>
      <c r="DB236" s="50"/>
      <c r="DE236" s="138"/>
    </row>
    <row r="237" spans="1:110" s="62" customFormat="1" hidden="1" outlineLevel="1" x14ac:dyDescent="0.2">
      <c r="A237" s="62" t="s">
        <v>98</v>
      </c>
      <c r="AB237" s="63"/>
      <c r="AC237" s="63"/>
      <c r="AD237" s="63"/>
      <c r="AE237" s="63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2" customFormat="1" hidden="1" outlineLevel="1" x14ac:dyDescent="0.2">
      <c r="A238" s="62" t="s">
        <v>99</v>
      </c>
      <c r="AB238" s="63"/>
      <c r="AC238" s="63"/>
      <c r="AD238" s="63"/>
      <c r="AE238" s="63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62" customFormat="1" hidden="1" outlineLevel="1" x14ac:dyDescent="0.2">
      <c r="A239" s="62" t="s">
        <v>100</v>
      </c>
      <c r="AB239" s="63"/>
      <c r="AC239" s="63"/>
      <c r="AD239" s="63"/>
      <c r="AE239" s="63"/>
      <c r="CK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</row>
    <row r="240" spans="1:110" s="62" customFormat="1" hidden="1" outlineLevel="1" x14ac:dyDescent="0.2">
      <c r="AB240" s="63"/>
      <c r="AC240" s="63"/>
      <c r="AD240" s="63"/>
      <c r="AE240" s="63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62" customFormat="1" hidden="1" outlineLevel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11" customFormat="1" collapsed="1" x14ac:dyDescent="0.2">
      <c r="AB243" s="63"/>
      <c r="AC243" s="63"/>
      <c r="AD243" s="63"/>
      <c r="AE243" s="63"/>
      <c r="CK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3" customFormat="1" x14ac:dyDescent="0.2">
      <c r="A244" s="82" t="s">
        <v>101</v>
      </c>
      <c r="AB244" s="72"/>
      <c r="AC244" s="72"/>
      <c r="AD244" s="72"/>
      <c r="AE244" s="72"/>
      <c r="CK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</row>
    <row r="245" spans="1:110" s="66" customFormat="1" x14ac:dyDescent="0.2">
      <c r="A245" s="66" t="s">
        <v>471</v>
      </c>
      <c r="AB245" s="50"/>
      <c r="AC245" s="50"/>
      <c r="AD245" s="50"/>
      <c r="AE245" s="50"/>
      <c r="AL245" s="66">
        <f t="shared" ref="AL245:BQ245" si="2139">SUM(AI30:AL30)</f>
        <v>799.70899999999995</v>
      </c>
      <c r="AM245" s="66">
        <f t="shared" si="2139"/>
        <v>854.11500000000001</v>
      </c>
      <c r="AN245" s="66">
        <f t="shared" si="2139"/>
        <v>890.11</v>
      </c>
      <c r="AO245" s="66">
        <f t="shared" si="2139"/>
        <v>928.28700000000003</v>
      </c>
      <c r="AP245" s="66">
        <f t="shared" si="2139"/>
        <v>951.74099999999999</v>
      </c>
      <c r="AQ245" s="66">
        <f t="shared" si="2139"/>
        <v>979.15200000000004</v>
      </c>
      <c r="AR245" s="66">
        <f t="shared" si="2139"/>
        <v>1007.279</v>
      </c>
      <c r="AS245" s="66">
        <f t="shared" si="2139"/>
        <v>1031.837</v>
      </c>
      <c r="AT245" s="66">
        <f t="shared" si="2139"/>
        <v>1057.932</v>
      </c>
      <c r="AU245" s="66">
        <f t="shared" si="2139"/>
        <v>1078.3499999999999</v>
      </c>
      <c r="AV245" s="66">
        <f t="shared" si="2139"/>
        <v>1080.3400000000001</v>
      </c>
      <c r="AW245" s="66">
        <f t="shared" si="2139"/>
        <v>1098.057</v>
      </c>
      <c r="AX245" s="66">
        <f t="shared" si="2139"/>
        <v>1146.123</v>
      </c>
      <c r="AY245" s="66">
        <f t="shared" si="2139"/>
        <v>1177.3900000000001</v>
      </c>
      <c r="AZ245" s="66">
        <f t="shared" si="2139"/>
        <v>1196.8900000000001</v>
      </c>
      <c r="BA245" s="66">
        <f t="shared" si="2139"/>
        <v>1195.0170000000001</v>
      </c>
      <c r="BB245" s="66">
        <f t="shared" si="2139"/>
        <v>1198.52</v>
      </c>
      <c r="BC245" s="66">
        <f t="shared" si="2139"/>
        <v>1168.07</v>
      </c>
      <c r="BD245" s="66">
        <f t="shared" si="2139"/>
        <v>1213.9010000000001</v>
      </c>
      <c r="BE245" s="66">
        <f t="shared" si="2139"/>
        <v>1242.1610000000001</v>
      </c>
      <c r="BF245" s="66">
        <f t="shared" si="2139"/>
        <v>1254.373</v>
      </c>
      <c r="BG245" s="66">
        <f t="shared" si="2139"/>
        <v>1377.451</v>
      </c>
      <c r="BH245" s="66">
        <f t="shared" si="2139"/>
        <v>1465.4750000000001</v>
      </c>
      <c r="BI245" s="66">
        <f t="shared" si="2139"/>
        <v>1542.759</v>
      </c>
      <c r="BJ245" s="66">
        <f t="shared" si="2139"/>
        <v>1643.2</v>
      </c>
      <c r="BK245" s="66">
        <f t="shared" si="2139"/>
        <v>1682.3940000000002</v>
      </c>
      <c r="BL245" s="66">
        <f t="shared" si="2139"/>
        <v>1703.4679999999998</v>
      </c>
      <c r="BM245" s="66">
        <f t="shared" si="2139"/>
        <v>1750.0740000000001</v>
      </c>
      <c r="BN245" s="66">
        <f t="shared" si="2139"/>
        <v>1774.7280000000001</v>
      </c>
      <c r="BO245" s="66">
        <f t="shared" si="2139"/>
        <v>1850.9029999999998</v>
      </c>
      <c r="BP245" s="66">
        <f t="shared" si="2139"/>
        <v>1838.05</v>
      </c>
      <c r="BQ245" s="66">
        <f t="shared" si="2139"/>
        <v>1957.6350000000002</v>
      </c>
      <c r="BR245" s="66">
        <f t="shared" ref="BR245:CW245" si="2140">SUM(BO30:BR30)</f>
        <v>2042.5209999999997</v>
      </c>
      <c r="BS245" s="66">
        <f t="shared" si="2140"/>
        <v>2126.2259999999997</v>
      </c>
      <c r="BT245" s="66">
        <f t="shared" si="2140"/>
        <v>2275.672</v>
      </c>
      <c r="BU245" s="66">
        <f t="shared" si="2140"/>
        <v>2328.105</v>
      </c>
      <c r="BV245" s="66">
        <f t="shared" si="2140"/>
        <v>2424.2400000000002</v>
      </c>
      <c r="BW245" s="66">
        <f t="shared" si="2140"/>
        <v>2603.06</v>
      </c>
      <c r="BX245" s="66">
        <f t="shared" si="2140"/>
        <v>2819.49</v>
      </c>
      <c r="BY245" s="66">
        <f t="shared" si="2140"/>
        <v>3011.55</v>
      </c>
      <c r="BZ245" s="66">
        <f t="shared" si="2140"/>
        <v>3149.28</v>
      </c>
      <c r="CA245" s="66">
        <f t="shared" si="2140"/>
        <v>3260.67</v>
      </c>
      <c r="CB245" s="66">
        <f t="shared" si="2140"/>
        <v>3332.9700000000003</v>
      </c>
      <c r="CC245" s="66">
        <f t="shared" si="2140"/>
        <v>3384.7700000000004</v>
      </c>
      <c r="CD245" s="66">
        <f t="shared" si="2140"/>
        <v>3484.18</v>
      </c>
      <c r="CE245" s="66">
        <f t="shared" si="2140"/>
        <v>3592.38</v>
      </c>
      <c r="CF245" s="66">
        <f t="shared" si="2140"/>
        <v>3711.2599999999998</v>
      </c>
      <c r="CG245" s="66">
        <f t="shared" si="2140"/>
        <v>3830.24</v>
      </c>
      <c r="CH245" s="66">
        <f t="shared" si="2140"/>
        <v>3917.9900000000002</v>
      </c>
      <c r="CI245" s="66">
        <f t="shared" si="2140"/>
        <v>4007.53</v>
      </c>
      <c r="CJ245" s="66">
        <f t="shared" si="2140"/>
        <v>4091.81</v>
      </c>
      <c r="CK245" s="50">
        <f t="shared" si="2140"/>
        <v>4193.04</v>
      </c>
      <c r="CL245" s="66">
        <f t="shared" si="2140"/>
        <v>4147.7900000000009</v>
      </c>
      <c r="CM245" s="50">
        <f t="shared" si="2140"/>
        <v>4265.9079999999994</v>
      </c>
      <c r="CN245" s="50">
        <f t="shared" si="2140"/>
        <v>4384.4960000000001</v>
      </c>
      <c r="CO245" s="50">
        <f t="shared" si="2140"/>
        <v>4500.76</v>
      </c>
      <c r="CP245" s="50">
        <f t="shared" si="2140"/>
        <v>4730.6993000000002</v>
      </c>
      <c r="CQ245" s="50">
        <f t="shared" si="2140"/>
        <v>4848.5482400000001</v>
      </c>
      <c r="CR245" s="50">
        <f t="shared" si="2140"/>
        <v>4966.4851799999997</v>
      </c>
      <c r="CS245" s="50">
        <f t="shared" si="2140"/>
        <v>5082.2946000000002</v>
      </c>
      <c r="CT245" s="50">
        <f t="shared" si="2140"/>
        <v>5193.8566360000004</v>
      </c>
      <c r="CU245" s="50">
        <f t="shared" si="2140"/>
        <v>5331.5365642000006</v>
      </c>
      <c r="CV245" s="50">
        <f t="shared" si="2140"/>
        <v>5469.0061324000008</v>
      </c>
      <c r="CW245" s="50">
        <f t="shared" si="2140"/>
        <v>5603.8629950000013</v>
      </c>
      <c r="CX245" s="50">
        <f t="shared" ref="CX245:DB245" si="2141">SUM(CU30:CX30)</f>
        <v>5733.3173681800008</v>
      </c>
      <c r="CY245" s="50">
        <f t="shared" si="2141"/>
        <v>5885.4316634260013</v>
      </c>
      <c r="CZ245" s="50">
        <f t="shared" si="2141"/>
        <v>6037.3892890720008</v>
      </c>
      <c r="DA245" s="50">
        <f t="shared" si="2141"/>
        <v>6186.463915950002</v>
      </c>
      <c r="DB245" s="50">
        <f t="shared" si="2141"/>
        <v>6329.5757310154022</v>
      </c>
      <c r="DE245" s="138"/>
    </row>
    <row r="246" spans="1:110" s="66" customFormat="1" x14ac:dyDescent="0.2">
      <c r="A246" s="66" t="s">
        <v>472</v>
      </c>
      <c r="AB246" s="50"/>
      <c r="AC246" s="50"/>
      <c r="AD246" s="50"/>
      <c r="AE246" s="50"/>
      <c r="AL246" s="66">
        <f t="shared" ref="AL246:BQ246" si="2142">SUM(AI48:AL48)</f>
        <v>103.848</v>
      </c>
      <c r="AM246" s="66">
        <f t="shared" si="2142"/>
        <v>124.25599999999997</v>
      </c>
      <c r="AN246" s="66">
        <f t="shared" si="2142"/>
        <v>141.44900000000001</v>
      </c>
      <c r="AO246" s="66">
        <f t="shared" si="2142"/>
        <v>158.75</v>
      </c>
      <c r="AP246" s="66">
        <f t="shared" si="2142"/>
        <v>150.09200000000004</v>
      </c>
      <c r="AQ246" s="66">
        <f t="shared" si="2142"/>
        <v>157.56200000000007</v>
      </c>
      <c r="AR246" s="66">
        <f t="shared" si="2142"/>
        <v>166.09600000000003</v>
      </c>
      <c r="AS246" s="66">
        <f t="shared" si="2142"/>
        <v>169.32300000000001</v>
      </c>
      <c r="AT246" s="66">
        <f t="shared" si="2142"/>
        <v>193.77800000000002</v>
      </c>
      <c r="AU246" s="66">
        <f t="shared" si="2142"/>
        <v>195.81499999999997</v>
      </c>
      <c r="AV246" s="66">
        <f t="shared" si="2142"/>
        <v>188.37100000000007</v>
      </c>
      <c r="AW246" s="66">
        <f t="shared" si="2142"/>
        <v>207.87200000000004</v>
      </c>
      <c r="AX246" s="66">
        <f t="shared" si="2142"/>
        <v>221.3600000000001</v>
      </c>
      <c r="AY246" s="66">
        <f t="shared" si="2142"/>
        <v>240.67600000000013</v>
      </c>
      <c r="AZ246" s="66">
        <f t="shared" si="2142"/>
        <v>250.71500000000009</v>
      </c>
      <c r="BA246" s="66">
        <f t="shared" si="2142"/>
        <v>230.81400000000014</v>
      </c>
      <c r="BB246" s="66">
        <f t="shared" si="2142"/>
        <v>221.9850000000001</v>
      </c>
      <c r="BC246" s="66">
        <f t="shared" si="2142"/>
        <v>183.84100000000009</v>
      </c>
      <c r="BD246" s="66">
        <f t="shared" si="2142"/>
        <v>197.44700000000003</v>
      </c>
      <c r="BE246" s="66">
        <f t="shared" si="2142"/>
        <v>210.32400000000004</v>
      </c>
      <c r="BF246" s="66">
        <f t="shared" si="2142"/>
        <v>202.78600000000003</v>
      </c>
      <c r="BG246" s="66">
        <f t="shared" si="2142"/>
        <v>252.53899999999999</v>
      </c>
      <c r="BH246" s="66">
        <f t="shared" si="2142"/>
        <v>260.27500000000003</v>
      </c>
      <c r="BI246" s="66">
        <f t="shared" si="2142"/>
        <v>279.63700000000006</v>
      </c>
      <c r="BJ246" s="66">
        <f t="shared" si="2142"/>
        <v>305.84000000000003</v>
      </c>
      <c r="BK246" s="66">
        <f t="shared" si="2142"/>
        <v>320.99900000000002</v>
      </c>
      <c r="BL246" s="66">
        <f t="shared" si="2142"/>
        <v>339.75699999999995</v>
      </c>
      <c r="BM246" s="66">
        <f t="shared" si="2142"/>
        <v>351.37499999999994</v>
      </c>
      <c r="BN246" s="66">
        <f t="shared" si="2142"/>
        <v>377.57299999999987</v>
      </c>
      <c r="BO246" s="66">
        <f t="shared" si="2142"/>
        <v>437.01499999999987</v>
      </c>
      <c r="BP246" s="66">
        <f t="shared" si="2142"/>
        <v>446.85399999999993</v>
      </c>
      <c r="BQ246" s="66">
        <f t="shared" si="2142"/>
        <v>528.25199999999995</v>
      </c>
      <c r="BR246" s="66">
        <f t="shared" ref="BR246:CW246" si="2143">SUM(BO48:BR48)</f>
        <v>560.40900000000011</v>
      </c>
      <c r="BS246" s="66">
        <f t="shared" si="2143"/>
        <v>568.67700000000013</v>
      </c>
      <c r="BT246" s="66">
        <f t="shared" si="2143"/>
        <v>585.32799999999997</v>
      </c>
      <c r="BU246" s="66">
        <f t="shared" si="2143"/>
        <v>542.43499999999995</v>
      </c>
      <c r="BV246" s="66">
        <f t="shared" si="2143"/>
        <v>543.45999999999992</v>
      </c>
      <c r="BW246" s="66">
        <f t="shared" si="2143"/>
        <v>552.52999999999986</v>
      </c>
      <c r="BX246" s="66">
        <f t="shared" si="2143"/>
        <v>610.3599999999999</v>
      </c>
      <c r="BY246" s="66">
        <f t="shared" si="2143"/>
        <v>657.0300000000002</v>
      </c>
      <c r="BZ246" s="66">
        <f t="shared" si="2143"/>
        <v>695.75000000000023</v>
      </c>
      <c r="CA246" s="66">
        <f t="shared" si="2143"/>
        <v>755.10000000000025</v>
      </c>
      <c r="CB246" s="66">
        <f t="shared" si="2143"/>
        <v>814.06000000000017</v>
      </c>
      <c r="CC246" s="66">
        <f t="shared" si="2143"/>
        <v>862.41</v>
      </c>
      <c r="CD246" s="66">
        <f t="shared" si="2143"/>
        <v>896.8900000000001</v>
      </c>
      <c r="CE246" s="66">
        <f t="shared" si="2143"/>
        <v>945.15</v>
      </c>
      <c r="CF246" s="66">
        <f t="shared" si="2143"/>
        <v>972.13000000000011</v>
      </c>
      <c r="CG246" s="66">
        <f t="shared" si="2143"/>
        <v>1003.52</v>
      </c>
      <c r="CH246" s="66">
        <f t="shared" si="2143"/>
        <v>1031.8399999999997</v>
      </c>
      <c r="CI246" s="66">
        <f t="shared" si="2143"/>
        <v>1052.3400000000001</v>
      </c>
      <c r="CJ246" s="66">
        <f t="shared" si="2143"/>
        <v>1091.42</v>
      </c>
      <c r="CK246" s="50">
        <f t="shared" si="2143"/>
        <v>1132.73</v>
      </c>
      <c r="CL246" s="66">
        <f t="shared" si="2143"/>
        <v>1107.4200000000003</v>
      </c>
      <c r="CM246" s="50">
        <f t="shared" si="2143"/>
        <v>1127.9501896124277</v>
      </c>
      <c r="CN246" s="50">
        <f t="shared" si="2143"/>
        <v>1134.50996509165</v>
      </c>
      <c r="CO246" s="50">
        <f t="shared" si="2143"/>
        <v>1142.2449331709699</v>
      </c>
      <c r="CP246" s="50">
        <f t="shared" si="2143"/>
        <v>1226.738416857942</v>
      </c>
      <c r="CQ246" s="50">
        <f t="shared" si="2143"/>
        <v>1255.758346635479</v>
      </c>
      <c r="CR246" s="50">
        <f t="shared" si="2143"/>
        <v>1287.2418215554869</v>
      </c>
      <c r="CS246" s="50">
        <f t="shared" si="2143"/>
        <v>1324.9754341378434</v>
      </c>
      <c r="CT246" s="50">
        <f t="shared" si="2143"/>
        <v>1369.0946700818067</v>
      </c>
      <c r="CU246" s="50">
        <f t="shared" si="2143"/>
        <v>1411.8116444602072</v>
      </c>
      <c r="CV246" s="50">
        <f t="shared" si="2143"/>
        <v>1456.5630432645762</v>
      </c>
      <c r="CW246" s="50">
        <f t="shared" si="2143"/>
        <v>1502.426971406423</v>
      </c>
      <c r="CX246" s="50">
        <f t="shared" ref="CX246:DB246" si="2144">SUM(CU48:CX48)</f>
        <v>1547.0328152137374</v>
      </c>
      <c r="CY246" s="50">
        <f t="shared" si="2144"/>
        <v>1597.8192548258121</v>
      </c>
      <c r="CZ246" s="50">
        <f t="shared" si="2144"/>
        <v>1649.3940519145092</v>
      </c>
      <c r="DA246" s="50">
        <f t="shared" si="2144"/>
        <v>1700.507068964178</v>
      </c>
      <c r="DB246" s="50">
        <f t="shared" si="2144"/>
        <v>1749.6829051845434</v>
      </c>
      <c r="DE246" s="138"/>
    </row>
    <row r="247" spans="1:110" s="66" customFormat="1" x14ac:dyDescent="0.2">
      <c r="A247" s="66" t="s">
        <v>473</v>
      </c>
      <c r="AB247" s="50"/>
      <c r="AC247" s="50"/>
      <c r="AD247" s="50"/>
      <c r="AE247" s="50"/>
      <c r="AL247" s="66">
        <f t="shared" ref="AL247:BQ247" si="2145">SUM(AI61:AL61)</f>
        <v>85.129000000000005</v>
      </c>
      <c r="AM247" s="66">
        <f t="shared" si="2145"/>
        <v>96.96999999999997</v>
      </c>
      <c r="AN247" s="66">
        <f t="shared" si="2145"/>
        <v>106.71100000000001</v>
      </c>
      <c r="AO247" s="66">
        <f t="shared" si="2145"/>
        <v>142.86200000000002</v>
      </c>
      <c r="AP247" s="66">
        <f t="shared" si="2145"/>
        <v>144.54100000000003</v>
      </c>
      <c r="AQ247" s="66">
        <f t="shared" si="2145"/>
        <v>146.87800000000004</v>
      </c>
      <c r="AR247" s="66">
        <f t="shared" si="2145"/>
        <v>147.27000000000004</v>
      </c>
      <c r="AS247" s="66">
        <f t="shared" si="2145"/>
        <v>113.41200000000001</v>
      </c>
      <c r="AT247" s="66">
        <f t="shared" si="2145"/>
        <v>117.71800000000002</v>
      </c>
      <c r="AU247" s="66">
        <f t="shared" si="2145"/>
        <v>129.25200000000001</v>
      </c>
      <c r="AV247" s="66">
        <f t="shared" si="2145"/>
        <v>131.68900000000008</v>
      </c>
      <c r="AW247" s="66">
        <f t="shared" si="2145"/>
        <v>154.40300000000005</v>
      </c>
      <c r="AX247" s="66">
        <f t="shared" si="2145"/>
        <v>179.20200000000008</v>
      </c>
      <c r="AY247" s="66">
        <f t="shared" si="2145"/>
        <v>189.41900000000012</v>
      </c>
      <c r="AZ247" s="66">
        <f t="shared" si="2145"/>
        <v>192.47200000000009</v>
      </c>
      <c r="BA247" s="66">
        <f t="shared" si="2145"/>
        <v>181.35300000000015</v>
      </c>
      <c r="BB247" s="66">
        <f t="shared" si="2145"/>
        <v>172.96600000000012</v>
      </c>
      <c r="BC247" s="66">
        <f t="shared" si="2145"/>
        <v>143.4790000000001</v>
      </c>
      <c r="BD247" s="66">
        <f t="shared" si="2145"/>
        <v>150.00100000000006</v>
      </c>
      <c r="BE247" s="66">
        <f t="shared" si="2145"/>
        <v>148.08900000000006</v>
      </c>
      <c r="BF247" s="66">
        <f t="shared" si="2145"/>
        <v>127.99700000000004</v>
      </c>
      <c r="BG247" s="66">
        <f t="shared" si="2145"/>
        <v>153.38399999999999</v>
      </c>
      <c r="BH247" s="66">
        <f t="shared" si="2145"/>
        <v>153.13200000000001</v>
      </c>
      <c r="BI247" s="66">
        <f t="shared" si="2145"/>
        <v>169.233</v>
      </c>
      <c r="BJ247" s="66">
        <f t="shared" si="2145"/>
        <v>193.96600000000001</v>
      </c>
      <c r="BK247" s="66">
        <f t="shared" si="2145"/>
        <v>210.32300000000004</v>
      </c>
      <c r="BL247" s="66">
        <f t="shared" si="2145"/>
        <v>252.61499999999995</v>
      </c>
      <c r="BM247" s="66">
        <f t="shared" si="2145"/>
        <v>269.10999999999996</v>
      </c>
      <c r="BN247" s="66">
        <f t="shared" si="2145"/>
        <v>282.39199999999988</v>
      </c>
      <c r="BO247" s="66">
        <f t="shared" si="2145"/>
        <v>339.78699999999986</v>
      </c>
      <c r="BP247" s="66">
        <f t="shared" si="2145"/>
        <v>319.94899999999996</v>
      </c>
      <c r="BQ247" s="66">
        <f t="shared" si="2145"/>
        <v>407.78699999999992</v>
      </c>
      <c r="BR247" s="66">
        <f t="shared" ref="BR247:CW247" si="2146">SUM(BO61:BR61)</f>
        <v>448.52500000000009</v>
      </c>
      <c r="BS247" s="66">
        <f t="shared" si="2146"/>
        <v>448.07800000000015</v>
      </c>
      <c r="BT247" s="66">
        <f t="shared" si="2146"/>
        <v>472.0440000000001</v>
      </c>
      <c r="BU247" s="66">
        <f t="shared" si="2146"/>
        <v>401.87</v>
      </c>
      <c r="BV247" s="66">
        <f t="shared" si="2146"/>
        <v>386.03</v>
      </c>
      <c r="BW247" s="66">
        <f t="shared" si="2146"/>
        <v>372.16999999999985</v>
      </c>
      <c r="BX247" s="66">
        <f t="shared" si="2146"/>
        <v>385.35999999999996</v>
      </c>
      <c r="BY247" s="66">
        <f t="shared" si="2146"/>
        <v>407.35000000000014</v>
      </c>
      <c r="BZ247" s="66">
        <f t="shared" si="2146"/>
        <v>410.01000000000016</v>
      </c>
      <c r="CA247" s="66">
        <f t="shared" si="2146"/>
        <v>447.13000000000022</v>
      </c>
      <c r="CB247" s="66">
        <f t="shared" si="2146"/>
        <v>486.6400000000001</v>
      </c>
      <c r="CC247" s="66">
        <f t="shared" si="2146"/>
        <v>514.1099999999999</v>
      </c>
      <c r="CD247" s="66">
        <f t="shared" si="2146"/>
        <v>552.64</v>
      </c>
      <c r="CE247" s="66">
        <f t="shared" si="2146"/>
        <v>587.15000000000009</v>
      </c>
      <c r="CF247" s="66">
        <f t="shared" si="2146"/>
        <v>611.13</v>
      </c>
      <c r="CG247" s="66">
        <f t="shared" si="2146"/>
        <v>640.04999999999995</v>
      </c>
      <c r="CH247" s="66">
        <f t="shared" si="2146"/>
        <v>659.57999999999981</v>
      </c>
      <c r="CI247" s="66">
        <f t="shared" si="2146"/>
        <v>685.12999999999988</v>
      </c>
      <c r="CJ247" s="66">
        <f t="shared" si="2146"/>
        <v>718.38000000000011</v>
      </c>
      <c r="CK247" s="50">
        <f t="shared" si="2146"/>
        <v>753.7800000000002</v>
      </c>
      <c r="CL247" s="66">
        <f t="shared" si="2146"/>
        <v>736.6400000000001</v>
      </c>
      <c r="CM247" s="50">
        <f t="shared" si="2146"/>
        <v>748.19346222963782</v>
      </c>
      <c r="CN247" s="50">
        <f t="shared" si="2146"/>
        <v>748.93454227790471</v>
      </c>
      <c r="CO247" s="50">
        <f t="shared" si="2146"/>
        <v>753.70973868998385</v>
      </c>
      <c r="CP247" s="50">
        <f t="shared" si="2146"/>
        <v>818.3436779734501</v>
      </c>
      <c r="CQ247" s="50">
        <f t="shared" si="2146"/>
        <v>847.67018127293113</v>
      </c>
      <c r="CR247" s="50">
        <f t="shared" si="2146"/>
        <v>880.27720446260832</v>
      </c>
      <c r="CS247" s="50">
        <f t="shared" si="2146"/>
        <v>916.96688787281096</v>
      </c>
      <c r="CT247" s="50">
        <f t="shared" si="2146"/>
        <v>957.32990659263976</v>
      </c>
      <c r="CU247" s="50">
        <f t="shared" si="2146"/>
        <v>999.36142230593737</v>
      </c>
      <c r="CV247" s="50">
        <f t="shared" si="2146"/>
        <v>1042.6873633055748</v>
      </c>
      <c r="CW247" s="50">
        <f t="shared" si="2146"/>
        <v>1087.1457794390894</v>
      </c>
      <c r="CX247" s="50">
        <f t="shared" ref="CX247:DB247" si="2147">SUM(CU61:CX61)</f>
        <v>1131.2367158592708</v>
      </c>
      <c r="CY247" s="50">
        <f t="shared" si="2147"/>
        <v>1180.4326399662677</v>
      </c>
      <c r="CZ247" s="50">
        <f t="shared" si="2147"/>
        <v>1230.2527441739935</v>
      </c>
      <c r="DA247" s="50">
        <f t="shared" si="2147"/>
        <v>1280.157247982248</v>
      </c>
      <c r="DB247" s="50">
        <f t="shared" si="2147"/>
        <v>1329.0935998842174</v>
      </c>
      <c r="DE247" s="138"/>
    </row>
    <row r="248" spans="1:110" s="93" customFormat="1" x14ac:dyDescent="0.2">
      <c r="AB248" s="30"/>
      <c r="AC248" s="30"/>
      <c r="AD248" s="30"/>
      <c r="AE248" s="30"/>
      <c r="CK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10" s="11" customFormat="1" x14ac:dyDescent="0.2">
      <c r="AB249" s="63"/>
      <c r="AC249" s="63"/>
      <c r="AD249" s="63"/>
      <c r="AE249" s="63"/>
      <c r="CK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10" s="62" customFormat="1" hidden="1" outlineLevel="1" x14ac:dyDescent="0.2">
      <c r="A250" s="61" t="s">
        <v>339</v>
      </c>
      <c r="AB250" s="63"/>
      <c r="AC250" s="63"/>
      <c r="AD250" s="63"/>
      <c r="AE250" s="63"/>
      <c r="CK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10" s="64" customFormat="1" hidden="1" outlineLevel="1" x14ac:dyDescent="0.2">
      <c r="A251" s="64" t="s">
        <v>474</v>
      </c>
      <c r="B251" s="64">
        <f t="shared" ref="B251:Z251" si="2148">B28-B257</f>
        <v>237.53200000000001</v>
      </c>
      <c r="C251" s="64">
        <f t="shared" si="2148"/>
        <v>276.04360000000003</v>
      </c>
      <c r="D251" s="64">
        <f t="shared" si="2148"/>
        <v>292.798</v>
      </c>
      <c r="E251" s="64">
        <f t="shared" si="2148"/>
        <v>319.1696</v>
      </c>
      <c r="F251" s="64">
        <f t="shared" si="2148"/>
        <v>373.47359999999998</v>
      </c>
      <c r="G251" s="64">
        <f t="shared" si="2148"/>
        <v>482.36720000000003</v>
      </c>
      <c r="H251" s="64">
        <f t="shared" si="2148"/>
        <v>543.15260000000001</v>
      </c>
      <c r="I251" s="64">
        <f t="shared" si="2148"/>
        <v>584.02570000000003</v>
      </c>
      <c r="J251" s="64">
        <f t="shared" si="2148"/>
        <v>725.20579999999995</v>
      </c>
      <c r="K251" s="64">
        <f t="shared" si="2148"/>
        <v>762.73180000000002</v>
      </c>
      <c r="L251" s="64">
        <f t="shared" si="2148"/>
        <v>896.94899999999996</v>
      </c>
      <c r="M251" s="64">
        <f t="shared" si="2148"/>
        <v>809.25340000000006</v>
      </c>
      <c r="N251" s="64">
        <f t="shared" si="2148"/>
        <v>876.46770000000004</v>
      </c>
      <c r="O251" s="64">
        <f t="shared" si="2148"/>
        <v>1034.3891000000001</v>
      </c>
      <c r="P251" s="64">
        <f t="shared" si="2148"/>
        <v>1158.7817</v>
      </c>
      <c r="Q251" s="64">
        <f t="shared" si="2148"/>
        <v>1231.5831000000001</v>
      </c>
      <c r="R251" s="64">
        <f t="shared" si="2148"/>
        <v>1368.317</v>
      </c>
      <c r="S251" s="64">
        <f t="shared" si="2148"/>
        <v>1413.7678000000001</v>
      </c>
      <c r="T251" s="64">
        <f t="shared" si="2148"/>
        <v>1643.2003999999999</v>
      </c>
      <c r="U251" s="64">
        <f t="shared" si="2148"/>
        <v>1774.7291</v>
      </c>
      <c r="V251" s="64">
        <f t="shared" si="2148"/>
        <v>2042.5215000000001</v>
      </c>
      <c r="W251" s="64">
        <f t="shared" si="2148"/>
        <v>2488.1925999999999</v>
      </c>
      <c r="X251" s="64">
        <f t="shared" si="2148"/>
        <v>3269.4513999999999</v>
      </c>
      <c r="Y251" s="64">
        <f t="shared" si="2148"/>
        <v>3604.6023</v>
      </c>
      <c r="Z251" s="64">
        <f t="shared" si="2148"/>
        <v>3776.4245999999998</v>
      </c>
      <c r="AA251" s="64">
        <f t="shared" ref="AA251" si="2149">AA28-AA257</f>
        <v>4006.2278000000001</v>
      </c>
      <c r="AB251" s="30"/>
      <c r="AC251" s="30"/>
      <c r="AD251" s="30"/>
      <c r="AE251" s="30"/>
      <c r="AI251" s="64">
        <f t="shared" ref="AI251:BN251" si="2150">AI28-AI257</f>
        <v>189.745</v>
      </c>
      <c r="AJ251" s="64">
        <f t="shared" si="2150"/>
        <v>217.24199999999999</v>
      </c>
      <c r="AK251" s="64">
        <f t="shared" si="2150"/>
        <v>204.292</v>
      </c>
      <c r="AL251" s="64">
        <f t="shared" si="2150"/>
        <v>205.14400000000001</v>
      </c>
      <c r="AM251" s="64">
        <f t="shared" si="2150"/>
        <v>235.22800000000001</v>
      </c>
      <c r="AN251" s="64">
        <f t="shared" si="2150"/>
        <v>253.18700000000001</v>
      </c>
      <c r="AO251" s="64">
        <f t="shared" si="2150"/>
        <v>239.52199999999999</v>
      </c>
      <c r="AP251" s="64">
        <f t="shared" si="2150"/>
        <v>228.59800000000001</v>
      </c>
      <c r="AQ251" s="64">
        <f t="shared" si="2150"/>
        <v>262.60300000000001</v>
      </c>
      <c r="AR251" s="64">
        <f t="shared" si="2150"/>
        <v>280.25799999999998</v>
      </c>
      <c r="AS251" s="64">
        <f t="shared" si="2150"/>
        <v>263.46799999999996</v>
      </c>
      <c r="AT251" s="64">
        <f t="shared" si="2150"/>
        <v>255.09200000000001</v>
      </c>
      <c r="AU251" s="64">
        <f t="shared" si="2150"/>
        <v>284.20800000000003</v>
      </c>
      <c r="AV251" s="64">
        <f t="shared" si="2150"/>
        <v>291.01500000000004</v>
      </c>
      <c r="AW251" s="64">
        <f t="shared" si="2150"/>
        <v>282.38299999999998</v>
      </c>
      <c r="AX251" s="64">
        <f t="shared" si="2150"/>
        <v>302.75900000000001</v>
      </c>
      <c r="AY251" s="64">
        <f t="shared" si="2150"/>
        <v>314.28800000000001</v>
      </c>
      <c r="AZ251" s="64">
        <f t="shared" si="2150"/>
        <v>301.488</v>
      </c>
      <c r="BA251" s="64">
        <f t="shared" si="2150"/>
        <v>276.48200000000003</v>
      </c>
      <c r="BB251" s="64">
        <f t="shared" si="2150"/>
        <v>306.262</v>
      </c>
      <c r="BC251" s="64">
        <f t="shared" si="2150"/>
        <v>283.83800000000002</v>
      </c>
      <c r="BD251" s="64">
        <f t="shared" si="2150"/>
        <v>347.31900000000002</v>
      </c>
      <c r="BE251" s="64">
        <f t="shared" si="2150"/>
        <v>304.74200000000002</v>
      </c>
      <c r="BF251" s="64">
        <f t="shared" si="2150"/>
        <v>318.47399999999999</v>
      </c>
      <c r="BG251" s="64">
        <f t="shared" si="2150"/>
        <v>406.916</v>
      </c>
      <c r="BH251" s="64">
        <f t="shared" si="2150"/>
        <v>435.34300000000002</v>
      </c>
      <c r="BI251" s="64">
        <f t="shared" si="2150"/>
        <v>382.02600000000001</v>
      </c>
      <c r="BJ251" s="64">
        <f t="shared" si="2150"/>
        <v>418.91500000000002</v>
      </c>
      <c r="BK251" s="64">
        <f t="shared" si="2150"/>
        <v>446.11</v>
      </c>
      <c r="BL251" s="64">
        <f t="shared" si="2150"/>
        <v>456.41699999999997</v>
      </c>
      <c r="BM251" s="64">
        <f t="shared" si="2150"/>
        <v>428.63200000000001</v>
      </c>
      <c r="BN251" s="64">
        <f t="shared" si="2150"/>
        <v>443.56900000000002</v>
      </c>
      <c r="BO251" s="64">
        <f t="shared" ref="BO251:CT251" si="2151">BO28-BO257</f>
        <v>522.28499999999997</v>
      </c>
      <c r="BP251" s="64">
        <f t="shared" si="2151"/>
        <v>443.56400000000002</v>
      </c>
      <c r="BQ251" s="64">
        <f t="shared" si="2151"/>
        <v>548.21699999999998</v>
      </c>
      <c r="BR251" s="64">
        <f t="shared" si="2151"/>
        <v>528.45500000000004</v>
      </c>
      <c r="BS251" s="64">
        <f t="shared" si="2151"/>
        <v>605.99</v>
      </c>
      <c r="BT251" s="64">
        <f t="shared" si="2151"/>
        <v>593.01</v>
      </c>
      <c r="BU251" s="64">
        <f t="shared" si="2151"/>
        <v>600.65</v>
      </c>
      <c r="BV251" s="64">
        <f t="shared" si="2151"/>
        <v>624.59</v>
      </c>
      <c r="BW251" s="64">
        <f t="shared" si="2151"/>
        <v>784.81</v>
      </c>
      <c r="BX251" s="64">
        <f t="shared" si="2151"/>
        <v>809.44</v>
      </c>
      <c r="BY251" s="64">
        <f t="shared" si="2151"/>
        <v>792.71</v>
      </c>
      <c r="BZ251" s="64">
        <f t="shared" si="2151"/>
        <v>762.32</v>
      </c>
      <c r="CA251" s="64">
        <f t="shared" si="2151"/>
        <v>896.2</v>
      </c>
      <c r="CB251" s="64">
        <f t="shared" si="2151"/>
        <v>881.74</v>
      </c>
      <c r="CC251" s="64">
        <f t="shared" si="2151"/>
        <v>844.51</v>
      </c>
      <c r="CD251" s="64">
        <f t="shared" si="2151"/>
        <v>861.73</v>
      </c>
      <c r="CE251" s="64">
        <f t="shared" si="2151"/>
        <v>1004.4</v>
      </c>
      <c r="CF251" s="64">
        <f t="shared" si="2151"/>
        <v>1000.62</v>
      </c>
      <c r="CG251" s="64">
        <f t="shared" si="2151"/>
        <v>963.49</v>
      </c>
      <c r="CH251" s="64">
        <f t="shared" si="2151"/>
        <v>949.48</v>
      </c>
      <c r="CI251" s="64">
        <f t="shared" si="2151"/>
        <v>1093.94</v>
      </c>
      <c r="CJ251" s="64">
        <f t="shared" si="2151"/>
        <v>1084.9000000000001</v>
      </c>
      <c r="CK251" s="30">
        <f t="shared" si="2151"/>
        <v>1064.72</v>
      </c>
      <c r="CL251" s="64">
        <f t="shared" ref="CL251" si="2152">CL28-CL257</f>
        <v>904.23</v>
      </c>
      <c r="CM251" s="30">
        <f t="shared" si="2151"/>
        <v>1212.058</v>
      </c>
      <c r="CN251" s="30">
        <f t="shared" si="2151"/>
        <v>1203.4880000000003</v>
      </c>
      <c r="CO251" s="30">
        <f t="shared" si="2151"/>
        <v>1180.9839999999999</v>
      </c>
      <c r="CP251" s="30">
        <f t="shared" si="2151"/>
        <v>1134.1693</v>
      </c>
      <c r="CQ251" s="30">
        <f t="shared" si="2151"/>
        <v>1329.9069400000001</v>
      </c>
      <c r="CR251" s="30">
        <f t="shared" si="2151"/>
        <v>1321.4249400000001</v>
      </c>
      <c r="CS251" s="30">
        <f t="shared" si="2151"/>
        <v>1296.7934200000002</v>
      </c>
      <c r="CT251" s="30">
        <f t="shared" si="2151"/>
        <v>1245.7313360000003</v>
      </c>
      <c r="CU251" s="30">
        <f t="shared" ref="CU251:DB251" si="2153">CU28-CU257</f>
        <v>1467.5868682000003</v>
      </c>
      <c r="CV251" s="30">
        <f t="shared" si="2153"/>
        <v>1458.8945082000002</v>
      </c>
      <c r="CW251" s="30">
        <f t="shared" si="2153"/>
        <v>1431.6502826000001</v>
      </c>
      <c r="CX251" s="30">
        <f t="shared" si="2153"/>
        <v>1375.1857091800002</v>
      </c>
      <c r="CY251" s="30">
        <f t="shared" si="2153"/>
        <v>1619.7011634460005</v>
      </c>
      <c r="CZ251" s="30">
        <f t="shared" si="2153"/>
        <v>1610.8521338460005</v>
      </c>
      <c r="DA251" s="30">
        <f t="shared" si="2153"/>
        <v>1580.7249094780007</v>
      </c>
      <c r="DB251" s="30">
        <f t="shared" si="2153"/>
        <v>1518.2975242454004</v>
      </c>
      <c r="DE251" s="139"/>
      <c r="DF251" s="64">
        <v>4006.2278000000001</v>
      </c>
    </row>
    <row r="252" spans="1:110" s="64" customFormat="1" hidden="1" outlineLevel="1" x14ac:dyDescent="0.2">
      <c r="A252" s="64" t="s">
        <v>475</v>
      </c>
      <c r="B252" s="64">
        <f t="shared" ref="B252:Z252" si="2154">B48-B258</f>
        <v>37.824799999999996</v>
      </c>
      <c r="C252" s="64">
        <f t="shared" si="2154"/>
        <v>49.99980000000005</v>
      </c>
      <c r="D252" s="64">
        <f t="shared" si="2154"/>
        <v>61.250200000000007</v>
      </c>
      <c r="E252" s="64">
        <f t="shared" si="2154"/>
        <v>64.828000000000003</v>
      </c>
      <c r="F252" s="64">
        <f t="shared" si="2154"/>
        <v>67.294100000000014</v>
      </c>
      <c r="G252" s="64">
        <f t="shared" si="2154"/>
        <v>87.410399999999981</v>
      </c>
      <c r="H252" s="64">
        <f t="shared" si="2154"/>
        <v>82.852200000000039</v>
      </c>
      <c r="I252" s="64">
        <f t="shared" si="2154"/>
        <v>63.606299999999976</v>
      </c>
      <c r="J252" s="64">
        <f t="shared" si="2154"/>
        <v>56.853200000000015</v>
      </c>
      <c r="K252" s="64">
        <f t="shared" si="2154"/>
        <v>166.99290000000002</v>
      </c>
      <c r="L252" s="64">
        <f t="shared" si="2154"/>
        <v>192.35949999999991</v>
      </c>
      <c r="M252" s="64">
        <f t="shared" si="2154"/>
        <v>100.31800000000015</v>
      </c>
      <c r="N252" s="64">
        <f t="shared" si="2154"/>
        <v>105.64110000000005</v>
      </c>
      <c r="O252" s="64">
        <f t="shared" si="2154"/>
        <v>148.19439999999997</v>
      </c>
      <c r="P252" s="64">
        <f t="shared" si="2154"/>
        <v>180.12010000000009</v>
      </c>
      <c r="Q252" s="64">
        <f t="shared" si="2154"/>
        <v>206.0309000000002</v>
      </c>
      <c r="R252" s="64">
        <f t="shared" si="2154"/>
        <v>228.76660000000004</v>
      </c>
      <c r="S252" s="64">
        <f t="shared" si="2154"/>
        <v>199.12939999999992</v>
      </c>
      <c r="T252" s="64">
        <f t="shared" si="2154"/>
        <v>305.8431999999998</v>
      </c>
      <c r="U252" s="64">
        <f t="shared" si="2154"/>
        <v>377.57429999999999</v>
      </c>
      <c r="V252" s="64">
        <f t="shared" si="2154"/>
        <v>556.17539999999997</v>
      </c>
      <c r="W252" s="64">
        <f t="shared" si="2154"/>
        <v>542.60899999999992</v>
      </c>
      <c r="X252" s="64">
        <f t="shared" si="2154"/>
        <v>695.75250000000028</v>
      </c>
      <c r="Y252" s="64">
        <f t="shared" si="2154"/>
        <v>892.48309999999969</v>
      </c>
      <c r="Z252" s="64">
        <f t="shared" si="2154"/>
        <v>1031.1200999999994</v>
      </c>
      <c r="AA252" s="64">
        <f t="shared" ref="AA252" si="2155">AA48-AA258</f>
        <v>1105.7584000000006</v>
      </c>
      <c r="AB252" s="30"/>
      <c r="AC252" s="30"/>
      <c r="AD252" s="30"/>
      <c r="AE252" s="30"/>
      <c r="AI252" s="64">
        <f t="shared" ref="AI252:BN252" si="2156">AI48-AI258</f>
        <v>19.981000000000009</v>
      </c>
      <c r="AJ252" s="64">
        <f t="shared" si="2156"/>
        <v>31.837999999999994</v>
      </c>
      <c r="AK252" s="64">
        <f t="shared" si="2156"/>
        <v>25.61</v>
      </c>
      <c r="AL252" s="64">
        <f t="shared" si="2156"/>
        <v>26.418999999999997</v>
      </c>
      <c r="AM252" s="64">
        <f t="shared" si="2156"/>
        <v>40.388999999999982</v>
      </c>
      <c r="AN252" s="64">
        <f t="shared" si="2156"/>
        <v>49.031000000000034</v>
      </c>
      <c r="AO252" s="64">
        <f t="shared" si="2156"/>
        <v>42.911000000000001</v>
      </c>
      <c r="AP252" s="64">
        <f t="shared" si="2156"/>
        <v>17.761000000000024</v>
      </c>
      <c r="AQ252" s="64">
        <f t="shared" si="2156"/>
        <v>47.859000000000009</v>
      </c>
      <c r="AR252" s="64">
        <f t="shared" si="2156"/>
        <v>57.564999999999998</v>
      </c>
      <c r="AS252" s="64">
        <f t="shared" si="2156"/>
        <v>46.137999999999977</v>
      </c>
      <c r="AT252" s="64">
        <f t="shared" si="2156"/>
        <v>42.216000000000022</v>
      </c>
      <c r="AU252" s="64">
        <f t="shared" si="2156"/>
        <v>49.895999999999987</v>
      </c>
      <c r="AV252" s="64">
        <f t="shared" si="2156"/>
        <v>50.121000000000066</v>
      </c>
      <c r="AW252" s="64">
        <f t="shared" si="2156"/>
        <v>65.638999999999982</v>
      </c>
      <c r="AX252" s="64">
        <f t="shared" si="2156"/>
        <v>55.704000000000065</v>
      </c>
      <c r="AY252" s="64">
        <f t="shared" si="2156"/>
        <v>69.212000000000018</v>
      </c>
      <c r="AZ252" s="64">
        <f t="shared" si="2156"/>
        <v>60.160000000000025</v>
      </c>
      <c r="BA252" s="64">
        <f t="shared" si="2156"/>
        <v>45.738000000000028</v>
      </c>
      <c r="BB252" s="64">
        <f t="shared" si="2156"/>
        <v>46.875000000000028</v>
      </c>
      <c r="BC252" s="64">
        <f t="shared" si="2156"/>
        <v>31.068000000000012</v>
      </c>
      <c r="BD252" s="64">
        <f t="shared" si="2156"/>
        <v>73.765999999999963</v>
      </c>
      <c r="BE252" s="64">
        <f t="shared" si="2156"/>
        <v>58.615000000000038</v>
      </c>
      <c r="BF252" s="64">
        <f t="shared" si="2156"/>
        <v>39.337000000000018</v>
      </c>
      <c r="BG252" s="64">
        <f t="shared" si="2156"/>
        <v>80.82099999999997</v>
      </c>
      <c r="BH252" s="64">
        <f t="shared" si="2156"/>
        <v>81.50200000000001</v>
      </c>
      <c r="BI252" s="64">
        <f t="shared" si="2156"/>
        <v>77.977000000000032</v>
      </c>
      <c r="BJ252" s="64">
        <f t="shared" si="2156"/>
        <v>65.54000000000002</v>
      </c>
      <c r="BK252" s="64">
        <f t="shared" si="2156"/>
        <v>95.979999999999961</v>
      </c>
      <c r="BL252" s="64">
        <f t="shared" si="2156"/>
        <v>100.25999999999993</v>
      </c>
      <c r="BM252" s="64">
        <f t="shared" si="2156"/>
        <v>89.595000000000027</v>
      </c>
      <c r="BN252" s="64">
        <f t="shared" si="2156"/>
        <v>91.737999999999943</v>
      </c>
      <c r="BO252" s="64">
        <f t="shared" ref="BO252:CT252" si="2157">BO48-BO258</f>
        <v>155.42199999999997</v>
      </c>
      <c r="BP252" s="64">
        <f t="shared" si="2157"/>
        <v>110.09900000000002</v>
      </c>
      <c r="BQ252" s="64">
        <f t="shared" si="2157"/>
        <v>170.99300000000002</v>
      </c>
      <c r="BR252" s="64">
        <f t="shared" si="2157"/>
        <v>123.89500000000004</v>
      </c>
      <c r="BS252" s="64">
        <f t="shared" si="2157"/>
        <v>163.69000000000005</v>
      </c>
      <c r="BT252" s="64">
        <f t="shared" si="2157"/>
        <v>126.74999999999994</v>
      </c>
      <c r="BU252" s="64">
        <f t="shared" si="2157"/>
        <v>128.09999999999991</v>
      </c>
      <c r="BV252" s="64">
        <f t="shared" si="2157"/>
        <v>124.92000000000002</v>
      </c>
      <c r="BW252" s="64">
        <f t="shared" si="2157"/>
        <v>172.76</v>
      </c>
      <c r="BX252" s="64">
        <f t="shared" si="2157"/>
        <v>184.58000000000004</v>
      </c>
      <c r="BY252" s="64">
        <f t="shared" si="2157"/>
        <v>174.7700000000001</v>
      </c>
      <c r="BZ252" s="64">
        <f t="shared" si="2157"/>
        <v>163.64000000000004</v>
      </c>
      <c r="CA252" s="64">
        <f t="shared" si="2157"/>
        <v>232.11</v>
      </c>
      <c r="CB252" s="64">
        <f t="shared" si="2157"/>
        <v>243.53999999999996</v>
      </c>
      <c r="CC252" s="64">
        <f t="shared" si="2157"/>
        <v>223.12</v>
      </c>
      <c r="CD252" s="64">
        <f t="shared" si="2157"/>
        <v>198.12000000000006</v>
      </c>
      <c r="CE252" s="64">
        <f t="shared" si="2157"/>
        <v>280.37</v>
      </c>
      <c r="CF252" s="64">
        <f t="shared" si="2157"/>
        <v>270.51999999999992</v>
      </c>
      <c r="CG252" s="64">
        <f t="shared" si="2157"/>
        <v>254.51</v>
      </c>
      <c r="CH252" s="64">
        <f t="shared" si="2157"/>
        <v>226.43999999999994</v>
      </c>
      <c r="CI252" s="64">
        <f t="shared" si="2157"/>
        <v>300.87000000000012</v>
      </c>
      <c r="CJ252" s="64">
        <f t="shared" si="2157"/>
        <v>309.60000000000008</v>
      </c>
      <c r="CK252" s="30">
        <f t="shared" si="2157"/>
        <v>295.82000000000005</v>
      </c>
      <c r="CL252" s="64">
        <f t="shared" ref="CL252" si="2158">CL48-CL258</f>
        <v>201.13</v>
      </c>
      <c r="CM252" s="30">
        <f t="shared" si="2157"/>
        <v>321.40018961242765</v>
      </c>
      <c r="CN252" s="30">
        <f t="shared" si="2157"/>
        <v>316.15977547922216</v>
      </c>
      <c r="CO252" s="30">
        <f t="shared" si="2157"/>
        <v>303.55496807932025</v>
      </c>
      <c r="CP252" s="30">
        <f t="shared" si="2157"/>
        <v>285.62348368697184</v>
      </c>
      <c r="CQ252" s="30">
        <f t="shared" si="2157"/>
        <v>350.42011938996484</v>
      </c>
      <c r="CR252" s="30">
        <f t="shared" si="2157"/>
        <v>347.64325039923006</v>
      </c>
      <c r="CS252" s="30">
        <f t="shared" si="2157"/>
        <v>341.28858066167675</v>
      </c>
      <c r="CT252" s="30">
        <f t="shared" si="2157"/>
        <v>329.74271963093497</v>
      </c>
      <c r="CU252" s="30">
        <f t="shared" ref="CU252:DB252" si="2159">CU48-CU258</f>
        <v>393.13709376836539</v>
      </c>
      <c r="CV252" s="30">
        <f t="shared" si="2159"/>
        <v>392.3946492035991</v>
      </c>
      <c r="CW252" s="30">
        <f t="shared" si="2159"/>
        <v>387.15250880352369</v>
      </c>
      <c r="CX252" s="30">
        <f t="shared" si="2159"/>
        <v>374.34856343824936</v>
      </c>
      <c r="CY252" s="30">
        <f t="shared" si="2159"/>
        <v>443.92353338044006</v>
      </c>
      <c r="CZ252" s="30">
        <f t="shared" si="2159"/>
        <v>443.96944629229597</v>
      </c>
      <c r="DA252" s="30">
        <f t="shared" si="2159"/>
        <v>438.26552585319257</v>
      </c>
      <c r="DB252" s="30">
        <f t="shared" si="2159"/>
        <v>423.5243996586147</v>
      </c>
      <c r="DE252" s="139"/>
      <c r="DF252" s="64">
        <v>1105.7584000000006</v>
      </c>
    </row>
    <row r="253" spans="1:110" s="89" customFormat="1" hidden="1" outlineLevel="1" x14ac:dyDescent="0.2">
      <c r="A253" s="86" t="s">
        <v>476</v>
      </c>
      <c r="B253" s="86">
        <f>+B252/B251</f>
        <v>0.15924086017883904</v>
      </c>
      <c r="C253" s="86">
        <f t="shared" ref="C253" si="2160">+C252/C251</f>
        <v>0.18113008234931019</v>
      </c>
      <c r="D253" s="86">
        <f t="shared" ref="D253" si="2161">+D252/D251</f>
        <v>0.20918927041851382</v>
      </c>
      <c r="E253" s="86">
        <f t="shared" ref="E253" si="2162">+E252/E251</f>
        <v>0.20311458234117535</v>
      </c>
      <c r="F253" s="86">
        <f t="shared" ref="F253" si="2163">+F252/F251</f>
        <v>0.18018435573491678</v>
      </c>
      <c r="G253" s="86">
        <f t="shared" ref="G253" si="2164">+G252/G251</f>
        <v>0.1812113261432369</v>
      </c>
      <c r="H253" s="86">
        <f t="shared" ref="H253" si="2165">+H252/H251</f>
        <v>0.15253945208031783</v>
      </c>
      <c r="I253" s="86">
        <f t="shared" ref="I253" si="2166">+I252/I251</f>
        <v>0.10891010446971763</v>
      </c>
      <c r="J253" s="86">
        <f t="shared" ref="J253" si="2167">+J252/J251</f>
        <v>7.839595325906111E-2</v>
      </c>
      <c r="K253" s="86">
        <f t="shared" ref="K253" si="2168">+K252/K251</f>
        <v>0.21894052404790257</v>
      </c>
      <c r="L253" s="86">
        <f t="shared" ref="L253" si="2169">+L252/L251</f>
        <v>0.21445979648787158</v>
      </c>
      <c r="M253" s="86">
        <f t="shared" ref="M253" si="2170">+M252/M251</f>
        <v>0.12396364352624301</v>
      </c>
      <c r="N253" s="86">
        <f t="shared" ref="N253" si="2171">+N252/N251</f>
        <v>0.12053051127839629</v>
      </c>
      <c r="O253" s="86">
        <f t="shared" ref="O253" si="2172">+O252/O251</f>
        <v>0.14326755763377627</v>
      </c>
      <c r="P253" s="86">
        <f t="shared" ref="P253" si="2173">+P252/P251</f>
        <v>0.1554391996352722</v>
      </c>
      <c r="Q253" s="86">
        <f t="shared" ref="Q253" si="2174">+Q252/Q251</f>
        <v>0.16728948294272647</v>
      </c>
      <c r="R253" s="86">
        <f t="shared" ref="R253" si="2175">+R252/R251</f>
        <v>0.16718830504919549</v>
      </c>
      <c r="S253" s="86">
        <f t="shared" ref="S253" si="2176">+S252/S251</f>
        <v>0.14085014526430714</v>
      </c>
      <c r="T253" s="86">
        <f t="shared" ref="T253" si="2177">+T252/T251</f>
        <v>0.18612653697017101</v>
      </c>
      <c r="U253" s="86">
        <f t="shared" ref="U253" si="2178">+U252/U251</f>
        <v>0.21275038539684732</v>
      </c>
      <c r="V253" s="86">
        <f t="shared" ref="V253" si="2179">+V252/V251</f>
        <v>0.27229843113034546</v>
      </c>
      <c r="W253" s="86">
        <f t="shared" ref="W253" si="2180">+W252/W251</f>
        <v>0.21807355266630082</v>
      </c>
      <c r="X253" s="86">
        <f t="shared" ref="X253:Y253" si="2181">+X252/X251</f>
        <v>0.21280405024524918</v>
      </c>
      <c r="Y253" s="86">
        <f t="shared" si="2181"/>
        <v>0.24759544208247319</v>
      </c>
      <c r="Z253" s="86">
        <f t="shared" ref="Z253:AA253" si="2182">+Z252/Z251</f>
        <v>0.27304135769055193</v>
      </c>
      <c r="AA253" s="86">
        <f t="shared" si="2182"/>
        <v>0.27600986643844883</v>
      </c>
      <c r="AB253" s="87"/>
      <c r="AC253" s="87"/>
      <c r="AD253" s="87"/>
      <c r="AE253" s="87"/>
      <c r="AF253" s="86"/>
      <c r="AG253" s="86"/>
      <c r="AH253" s="86"/>
      <c r="AI253" s="86">
        <f t="shared" ref="AI253" si="2183">+AI252/AI251</f>
        <v>0.10530448760178138</v>
      </c>
      <c r="AJ253" s="86">
        <f t="shared" ref="AJ253" si="2184">+AJ252/AJ251</f>
        <v>0.14655545428600361</v>
      </c>
      <c r="AK253" s="86">
        <f t="shared" ref="AK253" si="2185">+AK252/AK251</f>
        <v>0.12535977913966284</v>
      </c>
      <c r="AL253" s="86">
        <f t="shared" ref="AL253" si="2186">+AL252/AL251</f>
        <v>0.12878270873142766</v>
      </c>
      <c r="AM253" s="86">
        <f t="shared" ref="AM253" si="2187">+AM252/AM251</f>
        <v>0.17170149812097191</v>
      </c>
      <c r="AN253" s="86">
        <f t="shared" ref="AN253" si="2188">+AN252/AN251</f>
        <v>0.19365528245921013</v>
      </c>
      <c r="AO253" s="86">
        <f t="shared" ref="AO253" si="2189">+AO252/AO251</f>
        <v>0.17915264568599129</v>
      </c>
      <c r="AP253" s="86">
        <f t="shared" ref="AP253" si="2190">+AP252/AP251</f>
        <v>7.7695342916386065E-2</v>
      </c>
      <c r="AQ253" s="86">
        <f t="shared" ref="AQ253" si="2191">+AQ252/AQ251</f>
        <v>0.18224848916425176</v>
      </c>
      <c r="AR253" s="86">
        <f t="shared" ref="AR253" si="2192">+AR252/AR251</f>
        <v>0.20540002426335735</v>
      </c>
      <c r="AS253" s="86">
        <f t="shared" ref="AS253" si="2193">+AS252/AS251</f>
        <v>0.17511804090060268</v>
      </c>
      <c r="AT253" s="86">
        <f t="shared" ref="AT253" si="2194">+AT252/AT251</f>
        <v>0.165493233813683</v>
      </c>
      <c r="AU253" s="86">
        <f t="shared" ref="AU253" si="2195">+AU252/AU251</f>
        <v>0.17556156054720479</v>
      </c>
      <c r="AV253" s="86">
        <f t="shared" ref="AV253" si="2196">+AV252/AV251</f>
        <v>0.17222823565795597</v>
      </c>
      <c r="AW253" s="86">
        <f t="shared" ref="AW253" si="2197">+AW252/AW251</f>
        <v>0.23244671244373771</v>
      </c>
      <c r="AX253" s="86">
        <f t="shared" ref="AX253" si="2198">+AX252/AX251</f>
        <v>0.18398792438870543</v>
      </c>
      <c r="AY253" s="86">
        <f t="shared" ref="AY253" si="2199">+AY252/AY251</f>
        <v>0.22021839841164798</v>
      </c>
      <c r="AZ253" s="86">
        <f t="shared" ref="AZ253" si="2200">+AZ252/AZ251</f>
        <v>0.19954359709175828</v>
      </c>
      <c r="BA253" s="86">
        <f t="shared" ref="BA253" si="2201">+BA252/BA251</f>
        <v>0.16542849082399586</v>
      </c>
      <c r="BB253" s="86">
        <f t="shared" ref="BB253" si="2202">+BB252/BB251</f>
        <v>0.1530552272237497</v>
      </c>
      <c r="BC253" s="86">
        <f t="shared" ref="BC253" si="2203">+BC252/BC251</f>
        <v>0.1094568028241462</v>
      </c>
      <c r="BD253" s="86">
        <f t="shared" ref="BD253" si="2204">+BD252/BD251</f>
        <v>0.21238688352782301</v>
      </c>
      <c r="BE253" s="86">
        <f t="shared" ref="BE253" si="2205">+BE252/BE251</f>
        <v>0.19234303115422238</v>
      </c>
      <c r="BF253" s="86">
        <f t="shared" ref="BF253" si="2206">+BF252/BF251</f>
        <v>0.12351714739664782</v>
      </c>
      <c r="BG253" s="86">
        <f t="shared" ref="BG253" si="2207">+BG252/BG251</f>
        <v>0.19861838807026505</v>
      </c>
      <c r="BH253" s="86">
        <f t="shared" ref="BH253" si="2208">+BH252/BH251</f>
        <v>0.18721330077662901</v>
      </c>
      <c r="BI253" s="86">
        <f t="shared" ref="BI253" si="2209">+BI252/BI251</f>
        <v>0.20411437964955273</v>
      </c>
      <c r="BJ253" s="86">
        <f t="shared" ref="BJ253" si="2210">+BJ252/BJ251</f>
        <v>0.15645178616187058</v>
      </c>
      <c r="BK253" s="86">
        <f t="shared" ref="BK253" si="2211">+BK252/BK251</f>
        <v>0.21514873013382341</v>
      </c>
      <c r="BL253" s="86">
        <f t="shared" ref="BL253" si="2212">+BL252/BL251</f>
        <v>0.21966754086723311</v>
      </c>
      <c r="BM253" s="86">
        <f t="shared" ref="BM253" si="2213">+BM252/BM251</f>
        <v>0.20902545773530681</v>
      </c>
      <c r="BN253" s="86">
        <f t="shared" ref="BN253" si="2214">+BN252/BN251</f>
        <v>0.20681787951818079</v>
      </c>
      <c r="BO253" s="86">
        <f t="shared" ref="BO253" si="2215">+BO252/BO251</f>
        <v>0.29758082273088443</v>
      </c>
      <c r="BP253" s="86">
        <f t="shared" ref="BP253" si="2216">+BP252/BP251</f>
        <v>0.24821446285090767</v>
      </c>
      <c r="BQ253" s="86">
        <f t="shared" ref="BQ253" si="2217">+BQ252/BQ251</f>
        <v>0.31190751107681819</v>
      </c>
      <c r="BR253" s="86">
        <f t="shared" ref="BR253" si="2218">+BR252/BR251</f>
        <v>0.23444758777947039</v>
      </c>
      <c r="BS253" s="86">
        <f t="shared" ref="BS253" si="2219">+BS252/BS251</f>
        <v>0.27011996897638585</v>
      </c>
      <c r="BT253" s="86">
        <f t="shared" ref="BT253" si="2220">+BT252/BT251</f>
        <v>0.2137400718368998</v>
      </c>
      <c r="BU253" s="86">
        <f t="shared" ref="BU253" si="2221">+BU252/BU251</f>
        <v>0.21326895862815268</v>
      </c>
      <c r="BV253" s="86">
        <f t="shared" ref="BV253" si="2222">+BV252/BV251</f>
        <v>0.20000320210057798</v>
      </c>
      <c r="BW253" s="86">
        <f t="shared" ref="BW253" si="2223">+BW252/BW251</f>
        <v>0.22012971292414724</v>
      </c>
      <c r="BX253" s="86">
        <f t="shared" ref="BX253" si="2224">+BX252/BX251</f>
        <v>0.22803419648151813</v>
      </c>
      <c r="BY253" s="86">
        <f t="shared" ref="BY253" si="2225">+BY252/BY251</f>
        <v>0.22047154697178045</v>
      </c>
      <c r="BZ253" s="86">
        <f t="shared" ref="BZ253" si="2226">+BZ252/BZ251</f>
        <v>0.21466051002203804</v>
      </c>
      <c r="CA253" s="86">
        <f t="shared" ref="CA253" si="2227">+CA252/CA251</f>
        <v>0.25899352823030575</v>
      </c>
      <c r="CB253" s="86">
        <f t="shared" ref="CB253:CC253" si="2228">+CB252/CB251</f>
        <v>0.27620386962143029</v>
      </c>
      <c r="CC253" s="86">
        <f t="shared" si="2228"/>
        <v>0.2642005423263194</v>
      </c>
      <c r="CD253" s="86">
        <f t="shared" ref="CD253" si="2229">+CD252/CD251</f>
        <v>0.22990960045489894</v>
      </c>
      <c r="CE253" s="86">
        <f t="shared" ref="CE253:CF253" si="2230">+CE252/CE251</f>
        <v>0.27914177618478697</v>
      </c>
      <c r="CF253" s="86">
        <f t="shared" si="2230"/>
        <v>0.27035238152345537</v>
      </c>
      <c r="CG253" s="86">
        <f t="shared" ref="CG253:CH253" si="2231">+CG252/CG251</f>
        <v>0.26415427248855722</v>
      </c>
      <c r="CH253" s="86">
        <f t="shared" si="2231"/>
        <v>0.23848843577537171</v>
      </c>
      <c r="CI253" s="86">
        <f t="shared" ref="CI253:CJ253" si="2232">+CI252/CI251</f>
        <v>0.27503336563248448</v>
      </c>
      <c r="CJ253" s="86">
        <f t="shared" si="2232"/>
        <v>0.28537192367960185</v>
      </c>
      <c r="CK253" s="47">
        <f t="shared" ref="CK253:DB253" si="2233">+CK252/CK251</f>
        <v>0.27783830490645434</v>
      </c>
      <c r="CL253" s="86">
        <f t="shared" si="2233"/>
        <v>0.2224323457527399</v>
      </c>
      <c r="CM253" s="47">
        <f t="shared" si="2233"/>
        <v>0.26516898499282021</v>
      </c>
      <c r="CN253" s="47">
        <f t="shared" si="2233"/>
        <v>0.26270288983290407</v>
      </c>
      <c r="CO253" s="47">
        <f t="shared" si="2233"/>
        <v>0.25703563137122964</v>
      </c>
      <c r="CP253" s="47">
        <f t="shared" si="2233"/>
        <v>0.25183496298742336</v>
      </c>
      <c r="CQ253" s="47">
        <f t="shared" si="2233"/>
        <v>0.26349221050757493</v>
      </c>
      <c r="CR253" s="47">
        <f t="shared" si="2233"/>
        <v>0.26308210165855506</v>
      </c>
      <c r="CS253" s="47">
        <f t="shared" si="2233"/>
        <v>0.26317883434485401</v>
      </c>
      <c r="CT253" s="47">
        <f t="shared" si="2233"/>
        <v>0.26469810151017581</v>
      </c>
      <c r="CU253" s="47">
        <f t="shared" si="2233"/>
        <v>0.26787994788380004</v>
      </c>
      <c r="CV253" s="47">
        <f t="shared" si="2233"/>
        <v>0.26896711653794614</v>
      </c>
      <c r="CW253" s="47">
        <f t="shared" si="2233"/>
        <v>0.27042393907848877</v>
      </c>
      <c r="CX253" s="47">
        <f t="shared" si="2233"/>
        <v>0.27221673475756741</v>
      </c>
      <c r="CY253" s="47">
        <f t="shared" si="2233"/>
        <v>0.27407743070083934</v>
      </c>
      <c r="CZ253" s="47">
        <f t="shared" si="2233"/>
        <v>0.27561154556892437</v>
      </c>
      <c r="DA253" s="47">
        <f t="shared" si="2233"/>
        <v>0.27725603817929334</v>
      </c>
      <c r="DB253" s="47">
        <f t="shared" si="2233"/>
        <v>0.27894690789877163</v>
      </c>
      <c r="DE253" s="130"/>
      <c r="DF253" s="89">
        <v>0.27600986643844883</v>
      </c>
    </row>
    <row r="254" spans="1:110" s="64" customFormat="1" hidden="1" outlineLevel="1" x14ac:dyDescent="0.2">
      <c r="A254" s="64" t="s">
        <v>477</v>
      </c>
      <c r="B254" s="64">
        <f t="shared" ref="B254:Z254" si="2234">B61-B260</f>
        <v>31.230300000000003</v>
      </c>
      <c r="C254" s="64">
        <f t="shared" si="2234"/>
        <v>42.371200000000051</v>
      </c>
      <c r="D254" s="64">
        <f t="shared" si="2234"/>
        <v>47.968100000000007</v>
      </c>
      <c r="E254" s="64">
        <f t="shared" si="2234"/>
        <v>50.786600000000007</v>
      </c>
      <c r="F254" s="64">
        <f t="shared" si="2234"/>
        <v>58.344800000000014</v>
      </c>
      <c r="G254" s="64">
        <f t="shared" si="2234"/>
        <v>70.237099999999984</v>
      </c>
      <c r="H254" s="64">
        <f t="shared" si="2234"/>
        <v>62.177200000000035</v>
      </c>
      <c r="I254" s="64">
        <f t="shared" si="2234"/>
        <v>45.320399999999978</v>
      </c>
      <c r="J254" s="64">
        <f t="shared" si="2234"/>
        <v>25.709700000000012</v>
      </c>
      <c r="K254" s="64">
        <f t="shared" si="2234"/>
        <v>118.7526</v>
      </c>
      <c r="L254" s="64">
        <f t="shared" si="2234"/>
        <v>139.32369999999992</v>
      </c>
      <c r="M254" s="64">
        <f t="shared" si="2234"/>
        <v>-82.684499999999829</v>
      </c>
      <c r="N254" s="64">
        <f t="shared" si="2234"/>
        <v>79.444100000000077</v>
      </c>
      <c r="O254" s="64">
        <f t="shared" si="2234"/>
        <v>125.99579999999999</v>
      </c>
      <c r="P254" s="64">
        <f t="shared" si="2234"/>
        <v>100.40510000000012</v>
      </c>
      <c r="Q254" s="64">
        <f t="shared" si="2234"/>
        <v>161.23580000000021</v>
      </c>
      <c r="R254" s="64">
        <f t="shared" si="2234"/>
        <v>184.39820000000003</v>
      </c>
      <c r="S254" s="64">
        <f t="shared" si="2234"/>
        <v>138.71939999999992</v>
      </c>
      <c r="T254" s="64">
        <f t="shared" si="2234"/>
        <v>193.96969999999982</v>
      </c>
      <c r="U254" s="64">
        <f t="shared" si="2234"/>
        <v>282.39210000000003</v>
      </c>
      <c r="V254" s="64">
        <f t="shared" si="2234"/>
        <v>448.52299999999991</v>
      </c>
      <c r="W254" s="64">
        <f t="shared" si="2234"/>
        <v>386.0388999999999</v>
      </c>
      <c r="X254" s="64">
        <f t="shared" si="2234"/>
        <v>410.00530000000037</v>
      </c>
      <c r="Y254" s="64">
        <f t="shared" si="2234"/>
        <v>552.62779999999964</v>
      </c>
      <c r="Z254" s="64">
        <f t="shared" si="2234"/>
        <v>659.58179999999936</v>
      </c>
      <c r="AA254" s="64">
        <f t="shared" ref="AA254" si="2235">AA61-AA260</f>
        <v>736.65290000000061</v>
      </c>
      <c r="AB254" s="30"/>
      <c r="AC254" s="30"/>
      <c r="AD254" s="30"/>
      <c r="AE254" s="30"/>
      <c r="AI254" s="64">
        <f t="shared" ref="AI254:BN254" si="2236">AI61-AI260</f>
        <v>13.926000000000011</v>
      </c>
      <c r="AJ254" s="64">
        <f t="shared" si="2236"/>
        <v>29.576999999999995</v>
      </c>
      <c r="AK254" s="64">
        <f t="shared" si="2236"/>
        <v>21.873999999999995</v>
      </c>
      <c r="AL254" s="64">
        <f t="shared" si="2236"/>
        <v>19.751999999999995</v>
      </c>
      <c r="AM254" s="64">
        <f t="shared" si="2236"/>
        <v>25.766999999999982</v>
      </c>
      <c r="AN254" s="64">
        <f t="shared" si="2236"/>
        <v>39.318000000000033</v>
      </c>
      <c r="AO254" s="64">
        <f t="shared" si="2236"/>
        <v>58.024999999999991</v>
      </c>
      <c r="AP254" s="64">
        <f t="shared" si="2236"/>
        <v>21.431000000000029</v>
      </c>
      <c r="AQ254" s="64">
        <f t="shared" si="2236"/>
        <v>28.10400000000001</v>
      </c>
      <c r="AR254" s="64">
        <f t="shared" si="2236"/>
        <v>39.71</v>
      </c>
      <c r="AS254" s="64">
        <f t="shared" si="2236"/>
        <v>24.16699999999998</v>
      </c>
      <c r="AT254" s="64">
        <f t="shared" si="2236"/>
        <v>25.737000000000023</v>
      </c>
      <c r="AU254" s="64">
        <f t="shared" si="2236"/>
        <v>39.637999999999991</v>
      </c>
      <c r="AV254" s="64">
        <f t="shared" si="2236"/>
        <v>42.14700000000007</v>
      </c>
      <c r="AW254" s="64">
        <f t="shared" si="2236"/>
        <v>46.880999999999979</v>
      </c>
      <c r="AX254" s="64">
        <f t="shared" si="2236"/>
        <v>50.536000000000065</v>
      </c>
      <c r="AY254" s="64">
        <f t="shared" si="2236"/>
        <v>49.855000000000025</v>
      </c>
      <c r="AZ254" s="64">
        <f t="shared" si="2236"/>
        <v>45.200000000000031</v>
      </c>
      <c r="BA254" s="64">
        <f t="shared" si="2236"/>
        <v>35.762000000000029</v>
      </c>
      <c r="BB254" s="64">
        <f t="shared" si="2236"/>
        <v>42.149000000000029</v>
      </c>
      <c r="BC254" s="64">
        <f t="shared" si="2236"/>
        <v>20.368000000000016</v>
      </c>
      <c r="BD254" s="64">
        <f t="shared" si="2236"/>
        <v>51.721999999999973</v>
      </c>
      <c r="BE254" s="64">
        <f t="shared" si="2236"/>
        <v>33.850000000000037</v>
      </c>
      <c r="BF254" s="64">
        <f t="shared" si="2236"/>
        <v>22.057000000000016</v>
      </c>
      <c r="BG254" s="64">
        <f t="shared" si="2236"/>
        <v>45.754999999999967</v>
      </c>
      <c r="BH254" s="64">
        <f t="shared" si="2236"/>
        <v>51.47</v>
      </c>
      <c r="BI254" s="64">
        <f t="shared" si="2236"/>
        <v>49.951000000000036</v>
      </c>
      <c r="BJ254" s="64">
        <f t="shared" si="2236"/>
        <v>46.79000000000002</v>
      </c>
      <c r="BK254" s="64">
        <f t="shared" si="2236"/>
        <v>62.111999999999966</v>
      </c>
      <c r="BL254" s="64">
        <f t="shared" si="2236"/>
        <v>93.761999999999944</v>
      </c>
      <c r="BM254" s="64">
        <f t="shared" si="2236"/>
        <v>66.446000000000026</v>
      </c>
      <c r="BN254" s="64">
        <f t="shared" si="2236"/>
        <v>60.07199999999996</v>
      </c>
      <c r="BO254" s="64">
        <f t="shared" ref="BO254:CT254" si="2237">BO61-BO260</f>
        <v>119.50699999999995</v>
      </c>
      <c r="BP254" s="64">
        <f t="shared" si="2237"/>
        <v>73.924000000000035</v>
      </c>
      <c r="BQ254" s="64">
        <f t="shared" si="2237"/>
        <v>154.28400000000002</v>
      </c>
      <c r="BR254" s="64">
        <f t="shared" si="2237"/>
        <v>100.81000000000004</v>
      </c>
      <c r="BS254" s="64">
        <f t="shared" si="2237"/>
        <v>119.06000000000006</v>
      </c>
      <c r="BT254" s="64">
        <f t="shared" si="2237"/>
        <v>97.889999999999958</v>
      </c>
      <c r="BU254" s="64">
        <f t="shared" si="2237"/>
        <v>84.1099999999999</v>
      </c>
      <c r="BV254" s="64">
        <f t="shared" si="2237"/>
        <v>84.970000000000013</v>
      </c>
      <c r="BW254" s="64">
        <f t="shared" si="2237"/>
        <v>105.19999999999999</v>
      </c>
      <c r="BX254" s="64">
        <f t="shared" si="2237"/>
        <v>111.08000000000004</v>
      </c>
      <c r="BY254" s="64">
        <f t="shared" si="2237"/>
        <v>106.10000000000008</v>
      </c>
      <c r="BZ254" s="64">
        <f t="shared" si="2237"/>
        <v>87.630000000000038</v>
      </c>
      <c r="CA254" s="64">
        <f t="shared" si="2237"/>
        <v>142.32000000000002</v>
      </c>
      <c r="CB254" s="64">
        <f t="shared" si="2237"/>
        <v>150.58999999999995</v>
      </c>
      <c r="CC254" s="64">
        <f t="shared" si="2237"/>
        <v>133.57</v>
      </c>
      <c r="CD254" s="64">
        <f t="shared" si="2237"/>
        <v>126.16000000000005</v>
      </c>
      <c r="CE254" s="64">
        <f t="shared" si="2237"/>
        <v>176.83</v>
      </c>
      <c r="CF254" s="64">
        <f t="shared" si="2237"/>
        <v>174.56999999999991</v>
      </c>
      <c r="CG254" s="64">
        <f t="shared" si="2237"/>
        <v>162.48999999999998</v>
      </c>
      <c r="CH254" s="64">
        <f t="shared" si="2237"/>
        <v>145.68999999999994</v>
      </c>
      <c r="CI254" s="64">
        <f t="shared" si="2237"/>
        <v>202.38000000000011</v>
      </c>
      <c r="CJ254" s="64">
        <f t="shared" si="2237"/>
        <v>207.82000000000005</v>
      </c>
      <c r="CK254" s="30">
        <f t="shared" si="2237"/>
        <v>197.89000000000004</v>
      </c>
      <c r="CL254" s="64">
        <f t="shared" ref="CL254" si="2238">CL61-CL260</f>
        <v>128.55000000000001</v>
      </c>
      <c r="CM254" s="30">
        <f t="shared" si="2237"/>
        <v>213.93346222963768</v>
      </c>
      <c r="CN254" s="30">
        <f t="shared" si="2237"/>
        <v>208.56108004826689</v>
      </c>
      <c r="CO254" s="30">
        <f t="shared" si="2237"/>
        <v>202.66519641207918</v>
      </c>
      <c r="CP254" s="30">
        <f t="shared" si="2237"/>
        <v>193.18393928346643</v>
      </c>
      <c r="CQ254" s="30">
        <f t="shared" si="2237"/>
        <v>243.25996552911857</v>
      </c>
      <c r="CR254" s="30">
        <f t="shared" si="2237"/>
        <v>241.16810323794419</v>
      </c>
      <c r="CS254" s="30">
        <f t="shared" si="2237"/>
        <v>239.35487982228173</v>
      </c>
      <c r="CT254" s="30">
        <f t="shared" si="2237"/>
        <v>233.54695800329523</v>
      </c>
      <c r="CU254" s="30">
        <f t="shared" ref="CU254:DB254" si="2239">CU61-CU260</f>
        <v>285.29148124241618</v>
      </c>
      <c r="CV254" s="30">
        <f t="shared" si="2239"/>
        <v>284.49404423758153</v>
      </c>
      <c r="CW254" s="30">
        <f t="shared" si="2239"/>
        <v>283.81329595579649</v>
      </c>
      <c r="CX254" s="30">
        <f t="shared" si="2239"/>
        <v>277.63789442347667</v>
      </c>
      <c r="CY254" s="30">
        <f t="shared" si="2239"/>
        <v>334.48740534941305</v>
      </c>
      <c r="CZ254" s="30">
        <f t="shared" si="2239"/>
        <v>334.3141484453073</v>
      </c>
      <c r="DA254" s="30">
        <f t="shared" si="2239"/>
        <v>333.71779976405094</v>
      </c>
      <c r="DB254" s="30">
        <f t="shared" si="2239"/>
        <v>326.57424632544615</v>
      </c>
      <c r="DE254" s="139"/>
      <c r="DF254" s="64">
        <v>736.65290000000061</v>
      </c>
    </row>
    <row r="255" spans="1:110" s="64" customFormat="1" hidden="1" outlineLevel="1" x14ac:dyDescent="0.2">
      <c r="AB255" s="30"/>
      <c r="AC255" s="30"/>
      <c r="AD255" s="30"/>
      <c r="AE255" s="30"/>
      <c r="CK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9"/>
    </row>
    <row r="256" spans="1:110" s="64" customFormat="1" hidden="1" outlineLevel="1" x14ac:dyDescent="0.2">
      <c r="A256" s="65" t="s">
        <v>352</v>
      </c>
      <c r="AB256" s="30"/>
      <c r="AC256" s="30"/>
      <c r="AD256" s="30"/>
      <c r="AE256" s="30"/>
      <c r="CK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9"/>
    </row>
    <row r="257" spans="1:110" s="64" customFormat="1" hidden="1" outlineLevel="1" x14ac:dyDescent="0.2">
      <c r="A257" s="64" t="s">
        <v>478</v>
      </c>
      <c r="AB257" s="30"/>
      <c r="AC257" s="30"/>
      <c r="AD257" s="30"/>
      <c r="AE257" s="30"/>
      <c r="CK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E257" s="139"/>
    </row>
    <row r="258" spans="1:110" s="64" customFormat="1" hidden="1" outlineLevel="1" x14ac:dyDescent="0.2">
      <c r="A258" s="64" t="s">
        <v>479</v>
      </c>
      <c r="AB258" s="30"/>
      <c r="AC258" s="30"/>
      <c r="AD258" s="30"/>
      <c r="AE258" s="30"/>
      <c r="CK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E258" s="139"/>
    </row>
    <row r="259" spans="1:110" s="89" customFormat="1" hidden="1" outlineLevel="1" x14ac:dyDescent="0.2">
      <c r="A259" s="86" t="s">
        <v>480</v>
      </c>
      <c r="B259" s="86" t="e">
        <f>+B258/B257</f>
        <v>#DIV/0!</v>
      </c>
      <c r="C259" s="86" t="e">
        <f t="shared" ref="C259:X259" si="2240">+C258/C257</f>
        <v>#DIV/0!</v>
      </c>
      <c r="D259" s="86" t="e">
        <f t="shared" si="2240"/>
        <v>#DIV/0!</v>
      </c>
      <c r="E259" s="86" t="e">
        <f t="shared" si="2240"/>
        <v>#DIV/0!</v>
      </c>
      <c r="F259" s="86" t="e">
        <f t="shared" si="2240"/>
        <v>#DIV/0!</v>
      </c>
      <c r="G259" s="86" t="e">
        <f t="shared" si="2240"/>
        <v>#DIV/0!</v>
      </c>
      <c r="H259" s="86" t="e">
        <f t="shared" si="2240"/>
        <v>#DIV/0!</v>
      </c>
      <c r="I259" s="86" t="e">
        <f t="shared" si="2240"/>
        <v>#DIV/0!</v>
      </c>
      <c r="J259" s="86" t="e">
        <f t="shared" si="2240"/>
        <v>#DIV/0!</v>
      </c>
      <c r="K259" s="86" t="e">
        <f t="shared" si="2240"/>
        <v>#DIV/0!</v>
      </c>
      <c r="L259" s="86" t="e">
        <f t="shared" si="2240"/>
        <v>#DIV/0!</v>
      </c>
      <c r="M259" s="86" t="e">
        <f t="shared" si="2240"/>
        <v>#DIV/0!</v>
      </c>
      <c r="N259" s="86" t="e">
        <f t="shared" si="2240"/>
        <v>#DIV/0!</v>
      </c>
      <c r="O259" s="86" t="e">
        <f t="shared" si="2240"/>
        <v>#DIV/0!</v>
      </c>
      <c r="P259" s="86" t="e">
        <f t="shared" si="2240"/>
        <v>#DIV/0!</v>
      </c>
      <c r="Q259" s="86" t="e">
        <f t="shared" si="2240"/>
        <v>#DIV/0!</v>
      </c>
      <c r="R259" s="86" t="e">
        <f t="shared" si="2240"/>
        <v>#DIV/0!</v>
      </c>
      <c r="S259" s="86" t="e">
        <f t="shared" si="2240"/>
        <v>#DIV/0!</v>
      </c>
      <c r="T259" s="86" t="e">
        <f t="shared" si="2240"/>
        <v>#DIV/0!</v>
      </c>
      <c r="U259" s="86" t="e">
        <f t="shared" si="2240"/>
        <v>#DIV/0!</v>
      </c>
      <c r="V259" s="86" t="e">
        <f t="shared" si="2240"/>
        <v>#DIV/0!</v>
      </c>
      <c r="W259" s="86" t="e">
        <f t="shared" si="2240"/>
        <v>#DIV/0!</v>
      </c>
      <c r="X259" s="86" t="e">
        <f t="shared" si="2240"/>
        <v>#DIV/0!</v>
      </c>
      <c r="Y259" s="86" t="e">
        <f t="shared" ref="Y259:Z259" si="2241">+Y258/Y257</f>
        <v>#DIV/0!</v>
      </c>
      <c r="Z259" s="86" t="e">
        <f t="shared" si="2241"/>
        <v>#DIV/0!</v>
      </c>
      <c r="AA259" s="86" t="e">
        <f t="shared" ref="AA259" si="2242">+AA258/AA257</f>
        <v>#DIV/0!</v>
      </c>
      <c r="AB259" s="87"/>
      <c r="AC259" s="87"/>
      <c r="AD259" s="87"/>
      <c r="AE259" s="87"/>
      <c r="AF259" s="86"/>
      <c r="AG259" s="86"/>
      <c r="AH259" s="86"/>
      <c r="AI259" s="86" t="e">
        <f t="shared" ref="AI259" si="2243">+AI258/AI257</f>
        <v>#DIV/0!</v>
      </c>
      <c r="AJ259" s="86" t="e">
        <f t="shared" ref="AJ259" si="2244">+AJ258/AJ257</f>
        <v>#DIV/0!</v>
      </c>
      <c r="AK259" s="86" t="e">
        <f t="shared" ref="AK259" si="2245">+AK258/AK257</f>
        <v>#DIV/0!</v>
      </c>
      <c r="AL259" s="86" t="e">
        <f t="shared" ref="AL259" si="2246">+AL258/AL257</f>
        <v>#DIV/0!</v>
      </c>
      <c r="AM259" s="86" t="e">
        <f t="shared" ref="AM259" si="2247">+AM258/AM257</f>
        <v>#DIV/0!</v>
      </c>
      <c r="AN259" s="86" t="e">
        <f t="shared" ref="AN259" si="2248">+AN258/AN257</f>
        <v>#DIV/0!</v>
      </c>
      <c r="AO259" s="86" t="e">
        <f t="shared" ref="AO259" si="2249">+AO258/AO257</f>
        <v>#DIV/0!</v>
      </c>
      <c r="AP259" s="86" t="e">
        <f t="shared" ref="AP259" si="2250">+AP258/AP257</f>
        <v>#DIV/0!</v>
      </c>
      <c r="AQ259" s="86" t="e">
        <f t="shared" ref="AQ259" si="2251">+AQ258/AQ257</f>
        <v>#DIV/0!</v>
      </c>
      <c r="AR259" s="86" t="e">
        <f t="shared" ref="AR259" si="2252">+AR258/AR257</f>
        <v>#DIV/0!</v>
      </c>
      <c r="AS259" s="86" t="e">
        <f t="shared" ref="AS259" si="2253">+AS258/AS257</f>
        <v>#DIV/0!</v>
      </c>
      <c r="AT259" s="86" t="e">
        <f t="shared" ref="AT259" si="2254">+AT258/AT257</f>
        <v>#DIV/0!</v>
      </c>
      <c r="AU259" s="86" t="e">
        <f t="shared" ref="AU259" si="2255">+AU258/AU257</f>
        <v>#DIV/0!</v>
      </c>
      <c r="AV259" s="86" t="e">
        <f t="shared" ref="AV259" si="2256">+AV258/AV257</f>
        <v>#DIV/0!</v>
      </c>
      <c r="AW259" s="86" t="e">
        <f t="shared" ref="AW259" si="2257">+AW258/AW257</f>
        <v>#DIV/0!</v>
      </c>
      <c r="AX259" s="86" t="e">
        <f t="shared" ref="AX259" si="2258">+AX258/AX257</f>
        <v>#DIV/0!</v>
      </c>
      <c r="AY259" s="86" t="e">
        <f t="shared" ref="AY259" si="2259">+AY258/AY257</f>
        <v>#DIV/0!</v>
      </c>
      <c r="AZ259" s="86" t="e">
        <f t="shared" ref="AZ259" si="2260">+AZ258/AZ257</f>
        <v>#DIV/0!</v>
      </c>
      <c r="BA259" s="86" t="e">
        <f t="shared" ref="BA259" si="2261">+BA258/BA257</f>
        <v>#DIV/0!</v>
      </c>
      <c r="BB259" s="86" t="e">
        <f t="shared" ref="BB259" si="2262">+BB258/BB257</f>
        <v>#DIV/0!</v>
      </c>
      <c r="BC259" s="86" t="e">
        <f t="shared" ref="BC259" si="2263">+BC258/BC257</f>
        <v>#DIV/0!</v>
      </c>
      <c r="BD259" s="86" t="e">
        <f t="shared" ref="BD259" si="2264">+BD258/BD257</f>
        <v>#DIV/0!</v>
      </c>
      <c r="BE259" s="86" t="e">
        <f t="shared" ref="BE259" si="2265">+BE258/BE257</f>
        <v>#DIV/0!</v>
      </c>
      <c r="BF259" s="86" t="e">
        <f t="shared" ref="BF259" si="2266">+BF258/BF257</f>
        <v>#DIV/0!</v>
      </c>
      <c r="BG259" s="86" t="e">
        <f t="shared" ref="BG259" si="2267">+BG258/BG257</f>
        <v>#DIV/0!</v>
      </c>
      <c r="BH259" s="86" t="e">
        <f t="shared" ref="BH259" si="2268">+BH258/BH257</f>
        <v>#DIV/0!</v>
      </c>
      <c r="BI259" s="86" t="e">
        <f t="shared" ref="BI259" si="2269">+BI258/BI257</f>
        <v>#DIV/0!</v>
      </c>
      <c r="BJ259" s="86" t="e">
        <f t="shared" ref="BJ259" si="2270">+BJ258/BJ257</f>
        <v>#DIV/0!</v>
      </c>
      <c r="BK259" s="86" t="e">
        <f t="shared" ref="BK259" si="2271">+BK258/BK257</f>
        <v>#DIV/0!</v>
      </c>
      <c r="BL259" s="86" t="e">
        <f t="shared" ref="BL259" si="2272">+BL258/BL257</f>
        <v>#DIV/0!</v>
      </c>
      <c r="BM259" s="86" t="e">
        <f t="shared" ref="BM259" si="2273">+BM258/BM257</f>
        <v>#DIV/0!</v>
      </c>
      <c r="BN259" s="86" t="e">
        <f t="shared" ref="BN259" si="2274">+BN258/BN257</f>
        <v>#DIV/0!</v>
      </c>
      <c r="BO259" s="86" t="e">
        <f t="shared" ref="BO259" si="2275">+BO258/BO257</f>
        <v>#DIV/0!</v>
      </c>
      <c r="BP259" s="86" t="e">
        <f t="shared" ref="BP259" si="2276">+BP258/BP257</f>
        <v>#DIV/0!</v>
      </c>
      <c r="BQ259" s="86" t="e">
        <f t="shared" ref="BQ259" si="2277">+BQ258/BQ257</f>
        <v>#DIV/0!</v>
      </c>
      <c r="BR259" s="86" t="e">
        <f t="shared" ref="BR259" si="2278">+BR258/BR257</f>
        <v>#DIV/0!</v>
      </c>
      <c r="BS259" s="86" t="e">
        <f t="shared" ref="BS259" si="2279">+BS258/BS257</f>
        <v>#DIV/0!</v>
      </c>
      <c r="BT259" s="86" t="e">
        <f t="shared" ref="BT259" si="2280">+BT258/BT257</f>
        <v>#DIV/0!</v>
      </c>
      <c r="BU259" s="86" t="e">
        <f t="shared" ref="BU259" si="2281">+BU258/BU257</f>
        <v>#DIV/0!</v>
      </c>
      <c r="BV259" s="86" t="e">
        <f t="shared" ref="BV259" si="2282">+BV258/BV257</f>
        <v>#DIV/0!</v>
      </c>
      <c r="BW259" s="86" t="e">
        <f t="shared" ref="BW259" si="2283">+BW258/BW257</f>
        <v>#DIV/0!</v>
      </c>
      <c r="BX259" s="86" t="e">
        <f t="shared" ref="BX259" si="2284">+BX258/BX257</f>
        <v>#DIV/0!</v>
      </c>
      <c r="BY259" s="86" t="e">
        <f t="shared" ref="BY259" si="2285">+BY258/BY257</f>
        <v>#DIV/0!</v>
      </c>
      <c r="BZ259" s="86" t="e">
        <f t="shared" ref="BZ259" si="2286">+BZ258/BZ257</f>
        <v>#DIV/0!</v>
      </c>
      <c r="CA259" s="86" t="e">
        <f t="shared" ref="CA259" si="2287">+CA258/CA257</f>
        <v>#DIV/0!</v>
      </c>
      <c r="CB259" s="86" t="e">
        <f t="shared" ref="CB259:CC259" si="2288">+CB258/CB257</f>
        <v>#DIV/0!</v>
      </c>
      <c r="CC259" s="86" t="e">
        <f t="shared" si="2288"/>
        <v>#DIV/0!</v>
      </c>
      <c r="CD259" s="86" t="e">
        <f t="shared" ref="CD259" si="2289">+CD258/CD257</f>
        <v>#DIV/0!</v>
      </c>
      <c r="CE259" s="86" t="e">
        <f t="shared" ref="CE259:CF259" si="2290">+CE258/CE257</f>
        <v>#DIV/0!</v>
      </c>
      <c r="CF259" s="86" t="e">
        <f t="shared" si="2290"/>
        <v>#DIV/0!</v>
      </c>
      <c r="CG259" s="86" t="e">
        <f t="shared" ref="CG259:CH259" si="2291">+CG258/CG257</f>
        <v>#DIV/0!</v>
      </c>
      <c r="CH259" s="86" t="e">
        <f t="shared" si="2291"/>
        <v>#DIV/0!</v>
      </c>
      <c r="CI259" s="86" t="e">
        <f t="shared" ref="CI259:CJ259" si="2292">+CI258/CI257</f>
        <v>#DIV/0!</v>
      </c>
      <c r="CJ259" s="86" t="e">
        <f t="shared" si="2292"/>
        <v>#DIV/0!</v>
      </c>
      <c r="CK259" s="47" t="e">
        <f t="shared" ref="CK259:DB259" si="2293">+CK258/CK257</f>
        <v>#DIV/0!</v>
      </c>
      <c r="CL259" s="86" t="e">
        <f t="shared" si="2293"/>
        <v>#DIV/0!</v>
      </c>
      <c r="CM259" s="47" t="e">
        <f t="shared" si="2293"/>
        <v>#DIV/0!</v>
      </c>
      <c r="CN259" s="47" t="e">
        <f t="shared" si="2293"/>
        <v>#DIV/0!</v>
      </c>
      <c r="CO259" s="47" t="e">
        <f t="shared" si="2293"/>
        <v>#DIV/0!</v>
      </c>
      <c r="CP259" s="47" t="e">
        <f t="shared" si="2293"/>
        <v>#DIV/0!</v>
      </c>
      <c r="CQ259" s="47" t="e">
        <f t="shared" si="2293"/>
        <v>#DIV/0!</v>
      </c>
      <c r="CR259" s="47" t="e">
        <f t="shared" si="2293"/>
        <v>#DIV/0!</v>
      </c>
      <c r="CS259" s="47" t="e">
        <f t="shared" si="2293"/>
        <v>#DIV/0!</v>
      </c>
      <c r="CT259" s="47" t="e">
        <f t="shared" si="2293"/>
        <v>#DIV/0!</v>
      </c>
      <c r="CU259" s="47" t="e">
        <f t="shared" si="2293"/>
        <v>#DIV/0!</v>
      </c>
      <c r="CV259" s="47" t="e">
        <f t="shared" si="2293"/>
        <v>#DIV/0!</v>
      </c>
      <c r="CW259" s="47" t="e">
        <f t="shared" si="2293"/>
        <v>#DIV/0!</v>
      </c>
      <c r="CX259" s="47" t="e">
        <f t="shared" si="2293"/>
        <v>#DIV/0!</v>
      </c>
      <c r="CY259" s="47" t="e">
        <f t="shared" si="2293"/>
        <v>#DIV/0!</v>
      </c>
      <c r="CZ259" s="47" t="e">
        <f t="shared" si="2293"/>
        <v>#DIV/0!</v>
      </c>
      <c r="DA259" s="47" t="e">
        <f t="shared" si="2293"/>
        <v>#DIV/0!</v>
      </c>
      <c r="DB259" s="47" t="e">
        <f t="shared" si="2293"/>
        <v>#DIV/0!</v>
      </c>
      <c r="DE259" s="130"/>
    </row>
    <row r="260" spans="1:110" s="64" customFormat="1" hidden="1" outlineLevel="1" x14ac:dyDescent="0.2">
      <c r="A260" s="64" t="s">
        <v>481</v>
      </c>
      <c r="AB260" s="30"/>
      <c r="AC260" s="30"/>
      <c r="AD260" s="30"/>
      <c r="AE260" s="30"/>
      <c r="CK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E260" s="139"/>
    </row>
    <row r="261" spans="1:110" s="62" customFormat="1" hidden="1" outlineLevel="1" x14ac:dyDescent="0.2">
      <c r="AB261" s="63"/>
      <c r="AC261" s="63"/>
      <c r="AD261" s="63"/>
      <c r="AE261" s="63"/>
      <c r="CK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E261" s="139"/>
    </row>
    <row r="262" spans="1:110" s="11" customFormat="1" collapsed="1" x14ac:dyDescent="0.2">
      <c r="AB262" s="63"/>
      <c r="AC262" s="63"/>
      <c r="AD262" s="63"/>
      <c r="AE262" s="63"/>
      <c r="CK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E262" s="139"/>
    </row>
    <row r="263" spans="1:110" s="62" customFormat="1" x14ac:dyDescent="0.2">
      <c r="A263" s="154" t="s">
        <v>497</v>
      </c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  <c r="AB263" s="63"/>
      <c r="AC263" s="63"/>
      <c r="AD263" s="63"/>
      <c r="AE263" s="63"/>
      <c r="AL263" s="180"/>
      <c r="CF263" s="180"/>
      <c r="CG263" s="180"/>
      <c r="CH263" s="180"/>
      <c r="CI263" s="180"/>
      <c r="CJ263" s="180"/>
      <c r="CK263" s="30"/>
      <c r="CL263" s="18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E263" s="139"/>
    </row>
    <row r="264" spans="1:110" s="84" customFormat="1" x14ac:dyDescent="0.2">
      <c r="A264" s="84" t="s">
        <v>512</v>
      </c>
      <c r="B264" s="84">
        <f>B28/B185</f>
        <v>1.381285894057142</v>
      </c>
      <c r="C264" s="84">
        <f>C28/C185</f>
        <v>1.3324850541477913</v>
      </c>
      <c r="D264" s="84">
        <f>D28/D185</f>
        <v>1.212144545912565</v>
      </c>
      <c r="E264" s="84">
        <f t="shared" ref="E264:Y264" si="2294">E30/(E181+E168+E158)</f>
        <v>0.85528858916357442</v>
      </c>
      <c r="F264" s="84">
        <f t="shared" si="2294"/>
        <v>0.87061749749263462</v>
      </c>
      <c r="G264" s="84">
        <f t="shared" si="2294"/>
        <v>0.91847605284189937</v>
      </c>
      <c r="H264" s="84">
        <f t="shared" si="2294"/>
        <v>0.73516453991967079</v>
      </c>
      <c r="I264" s="84">
        <f t="shared" si="2294"/>
        <v>0.76951013247629652</v>
      </c>
      <c r="J264" s="84">
        <f t="shared" si="2294"/>
        <v>0.9705824988444498</v>
      </c>
      <c r="K264" s="84">
        <f t="shared" si="2294"/>
        <v>0.93094364319488365</v>
      </c>
      <c r="L264" s="84">
        <f t="shared" si="2294"/>
        <v>0.89486823557587214</v>
      </c>
      <c r="M264" s="84">
        <f t="shared" si="2294"/>
        <v>0.67113033213514406</v>
      </c>
      <c r="N264" s="84">
        <f t="shared" si="2294"/>
        <v>0.66768500845932899</v>
      </c>
      <c r="O264" s="84">
        <f t="shared" si="2294"/>
        <v>0.75791362512322369</v>
      </c>
      <c r="P264" s="84">
        <f t="shared" si="2294"/>
        <v>0.87853345624350332</v>
      </c>
      <c r="Q264" s="84">
        <f t="shared" si="2294"/>
        <v>0.69099808906894589</v>
      </c>
      <c r="R264" s="84">
        <f t="shared" si="2294"/>
        <v>0.7199977184306654</v>
      </c>
      <c r="S264" s="84">
        <f t="shared" si="2294"/>
        <v>0.64955200428205018</v>
      </c>
      <c r="T264" s="84">
        <f t="shared" si="2294"/>
        <v>0.73573015401749442</v>
      </c>
      <c r="U264" s="84">
        <f t="shared" si="2294"/>
        <v>0.91130695305482834</v>
      </c>
      <c r="V264" s="84">
        <f t="shared" si="2294"/>
        <v>0.79799867555102355</v>
      </c>
      <c r="W264" s="84">
        <f t="shared" si="2294"/>
        <v>0.79317167498426167</v>
      </c>
      <c r="X264" s="84">
        <f t="shared" si="2294"/>
        <v>0.77107025934696727</v>
      </c>
      <c r="Y264" s="84">
        <f t="shared" si="2294"/>
        <v>0.74874891494620199</v>
      </c>
      <c r="Z264" s="84">
        <f>Z30/(Z181+Z168+Z158)</f>
        <v>0.78273727257100811</v>
      </c>
      <c r="AA264" s="84">
        <f>AA30/(AA181+AA168+AA158)</f>
        <v>0.70907500678723789</v>
      </c>
      <c r="AB264" s="50">
        <f t="shared" ref="AB264:AE264" si="2295">AB30/(AB181+AB168+AB158)</f>
        <v>0.8000383947921651</v>
      </c>
      <c r="AC264" s="50">
        <f t="shared" si="2295"/>
        <v>0.74757971386120303</v>
      </c>
      <c r="AD264" s="50">
        <f t="shared" si="2295"/>
        <v>0.70189735354762151</v>
      </c>
      <c r="AE264" s="50">
        <f t="shared" si="2295"/>
        <v>0.65958058125718788</v>
      </c>
      <c r="AL264" s="84">
        <f>SUM(AI30:AL30)/(AL181+AL168+AL158)</f>
        <v>0.61648478886963387</v>
      </c>
      <c r="AM264" s="84">
        <f t="shared" ref="AM264:CL264" si="2296">SUM(AJ30:AM30)/(AM181+AM168+AM158)</f>
        <v>0.64393676336409988</v>
      </c>
      <c r="AN264" s="84">
        <f t="shared" si="2296"/>
        <v>0.69055484267380818</v>
      </c>
      <c r="AO264" s="84">
        <f t="shared" si="2296"/>
        <v>0.72548746876450865</v>
      </c>
      <c r="AP264" s="84">
        <f t="shared" si="2296"/>
        <v>0.70590316407814513</v>
      </c>
      <c r="AQ264" s="84">
        <f t="shared" si="2296"/>
        <v>0.70488811147237673</v>
      </c>
      <c r="AR264" s="84">
        <f t="shared" si="2296"/>
        <v>0.74936875544016002</v>
      </c>
      <c r="AS264" s="84">
        <f t="shared" si="2296"/>
        <v>0.75641716523609992</v>
      </c>
      <c r="AT264" s="84">
        <f t="shared" si="2296"/>
        <v>0.81228549447410736</v>
      </c>
      <c r="AU264" s="84">
        <f t="shared" si="2296"/>
        <v>0.79845916478470091</v>
      </c>
      <c r="AV264" s="84">
        <f t="shared" si="2296"/>
        <v>0.89020179797130849</v>
      </c>
      <c r="AW264" s="84">
        <f t="shared" si="2296"/>
        <v>0.87296731966064933</v>
      </c>
      <c r="AX264" s="84">
        <f t="shared" si="2296"/>
        <v>0.80926944791999111</v>
      </c>
      <c r="AY264" s="84">
        <f t="shared" si="2296"/>
        <v>0.80118615903290569</v>
      </c>
      <c r="AZ264" s="84">
        <f t="shared" si="2296"/>
        <v>0.88716742988361252</v>
      </c>
      <c r="BA264" s="84">
        <f t="shared" si="2296"/>
        <v>0.86667515868497269</v>
      </c>
      <c r="BB264" s="84">
        <f t="shared" si="2296"/>
        <v>0.80536010789024703</v>
      </c>
      <c r="BC264" s="84">
        <f t="shared" si="2296"/>
        <v>0.77803899820651279</v>
      </c>
      <c r="BD264" s="84">
        <f t="shared" si="2296"/>
        <v>0.79377651995425269</v>
      </c>
      <c r="BE264" s="84">
        <f t="shared" si="2296"/>
        <v>0.79852697942938466</v>
      </c>
      <c r="BF264" s="84">
        <f t="shared" si="2296"/>
        <v>0.73135056724033987</v>
      </c>
      <c r="BG264" s="84">
        <f t="shared" si="2296"/>
        <v>0.76891258499022952</v>
      </c>
      <c r="BH264" s="84">
        <f t="shared" si="2296"/>
        <v>0.89530960951494243</v>
      </c>
      <c r="BI264" s="84">
        <f t="shared" si="2296"/>
        <v>0.92089769689220036</v>
      </c>
      <c r="BJ264" s="84">
        <f t="shared" si="2296"/>
        <v>0.96882622387126038</v>
      </c>
      <c r="BK264" s="84">
        <f t="shared" si="2296"/>
        <v>0.95281999833659203</v>
      </c>
      <c r="BL264" s="84">
        <f t="shared" si="2296"/>
        <v>0.90203269618851578</v>
      </c>
      <c r="BM264" s="84">
        <f t="shared" si="2296"/>
        <v>0.8982969456981158</v>
      </c>
      <c r="BN264" s="84">
        <f t="shared" si="2296"/>
        <v>1.0173106895901416</v>
      </c>
      <c r="BO264" s="84">
        <f t="shared" si="2296"/>
        <v>0.97736979303545546</v>
      </c>
      <c r="BP264" s="84">
        <f t="shared" si="2296"/>
        <v>0.90070554982216688</v>
      </c>
      <c r="BQ264" s="84">
        <f t="shared" si="2296"/>
        <v>0.87824737443965628</v>
      </c>
      <c r="BR264" s="84">
        <f t="shared" si="2296"/>
        <v>0.92077494868732868</v>
      </c>
      <c r="BS264" s="84">
        <f t="shared" si="2296"/>
        <v>0.89920633531837069</v>
      </c>
      <c r="BT264" s="84">
        <f t="shared" si="2296"/>
        <v>0.94947727414016325</v>
      </c>
      <c r="BU264" s="84">
        <f t="shared" si="2296"/>
        <v>0.93758057206233969</v>
      </c>
      <c r="BV264" s="84">
        <f t="shared" si="2296"/>
        <v>0.936632860040568</v>
      </c>
      <c r="BW264" s="84">
        <f t="shared" si="2296"/>
        <v>0.9462700847878075</v>
      </c>
      <c r="BX264" s="84">
        <f t="shared" si="2296"/>
        <v>0.88504567285055091</v>
      </c>
      <c r="BY264" s="84">
        <f t="shared" si="2296"/>
        <v>0.91632569724991997</v>
      </c>
      <c r="BZ264" s="84">
        <f t="shared" si="2296"/>
        <v>0.89124344149559376</v>
      </c>
      <c r="CA264" s="84">
        <f t="shared" si="2296"/>
        <v>0.87704042542715899</v>
      </c>
      <c r="CB264" s="84">
        <f t="shared" si="2296"/>
        <v>0.88196441944096771</v>
      </c>
      <c r="CC264" s="84">
        <f t="shared" si="2296"/>
        <v>0.86811528087306589</v>
      </c>
      <c r="CD264" s="84">
        <f t="shared" si="2296"/>
        <v>0.87883588007688151</v>
      </c>
      <c r="CE264" s="84">
        <f t="shared" si="2296"/>
        <v>0.85525495784424066</v>
      </c>
      <c r="CF264" s="84">
        <f t="shared" si="2296"/>
        <v>0.92823038309643557</v>
      </c>
      <c r="CG264" s="84">
        <f t="shared" si="2296"/>
        <v>0.92339636020243721</v>
      </c>
      <c r="CH264" s="84">
        <f t="shared" si="2296"/>
        <v>0.7827375522635478</v>
      </c>
      <c r="CI264" s="84">
        <f t="shared" si="2296"/>
        <v>0.73891488945827455</v>
      </c>
      <c r="CJ264" s="84">
        <f t="shared" si="2296"/>
        <v>0.87519918550507025</v>
      </c>
      <c r="CK264" s="50">
        <f t="shared" ref="CK264" si="2297">SUM(CH30:CK30)/(CK181+CK168+CK158)</f>
        <v>0.86279015895826472</v>
      </c>
      <c r="CL264" s="84">
        <f t="shared" si="2296"/>
        <v>0.84035658207972463</v>
      </c>
      <c r="CM264" s="50">
        <f t="shared" ref="CM264:DB264" si="2298">SUM(CJ30:CM30)/(CM181+CM168+CM158)</f>
        <v>0.79550168250278319</v>
      </c>
      <c r="CN264" s="50">
        <f t="shared" si="2298"/>
        <v>0.7878453865695777</v>
      </c>
      <c r="CO264" s="50">
        <f t="shared" si="2298"/>
        <v>0.78243096372824716</v>
      </c>
      <c r="CP264" s="50">
        <f t="shared" si="2298"/>
        <v>0.8000383947921651</v>
      </c>
      <c r="CQ264" s="50">
        <f t="shared" si="2298"/>
        <v>0.77062641249338115</v>
      </c>
      <c r="CR264" s="50">
        <f t="shared" si="2298"/>
        <v>0.7609138662917404</v>
      </c>
      <c r="CS264" s="50">
        <f t="shared" si="2298"/>
        <v>0.75300801726342115</v>
      </c>
      <c r="CT264" s="50">
        <f t="shared" si="2298"/>
        <v>0.74757971386120303</v>
      </c>
      <c r="CU264" s="50">
        <f t="shared" si="2298"/>
        <v>0.72181808283960947</v>
      </c>
      <c r="CV264" s="50">
        <f t="shared" si="2298"/>
        <v>0.71352754256921669</v>
      </c>
      <c r="CW264" s="50">
        <f t="shared" si="2298"/>
        <v>0.7066912521507106</v>
      </c>
      <c r="CX264" s="50">
        <f t="shared" si="2298"/>
        <v>0.70189735354762151</v>
      </c>
      <c r="CY264" s="50">
        <f t="shared" si="2298"/>
        <v>0.67868031424021946</v>
      </c>
      <c r="CZ264" s="50">
        <f t="shared" si="2298"/>
        <v>0.67081570375260591</v>
      </c>
      <c r="DA264" s="50">
        <f t="shared" si="2298"/>
        <v>0.66428566335734884</v>
      </c>
      <c r="DB264" s="50">
        <f t="shared" si="2298"/>
        <v>0.65958058125718788</v>
      </c>
      <c r="DE264" s="138"/>
      <c r="DF264" s="84">
        <v>0.70907500678723789</v>
      </c>
    </row>
    <row r="265" spans="1:110" s="84" customFormat="1" x14ac:dyDescent="0.2">
      <c r="A265" s="84" t="s">
        <v>513</v>
      </c>
      <c r="E265" s="181">
        <f>+E62</f>
        <v>0.16769035400585225</v>
      </c>
      <c r="F265" s="181">
        <f t="shared" ref="F265:AE265" si="2299">+F62</f>
        <v>0.16409389876290023</v>
      </c>
      <c r="G265" s="181">
        <f t="shared" si="2299"/>
        <v>0.15222222414867762</v>
      </c>
      <c r="H265" s="181">
        <f t="shared" si="2299"/>
        <v>0.12003839548273908</v>
      </c>
      <c r="I265" s="181">
        <f t="shared" si="2299"/>
        <v>8.0262206450920456E-2</v>
      </c>
      <c r="J265" s="181">
        <f t="shared" si="2299"/>
        <v>3.5852766824187352E-2</v>
      </c>
      <c r="K265" s="181">
        <f t="shared" si="2299"/>
        <v>0.15689671824172768</v>
      </c>
      <c r="L265" s="181">
        <f t="shared" si="2299"/>
        <v>0.1564045642606201</v>
      </c>
      <c r="M265" s="181">
        <f t="shared" si="2299"/>
        <v>-0.10311480038370364</v>
      </c>
      <c r="N265" s="181">
        <f t="shared" si="2299"/>
        <v>9.1723532937948105E-2</v>
      </c>
      <c r="O265" s="181">
        <f t="shared" si="2299"/>
        <v>0.12329988500434547</v>
      </c>
      <c r="P265" s="181">
        <f t="shared" si="2299"/>
        <v>8.7750219626594697E-2</v>
      </c>
      <c r="Q265" s="181">
        <f t="shared" si="2299"/>
        <v>0.13091751583794889</v>
      </c>
      <c r="R265" s="181">
        <f t="shared" si="2299"/>
        <v>0.13476277792353675</v>
      </c>
      <c r="S265" s="181">
        <f t="shared" si="2299"/>
        <v>9.8120356115056456E-2</v>
      </c>
      <c r="T265" s="181">
        <f t="shared" si="2299"/>
        <v>0.11804384906430149</v>
      </c>
      <c r="U265" s="181">
        <f t="shared" si="2299"/>
        <v>0.15911842545434118</v>
      </c>
      <c r="V265" s="181">
        <f t="shared" si="2299"/>
        <v>0.21959279253608832</v>
      </c>
      <c r="W265" s="181">
        <f t="shared" si="2299"/>
        <v>0.15924095588075751</v>
      </c>
      <c r="X265" s="181">
        <f t="shared" si="2299"/>
        <v>0.13019005470070849</v>
      </c>
      <c r="Y265" s="181">
        <f t="shared" si="2299"/>
        <v>0.15861040396318921</v>
      </c>
      <c r="Z265" s="181">
        <f t="shared" si="2299"/>
        <v>0.16834704419507485</v>
      </c>
      <c r="AA265" s="181">
        <f t="shared" ref="AA265" si="2300">+AA62</f>
        <v>0.17760121957902483</v>
      </c>
      <c r="AB265" s="182">
        <f t="shared" si="2299"/>
        <v>0.17298577357758713</v>
      </c>
      <c r="AC265" s="182">
        <f t="shared" si="2299"/>
        <v>0.18431966334171249</v>
      </c>
      <c r="AD265" s="182">
        <f t="shared" si="2299"/>
        <v>0.1973092789416564</v>
      </c>
      <c r="AE265" s="182">
        <f t="shared" si="2299"/>
        <v>0.20998146737885728</v>
      </c>
      <c r="AL265" s="181">
        <f t="shared" ref="AL265:CW265" si="2301">+AL62</f>
        <v>9.6283586163865356E-2</v>
      </c>
      <c r="AM265" s="181">
        <f t="shared" si="2301"/>
        <v>0.10955729786727432</v>
      </c>
      <c r="AN265" s="181">
        <f t="shared" si="2301"/>
        <v>0.15610371976130652</v>
      </c>
      <c r="AO265" s="181">
        <f t="shared" si="2301"/>
        <v>0.24578532700779396</v>
      </c>
      <c r="AP265" s="181">
        <f t="shared" si="2301"/>
        <v>9.3749726594283544E-2</v>
      </c>
      <c r="AQ265" s="181">
        <f t="shared" si="2301"/>
        <v>0.10702086419424001</v>
      </c>
      <c r="AR265" s="181">
        <f t="shared" si="2301"/>
        <v>0.1418224415888685</v>
      </c>
      <c r="AS265" s="181">
        <f t="shared" si="2301"/>
        <v>9.2722473315479642E-2</v>
      </c>
      <c r="AT265" s="181">
        <f t="shared" si="2301"/>
        <v>0.10105106932660113</v>
      </c>
      <c r="AU265" s="181">
        <f t="shared" si="2301"/>
        <v>0.14005321159913925</v>
      </c>
      <c r="AV265" s="181">
        <f t="shared" si="2301"/>
        <v>0.14946380697050959</v>
      </c>
      <c r="AW265" s="181">
        <f t="shared" si="2301"/>
        <v>0.16842161987390197</v>
      </c>
      <c r="AX265" s="181">
        <f t="shared" si="2301"/>
        <v>0.16691824190197505</v>
      </c>
      <c r="AY265" s="181">
        <f t="shared" si="2301"/>
        <v>0.15862839179351432</v>
      </c>
      <c r="AZ265" s="181">
        <f t="shared" si="2301"/>
        <v>0.14992304834686632</v>
      </c>
      <c r="BA265" s="181">
        <f t="shared" si="2301"/>
        <v>0.12934657590729243</v>
      </c>
      <c r="BB265" s="181">
        <f t="shared" si="2301"/>
        <v>0.13762399514141496</v>
      </c>
      <c r="BC265" s="181">
        <f t="shared" si="2301"/>
        <v>7.1759242948442478E-2</v>
      </c>
      <c r="BD265" s="181">
        <f t="shared" si="2301"/>
        <v>0.14891785361584012</v>
      </c>
      <c r="BE265" s="181">
        <f t="shared" si="2301"/>
        <v>0.11107756725361137</v>
      </c>
      <c r="BF265" s="181">
        <f t="shared" si="2301"/>
        <v>6.9258400999767697E-2</v>
      </c>
      <c r="BG265" s="181">
        <f t="shared" si="2301"/>
        <v>0.11244335440238272</v>
      </c>
      <c r="BH265" s="181">
        <f t="shared" si="2301"/>
        <v>0.11822861513794869</v>
      </c>
      <c r="BI265" s="181">
        <f t="shared" si="2301"/>
        <v>0.13075288069398427</v>
      </c>
      <c r="BJ265" s="181">
        <f t="shared" si="2301"/>
        <v>0.11169330293735011</v>
      </c>
      <c r="BK265" s="181">
        <f t="shared" si="2301"/>
        <v>0.13923023469547863</v>
      </c>
      <c r="BL265" s="181">
        <f t="shared" si="2301"/>
        <v>0.20543056021138553</v>
      </c>
      <c r="BM265" s="181">
        <f t="shared" si="2301"/>
        <v>0.15501875734896139</v>
      </c>
      <c r="BN265" s="181">
        <f t="shared" si="2301"/>
        <v>0.13542876080158883</v>
      </c>
      <c r="BO265" s="181">
        <f t="shared" si="2301"/>
        <v>0.22881568492298257</v>
      </c>
      <c r="BP265" s="181">
        <f t="shared" si="2301"/>
        <v>0.16665915177967561</v>
      </c>
      <c r="BQ265" s="181">
        <f t="shared" si="2301"/>
        <v>0.28142870432693629</v>
      </c>
      <c r="BR265" s="181">
        <f t="shared" si="2301"/>
        <v>0.19076364118042224</v>
      </c>
      <c r="BS265" s="181">
        <f t="shared" si="2301"/>
        <v>0.19647188897506568</v>
      </c>
      <c r="BT265" s="181">
        <f t="shared" si="2301"/>
        <v>0.16507310163403646</v>
      </c>
      <c r="BU265" s="181">
        <f t="shared" si="2301"/>
        <v>0.14003163239823507</v>
      </c>
      <c r="BV265" s="181">
        <f t="shared" si="2301"/>
        <v>0.13604124305544438</v>
      </c>
      <c r="BW265" s="181">
        <f t="shared" si="2301"/>
        <v>0.13404518291051337</v>
      </c>
      <c r="BX265" s="181">
        <f t="shared" si="2301"/>
        <v>0.1372306779996047</v>
      </c>
      <c r="BY265" s="181">
        <f t="shared" si="2301"/>
        <v>0.13384465945932317</v>
      </c>
      <c r="BZ265" s="181">
        <f t="shared" si="2301"/>
        <v>0.11495172630916155</v>
      </c>
      <c r="CA265" s="181">
        <f t="shared" si="2301"/>
        <v>0.15880383842892212</v>
      </c>
      <c r="CB265" s="181">
        <f t="shared" si="2301"/>
        <v>0.17078730691587082</v>
      </c>
      <c r="CC265" s="181">
        <f t="shared" si="2301"/>
        <v>0.15816272157819328</v>
      </c>
      <c r="CD265" s="181">
        <f t="shared" si="2301"/>
        <v>0.14640316572476303</v>
      </c>
      <c r="CE265" s="181">
        <f t="shared" si="2301"/>
        <v>0.17605535643170053</v>
      </c>
      <c r="CF265" s="181">
        <f t="shared" si="2301"/>
        <v>0.17446183366312876</v>
      </c>
      <c r="CG265" s="181">
        <f t="shared" si="2301"/>
        <v>0.16864731341269756</v>
      </c>
      <c r="CH265" s="181">
        <f t="shared" si="2301"/>
        <v>0.15344188397859876</v>
      </c>
      <c r="CI265" s="181">
        <f t="shared" si="2301"/>
        <v>0.18500100553960921</v>
      </c>
      <c r="CJ265" s="181">
        <f t="shared" si="2301"/>
        <v>0.19155682551387226</v>
      </c>
      <c r="CK265" s="182">
        <f t="shared" si="2301"/>
        <v>0.18586107145540615</v>
      </c>
      <c r="CL265" s="181">
        <f t="shared" ref="CL265" si="2302">+CL62</f>
        <v>0.14216515709498689</v>
      </c>
      <c r="CM265" s="182">
        <f t="shared" si="2301"/>
        <v>0.17650431103927178</v>
      </c>
      <c r="CN265" s="182">
        <f t="shared" si="2301"/>
        <v>0.17329718289527343</v>
      </c>
      <c r="CO265" s="182">
        <f t="shared" si="2301"/>
        <v>0.17160706361142844</v>
      </c>
      <c r="CP265" s="182">
        <f t="shared" si="2301"/>
        <v>0.17033077802711327</v>
      </c>
      <c r="CQ265" s="182">
        <f t="shared" si="2301"/>
        <v>0.18291502827191694</v>
      </c>
      <c r="CR265" s="182">
        <f t="shared" si="2301"/>
        <v>0.18250609318599978</v>
      </c>
      <c r="CS265" s="182">
        <f t="shared" si="2301"/>
        <v>0.1845744095634613</v>
      </c>
      <c r="CT265" s="182">
        <f t="shared" si="2301"/>
        <v>0.18747779015755223</v>
      </c>
      <c r="CU265" s="182">
        <f t="shared" si="2301"/>
        <v>0.19439495366453302</v>
      </c>
      <c r="CV265" s="182">
        <f t="shared" si="2301"/>
        <v>0.19500659070174536</v>
      </c>
      <c r="CW265" s="182">
        <f t="shared" si="2301"/>
        <v>0.19824205632144123</v>
      </c>
      <c r="CX265" s="182">
        <f t="shared" ref="CX265:DB265" si="2303">+CX62</f>
        <v>0.20189120099933805</v>
      </c>
      <c r="CY265" s="182">
        <f t="shared" si="2303"/>
        <v>0.2065118016201046</v>
      </c>
      <c r="CZ265" s="182">
        <f t="shared" si="2303"/>
        <v>0.20753869422335705</v>
      </c>
      <c r="DA265" s="182">
        <f t="shared" si="2303"/>
        <v>0.21111693613675883</v>
      </c>
      <c r="DB265" s="182">
        <f t="shared" si="2303"/>
        <v>0.21509239204467173</v>
      </c>
      <c r="DE265" s="138"/>
      <c r="DF265" s="84">
        <v>0.17760121957902483</v>
      </c>
    </row>
    <row r="266" spans="1:110" s="84" customFormat="1" x14ac:dyDescent="0.2">
      <c r="A266" s="84" t="s">
        <v>514</v>
      </c>
      <c r="E266" s="84">
        <f>(E181+E168+E158+E160)/E140</f>
        <v>1.4400869912278331</v>
      </c>
      <c r="F266" s="84">
        <f t="shared" ref="F266:AE266" si="2304">(F181+F168+F158+F160)/F140</f>
        <v>1.4473809044547075</v>
      </c>
      <c r="G266" s="84">
        <f t="shared" si="2304"/>
        <v>1.5293713117870262</v>
      </c>
      <c r="H266" s="84">
        <f t="shared" si="2304"/>
        <v>1.701611854839866</v>
      </c>
      <c r="I266" s="84">
        <f t="shared" si="2304"/>
        <v>1.6363398367329283</v>
      </c>
      <c r="J266" s="84">
        <f t="shared" si="2304"/>
        <v>1.5916558521534299</v>
      </c>
      <c r="K266" s="84">
        <f t="shared" si="2304"/>
        <v>1.4738176521582245</v>
      </c>
      <c r="L266" s="84">
        <f t="shared" si="2304"/>
        <v>1.4451455984267054</v>
      </c>
      <c r="M266" s="84">
        <f t="shared" si="2304"/>
        <v>1.2349041896776638</v>
      </c>
      <c r="N266" s="84">
        <f t="shared" si="2304"/>
        <v>1.2743670506430056</v>
      </c>
      <c r="O266" s="84">
        <f t="shared" si="2304"/>
        <v>1.2955476939092783</v>
      </c>
      <c r="P266" s="84">
        <f t="shared" si="2304"/>
        <v>1.4949096076669794</v>
      </c>
      <c r="Q266" s="84">
        <f t="shared" si="2304"/>
        <v>1.7010265675641685</v>
      </c>
      <c r="R266" s="84">
        <f t="shared" si="2304"/>
        <v>1.5299081375319086</v>
      </c>
      <c r="S266" s="84">
        <f t="shared" si="2304"/>
        <v>1.5444993541709733</v>
      </c>
      <c r="T266" s="84">
        <f t="shared" si="2304"/>
        <v>1.5737237001480417</v>
      </c>
      <c r="U266" s="84">
        <f t="shared" si="2304"/>
        <v>1.4050326254608796</v>
      </c>
      <c r="V266" s="84">
        <f t="shared" si="2304"/>
        <v>1.4214667887625787</v>
      </c>
      <c r="W266" s="84">
        <f t="shared" si="2304"/>
        <v>1.4381150477268645</v>
      </c>
      <c r="X266" s="84">
        <f t="shared" si="2304"/>
        <v>1.6522189066536599</v>
      </c>
      <c r="Y266" s="84">
        <f t="shared" si="2304"/>
        <v>1.5999049097889859</v>
      </c>
      <c r="Z266" s="84">
        <f t="shared" si="2304"/>
        <v>1.4660687275688737</v>
      </c>
      <c r="AA266" s="84">
        <f t="shared" ref="AA266" si="2305">(AA181+AA168+AA158+AA160)/AA140</f>
        <v>1.4126713861094815</v>
      </c>
      <c r="AB266" s="50">
        <f t="shared" si="2304"/>
        <v>1.1931781729761708</v>
      </c>
      <c r="AC266" s="50">
        <f t="shared" si="2304"/>
        <v>1.17501555845552</v>
      </c>
      <c r="AD266" s="50">
        <f t="shared" si="2304"/>
        <v>1.1596648774630787</v>
      </c>
      <c r="AE266" s="50">
        <f t="shared" si="2304"/>
        <v>1.1461748607770139</v>
      </c>
      <c r="AL266" s="84">
        <f t="shared" ref="AL266:CW266" si="2306">(AL181+AL168+AL158+AL160)/AL140</f>
        <v>1.274367031536688</v>
      </c>
      <c r="AM266" s="84">
        <f t="shared" si="2306"/>
        <v>1.2775250855408955</v>
      </c>
      <c r="AN266" s="84">
        <f t="shared" si="2306"/>
        <v>1.2498077540305768</v>
      </c>
      <c r="AO266" s="84">
        <f t="shared" si="2306"/>
        <v>1.2485293464467531</v>
      </c>
      <c r="AP266" s="84">
        <f t="shared" si="2306"/>
        <v>1.295547999064069</v>
      </c>
      <c r="AQ266" s="84">
        <f t="shared" si="2306"/>
        <v>1.2952134398944486</v>
      </c>
      <c r="AR266" s="84">
        <f t="shared" si="2306"/>
        <v>1.2484318891314941</v>
      </c>
      <c r="AS266" s="84">
        <f t="shared" si="2306"/>
        <v>1.2393989901535378</v>
      </c>
      <c r="AT266" s="84">
        <f t="shared" si="2306"/>
        <v>1.4949074004271894</v>
      </c>
      <c r="AU266" s="84">
        <f t="shared" si="2306"/>
        <v>1.4841482871456551</v>
      </c>
      <c r="AV266" s="84">
        <f t="shared" si="2306"/>
        <v>1.3133970856764563</v>
      </c>
      <c r="AW266" s="84">
        <f t="shared" si="2306"/>
        <v>1.2982917821182334</v>
      </c>
      <c r="AX266" s="84">
        <f t="shared" si="2306"/>
        <v>1.3917951611622537</v>
      </c>
      <c r="AY266" s="84">
        <f t="shared" si="2306"/>
        <v>1.3787665061398364</v>
      </c>
      <c r="AZ266" s="84">
        <f t="shared" si="2306"/>
        <v>1.2872472880108412</v>
      </c>
      <c r="BA266" s="84">
        <f t="shared" si="2306"/>
        <v>1.2751231539549863</v>
      </c>
      <c r="BB266" s="84">
        <f t="shared" si="2306"/>
        <v>1.2276031239687606</v>
      </c>
      <c r="BC266" s="84">
        <f t="shared" si="2306"/>
        <v>1.2190174310053314</v>
      </c>
      <c r="BD266" s="84">
        <f t="shared" si="2306"/>
        <v>1.215310974005924</v>
      </c>
      <c r="BE266" s="84">
        <f t="shared" si="2306"/>
        <v>1.204950580506196</v>
      </c>
      <c r="BF266" s="84">
        <f t="shared" si="2306"/>
        <v>1.2244418885677859</v>
      </c>
      <c r="BG266" s="84">
        <f t="shared" si="2306"/>
        <v>1.2381707854973563</v>
      </c>
      <c r="BH266" s="84">
        <f t="shared" si="2306"/>
        <v>1.2194448687097388</v>
      </c>
      <c r="BI266" s="84">
        <f t="shared" si="2306"/>
        <v>1.2052550846237473</v>
      </c>
      <c r="BJ266" s="84">
        <f t="shared" si="2306"/>
        <v>1.210676552338253</v>
      </c>
      <c r="BK266" s="84">
        <f t="shared" si="2306"/>
        <v>1.2071465587607006</v>
      </c>
      <c r="BL266" s="84">
        <f t="shared" si="2306"/>
        <v>1.2349481729185821</v>
      </c>
      <c r="BM266" s="84">
        <f t="shared" si="2306"/>
        <v>1.221547485092674</v>
      </c>
      <c r="BN266" s="84">
        <f t="shared" si="2306"/>
        <v>1.2636697320564632</v>
      </c>
      <c r="BO266" s="84">
        <f t="shared" si="2306"/>
        <v>1.2625885977932516</v>
      </c>
      <c r="BP266" s="84">
        <f t="shared" si="2306"/>
        <v>1.2630207788789274</v>
      </c>
      <c r="BQ266" s="84">
        <f t="shared" si="2306"/>
        <v>1.2594851353392875</v>
      </c>
      <c r="BR266" s="84">
        <f t="shared" si="2306"/>
        <v>1.2328797098342068</v>
      </c>
      <c r="BS266" s="84">
        <f t="shared" si="2306"/>
        <v>1.2327465077804638</v>
      </c>
      <c r="BT266" s="84">
        <f t="shared" si="2306"/>
        <v>1.2174062619663695</v>
      </c>
      <c r="BU266" s="84">
        <f t="shared" si="2306"/>
        <v>1.2097584231615723</v>
      </c>
      <c r="BV266" s="84">
        <f t="shared" si="2306"/>
        <v>1.2187552714936367</v>
      </c>
      <c r="BW266" s="84">
        <f t="shared" si="2306"/>
        <v>1.2342110496611358</v>
      </c>
      <c r="BX266" s="84">
        <f t="shared" si="2306"/>
        <v>1.3814219262215426</v>
      </c>
      <c r="BY266" s="84">
        <f t="shared" si="2306"/>
        <v>1.3625407343600939</v>
      </c>
      <c r="BZ266" s="84">
        <f t="shared" si="2306"/>
        <v>1.4301852561130486</v>
      </c>
      <c r="CA266" s="84">
        <f t="shared" si="2306"/>
        <v>1.4228211643253792</v>
      </c>
      <c r="CB266" s="84">
        <f t="shared" si="2306"/>
        <v>1.3964685225879834</v>
      </c>
      <c r="CC266" s="84">
        <f t="shared" si="2306"/>
        <v>1.3731130891726171</v>
      </c>
      <c r="CD266" s="84">
        <f t="shared" si="2306"/>
        <v>1.3642831975863143</v>
      </c>
      <c r="CE266" s="84">
        <f t="shared" si="2306"/>
        <v>1.3625333862739011</v>
      </c>
      <c r="CF266" s="84">
        <f t="shared" si="2306"/>
        <v>1.2527714391559757</v>
      </c>
      <c r="CG266" s="84">
        <f t="shared" si="2306"/>
        <v>1.2368348265159896</v>
      </c>
      <c r="CH266" s="84">
        <f t="shared" si="2306"/>
        <v>1.4660687275688737</v>
      </c>
      <c r="CI266" s="84">
        <f t="shared" si="2306"/>
        <v>1.4994418714321451</v>
      </c>
      <c r="CJ266" s="84">
        <f t="shared" si="2306"/>
        <v>1.2362510313368755</v>
      </c>
      <c r="CK266" s="50">
        <f t="shared" si="2306"/>
        <v>1.2212468975353343</v>
      </c>
      <c r="CL266" s="84">
        <f t="shared" ref="CL266" si="2307">(CL181+CL168+CL158+CL160)/CL140</f>
        <v>1.1929592567837237</v>
      </c>
      <c r="CM266" s="50">
        <f t="shared" si="2306"/>
        <v>1.2321927516775895</v>
      </c>
      <c r="CN266" s="50">
        <f t="shared" si="2306"/>
        <v>1.2203298806498777</v>
      </c>
      <c r="CO266" s="50">
        <f t="shared" si="2306"/>
        <v>1.2077443221199697</v>
      </c>
      <c r="CP266" s="50">
        <f t="shared" si="2306"/>
        <v>1.1931781729761708</v>
      </c>
      <c r="CQ266" s="50">
        <f t="shared" si="2306"/>
        <v>1.2101016790992178</v>
      </c>
      <c r="CR266" s="50">
        <f t="shared" si="2306"/>
        <v>1.1997510791485373</v>
      </c>
      <c r="CS266" s="50">
        <f t="shared" si="2306"/>
        <v>1.1883777293704521</v>
      </c>
      <c r="CT266" s="50">
        <f t="shared" si="2306"/>
        <v>1.17501555845552</v>
      </c>
      <c r="CU266" s="50">
        <f t="shared" si="2306"/>
        <v>1.1916511579824973</v>
      </c>
      <c r="CV266" s="50">
        <f t="shared" si="2306"/>
        <v>1.182344912712648</v>
      </c>
      <c r="CW266" s="50">
        <f t="shared" si="2306"/>
        <v>1.1719463538193509</v>
      </c>
      <c r="CX266" s="50">
        <f t="shared" ref="CX266:DB266" si="2308">(CX181+CX168+CX158+CX160)/CX140</f>
        <v>1.1596648774630787</v>
      </c>
      <c r="CY266" s="50">
        <f t="shared" si="2308"/>
        <v>1.1752946232687032</v>
      </c>
      <c r="CZ266" s="50">
        <f t="shared" si="2308"/>
        <v>1.1669270858687029</v>
      </c>
      <c r="DA266" s="50">
        <f t="shared" si="2308"/>
        <v>1.1574411515056924</v>
      </c>
      <c r="DB266" s="50">
        <f t="shared" si="2308"/>
        <v>1.1461748607770139</v>
      </c>
      <c r="DE266" s="138"/>
      <c r="DF266" s="84">
        <v>1.4126713861094815</v>
      </c>
    </row>
    <row r="267" spans="1:110" s="84" customFormat="1" x14ac:dyDescent="0.2">
      <c r="A267" s="154" t="s">
        <v>498</v>
      </c>
      <c r="AB267" s="50"/>
      <c r="AC267" s="50"/>
      <c r="AD267" s="50"/>
      <c r="AE267" s="50"/>
      <c r="CK267" s="50"/>
      <c r="CM267" s="50"/>
      <c r="CN267" s="50"/>
      <c r="CO267" s="50"/>
      <c r="CP267" s="50"/>
      <c r="CQ267" s="50"/>
      <c r="CR267" s="50"/>
      <c r="CS267" s="50"/>
      <c r="CT267" s="50"/>
      <c r="CU267" s="50"/>
      <c r="CV267" s="50"/>
      <c r="CW267" s="50"/>
      <c r="CX267" s="50"/>
      <c r="CY267" s="50"/>
      <c r="CZ267" s="50"/>
      <c r="DA267" s="50"/>
      <c r="DB267" s="50"/>
      <c r="DE267" s="138"/>
    </row>
    <row r="268" spans="1:110" s="88" customFormat="1" x14ac:dyDescent="0.2">
      <c r="A268" s="88" t="s">
        <v>102</v>
      </c>
      <c r="B268" s="88">
        <f t="shared" ref="B268:AE268" si="2309">B181/B140</f>
        <v>3.8920715879024223E-2</v>
      </c>
      <c r="C268" s="88">
        <f t="shared" si="2309"/>
        <v>3.7773630338721782E-2</v>
      </c>
      <c r="D268" s="88">
        <f t="shared" si="2309"/>
        <v>4.39075703947827E-2</v>
      </c>
      <c r="F268" s="88">
        <f t="shared" si="2309"/>
        <v>3.3400453536444087E-2</v>
      </c>
      <c r="G268" s="88">
        <f t="shared" si="2309"/>
        <v>3.5112332342949019E-2</v>
      </c>
      <c r="H268" s="88">
        <f t="shared" si="2309"/>
        <v>4.8715773475249843E-2</v>
      </c>
      <c r="I268" s="88">
        <f t="shared" si="2309"/>
        <v>3.3024475933536503E-2</v>
      </c>
      <c r="J268" s="88">
        <f t="shared" si="2309"/>
        <v>9.350862619603896E-2</v>
      </c>
      <c r="K268" s="88">
        <f t="shared" si="2309"/>
        <v>0.13705245833828392</v>
      </c>
      <c r="L268" s="88">
        <f t="shared" si="2309"/>
        <v>0.30067855554792366</v>
      </c>
      <c r="M268" s="88">
        <f t="shared" si="2309"/>
        <v>0.53451492335349482</v>
      </c>
      <c r="N268" s="88">
        <f t="shared" si="2309"/>
        <v>0.5399671185465198</v>
      </c>
      <c r="O268" s="88">
        <f t="shared" si="2309"/>
        <v>0.48816354696204228</v>
      </c>
      <c r="P268" s="88">
        <f t="shared" si="2309"/>
        <v>0.39398880783118106</v>
      </c>
      <c r="Q268" s="88">
        <f t="shared" si="2309"/>
        <v>0.21978111368757033</v>
      </c>
      <c r="R268" s="88">
        <f t="shared" si="2309"/>
        <v>0.17478442349279777</v>
      </c>
      <c r="S268" s="88">
        <f t="shared" si="2309"/>
        <v>0.28697367709103627</v>
      </c>
      <c r="T268" s="88">
        <f t="shared" si="2309"/>
        <v>0.26852306268724802</v>
      </c>
      <c r="U268" s="88">
        <f t="shared" si="2309"/>
        <v>0.25410199853109322</v>
      </c>
      <c r="V268" s="88">
        <f t="shared" si="2309"/>
        <v>0.3844929903154336</v>
      </c>
      <c r="W268" s="88">
        <f t="shared" si="2309"/>
        <v>2.7424801663259335E-2</v>
      </c>
      <c r="X268" s="88">
        <f t="shared" si="2309"/>
        <v>0.10925758849892364</v>
      </c>
      <c r="Y268" s="88">
        <f t="shared" si="2309"/>
        <v>0.15741931639381165</v>
      </c>
      <c r="Z268" s="88">
        <f t="shared" si="2309"/>
        <v>0.13006595287452644</v>
      </c>
      <c r="AA268" s="88">
        <f t="shared" ref="AA268" si="2310">AA181/AA140</f>
        <v>0.2127270840555241</v>
      </c>
      <c r="AB268" s="42">
        <f t="shared" si="2309"/>
        <v>0.28144425537902695</v>
      </c>
      <c r="AC268" s="42">
        <f t="shared" si="2309"/>
        <v>0.37785889877467255</v>
      </c>
      <c r="AD268" s="42">
        <f t="shared" si="2309"/>
        <v>0.45592857862729885</v>
      </c>
      <c r="AE268" s="42">
        <f t="shared" si="2309"/>
        <v>0.52051582094519688</v>
      </c>
      <c r="AL268" s="88">
        <f t="shared" ref="AL268:CW268" si="2311">AL181/AL140</f>
        <v>0.53996679316888041</v>
      </c>
      <c r="AM268" s="88">
        <f t="shared" si="2311"/>
        <v>0.51583160640929737</v>
      </c>
      <c r="AN268" s="88">
        <f t="shared" si="2311"/>
        <v>0.45372213609979284</v>
      </c>
      <c r="AO268" s="88">
        <f t="shared" si="2311"/>
        <v>0.47033200771078332</v>
      </c>
      <c r="AP268" s="88">
        <f t="shared" si="2311"/>
        <v>0.48816373421096038</v>
      </c>
      <c r="AQ268" s="88">
        <f t="shared" si="2311"/>
        <v>0.46051013521480855</v>
      </c>
      <c r="AR268" s="88">
        <f t="shared" si="2311"/>
        <v>0.47523413393002151</v>
      </c>
      <c r="AS268" s="88">
        <f t="shared" si="2311"/>
        <v>0.50635322409468542</v>
      </c>
      <c r="AT268" s="88">
        <f t="shared" si="2311"/>
        <v>0.39398919462243998</v>
      </c>
      <c r="AU268" s="88">
        <f t="shared" si="2311"/>
        <v>0.38174336964414773</v>
      </c>
      <c r="AV268" s="88">
        <f t="shared" si="2311"/>
        <v>0.22329203617078547</v>
      </c>
      <c r="AW268" s="88">
        <f t="shared" si="2311"/>
        <v>0.26825929095284268</v>
      </c>
      <c r="AX268" s="88">
        <f t="shared" si="2311"/>
        <v>0.21978091596992158</v>
      </c>
      <c r="AY268" s="88">
        <f t="shared" si="2311"/>
        <v>0.23989689555077223</v>
      </c>
      <c r="AZ268" s="88">
        <f t="shared" si="2311"/>
        <v>0.20976384885776592</v>
      </c>
      <c r="BA268" s="88">
        <f t="shared" si="2311"/>
        <v>0.24992865446331869</v>
      </c>
      <c r="BB268" s="88">
        <f t="shared" si="2311"/>
        <v>0.17478678546547868</v>
      </c>
      <c r="BC268" s="88">
        <f t="shared" si="2311"/>
        <v>0.20635476198871022</v>
      </c>
      <c r="BD268" s="88">
        <f t="shared" si="2311"/>
        <v>0.28583048385805615</v>
      </c>
      <c r="BE268" s="88">
        <f t="shared" si="2311"/>
        <v>0.33260741412650663</v>
      </c>
      <c r="BF268" s="88">
        <f t="shared" si="2311"/>
        <v>0.28697353835225503</v>
      </c>
      <c r="BG268" s="88">
        <f t="shared" si="2311"/>
        <v>0.23339552647020198</v>
      </c>
      <c r="BH268" s="88">
        <f t="shared" si="2311"/>
        <v>0.27944173533755529</v>
      </c>
      <c r="BI268" s="88">
        <f t="shared" si="2311"/>
        <v>0.33570077348415372</v>
      </c>
      <c r="BJ268" s="88">
        <f t="shared" si="2311"/>
        <v>0.26852313525506682</v>
      </c>
      <c r="BK268" s="88">
        <f t="shared" si="2311"/>
        <v>0.27963958358071961</v>
      </c>
      <c r="BL268" s="88">
        <f t="shared" si="2311"/>
        <v>0.35293560510390676</v>
      </c>
      <c r="BM268" s="88">
        <f t="shared" si="2311"/>
        <v>0.39618457238632859</v>
      </c>
      <c r="BN268" s="88">
        <f t="shared" si="2311"/>
        <v>0.25410226062338342</v>
      </c>
      <c r="BO268" s="88">
        <f t="shared" si="2311"/>
        <v>0.25978871006581972</v>
      </c>
      <c r="BP268" s="88">
        <f t="shared" si="2311"/>
        <v>0.29750648532759977</v>
      </c>
      <c r="BQ268" s="88">
        <f t="shared" si="2311"/>
        <v>0.27309357394502803</v>
      </c>
      <c r="BR268" s="88">
        <f t="shared" si="2311"/>
        <v>0.38449288399778092</v>
      </c>
      <c r="BS268" s="88">
        <f t="shared" si="2311"/>
        <v>0.3806229367466577</v>
      </c>
      <c r="BT268" s="88">
        <f t="shared" si="2311"/>
        <v>0.38762549848295486</v>
      </c>
      <c r="BU268" s="88">
        <f t="shared" si="2311"/>
        <v>0.4084981633710853</v>
      </c>
      <c r="BV268" s="88">
        <f t="shared" si="2311"/>
        <v>2.742113845519465E-2</v>
      </c>
      <c r="BW268" s="88">
        <f t="shared" si="2311"/>
        <v>-1.1868402709892837E-2</v>
      </c>
      <c r="BX268" s="88">
        <f t="shared" si="2311"/>
        <v>8.5008055076857963E-2</v>
      </c>
      <c r="BY268" s="88">
        <f t="shared" si="2311"/>
        <v>0.13224314474713436</v>
      </c>
      <c r="BZ268" s="88">
        <f t="shared" si="2311"/>
        <v>0.10925474227427581</v>
      </c>
      <c r="CA268" s="88">
        <f t="shared" si="2311"/>
        <v>0.10618718171937201</v>
      </c>
      <c r="CB268" s="88">
        <f t="shared" si="2311"/>
        <v>0.14476701598624805</v>
      </c>
      <c r="CC268" s="88">
        <f t="shared" si="2311"/>
        <v>0.19694516375315613</v>
      </c>
      <c r="CD268" s="88">
        <f t="shared" si="2311"/>
        <v>0.15741979181276147</v>
      </c>
      <c r="CE268" s="88">
        <f t="shared" si="2311"/>
        <v>0.16098741270680769</v>
      </c>
      <c r="CF268" s="88">
        <f t="shared" si="2311"/>
        <v>0.12977277467678217</v>
      </c>
      <c r="CG268" s="88">
        <f t="shared" si="2311"/>
        <v>0.18286381048552652</v>
      </c>
      <c r="CH268" s="88">
        <f t="shared" si="2311"/>
        <v>0.13006595287452644</v>
      </c>
      <c r="CI268" s="88">
        <f t="shared" si="2311"/>
        <v>0.14377307587498636</v>
      </c>
      <c r="CJ268" s="88">
        <f t="shared" si="2311"/>
        <v>0.15611944063441013</v>
      </c>
      <c r="CK268" s="42">
        <f t="shared" si="2311"/>
        <v>0.21563836961380914</v>
      </c>
      <c r="CL268" s="88">
        <f t="shared" ref="CL268" si="2312">CL181/CL140</f>
        <v>0.21272738638494715</v>
      </c>
      <c r="CM268" s="42">
        <f t="shared" si="2311"/>
        <v>0.1401226794115159</v>
      </c>
      <c r="CN268" s="42">
        <f t="shared" si="2311"/>
        <v>0.18650837690801866</v>
      </c>
      <c r="CO268" s="42">
        <f t="shared" si="2311"/>
        <v>0.23257918206574604</v>
      </c>
      <c r="CP268" s="42">
        <f t="shared" si="2311"/>
        <v>0.28144425537902695</v>
      </c>
      <c r="CQ268" s="42">
        <f t="shared" si="2311"/>
        <v>0.25671723715147454</v>
      </c>
      <c r="CR268" s="42">
        <f t="shared" si="2311"/>
        <v>0.29521983704765364</v>
      </c>
      <c r="CS268" s="42">
        <f t="shared" si="2311"/>
        <v>0.33482370594565058</v>
      </c>
      <c r="CT268" s="42">
        <f t="shared" si="2311"/>
        <v>0.37785889877467255</v>
      </c>
      <c r="CU268" s="42">
        <f t="shared" si="2311"/>
        <v>0.35034571992605751</v>
      </c>
      <c r="CV268" s="42">
        <f t="shared" si="2311"/>
        <v>0.38331007146450474</v>
      </c>
      <c r="CW268" s="42">
        <f t="shared" si="2311"/>
        <v>0.41787990401984526</v>
      </c>
      <c r="CX268" s="42">
        <f t="shared" ref="CX268:DB268" si="2313">CX181/CX140</f>
        <v>0.45592857862729885</v>
      </c>
      <c r="CY268" s="42">
        <f t="shared" si="2313"/>
        <v>0.4281594215378775</v>
      </c>
      <c r="CZ268" s="42">
        <f t="shared" si="2313"/>
        <v>0.4565279030140475</v>
      </c>
      <c r="DA268" s="42">
        <f t="shared" si="2313"/>
        <v>0.48679246596291526</v>
      </c>
      <c r="DB268" s="42">
        <f t="shared" si="2313"/>
        <v>0.52051582094519688</v>
      </c>
      <c r="DE268" s="125"/>
      <c r="DF268" s="88">
        <v>0.2127270840555241</v>
      </c>
    </row>
    <row r="269" spans="1:110" s="89" customFormat="1" x14ac:dyDescent="0.2">
      <c r="A269" s="89" t="s">
        <v>103</v>
      </c>
      <c r="C269" s="89">
        <f t="shared" ref="C269:AE269" si="2314">C148/B148-1</f>
        <v>0.45526641061162887</v>
      </c>
      <c r="D269" s="89">
        <f t="shared" si="2314"/>
        <v>-6.8062110951501387E-2</v>
      </c>
      <c r="F269" s="89">
        <f t="shared" si="2314"/>
        <v>0.51774209731727661</v>
      </c>
      <c r="G269" s="89">
        <f t="shared" si="2314"/>
        <v>0.47017168404723564</v>
      </c>
      <c r="H269" s="89">
        <f t="shared" si="2314"/>
        <v>0.8234355408640146</v>
      </c>
      <c r="I269" s="89">
        <f t="shared" si="2314"/>
        <v>0.12609302317579041</v>
      </c>
      <c r="J269" s="89">
        <f t="shared" si="2314"/>
        <v>-8.9569440469193906E-2</v>
      </c>
      <c r="K269" s="89">
        <f>K148/J148-1</f>
        <v>-0.23487006793778475</v>
      </c>
      <c r="L269" s="89">
        <f t="shared" si="2314"/>
        <v>0.23575518571482856</v>
      </c>
      <c r="M269" s="89">
        <f t="shared" si="2314"/>
        <v>-0.58000983280096974</v>
      </c>
      <c r="N269" s="89">
        <f t="shared" si="2314"/>
        <v>-0.2941457374562082</v>
      </c>
      <c r="O269" s="89">
        <f t="shared" si="2314"/>
        <v>0.86004258792490629</v>
      </c>
      <c r="P269" s="89">
        <f t="shared" si="2314"/>
        <v>0.36656037560942112</v>
      </c>
      <c r="Q269" s="89">
        <f t="shared" si="2314"/>
        <v>0.51862323130335941</v>
      </c>
      <c r="R269" s="89">
        <f t="shared" si="2314"/>
        <v>-0.74739238262942953</v>
      </c>
      <c r="S269" s="89">
        <f t="shared" si="2314"/>
        <v>-0.40047850709062371</v>
      </c>
      <c r="T269" s="89">
        <f t="shared" si="2314"/>
        <v>-0.11931600939480014</v>
      </c>
      <c r="U269" s="89">
        <f t="shared" si="2314"/>
        <v>0.14326470964465843</v>
      </c>
      <c r="V269" s="89">
        <f t="shared" si="2314"/>
        <v>0.10683673746168654</v>
      </c>
      <c r="W269" s="89">
        <f t="shared" si="2314"/>
        <v>-0.19389424284567724</v>
      </c>
      <c r="X269" s="89">
        <f t="shared" si="2314"/>
        <v>19.83368041041231</v>
      </c>
      <c r="Y269" s="89">
        <f t="shared" si="2314"/>
        <v>-0.34856612535096509</v>
      </c>
      <c r="Z269" s="89">
        <f t="shared" si="2314"/>
        <v>-0.9613491590156269</v>
      </c>
      <c r="AA269" s="89">
        <f t="shared" si="2314"/>
        <v>-1</v>
      </c>
      <c r="AB269" s="47" t="e">
        <f t="shared" si="2314"/>
        <v>#DIV/0!</v>
      </c>
      <c r="AC269" s="47" t="e">
        <f t="shared" si="2314"/>
        <v>#DIV/0!</v>
      </c>
      <c r="AD269" s="47" t="e">
        <f t="shared" si="2314"/>
        <v>#DIV/0!</v>
      </c>
      <c r="AE269" s="47" t="e">
        <f t="shared" si="2314"/>
        <v>#DIV/0!</v>
      </c>
      <c r="AL269" s="89">
        <f t="shared" ref="AL269:CW269" si="2315">AL148/AK148-1</f>
        <v>-3.6550530188270813E-2</v>
      </c>
      <c r="AM269" s="89">
        <f t="shared" si="2315"/>
        <v>0</v>
      </c>
      <c r="AN269" s="89">
        <f t="shared" si="2315"/>
        <v>0.84849846140023799</v>
      </c>
      <c r="AO269" s="89">
        <f t="shared" si="2315"/>
        <v>0</v>
      </c>
      <c r="AP269" s="89">
        <f t="shared" si="2315"/>
        <v>-1.2029600106929772E-3</v>
      </c>
      <c r="AQ269" s="89">
        <f t="shared" si="2315"/>
        <v>0</v>
      </c>
      <c r="AR269" s="89">
        <f t="shared" si="2315"/>
        <v>4.1971824131974422E-3</v>
      </c>
      <c r="AS269" s="89">
        <f t="shared" si="2315"/>
        <v>0</v>
      </c>
      <c r="AT269" s="89">
        <f t="shared" si="2315"/>
        <v>0.54198417794361742</v>
      </c>
      <c r="AU269" s="89">
        <f t="shared" si="2315"/>
        <v>0</v>
      </c>
      <c r="AV269" s="89">
        <f t="shared" si="2315"/>
        <v>0.11352922690131972</v>
      </c>
      <c r="AW269" s="89">
        <f t="shared" si="2315"/>
        <v>0</v>
      </c>
      <c r="AX269" s="89">
        <f t="shared" si="2315"/>
        <v>0.3619134974952376</v>
      </c>
      <c r="AY269" s="89">
        <f t="shared" si="2315"/>
        <v>0</v>
      </c>
      <c r="AZ269" s="89">
        <f t="shared" si="2315"/>
        <v>-0.38535622513262602</v>
      </c>
      <c r="BA269" s="89">
        <f t="shared" si="2315"/>
        <v>0</v>
      </c>
      <c r="BB269" s="89">
        <f t="shared" si="2315"/>
        <v>-0.58816935123608194</v>
      </c>
      <c r="BC269" s="89">
        <f t="shared" si="2315"/>
        <v>0</v>
      </c>
      <c r="BD269" s="89">
        <f t="shared" si="2315"/>
        <v>4.5620139173147667E-2</v>
      </c>
      <c r="BE269" s="89">
        <f t="shared" si="2315"/>
        <v>0</v>
      </c>
      <c r="BF269" s="89">
        <f t="shared" si="2315"/>
        <v>-0.42662804126132825</v>
      </c>
      <c r="BG269" s="89">
        <f t="shared" si="2315"/>
        <v>0</v>
      </c>
      <c r="BH269" s="89">
        <f t="shared" si="2315"/>
        <v>0.46406991431399991</v>
      </c>
      <c r="BI269" s="89">
        <f t="shared" si="2315"/>
        <v>0</v>
      </c>
      <c r="BJ269" s="89">
        <f t="shared" si="2315"/>
        <v>-0.39846573553757558</v>
      </c>
      <c r="BK269" s="89">
        <f t="shared" si="2315"/>
        <v>0</v>
      </c>
      <c r="BL269" s="89">
        <f t="shared" si="2315"/>
        <v>0.82626560198464993</v>
      </c>
      <c r="BM269" s="89">
        <f t="shared" si="2315"/>
        <v>0</v>
      </c>
      <c r="BN269" s="89">
        <f t="shared" si="2315"/>
        <v>-0.3739865008277794</v>
      </c>
      <c r="BO269" s="89">
        <f t="shared" si="2315"/>
        <v>0</v>
      </c>
      <c r="BP269" s="89">
        <f t="shared" si="2315"/>
        <v>3.6481996338238343E-2</v>
      </c>
      <c r="BQ269" s="89">
        <f t="shared" si="2315"/>
        <v>0</v>
      </c>
      <c r="BR269" s="89">
        <f t="shared" si="2315"/>
        <v>6.7877003598299179E-2</v>
      </c>
      <c r="BS269" s="89">
        <f t="shared" si="2315"/>
        <v>0</v>
      </c>
      <c r="BT269" s="89">
        <f t="shared" si="2315"/>
        <v>-0.19004441721550014</v>
      </c>
      <c r="BU269" s="89">
        <f t="shared" si="2315"/>
        <v>0</v>
      </c>
      <c r="BV269" s="89">
        <f t="shared" si="2315"/>
        <v>-4.5762263151922777E-3</v>
      </c>
      <c r="BW269" s="89">
        <f t="shared" si="2315"/>
        <v>0</v>
      </c>
      <c r="BX269" s="89">
        <f t="shared" si="2315"/>
        <v>12.300151975683891</v>
      </c>
      <c r="BY269" s="89">
        <f t="shared" si="2315"/>
        <v>0</v>
      </c>
      <c r="BZ269" s="89">
        <f t="shared" si="2315"/>
        <v>0.56613152031080394</v>
      </c>
      <c r="CA269" s="89">
        <f t="shared" si="2315"/>
        <v>0</v>
      </c>
      <c r="CB269" s="89">
        <f t="shared" si="2315"/>
        <v>-0.22096162264701591</v>
      </c>
      <c r="CC269" s="89">
        <f t="shared" si="2315"/>
        <v>0</v>
      </c>
      <c r="CD269" s="89">
        <f t="shared" si="2315"/>
        <v>-0.16380238819948501</v>
      </c>
      <c r="CE269" s="89">
        <f t="shared" si="2315"/>
        <v>0</v>
      </c>
      <c r="CF269" s="89">
        <f t="shared" si="2315"/>
        <v>-0.77140617124937005</v>
      </c>
      <c r="CG269" s="89">
        <f t="shared" si="2315"/>
        <v>0</v>
      </c>
      <c r="CH269" s="89">
        <f t="shared" si="2315"/>
        <v>-0.83091866731994113</v>
      </c>
      <c r="CI269" s="89">
        <f t="shared" si="2315"/>
        <v>0</v>
      </c>
      <c r="CJ269" s="89">
        <f t="shared" si="2315"/>
        <v>-0.46971123893420652</v>
      </c>
      <c r="CK269" s="47">
        <f t="shared" si="2315"/>
        <v>0</v>
      </c>
      <c r="CL269" s="89">
        <f t="shared" si="2315"/>
        <v>-1</v>
      </c>
      <c r="CM269" s="47" t="e">
        <f t="shared" si="2315"/>
        <v>#DIV/0!</v>
      </c>
      <c r="CN269" s="47" t="e">
        <f t="shared" si="2315"/>
        <v>#DIV/0!</v>
      </c>
      <c r="CO269" s="47" t="e">
        <f t="shared" si="2315"/>
        <v>#DIV/0!</v>
      </c>
      <c r="CP269" s="47" t="e">
        <f t="shared" si="2315"/>
        <v>#DIV/0!</v>
      </c>
      <c r="CQ269" s="47" t="e">
        <f t="shared" si="2315"/>
        <v>#DIV/0!</v>
      </c>
      <c r="CR269" s="47" t="e">
        <f t="shared" si="2315"/>
        <v>#DIV/0!</v>
      </c>
      <c r="CS269" s="47" t="e">
        <f t="shared" si="2315"/>
        <v>#DIV/0!</v>
      </c>
      <c r="CT269" s="47" t="e">
        <f t="shared" si="2315"/>
        <v>#DIV/0!</v>
      </c>
      <c r="CU269" s="47" t="e">
        <f t="shared" si="2315"/>
        <v>#DIV/0!</v>
      </c>
      <c r="CV269" s="47" t="e">
        <f t="shared" si="2315"/>
        <v>#DIV/0!</v>
      </c>
      <c r="CW269" s="47" t="e">
        <f t="shared" si="2315"/>
        <v>#DIV/0!</v>
      </c>
      <c r="CX269" s="47" t="e">
        <f t="shared" ref="CX269:DB269" si="2316">CX148/CW148-1</f>
        <v>#DIV/0!</v>
      </c>
      <c r="CY269" s="47" t="e">
        <f t="shared" si="2316"/>
        <v>#DIV/0!</v>
      </c>
      <c r="CZ269" s="47" t="e">
        <f t="shared" si="2316"/>
        <v>#DIV/0!</v>
      </c>
      <c r="DA269" s="47" t="e">
        <f t="shared" si="2316"/>
        <v>#DIV/0!</v>
      </c>
      <c r="DB269" s="47" t="e">
        <f t="shared" si="2316"/>
        <v>#DIV/0!</v>
      </c>
      <c r="DE269" s="130"/>
      <c r="DF269" s="89">
        <v>-1</v>
      </c>
    </row>
    <row r="270" spans="1:110" s="89" customFormat="1" x14ac:dyDescent="0.2">
      <c r="A270" s="89" t="s">
        <v>104</v>
      </c>
      <c r="C270" s="89">
        <f>C48/B48-1</f>
        <v>0.32187876736955801</v>
      </c>
      <c r="D270" s="89">
        <f>D48/C48-1</f>
        <v>0.22500890003559904</v>
      </c>
      <c r="F270" s="89">
        <f t="shared" ref="F270:AE270" si="2317">F48/E48-1</f>
        <v>3.8040661442586776E-2</v>
      </c>
      <c r="G270" s="89">
        <f t="shared" si="2317"/>
        <v>0.29893110985955618</v>
      </c>
      <c r="H270" s="89">
        <f t="shared" si="2317"/>
        <v>-5.2147112929353256E-2</v>
      </c>
      <c r="I270" s="89">
        <f t="shared" si="2317"/>
        <v>-0.23229196086525228</v>
      </c>
      <c r="J270" s="89">
        <f t="shared" si="2317"/>
        <v>-0.10617030074064937</v>
      </c>
      <c r="K270" s="89">
        <f t="shared" si="2317"/>
        <v>1.9372647449923659</v>
      </c>
      <c r="L270" s="89">
        <f t="shared" si="2317"/>
        <v>0.15190226650354521</v>
      </c>
      <c r="M270" s="89">
        <f t="shared" si="2317"/>
        <v>-0.4784868956303161</v>
      </c>
      <c r="N270" s="89">
        <f t="shared" si="2317"/>
        <v>5.3062262006817296E-2</v>
      </c>
      <c r="O270" s="89">
        <f t="shared" si="2317"/>
        <v>0.40281008054630152</v>
      </c>
      <c r="P270" s="89">
        <f t="shared" si="2317"/>
        <v>0.21543121737393678</v>
      </c>
      <c r="Q270" s="89">
        <f t="shared" si="2317"/>
        <v>0.14385290703258602</v>
      </c>
      <c r="R270" s="89">
        <f t="shared" si="2317"/>
        <v>0.11035092308969108</v>
      </c>
      <c r="S270" s="89">
        <f t="shared" si="2317"/>
        <v>-0.1295521286761272</v>
      </c>
      <c r="T270" s="89">
        <f t="shared" si="2317"/>
        <v>0.53590178045029968</v>
      </c>
      <c r="U270" s="89">
        <f t="shared" si="2317"/>
        <v>0.23453553977986186</v>
      </c>
      <c r="V270" s="89">
        <f t="shared" si="2317"/>
        <v>0.4730223958569213</v>
      </c>
      <c r="W270" s="89">
        <f t="shared" si="2317"/>
        <v>-2.4392305017446048E-2</v>
      </c>
      <c r="X270" s="89">
        <f t="shared" si="2317"/>
        <v>0.28223545868203503</v>
      </c>
      <c r="Y270" s="89">
        <f t="shared" si="2317"/>
        <v>0.28275945828437465</v>
      </c>
      <c r="Z270" s="89">
        <f t="shared" si="2317"/>
        <v>0.1553385156536855</v>
      </c>
      <c r="AA270" s="89">
        <f t="shared" si="2317"/>
        <v>7.2385651293191966E-2</v>
      </c>
      <c r="AB270" s="47">
        <f t="shared" si="2317"/>
        <v>0.10940908688366369</v>
      </c>
      <c r="AC270" s="47">
        <f t="shared" si="2317"/>
        <v>0.11604450571335589</v>
      </c>
      <c r="AD270" s="47">
        <f t="shared" si="2317"/>
        <v>0.12996774366326269</v>
      </c>
      <c r="AE270" s="47">
        <f t="shared" si="2317"/>
        <v>0.13099275463190985</v>
      </c>
      <c r="AL270" s="89">
        <f t="shared" ref="AL270:CW270" si="2318">AL48/AK48-1</f>
        <v>3.1589222959781171E-2</v>
      </c>
      <c r="AM270" s="89">
        <f t="shared" si="2318"/>
        <v>0.52878610091222167</v>
      </c>
      <c r="AN270" s="89">
        <f t="shared" si="2318"/>
        <v>0.21396915001609496</v>
      </c>
      <c r="AO270" s="89">
        <f t="shared" si="2318"/>
        <v>-0.12481899206624436</v>
      </c>
      <c r="AP270" s="89">
        <f t="shared" si="2318"/>
        <v>-0.58609680501503059</v>
      </c>
      <c r="AQ270" s="89">
        <f t="shared" si="2318"/>
        <v>1.694611789876693</v>
      </c>
      <c r="AR270" s="89">
        <f t="shared" si="2318"/>
        <v>0.20280407028980929</v>
      </c>
      <c r="AS270" s="89">
        <f t="shared" si="2318"/>
        <v>-0.19850603665421729</v>
      </c>
      <c r="AT270" s="89">
        <f t="shared" si="2318"/>
        <v>-8.5005852009188865E-2</v>
      </c>
      <c r="AU270" s="89">
        <f t="shared" si="2318"/>
        <v>0.18192154633314295</v>
      </c>
      <c r="AV270" s="89">
        <f t="shared" si="2318"/>
        <v>4.5093795093811284E-3</v>
      </c>
      <c r="AW270" s="89">
        <f t="shared" si="2318"/>
        <v>0.30961074200434746</v>
      </c>
      <c r="AX270" s="89">
        <f t="shared" si="2318"/>
        <v>-0.15135818644403354</v>
      </c>
      <c r="AY270" s="89">
        <f t="shared" si="2318"/>
        <v>0.24249605055292145</v>
      </c>
      <c r="AZ270" s="89">
        <f t="shared" si="2318"/>
        <v>-0.13078656880309758</v>
      </c>
      <c r="BA270" s="89">
        <f t="shared" si="2318"/>
        <v>-0.23972739361702111</v>
      </c>
      <c r="BB270" s="89">
        <f t="shared" si="2318"/>
        <v>2.4858979404434045E-2</v>
      </c>
      <c r="BC270" s="89">
        <f t="shared" si="2318"/>
        <v>-0.33721600000000018</v>
      </c>
      <c r="BD270" s="89">
        <f t="shared" si="2318"/>
        <v>1.3743401570748017</v>
      </c>
      <c r="BE270" s="89">
        <f t="shared" si="2318"/>
        <v>-0.20539272835723688</v>
      </c>
      <c r="BF270" s="89">
        <f t="shared" si="2318"/>
        <v>-0.32889192186300453</v>
      </c>
      <c r="BG270" s="89">
        <f t="shared" si="2318"/>
        <v>1.0545796578285058</v>
      </c>
      <c r="BH270" s="89">
        <f t="shared" si="2318"/>
        <v>8.426027888791765E-3</v>
      </c>
      <c r="BI270" s="89">
        <f t="shared" si="2318"/>
        <v>-4.3250472381045624E-2</v>
      </c>
      <c r="BJ270" s="89">
        <f t="shared" si="2318"/>
        <v>-0.15949574874642536</v>
      </c>
      <c r="BK270" s="89">
        <f t="shared" si="2318"/>
        <v>0.46444919133353579</v>
      </c>
      <c r="BL270" s="89">
        <f t="shared" si="2318"/>
        <v>4.4592623463221237E-2</v>
      </c>
      <c r="BM270" s="89">
        <f t="shared" si="2318"/>
        <v>-0.10637342908437974</v>
      </c>
      <c r="BN270" s="89">
        <f t="shared" si="2318"/>
        <v>2.3918745465705937E-2</v>
      </c>
      <c r="BO270" s="89">
        <f t="shared" si="2318"/>
        <v>0.69419433604395198</v>
      </c>
      <c r="BP270" s="89">
        <f t="shared" si="2318"/>
        <v>-0.29161251302904323</v>
      </c>
      <c r="BQ270" s="89">
        <f t="shared" si="2318"/>
        <v>0.55308404254352905</v>
      </c>
      <c r="BR270" s="89">
        <f t="shared" si="2318"/>
        <v>-0.27543817583175911</v>
      </c>
      <c r="BS270" s="89">
        <f t="shared" si="2318"/>
        <v>0.32119940272004532</v>
      </c>
      <c r="BT270" s="89">
        <f t="shared" si="2318"/>
        <v>-0.22567047467774515</v>
      </c>
      <c r="BU270" s="89">
        <f t="shared" si="2318"/>
        <v>1.0650887573964152E-2</v>
      </c>
      <c r="BV270" s="89">
        <f t="shared" si="2318"/>
        <v>-2.4824355971896139E-2</v>
      </c>
      <c r="BW270" s="89">
        <f t="shared" si="2318"/>
        <v>0.38296509766250386</v>
      </c>
      <c r="BX270" s="89">
        <f t="shared" si="2318"/>
        <v>6.8418615420236417E-2</v>
      </c>
      <c r="BY270" s="89">
        <f t="shared" si="2318"/>
        <v>-5.3147686639938962E-2</v>
      </c>
      <c r="BZ270" s="89">
        <f t="shared" si="2318"/>
        <v>-6.3683698575270675E-2</v>
      </c>
      <c r="CA270" s="89">
        <f t="shared" si="2318"/>
        <v>0.4184184795893422</v>
      </c>
      <c r="CB270" s="89">
        <f t="shared" si="2318"/>
        <v>4.9243892981775561E-2</v>
      </c>
      <c r="CC270" s="89">
        <f t="shared" si="2318"/>
        <v>-8.3846596041717847E-2</v>
      </c>
      <c r="CD270" s="89">
        <f t="shared" si="2318"/>
        <v>-0.11204732879168133</v>
      </c>
      <c r="CE270" s="89">
        <f t="shared" si="2318"/>
        <v>0.41515243286896797</v>
      </c>
      <c r="CF270" s="89">
        <f t="shared" si="2318"/>
        <v>-3.5132146806006626E-2</v>
      </c>
      <c r="CG270" s="89">
        <f t="shared" si="2318"/>
        <v>-5.91823155404404E-2</v>
      </c>
      <c r="CH270" s="89">
        <f t="shared" si="2318"/>
        <v>-0.11029036187183239</v>
      </c>
      <c r="CI270" s="89">
        <f t="shared" si="2318"/>
        <v>0.32869634340222653</v>
      </c>
      <c r="CJ270" s="89">
        <f t="shared" si="2318"/>
        <v>2.9015854023332288E-2</v>
      </c>
      <c r="CK270" s="47">
        <f t="shared" si="2318"/>
        <v>-4.450904392764865E-2</v>
      </c>
      <c r="CL270" s="89">
        <f t="shared" si="2318"/>
        <v>-0.32009329997971747</v>
      </c>
      <c r="CM270" s="47">
        <f t="shared" si="2318"/>
        <v>0.59797240397965323</v>
      </c>
      <c r="CN270" s="47">
        <f t="shared" si="2318"/>
        <v>-1.6304950347181935E-2</v>
      </c>
      <c r="CO270" s="47">
        <f t="shared" si="2318"/>
        <v>-3.9868472770756669E-2</v>
      </c>
      <c r="CP270" s="47">
        <f t="shared" si="2318"/>
        <v>-5.9071622203405449E-2</v>
      </c>
      <c r="CQ270" s="47">
        <f t="shared" si="2318"/>
        <v>0.22686032278076507</v>
      </c>
      <c r="CR270" s="47">
        <f t="shared" si="2318"/>
        <v>-7.9243994196707135E-3</v>
      </c>
      <c r="CS270" s="47">
        <f t="shared" si="2318"/>
        <v>-1.8279284094414816E-2</v>
      </c>
      <c r="CT270" s="47">
        <f t="shared" si="2318"/>
        <v>-3.3830200261482868E-2</v>
      </c>
      <c r="CU270" s="47">
        <f t="shared" si="2318"/>
        <v>0.19225405251823191</v>
      </c>
      <c r="CV270" s="47">
        <f t="shared" si="2318"/>
        <v>-1.8885131332931904E-3</v>
      </c>
      <c r="CW270" s="47">
        <f t="shared" si="2318"/>
        <v>-1.3359357500707048E-2</v>
      </c>
      <c r="CX270" s="47">
        <f t="shared" ref="CX270:DB270" si="2319">CX48/CW48-1</f>
        <v>-3.3072097104173026E-2</v>
      </c>
      <c r="CY270" s="47">
        <f t="shared" si="2319"/>
        <v>0.18585611576326366</v>
      </c>
      <c r="CZ270" s="47">
        <f t="shared" si="2319"/>
        <v>1.0342527125395407E-4</v>
      </c>
      <c r="DA270" s="47">
        <f t="shared" si="2319"/>
        <v>-1.284755175550556E-2</v>
      </c>
      <c r="DB270" s="47">
        <f t="shared" si="2319"/>
        <v>-3.3635148842429796E-2</v>
      </c>
      <c r="DE270" s="130"/>
      <c r="DF270" s="89">
        <v>7.2385651293191966E-2</v>
      </c>
    </row>
    <row r="271" spans="1:110" s="103" customFormat="1" x14ac:dyDescent="0.2">
      <c r="A271" s="147" t="s">
        <v>105</v>
      </c>
      <c r="C271" s="103" t="str">
        <f>IF(C269&gt;C270,"RF",0)</f>
        <v>RF</v>
      </c>
      <c r="D271" s="103">
        <f t="shared" ref="D271:U271" si="2320">IF(D269&gt;D270,"RF",0)</f>
        <v>0</v>
      </c>
      <c r="F271" s="103" t="str">
        <f t="shared" si="2320"/>
        <v>RF</v>
      </c>
      <c r="G271" s="103" t="str">
        <f t="shared" si="2320"/>
        <v>RF</v>
      </c>
      <c r="H271" s="103" t="str">
        <f t="shared" si="2320"/>
        <v>RF</v>
      </c>
      <c r="I271" s="103" t="str">
        <f t="shared" si="2320"/>
        <v>RF</v>
      </c>
      <c r="J271" s="103" t="str">
        <f t="shared" si="2320"/>
        <v>RF</v>
      </c>
      <c r="K271" s="103">
        <f t="shared" si="2320"/>
        <v>0</v>
      </c>
      <c r="L271" s="103" t="str">
        <f t="shared" si="2320"/>
        <v>RF</v>
      </c>
      <c r="M271" s="103">
        <f t="shared" si="2320"/>
        <v>0</v>
      </c>
      <c r="N271" s="103">
        <f t="shared" si="2320"/>
        <v>0</v>
      </c>
      <c r="O271" s="103" t="str">
        <f t="shared" si="2320"/>
        <v>RF</v>
      </c>
      <c r="P271" s="103" t="str">
        <f t="shared" si="2320"/>
        <v>RF</v>
      </c>
      <c r="Q271" s="103" t="str">
        <f t="shared" si="2320"/>
        <v>RF</v>
      </c>
      <c r="R271" s="103">
        <f t="shared" si="2320"/>
        <v>0</v>
      </c>
      <c r="S271" s="103">
        <f t="shared" si="2320"/>
        <v>0</v>
      </c>
      <c r="T271" s="103">
        <f t="shared" si="2320"/>
        <v>0</v>
      </c>
      <c r="U271" s="103">
        <f t="shared" si="2320"/>
        <v>0</v>
      </c>
      <c r="V271" s="103">
        <f>IF(V269&gt;V270,"RF",0)</f>
        <v>0</v>
      </c>
      <c r="W271" s="103">
        <f t="shared" ref="W271:AE271" si="2321">IF(W269&gt;W270,"RF",0)</f>
        <v>0</v>
      </c>
      <c r="X271" s="103" t="str">
        <f t="shared" si="2321"/>
        <v>RF</v>
      </c>
      <c r="Y271" s="103">
        <f t="shared" si="2321"/>
        <v>0</v>
      </c>
      <c r="Z271" s="103">
        <f t="shared" si="2321"/>
        <v>0</v>
      </c>
      <c r="AA271" s="103">
        <f t="shared" ref="AA271" si="2322">IF(AA269&gt;AA270,"RF",0)</f>
        <v>0</v>
      </c>
      <c r="AB271" s="73" t="e">
        <f t="shared" si="2321"/>
        <v>#DIV/0!</v>
      </c>
      <c r="AC271" s="73" t="e">
        <f t="shared" si="2321"/>
        <v>#DIV/0!</v>
      </c>
      <c r="AD271" s="73" t="e">
        <f t="shared" si="2321"/>
        <v>#DIV/0!</v>
      </c>
      <c r="AE271" s="73" t="e">
        <f t="shared" si="2321"/>
        <v>#DIV/0!</v>
      </c>
      <c r="AL271" s="103">
        <f t="shared" ref="AL271:CW271" si="2323">IF(AL269&gt;AL270,"RF",0)</f>
        <v>0</v>
      </c>
      <c r="AM271" s="103">
        <f t="shared" si="2323"/>
        <v>0</v>
      </c>
      <c r="AN271" s="103" t="str">
        <f t="shared" si="2323"/>
        <v>RF</v>
      </c>
      <c r="AO271" s="103" t="str">
        <f t="shared" si="2323"/>
        <v>RF</v>
      </c>
      <c r="AP271" s="103" t="str">
        <f t="shared" si="2323"/>
        <v>RF</v>
      </c>
      <c r="AQ271" s="103">
        <f t="shared" si="2323"/>
        <v>0</v>
      </c>
      <c r="AR271" s="103">
        <f t="shared" si="2323"/>
        <v>0</v>
      </c>
      <c r="AS271" s="103" t="str">
        <f t="shared" si="2323"/>
        <v>RF</v>
      </c>
      <c r="AT271" s="103" t="str">
        <f t="shared" si="2323"/>
        <v>RF</v>
      </c>
      <c r="AU271" s="103">
        <f t="shared" si="2323"/>
        <v>0</v>
      </c>
      <c r="AV271" s="103" t="str">
        <f t="shared" si="2323"/>
        <v>RF</v>
      </c>
      <c r="AW271" s="103">
        <f t="shared" si="2323"/>
        <v>0</v>
      </c>
      <c r="AX271" s="103" t="str">
        <f t="shared" si="2323"/>
        <v>RF</v>
      </c>
      <c r="AY271" s="103">
        <f t="shared" si="2323"/>
        <v>0</v>
      </c>
      <c r="AZ271" s="103">
        <f t="shared" si="2323"/>
        <v>0</v>
      </c>
      <c r="BA271" s="103" t="str">
        <f t="shared" si="2323"/>
        <v>RF</v>
      </c>
      <c r="BB271" s="103">
        <f t="shared" si="2323"/>
        <v>0</v>
      </c>
      <c r="BC271" s="103" t="str">
        <f t="shared" si="2323"/>
        <v>RF</v>
      </c>
      <c r="BD271" s="103">
        <f t="shared" si="2323"/>
        <v>0</v>
      </c>
      <c r="BE271" s="103" t="str">
        <f t="shared" si="2323"/>
        <v>RF</v>
      </c>
      <c r="BF271" s="103">
        <f t="shared" si="2323"/>
        <v>0</v>
      </c>
      <c r="BG271" s="103">
        <f t="shared" si="2323"/>
        <v>0</v>
      </c>
      <c r="BH271" s="103" t="str">
        <f t="shared" si="2323"/>
        <v>RF</v>
      </c>
      <c r="BI271" s="103" t="str">
        <f t="shared" si="2323"/>
        <v>RF</v>
      </c>
      <c r="BJ271" s="103">
        <f t="shared" si="2323"/>
        <v>0</v>
      </c>
      <c r="BK271" s="103">
        <f t="shared" si="2323"/>
        <v>0</v>
      </c>
      <c r="BL271" s="103" t="str">
        <f t="shared" si="2323"/>
        <v>RF</v>
      </c>
      <c r="BM271" s="103" t="str">
        <f t="shared" si="2323"/>
        <v>RF</v>
      </c>
      <c r="BN271" s="103">
        <f t="shared" si="2323"/>
        <v>0</v>
      </c>
      <c r="BO271" s="103">
        <f t="shared" si="2323"/>
        <v>0</v>
      </c>
      <c r="BP271" s="103" t="str">
        <f t="shared" si="2323"/>
        <v>RF</v>
      </c>
      <c r="BQ271" s="103">
        <f t="shared" si="2323"/>
        <v>0</v>
      </c>
      <c r="BR271" s="103" t="str">
        <f t="shared" si="2323"/>
        <v>RF</v>
      </c>
      <c r="BS271" s="103">
        <f t="shared" si="2323"/>
        <v>0</v>
      </c>
      <c r="BT271" s="103" t="str">
        <f t="shared" si="2323"/>
        <v>RF</v>
      </c>
      <c r="BU271" s="103">
        <f t="shared" si="2323"/>
        <v>0</v>
      </c>
      <c r="BV271" s="103" t="str">
        <f t="shared" si="2323"/>
        <v>RF</v>
      </c>
      <c r="BW271" s="103">
        <f t="shared" si="2323"/>
        <v>0</v>
      </c>
      <c r="BX271" s="103" t="str">
        <f t="shared" si="2323"/>
        <v>RF</v>
      </c>
      <c r="BY271" s="103" t="str">
        <f t="shared" si="2323"/>
        <v>RF</v>
      </c>
      <c r="BZ271" s="103" t="str">
        <f t="shared" si="2323"/>
        <v>RF</v>
      </c>
      <c r="CA271" s="103">
        <f t="shared" si="2323"/>
        <v>0</v>
      </c>
      <c r="CB271" s="103">
        <f t="shared" si="2323"/>
        <v>0</v>
      </c>
      <c r="CC271" s="103" t="str">
        <f t="shared" si="2323"/>
        <v>RF</v>
      </c>
      <c r="CD271" s="103">
        <f t="shared" si="2323"/>
        <v>0</v>
      </c>
      <c r="CE271" s="103">
        <f t="shared" si="2323"/>
        <v>0</v>
      </c>
      <c r="CF271" s="103">
        <f t="shared" si="2323"/>
        <v>0</v>
      </c>
      <c r="CG271" s="103" t="str">
        <f t="shared" si="2323"/>
        <v>RF</v>
      </c>
      <c r="CH271" s="103">
        <f t="shared" si="2323"/>
        <v>0</v>
      </c>
      <c r="CI271" s="103">
        <f t="shared" si="2323"/>
        <v>0</v>
      </c>
      <c r="CJ271" s="103">
        <f t="shared" si="2323"/>
        <v>0</v>
      </c>
      <c r="CK271" s="73" t="str">
        <f t="shared" si="2323"/>
        <v>RF</v>
      </c>
      <c r="CL271" s="103">
        <f t="shared" ref="CL271" si="2324">IF(CL269&gt;CL270,"RF",0)</f>
        <v>0</v>
      </c>
      <c r="CM271" s="73" t="e">
        <f t="shared" si="2323"/>
        <v>#DIV/0!</v>
      </c>
      <c r="CN271" s="73" t="e">
        <f t="shared" si="2323"/>
        <v>#DIV/0!</v>
      </c>
      <c r="CO271" s="73" t="e">
        <f t="shared" si="2323"/>
        <v>#DIV/0!</v>
      </c>
      <c r="CP271" s="73" t="e">
        <f t="shared" si="2323"/>
        <v>#DIV/0!</v>
      </c>
      <c r="CQ271" s="73" t="e">
        <f t="shared" si="2323"/>
        <v>#DIV/0!</v>
      </c>
      <c r="CR271" s="73" t="e">
        <f t="shared" si="2323"/>
        <v>#DIV/0!</v>
      </c>
      <c r="CS271" s="73" t="e">
        <f t="shared" si="2323"/>
        <v>#DIV/0!</v>
      </c>
      <c r="CT271" s="73" t="e">
        <f t="shared" si="2323"/>
        <v>#DIV/0!</v>
      </c>
      <c r="CU271" s="73" t="e">
        <f t="shared" si="2323"/>
        <v>#DIV/0!</v>
      </c>
      <c r="CV271" s="73" t="e">
        <f t="shared" si="2323"/>
        <v>#DIV/0!</v>
      </c>
      <c r="CW271" s="73" t="e">
        <f t="shared" si="2323"/>
        <v>#DIV/0!</v>
      </c>
      <c r="CX271" s="73" t="e">
        <f t="shared" ref="CX271:DB271" si="2325">IF(CX269&gt;CX270,"RF",0)</f>
        <v>#DIV/0!</v>
      </c>
      <c r="CY271" s="73" t="e">
        <f t="shared" si="2325"/>
        <v>#DIV/0!</v>
      </c>
      <c r="CZ271" s="73" t="e">
        <f t="shared" si="2325"/>
        <v>#DIV/0!</v>
      </c>
      <c r="DA271" s="73" t="e">
        <f t="shared" si="2325"/>
        <v>#DIV/0!</v>
      </c>
      <c r="DB271" s="73" t="e">
        <f t="shared" si="2325"/>
        <v>#DIV/0!</v>
      </c>
      <c r="DE271" s="142"/>
      <c r="DF271" s="103">
        <v>0</v>
      </c>
    </row>
    <row r="272" spans="1:110" s="86" customFormat="1" x14ac:dyDescent="0.2">
      <c r="A272" s="86" t="s">
        <v>432</v>
      </c>
      <c r="B272" s="86">
        <f>B56/B28</f>
        <v>7.8082111041880668E-3</v>
      </c>
      <c r="C272" s="86">
        <f>C56/C28</f>
        <v>5.1227414799691054E-3</v>
      </c>
      <c r="D272" s="86">
        <f>D56/D28</f>
        <v>5.2585741705885973E-3</v>
      </c>
      <c r="F272" s="86">
        <f t="shared" ref="F272:AE272" si="2326">F56/F28</f>
        <v>9.3208730148529925E-3</v>
      </c>
      <c r="G272" s="86">
        <f t="shared" si="2326"/>
        <v>1.1190022870543437E-2</v>
      </c>
      <c r="H272" s="86">
        <f t="shared" si="2326"/>
        <v>2.071020188433232E-2</v>
      </c>
      <c r="I272" s="86">
        <f t="shared" si="2326"/>
        <v>3.0875524827075247E-2</v>
      </c>
      <c r="J272" s="86">
        <f t="shared" si="2326"/>
        <v>2.0912546479909568E-2</v>
      </c>
      <c r="K272" s="86">
        <f t="shared" si="2326"/>
        <v>1.5163128113971386E-2</v>
      </c>
      <c r="L272" s="86">
        <f t="shared" si="2326"/>
        <v>1.1700330788038116E-2</v>
      </c>
      <c r="M272" s="86">
        <f t="shared" si="2326"/>
        <v>2.9691688660189747E-2</v>
      </c>
      <c r="N272" s="86">
        <f t="shared" si="2326"/>
        <v>6.0248654913352762E-3</v>
      </c>
      <c r="O272" s="86">
        <f t="shared" si="2326"/>
        <v>5.7355592784185368E-3</v>
      </c>
      <c r="P272" s="86">
        <f t="shared" si="2326"/>
        <v>5.8891161294659733E-3</v>
      </c>
      <c r="Q272" s="86">
        <f t="shared" si="2326"/>
        <v>8.6440776915500048E-3</v>
      </c>
      <c r="R272" s="86">
        <f t="shared" si="2326"/>
        <v>3.9256985040747134E-3</v>
      </c>
      <c r="S272" s="86">
        <f t="shared" si="2326"/>
        <v>2.4700661593792133E-3</v>
      </c>
      <c r="T272" s="86">
        <f t="shared" si="2326"/>
        <v>2.828930664817268E-3</v>
      </c>
      <c r="U272" s="86">
        <f t="shared" si="2326"/>
        <v>1.8357167862971312E-3</v>
      </c>
      <c r="V272" s="86">
        <f t="shared" si="2326"/>
        <v>3.5452258397280028E-3</v>
      </c>
      <c r="W272" s="86">
        <f t="shared" si="2326"/>
        <v>2.0579194713463904E-3</v>
      </c>
      <c r="X272" s="86">
        <f t="shared" si="2326"/>
        <v>1.1027262861286148E-2</v>
      </c>
      <c r="Y272" s="86">
        <f t="shared" si="2326"/>
        <v>1.2297251211319485E-2</v>
      </c>
      <c r="Z272" s="86">
        <f t="shared" si="2326"/>
        <v>3.1058477905265207E-3</v>
      </c>
      <c r="AA272" s="86">
        <f t="shared" ref="AA272" si="2327">AA56/AA28</f>
        <v>1.389886016965885E-3</v>
      </c>
      <c r="AB272" s="87">
        <f t="shared" si="2326"/>
        <v>-9.1977892023842461E-3</v>
      </c>
      <c r="AC272" s="87">
        <f t="shared" si="2326"/>
        <v>-1.5142316294790632E-2</v>
      </c>
      <c r="AD272" s="87">
        <f t="shared" si="2326"/>
        <v>-2.1360309330985029E-2</v>
      </c>
      <c r="AE272" s="87">
        <f t="shared" si="2326"/>
        <v>-2.7477586454477745E-2</v>
      </c>
      <c r="AL272" s="86">
        <f t="shared" ref="AL272:CW272" si="2328">AL56/AL28</f>
        <v>5.6740630971415197E-3</v>
      </c>
      <c r="AM272" s="86">
        <f t="shared" si="2328"/>
        <v>6.245004846361828E-3</v>
      </c>
      <c r="AN272" s="86">
        <f t="shared" si="2328"/>
        <v>7.5003850908616949E-3</v>
      </c>
      <c r="AO272" s="86">
        <f t="shared" si="2328"/>
        <v>7.9199405482586159E-3</v>
      </c>
      <c r="AP272" s="86">
        <f t="shared" si="2328"/>
        <v>3.7708116431464838E-3</v>
      </c>
      <c r="AQ272" s="86">
        <f t="shared" si="2328"/>
        <v>5.0494472645019285E-3</v>
      </c>
      <c r="AR272" s="86">
        <f t="shared" si="2328"/>
        <v>8.0425893284045424E-3</v>
      </c>
      <c r="AS272" s="86">
        <f t="shared" si="2328"/>
        <v>1.0805866367073043E-2</v>
      </c>
      <c r="AT272" s="86">
        <f t="shared" si="2328"/>
        <v>8.7419440829191038E-4</v>
      </c>
      <c r="AU272" s="86">
        <f t="shared" si="2328"/>
        <v>6.9596914935540159E-3</v>
      </c>
      <c r="AV272" s="86">
        <f t="shared" si="2328"/>
        <v>1.1518306616497428E-2</v>
      </c>
      <c r="AW272" s="86">
        <f t="shared" si="2328"/>
        <v>1.0149336185251946E-2</v>
      </c>
      <c r="AX272" s="86">
        <f t="shared" si="2328"/>
        <v>6.9296040745279244E-3</v>
      </c>
      <c r="AY272" s="86">
        <f t="shared" si="2328"/>
        <v>2.4786183373211833E-3</v>
      </c>
      <c r="AZ272" s="86">
        <f t="shared" si="2328"/>
        <v>6.7432202940083848E-3</v>
      </c>
      <c r="BA272" s="86">
        <f t="shared" si="2328"/>
        <v>8.7889989221721487E-3</v>
      </c>
      <c r="BB272" s="86">
        <f t="shared" si="2328"/>
        <v>-7.869079415663712E-4</v>
      </c>
      <c r="BC272" s="86">
        <f t="shared" si="2328"/>
        <v>2.786800921652492E-3</v>
      </c>
      <c r="BD272" s="86">
        <f t="shared" si="2328"/>
        <v>3.0548285581842626E-3</v>
      </c>
      <c r="BE272" s="86">
        <f t="shared" si="2328"/>
        <v>2.0049746999100879E-3</v>
      </c>
      <c r="BF272" s="86">
        <f t="shared" si="2328"/>
        <v>2.9861150360782985E-3</v>
      </c>
      <c r="BG272" s="86">
        <f t="shared" si="2328"/>
        <v>3.1431548525985707E-3</v>
      </c>
      <c r="BH272" s="86">
        <f t="shared" si="2328"/>
        <v>1.7549380603340355E-3</v>
      </c>
      <c r="BI272" s="86">
        <f t="shared" si="2328"/>
        <v>3.3950568809452755E-3</v>
      </c>
      <c r="BJ272" s="86">
        <f t="shared" si="2328"/>
        <v>3.1223517897425493E-3</v>
      </c>
      <c r="BK272" s="86">
        <f t="shared" si="2328"/>
        <v>1.8022460828046895E-3</v>
      </c>
      <c r="BL272" s="86">
        <f t="shared" si="2328"/>
        <v>1.9149155268099131E-3</v>
      </c>
      <c r="BM272" s="86">
        <f t="shared" si="2328"/>
        <v>1.9900520726404002E-3</v>
      </c>
      <c r="BN272" s="86">
        <f t="shared" si="2328"/>
        <v>1.1249659015846463E-3</v>
      </c>
      <c r="BO272" s="86">
        <f t="shared" si="2328"/>
        <v>7.1704146203701051E-3</v>
      </c>
      <c r="BP272" s="86">
        <f t="shared" si="2328"/>
        <v>3.8686638230334288E-3</v>
      </c>
      <c r="BQ272" s="86">
        <f t="shared" si="2328"/>
        <v>1.9900878666659371E-3</v>
      </c>
      <c r="BR272" s="86">
        <f t="shared" si="2328"/>
        <v>1.3038007020465317E-3</v>
      </c>
      <c r="BS272" s="86">
        <f t="shared" si="2328"/>
        <v>1.5511807125530123E-3</v>
      </c>
      <c r="BT272" s="86">
        <f t="shared" si="2328"/>
        <v>2.0741640107249455E-3</v>
      </c>
      <c r="BU272" s="86">
        <f t="shared" si="2328"/>
        <v>2.2309165071172899E-3</v>
      </c>
      <c r="BV272" s="86">
        <f t="shared" si="2328"/>
        <v>2.5776909652732191E-3</v>
      </c>
      <c r="BW272" s="86">
        <f t="shared" si="2328"/>
        <v>7.428549585249934E-3</v>
      </c>
      <c r="BX272" s="86">
        <f t="shared" si="2328"/>
        <v>9.8339592804902141E-3</v>
      </c>
      <c r="BY272" s="86">
        <f t="shared" si="2328"/>
        <v>1.0470411625941391E-2</v>
      </c>
      <c r="BZ272" s="86">
        <f t="shared" si="2328"/>
        <v>1.8312519676776155E-2</v>
      </c>
      <c r="CA272" s="86">
        <f t="shared" si="2328"/>
        <v>1.34568176746262E-2</v>
      </c>
      <c r="CB272" s="86">
        <f t="shared" si="2328"/>
        <v>1.1760836527774626E-2</v>
      </c>
      <c r="CC272" s="86">
        <f t="shared" si="2328"/>
        <v>1.4789641330475662E-2</v>
      </c>
      <c r="CD272" s="86">
        <f t="shared" si="2328"/>
        <v>1.0919893702203707E-2</v>
      </c>
      <c r="CE272" s="86">
        <f t="shared" si="2328"/>
        <v>5.6152927120669055E-3</v>
      </c>
      <c r="CF272" s="86">
        <f t="shared" si="2328"/>
        <v>2.0587235913733484E-3</v>
      </c>
      <c r="CG272" s="86">
        <f t="shared" si="2328"/>
        <v>2.6777652077343821E-3</v>
      </c>
      <c r="CH272" s="86">
        <f t="shared" si="2328"/>
        <v>1.5271517040906602E-3</v>
      </c>
      <c r="CI272" s="86">
        <f t="shared" si="2328"/>
        <v>1.0146808782931422E-3</v>
      </c>
      <c r="CJ272" s="86">
        <f t="shared" si="2328"/>
        <v>1.2443543183703566E-3</v>
      </c>
      <c r="CK272" s="87">
        <f t="shared" si="2328"/>
        <v>1.7657224434593131E-3</v>
      </c>
      <c r="CL272" s="86">
        <f t="shared" ref="CL272" si="2329">CL56/CL28</f>
        <v>1.3602733817723366E-3</v>
      </c>
      <c r="CM272" s="87">
        <f t="shared" si="2328"/>
        <v>-9.1672347351730923E-3</v>
      </c>
      <c r="CN272" s="87">
        <f t="shared" si="2328"/>
        <v>-6.3942239690215627E-3</v>
      </c>
      <c r="CO272" s="87">
        <f t="shared" si="2328"/>
        <v>-9.0867548969808774E-3</v>
      </c>
      <c r="CP272" s="87">
        <f t="shared" si="2328"/>
        <v>-1.2320974286057999E-2</v>
      </c>
      <c r="CQ272" s="87">
        <f t="shared" si="2328"/>
        <v>-1.3228616252670767E-2</v>
      </c>
      <c r="CR272" s="87">
        <f t="shared" si="2328"/>
        <v>-1.2737318584081642E-2</v>
      </c>
      <c r="CS272" s="87">
        <f t="shared" si="2328"/>
        <v>-1.5615368408598011E-2</v>
      </c>
      <c r="CT272" s="87">
        <f t="shared" si="2328"/>
        <v>-1.9244016160968488E-2</v>
      </c>
      <c r="CU272" s="87">
        <f t="shared" si="2328"/>
        <v>-1.9189569463626138E-2</v>
      </c>
      <c r="CV272" s="87">
        <f t="shared" si="2328"/>
        <v>-1.8758697940852369E-2</v>
      </c>
      <c r="CW272" s="87">
        <f t="shared" si="2328"/>
        <v>-2.187084794537179E-2</v>
      </c>
      <c r="CX272" s="87">
        <f t="shared" ref="CX272:DB272" si="2330">CX56/CX28</f>
        <v>-2.5905377753279175E-2</v>
      </c>
      <c r="CY272" s="87">
        <f t="shared" si="2330"/>
        <v>-2.4978710833113104E-2</v>
      </c>
      <c r="CZ272" s="87">
        <f t="shared" si="2330"/>
        <v>-2.4702690435688977E-2</v>
      </c>
      <c r="DA272" s="87">
        <f t="shared" si="2330"/>
        <v>-2.8053947434099991E-2</v>
      </c>
      <c r="DB272" s="87">
        <f t="shared" si="2330"/>
        <v>-3.2487349459089231E-2</v>
      </c>
      <c r="DE272" s="141"/>
      <c r="DF272" s="86">
        <v>1.389886016965885E-3</v>
      </c>
    </row>
    <row r="273" spans="1:110" s="86" customFormat="1" x14ac:dyDescent="0.2">
      <c r="A273" s="86" t="s">
        <v>433</v>
      </c>
      <c r="B273" s="86">
        <f>B52/B28</f>
        <v>2.1126837647138068E-2</v>
      </c>
      <c r="C273" s="86">
        <f>C52/C28</f>
        <v>2.1397706739080345E-2</v>
      </c>
      <c r="D273" s="86">
        <f>D52/D28</f>
        <v>2.504149618508323E-2</v>
      </c>
      <c r="F273" s="86">
        <f t="shared" ref="F273:AE273" si="2331">F52/F28</f>
        <v>2.8085519297749561E-2</v>
      </c>
      <c r="G273" s="86">
        <f t="shared" si="2331"/>
        <v>2.2245915559764427E-2</v>
      </c>
      <c r="H273" s="86">
        <f t="shared" si="2331"/>
        <v>2.0871482526273463E-2</v>
      </c>
      <c r="I273" s="86">
        <f t="shared" si="2331"/>
        <v>2.8937425185227295E-2</v>
      </c>
      <c r="J273" s="86">
        <f t="shared" si="2331"/>
        <v>2.8169520982871347E-2</v>
      </c>
      <c r="K273" s="86">
        <f t="shared" si="2331"/>
        <v>2.8278091984626837E-2</v>
      </c>
      <c r="L273" s="86">
        <f t="shared" si="2331"/>
        <v>2.540590379163141E-2</v>
      </c>
      <c r="M273" s="86">
        <f t="shared" si="2331"/>
        <v>2.7710232666306994E-2</v>
      </c>
      <c r="N273" s="86">
        <f t="shared" si="2331"/>
        <v>2.8133609487263476E-2</v>
      </c>
      <c r="O273" s="86">
        <f t="shared" si="2331"/>
        <v>2.7089129226129702E-2</v>
      </c>
      <c r="P273" s="86">
        <f t="shared" si="2331"/>
        <v>3.3346401656153178E-2</v>
      </c>
      <c r="Q273" s="86">
        <f t="shared" si="2331"/>
        <v>3.3470985433301251E-2</v>
      </c>
      <c r="R273" s="86">
        <f t="shared" si="2331"/>
        <v>3.4512762758922094E-2</v>
      </c>
      <c r="S273" s="86">
        <f t="shared" si="2331"/>
        <v>4.0299191988953202E-2</v>
      </c>
      <c r="T273" s="86">
        <f t="shared" si="2331"/>
        <v>3.3861968388031065E-2</v>
      </c>
      <c r="U273" s="86">
        <f t="shared" si="2331"/>
        <v>3.7370379513132455E-2</v>
      </c>
      <c r="V273" s="86">
        <f t="shared" si="2331"/>
        <v>3.3618005979374019E-2</v>
      </c>
      <c r="W273" s="86">
        <f t="shared" si="2331"/>
        <v>2.9201879307896021E-2</v>
      </c>
      <c r="X273" s="86">
        <f t="shared" si="2331"/>
        <v>3.4992690210963219E-2</v>
      </c>
      <c r="Y273" s="86">
        <f t="shared" si="2331"/>
        <v>3.8373276297360183E-2</v>
      </c>
      <c r="Z273" s="86">
        <f t="shared" si="2331"/>
        <v>4.5290696390442961E-2</v>
      </c>
      <c r="AA273" s="86">
        <f t="shared" ref="AA273" si="2332">AA52/AA28</f>
        <v>4.5553849933346276E-2</v>
      </c>
      <c r="AB273" s="87">
        <f t="shared" si="2331"/>
        <v>4.1313361540830706E-2</v>
      </c>
      <c r="AC273" s="87">
        <f t="shared" si="2331"/>
        <v>3.6109588693210501E-2</v>
      </c>
      <c r="AD273" s="87">
        <f t="shared" si="2331"/>
        <v>3.1479293318124504E-2</v>
      </c>
      <c r="AE273" s="87">
        <f t="shared" si="2331"/>
        <v>2.7514157864996138E-2</v>
      </c>
      <c r="AL273" s="86">
        <f t="shared" ref="AL273:CW273" si="2333">AL52/AL28</f>
        <v>2.9276995671333308E-2</v>
      </c>
      <c r="AM273" s="86">
        <f t="shared" si="2333"/>
        <v>3.1883959392589319E-2</v>
      </c>
      <c r="AN273" s="86">
        <f t="shared" si="2333"/>
        <v>2.9622373976546979E-2</v>
      </c>
      <c r="AO273" s="86">
        <f t="shared" si="2333"/>
        <v>2.5049891032974007E-2</v>
      </c>
      <c r="AP273" s="86">
        <f t="shared" si="2333"/>
        <v>2.6968739883988485E-2</v>
      </c>
      <c r="AQ273" s="86">
        <f t="shared" si="2333"/>
        <v>3.7699493151258742E-2</v>
      </c>
      <c r="AR273" s="86">
        <f t="shared" si="2333"/>
        <v>3.571708925347359E-2</v>
      </c>
      <c r="AS273" s="86">
        <f t="shared" si="2333"/>
        <v>3.8372781514263599E-2</v>
      </c>
      <c r="AT273" s="86">
        <f t="shared" si="2333"/>
        <v>2.9714769573330406E-2</v>
      </c>
      <c r="AU273" s="86">
        <f t="shared" si="2333"/>
        <v>3.4376231492428078E-2</v>
      </c>
      <c r="AV273" s="86">
        <f t="shared" si="2333"/>
        <v>3.4499939865642655E-2</v>
      </c>
      <c r="AW273" s="86">
        <f t="shared" si="2333"/>
        <v>3.6213228133421635E-2</v>
      </c>
      <c r="AX273" s="86">
        <f t="shared" si="2333"/>
        <v>3.4261574387549169E-2</v>
      </c>
      <c r="AY273" s="86">
        <f t="shared" si="2333"/>
        <v>3.6008374484549202E-2</v>
      </c>
      <c r="AZ273" s="86">
        <f t="shared" si="2333"/>
        <v>3.7092686939447006E-2</v>
      </c>
      <c r="BA273" s="86">
        <f t="shared" si="2333"/>
        <v>4.1087665743158683E-2</v>
      </c>
      <c r="BB273" s="86">
        <f t="shared" si="2333"/>
        <v>4.0507800510673868E-2</v>
      </c>
      <c r="BC273" s="86">
        <f t="shared" si="2333"/>
        <v>5.04794988690732E-2</v>
      </c>
      <c r="BD273" s="86">
        <f t="shared" si="2333"/>
        <v>4.1250262726772791E-2</v>
      </c>
      <c r="BE273" s="86">
        <f t="shared" si="2333"/>
        <v>4.6760866569097788E-2</v>
      </c>
      <c r="BF273" s="86">
        <f t="shared" si="2333"/>
        <v>4.0954677618895104E-2</v>
      </c>
      <c r="BG273" s="86">
        <f t="shared" si="2333"/>
        <v>3.610081687621032E-2</v>
      </c>
      <c r="BH273" s="86">
        <f t="shared" si="2333"/>
        <v>3.3748102071240377E-2</v>
      </c>
      <c r="BI273" s="86">
        <f t="shared" si="2333"/>
        <v>3.8374351483930411E-2</v>
      </c>
      <c r="BJ273" s="86">
        <f t="shared" si="2333"/>
        <v>2.7690581621570006E-2</v>
      </c>
      <c r="BK273" s="86">
        <f t="shared" si="2333"/>
        <v>3.5412790567348862E-2</v>
      </c>
      <c r="BL273" s="86">
        <f t="shared" si="2333"/>
        <v>3.5903570638254056E-2</v>
      </c>
      <c r="BM273" s="86">
        <f t="shared" si="2333"/>
        <v>3.9075477332536995E-2</v>
      </c>
      <c r="BN273" s="86">
        <f t="shared" si="2333"/>
        <v>3.9202469063437703E-2</v>
      </c>
      <c r="BO273" s="86">
        <f t="shared" si="2333"/>
        <v>3.3112189704854633E-2</v>
      </c>
      <c r="BP273" s="86">
        <f t="shared" si="2333"/>
        <v>3.93314155341732E-2</v>
      </c>
      <c r="BQ273" s="86">
        <f t="shared" si="2333"/>
        <v>3.1726487868854854E-2</v>
      </c>
      <c r="BR273" s="86">
        <f t="shared" si="2333"/>
        <v>3.1283647614271791E-2</v>
      </c>
      <c r="BS273" s="86">
        <f t="shared" si="2333"/>
        <v>2.9455931616033271E-2</v>
      </c>
      <c r="BT273" s="86">
        <f t="shared" si="2333"/>
        <v>2.654255408846394E-2</v>
      </c>
      <c r="BU273" s="86">
        <f t="shared" si="2333"/>
        <v>2.8252726213268957E-2</v>
      </c>
      <c r="BV273" s="86">
        <f t="shared" si="2333"/>
        <v>3.5399221889559546E-2</v>
      </c>
      <c r="BW273" s="86">
        <f t="shared" si="2333"/>
        <v>3.3230973101769853E-2</v>
      </c>
      <c r="BX273" s="86">
        <f t="shared" si="2333"/>
        <v>3.4752421427159515E-2</v>
      </c>
      <c r="BY273" s="86">
        <f t="shared" si="2333"/>
        <v>3.5826468695992222E-2</v>
      </c>
      <c r="BZ273" s="86">
        <f t="shared" si="2333"/>
        <v>4.1714765452828206E-2</v>
      </c>
      <c r="CA273" s="86">
        <f t="shared" si="2333"/>
        <v>3.5014505690694038E-2</v>
      </c>
      <c r="CB273" s="86">
        <f t="shared" si="2333"/>
        <v>3.6484678022999976E-2</v>
      </c>
      <c r="CC273" s="86">
        <f t="shared" si="2333"/>
        <v>4.0295556002889255E-2</v>
      </c>
      <c r="CD273" s="86">
        <f t="shared" si="2333"/>
        <v>4.7276989312197558E-2</v>
      </c>
      <c r="CE273" s="86">
        <f t="shared" si="2333"/>
        <v>4.0601354042214259E-2</v>
      </c>
      <c r="CF273" s="86">
        <f t="shared" si="2333"/>
        <v>4.185405048869701E-2</v>
      </c>
      <c r="CG273" s="86">
        <f t="shared" si="2333"/>
        <v>4.3529253028054257E-2</v>
      </c>
      <c r="CH273" s="86">
        <f t="shared" si="2333"/>
        <v>4.8910982853772586E-2</v>
      </c>
      <c r="CI273" s="86">
        <f t="shared" si="2333"/>
        <v>3.9033219372177637E-2</v>
      </c>
      <c r="CJ273" s="86">
        <f t="shared" si="2333"/>
        <v>4.096230067287307E-2</v>
      </c>
      <c r="CK273" s="87">
        <f t="shared" si="2333"/>
        <v>4.2593357878127583E-2</v>
      </c>
      <c r="CL273" s="86">
        <f t="shared" ref="CL273" si="2334">CL52/CL28</f>
        <v>5.530672505888988E-2</v>
      </c>
      <c r="CM273" s="87">
        <f t="shared" si="2333"/>
        <v>4.0962508113423668E-2</v>
      </c>
      <c r="CN273" s="87">
        <f t="shared" si="2333"/>
        <v>4.0809297169606358E-2</v>
      </c>
      <c r="CO273" s="87">
        <f t="shared" si="2333"/>
        <v>4.1145903684343524E-2</v>
      </c>
      <c r="CP273" s="87">
        <f t="shared" si="2333"/>
        <v>4.2397551683076518E-2</v>
      </c>
      <c r="CQ273" s="87">
        <f t="shared" si="2333"/>
        <v>3.5786831415314649E-2</v>
      </c>
      <c r="CR273" s="87">
        <f t="shared" si="2333"/>
        <v>3.5653738704995289E-2</v>
      </c>
      <c r="CS273" s="87">
        <f t="shared" si="2333"/>
        <v>3.597133285033146E-2</v>
      </c>
      <c r="CT273" s="87">
        <f t="shared" si="2333"/>
        <v>3.7081626499007148E-2</v>
      </c>
      <c r="CU273" s="87">
        <f t="shared" si="2333"/>
        <v>3.1175300988096812E-2</v>
      </c>
      <c r="CV273" s="87">
        <f t="shared" si="2333"/>
        <v>3.1066814838198092E-2</v>
      </c>
      <c r="CW273" s="87">
        <f t="shared" si="2333"/>
        <v>3.1366351559451722E-2</v>
      </c>
      <c r="CX273" s="87">
        <f t="shared" ref="CX273:DB273" si="2335">CX52/CX28</f>
        <v>3.2358876950607116E-2</v>
      </c>
      <c r="CY273" s="87">
        <f t="shared" si="2335"/>
        <v>2.72299321029148E-2</v>
      </c>
      <c r="CZ273" s="87">
        <f t="shared" si="2335"/>
        <v>2.7140918907441171E-2</v>
      </c>
      <c r="DA273" s="87">
        <f t="shared" si="2335"/>
        <v>2.7421681518303126E-2</v>
      </c>
      <c r="DB273" s="87">
        <f t="shared" si="2335"/>
        <v>2.8309636494319331E-2</v>
      </c>
      <c r="DE273" s="141"/>
      <c r="DF273" s="86">
        <v>4.5553849933346276E-2</v>
      </c>
    </row>
    <row r="274" spans="1:110" s="85" customFormat="1" x14ac:dyDescent="0.2">
      <c r="AB274" s="58"/>
      <c r="AC274" s="58"/>
      <c r="AD274" s="58"/>
      <c r="AE274" s="58"/>
      <c r="CK274" s="72"/>
      <c r="CM274" s="72"/>
      <c r="CN274" s="72"/>
      <c r="CO274" s="72"/>
      <c r="CP274" s="72"/>
      <c r="CQ274" s="72"/>
      <c r="CR274" s="72"/>
      <c r="CS274" s="72"/>
      <c r="CT274" s="72"/>
      <c r="CU274" s="72"/>
      <c r="CV274" s="72"/>
      <c r="CW274" s="72"/>
      <c r="CX274" s="72"/>
      <c r="CY274" s="72"/>
      <c r="CZ274" s="72"/>
      <c r="DA274" s="72"/>
      <c r="DB274" s="72"/>
      <c r="DE274" s="143"/>
    </row>
  </sheetData>
  <sortState xmlns:xlrd2="http://schemas.microsoft.com/office/spreadsheetml/2017/richdata2" ref="A40:DE45">
    <sortCondition ref="A40:A4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106943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JB Chemicals &amp; Pharmaceuticals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184.84700000000001</v>
      </c>
      <c r="D6">
        <f>_xll.EQNXTDZ($A$1,$B6,D$1,$B$1)</f>
        <v>212.125</v>
      </c>
      <c r="E6">
        <f>_xll.EQNXTDZ($A$1,$B6,E$1,$B$1)</f>
        <v>199.761</v>
      </c>
      <c r="F6">
        <f>_xll.EQNXTDZ($A$1,$B6,F$1,$B$1)</f>
        <v>197.72800000000001</v>
      </c>
      <c r="G6">
        <f>_xll.EQNXTDZ($A$1,$B6,G$1,$B$1)</f>
        <v>229.167</v>
      </c>
      <c r="H6">
        <f>_xll.EQNXTDZ($A$1,$B6,H$1,$B$1)</f>
        <v>247.44</v>
      </c>
      <c r="I6">
        <f>_xll.EQNXTDZ($A$1,$B6,I$1,$B$1)</f>
        <v>234.221</v>
      </c>
      <c r="J6">
        <f>_xll.EQNXTDZ($A$1,$B6,J$1,$B$1)</f>
        <v>223.608</v>
      </c>
      <c r="K6">
        <f>_xll.EQNXTDZ($A$1,$B6,K$1,$B$1)</f>
        <v>256.71199999999999</v>
      </c>
      <c r="L6">
        <f>_xll.EQNXTDZ($A$1,$B6,L$1,$B$1)</f>
        <v>274.86099999999999</v>
      </c>
      <c r="M6">
        <f>_xll.EQNXTDZ($A$1,$B6,M$1,$B$1)</f>
        <v>256.80599999999998</v>
      </c>
      <c r="N6">
        <f>_xll.EQNXTDZ($A$1,$B6,N$1,$B$1)</f>
        <v>249.75700000000001</v>
      </c>
      <c r="O6">
        <f>_xll.EQNXTDZ($A$1,$B6,O$1,$B$1)</f>
        <v>279.149</v>
      </c>
      <c r="P6">
        <f>_xll.EQNXTDZ($A$1,$B6,P$1,$B$1)</f>
        <v>284.94400000000002</v>
      </c>
      <c r="Q6">
        <f>_xll.EQNXTDZ($A$1,$B6,Q$1,$B$1)</f>
        <v>274.613</v>
      </c>
      <c r="R6">
        <f>_xll.EQNXTDZ($A$1,$B6,R$1,$B$1)</f>
        <v>302.75900000000001</v>
      </c>
      <c r="S6">
        <f>_xll.EQNXTDZ($A$1,$B6,S$1,$B$1)</f>
        <v>314.28800000000001</v>
      </c>
      <c r="T6">
        <f>_xll.EQNXTDZ($A$1,$B6,T$1,$B$1)</f>
        <v>301.488</v>
      </c>
      <c r="U6">
        <f>_xll.EQNXTDZ($A$1,$B6,U$1,$B$1)</f>
        <v>276.48200000000003</v>
      </c>
      <c r="V6">
        <f>_xll.EQNXTDZ($A$1,$B6,V$1,$B$1)</f>
        <v>306.262</v>
      </c>
      <c r="W6">
        <f>_xll.EQNXTDZ($A$1,$B6,W$1,$B$1)</f>
        <v>283.83800000000002</v>
      </c>
      <c r="X6">
        <f>_xll.EQNXTDZ($A$1,$B6,X$1,$B$1)</f>
        <v>347.31900000000002</v>
      </c>
      <c r="Y6">
        <f>_xll.EQNXTDZ($A$1,$B6,Y$1,$B$1)</f>
        <v>304.74200000000002</v>
      </c>
      <c r="Z6">
        <f>_xll.EQNXTDZ($A$1,$B6,Z$1,$B$1)</f>
        <v>318.47399999999999</v>
      </c>
      <c r="AA6">
        <f>_xll.EQNXTDZ($A$1,$B6,AA$1,$B$1)</f>
        <v>406.916</v>
      </c>
      <c r="AB6">
        <f>_xll.EQNXTDZ($A$1,$B6,AB$1,$B$1)</f>
        <v>435.34300000000002</v>
      </c>
      <c r="AC6">
        <f>_xll.EQNXTDZ($A$1,$B6,AC$1,$B$1)</f>
        <v>382.02600000000001</v>
      </c>
      <c r="AD6">
        <f>_xll.EQNXTDZ($A$1,$B6,AD$1,$B$1)</f>
        <v>418.91500000000002</v>
      </c>
      <c r="AE6">
        <f>_xll.EQNXTDZ($A$1,$B6,AE$1,$B$1)</f>
        <v>446.11</v>
      </c>
      <c r="AF6">
        <f>_xll.EQNXTDZ($A$1,$B6,AF$1,$B$1)</f>
        <v>456.41699999999997</v>
      </c>
      <c r="AG6">
        <f>_xll.EQNXTDZ($A$1,$B6,AG$1,$B$1)</f>
        <v>428.63200000000001</v>
      </c>
      <c r="AH6">
        <f>_xll.EQNXTDZ($A$1,$B6,AH$1,$B$1)</f>
        <v>443.56900000000002</v>
      </c>
      <c r="AI6">
        <f>_xll.EQNXTDZ($A$1,$B6,AI$1,$B$1)</f>
        <v>522.28499999999997</v>
      </c>
      <c r="AJ6">
        <f>_xll.EQNXTDZ($A$1,$B6,AJ$1,$B$1)</f>
        <v>443.56400000000002</v>
      </c>
      <c r="AK6">
        <f>_xll.EQNXTDZ($A$1,$B6,AK$1,$B$1)</f>
        <v>548.21699999999998</v>
      </c>
      <c r="AL6">
        <f>_xll.EQNXTDZ($A$1,$B6,AL$1,$B$1)</f>
        <v>528.45500000000004</v>
      </c>
      <c r="AM6">
        <f>_xll.EQNXTDZ($A$1,$B6,AM$1,$B$1)</f>
        <v>605.99</v>
      </c>
      <c r="AN6">
        <f>_xll.EQNXTDZ($A$1,$B6,AN$1,$B$1)</f>
        <v>593.01</v>
      </c>
      <c r="AO6">
        <f>_xll.EQNXTDZ($A$1,$B6,AO$1,$B$1)</f>
        <v>600.65</v>
      </c>
      <c r="AP6">
        <f>_xll.EQNXTDZ($A$1,$B6,AP$1,$B$1)</f>
        <v>624.59</v>
      </c>
      <c r="AQ6">
        <f>_xll.EQNXTDZ($A$1,$B6,AQ$1,$B$1)</f>
        <v>784.81</v>
      </c>
      <c r="AR6">
        <f>_xll.EQNXTDZ($A$1,$B6,AR$1,$B$1)</f>
        <v>809.44</v>
      </c>
      <c r="AS6">
        <f>_xll.EQNXTDZ($A$1,$B6,AS$1,$B$1)</f>
        <v>792.71</v>
      </c>
      <c r="AT6">
        <f>_xll.EQNXTDZ($A$1,$B6,AT$1,$B$1)</f>
        <v>762.32</v>
      </c>
      <c r="AU6">
        <f>_xll.EQNXTDZ($A$1,$B6,AU$1,$B$1)</f>
        <v>896.2</v>
      </c>
      <c r="AV6">
        <f>_xll.EQNXTDZ($A$1,$B6,AV$1,$B$1)</f>
        <v>881.74</v>
      </c>
      <c r="AW6">
        <f>_xll.EQNXTDZ($A$1,$B6,AW$1,$B$1)</f>
        <v>844.51</v>
      </c>
      <c r="AX6">
        <f>_xll.EQNXTDZ($A$1,$B6,AX$1,$B$1)</f>
        <v>861.73</v>
      </c>
      <c r="AY6">
        <f>_xll.EQNXTDZ($A$1,$B6,AY$1,$B$1)</f>
        <v>1004.4</v>
      </c>
      <c r="AZ6">
        <f>_xll.EQNXTDZ($A$1,$B6,AZ$1,$B$1)</f>
        <v>1000.62</v>
      </c>
      <c r="BA6">
        <f>_xll.EQNXTDZ($A$1,$B6,BA$1,$B$1)</f>
        <v>963.49</v>
      </c>
      <c r="BB6">
        <f>_xll.EQNXTDZ($A$1,$B6,BB$1,$B$1)</f>
        <v>949.48</v>
      </c>
      <c r="BC6">
        <f>_xll.EQNXTDZ($A$1,$B6,BC$1,$B$1)</f>
        <v>1093.94</v>
      </c>
      <c r="BD6">
        <f>_xll.EQNXTDZ($A$1,$B6,BD$1,$B$1)</f>
        <v>1084.9000000000001</v>
      </c>
      <c r="BE6">
        <f>_xll.EQNXTDZ($A$1,$B6,BE$1,$B$1)</f>
        <v>1064.72</v>
      </c>
      <c r="BF6">
        <f>_xll.EQNXTDZ($A$1,$B6,BF$1,$B$1)</f>
        <v>904.23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4.2350000000000003</v>
      </c>
      <c r="Q7">
        <f>_xll.EQNXTDZ($A$1,$B7,Q$1,$B$1)</f>
        <v>4.0279999999999996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4.8979999999999997</v>
      </c>
      <c r="D8">
        <f>_xll.EQNXTDZ($A$1,$B8,D$1,$B$1)</f>
        <v>5.117</v>
      </c>
      <c r="E8">
        <f>_xll.EQNXTDZ($A$1,$B8,E$1,$B$1)</f>
        <v>4.5309999999999997</v>
      </c>
      <c r="F8">
        <f>_xll.EQNXTDZ($A$1,$B8,F$1,$B$1)</f>
        <v>7.4160000000000004</v>
      </c>
      <c r="G8">
        <f>_xll.EQNXTDZ($A$1,$B8,G$1,$B$1)</f>
        <v>6.0609999999999999</v>
      </c>
      <c r="H8">
        <f>_xll.EQNXTDZ($A$1,$B8,H$1,$B$1)</f>
        <v>5.7469999999999999</v>
      </c>
      <c r="I8">
        <f>_xll.EQNXTDZ($A$1,$B8,I$1,$B$1)</f>
        <v>5.3010000000000002</v>
      </c>
      <c r="J8">
        <f>_xll.EQNXTDZ($A$1,$B8,J$1,$B$1)</f>
        <v>4.99</v>
      </c>
      <c r="K8">
        <f>_xll.EQNXTDZ($A$1,$B8,K$1,$B$1)</f>
        <v>5.891</v>
      </c>
      <c r="L8">
        <f>_xll.EQNXTDZ($A$1,$B8,L$1,$B$1)</f>
        <v>5.3970000000000002</v>
      </c>
      <c r="M8">
        <f>_xll.EQNXTDZ($A$1,$B8,M$1,$B$1)</f>
        <v>6.6619999999999999</v>
      </c>
      <c r="N8">
        <f>_xll.EQNXTDZ($A$1,$B8,N$1,$B$1)</f>
        <v>5.335</v>
      </c>
      <c r="O8">
        <f>_xll.EQNXTDZ($A$1,$B8,O$1,$B$1)</f>
        <v>5.0590000000000002</v>
      </c>
      <c r="P8">
        <f>_xll.EQNXTDZ($A$1,$B8,P$1,$B$1)</f>
        <v>6.0709999999999997</v>
      </c>
      <c r="Q8">
        <f>_xll.EQNXTDZ($A$1,$B8,Q$1,$B$1)</f>
        <v>7.77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189.745</v>
      </c>
      <c r="D9">
        <f>_xll.EQNXTDZ($A$1,$B9,D$1,$B$1)</f>
        <v>217.24199999999999</v>
      </c>
      <c r="E9">
        <f>_xll.EQNXTDZ($A$1,$B9,E$1,$B$1)</f>
        <v>204.292</v>
      </c>
      <c r="F9">
        <f>_xll.EQNXTDZ($A$1,$B9,F$1,$B$1)</f>
        <v>205.14400000000001</v>
      </c>
      <c r="G9">
        <f>_xll.EQNXTDZ($A$1,$B9,G$1,$B$1)</f>
        <v>235.22800000000001</v>
      </c>
      <c r="H9">
        <f>_xll.EQNXTDZ($A$1,$B9,H$1,$B$1)</f>
        <v>253.18700000000001</v>
      </c>
      <c r="I9">
        <f>_xll.EQNXTDZ($A$1,$B9,I$1,$B$1)</f>
        <v>239.52199999999999</v>
      </c>
      <c r="J9">
        <f>_xll.EQNXTDZ($A$1,$B9,J$1,$B$1)</f>
        <v>228.59800000000001</v>
      </c>
      <c r="K9">
        <f>_xll.EQNXTDZ($A$1,$B9,K$1,$B$1)</f>
        <v>262.60300000000001</v>
      </c>
      <c r="L9">
        <f>_xll.EQNXTDZ($A$1,$B9,L$1,$B$1)</f>
        <v>280.25799999999998</v>
      </c>
      <c r="M9">
        <f>_xll.EQNXTDZ($A$1,$B9,M$1,$B$1)</f>
        <v>263.46800000000002</v>
      </c>
      <c r="N9">
        <f>_xll.EQNXTDZ($A$1,$B9,N$1,$B$1)</f>
        <v>255.09200000000001</v>
      </c>
      <c r="O9">
        <f>_xll.EQNXTDZ($A$1,$B9,O$1,$B$1)</f>
        <v>284.20800000000003</v>
      </c>
      <c r="P9">
        <f>_xll.EQNXTDZ($A$1,$B9,P$1,$B$1)</f>
        <v>286.77999999999997</v>
      </c>
      <c r="Q9">
        <f>_xll.EQNXTDZ($A$1,$B9,Q$1,$B$1)</f>
        <v>278.35500000000002</v>
      </c>
      <c r="R9">
        <f>_xll.EQNXTDZ($A$1,$B9,R$1,$B$1)</f>
        <v>302.75900000000001</v>
      </c>
      <c r="S9">
        <f>_xll.EQNXTDZ($A$1,$B9,S$1,$B$1)</f>
        <v>314.28800000000001</v>
      </c>
      <c r="T9">
        <f>_xll.EQNXTDZ($A$1,$B9,T$1,$B$1)</f>
        <v>301.488</v>
      </c>
      <c r="U9">
        <f>_xll.EQNXTDZ($A$1,$B9,U$1,$B$1)</f>
        <v>276.48200000000003</v>
      </c>
      <c r="V9">
        <f>_xll.EQNXTDZ($A$1,$B9,V$1,$B$1)</f>
        <v>306.262</v>
      </c>
      <c r="W9">
        <f>_xll.EQNXTDZ($A$1,$B9,W$1,$B$1)</f>
        <v>283.83800000000002</v>
      </c>
      <c r="X9">
        <f>_xll.EQNXTDZ($A$1,$B9,X$1,$B$1)</f>
        <v>347.31900000000002</v>
      </c>
      <c r="Y9">
        <f>_xll.EQNXTDZ($A$1,$B9,Y$1,$B$1)</f>
        <v>304.74200000000002</v>
      </c>
      <c r="Z9">
        <f>_xll.EQNXTDZ($A$1,$B9,Z$1,$B$1)</f>
        <v>318.47399999999999</v>
      </c>
      <c r="AA9">
        <f>_xll.EQNXTDZ($A$1,$B9,AA$1,$B$1)</f>
        <v>406.916</v>
      </c>
      <c r="AB9">
        <f>_xll.EQNXTDZ($A$1,$B9,AB$1,$B$1)</f>
        <v>435.34300000000002</v>
      </c>
      <c r="AC9">
        <f>_xll.EQNXTDZ($A$1,$B9,AC$1,$B$1)</f>
        <v>382.02600000000001</v>
      </c>
      <c r="AD9">
        <f>_xll.EQNXTDZ($A$1,$B9,AD$1,$B$1)</f>
        <v>418.91500000000002</v>
      </c>
      <c r="AE9">
        <f>_xll.EQNXTDZ($A$1,$B9,AE$1,$B$1)</f>
        <v>446.11</v>
      </c>
      <c r="AF9">
        <f>_xll.EQNXTDZ($A$1,$B9,AF$1,$B$1)</f>
        <v>456.41699999999997</v>
      </c>
      <c r="AG9">
        <f>_xll.EQNXTDZ($A$1,$B9,AG$1,$B$1)</f>
        <v>428.63200000000001</v>
      </c>
      <c r="AH9">
        <f>_xll.EQNXTDZ($A$1,$B9,AH$1,$B$1)</f>
        <v>443.56900000000002</v>
      </c>
      <c r="AI9">
        <f>_xll.EQNXTDZ($A$1,$B9,AI$1,$B$1)</f>
        <v>522.28499999999997</v>
      </c>
      <c r="AJ9">
        <f>_xll.EQNXTDZ($A$1,$B9,AJ$1,$B$1)</f>
        <v>443.56400000000002</v>
      </c>
      <c r="AK9">
        <f>_xll.EQNXTDZ($A$1,$B9,AK$1,$B$1)</f>
        <v>548.21699999999998</v>
      </c>
      <c r="AL9">
        <f>_xll.EQNXTDZ($A$1,$B9,AL$1,$B$1)</f>
        <v>528.45500000000004</v>
      </c>
      <c r="AM9">
        <f>_xll.EQNXTDZ($A$1,$B9,AM$1,$B$1)</f>
        <v>605.99</v>
      </c>
      <c r="AN9">
        <f>_xll.EQNXTDZ($A$1,$B9,AN$1,$B$1)</f>
        <v>593.01</v>
      </c>
      <c r="AO9">
        <f>_xll.EQNXTDZ($A$1,$B9,AO$1,$B$1)</f>
        <v>600.65</v>
      </c>
      <c r="AP9">
        <f>_xll.EQNXTDZ($A$1,$B9,AP$1,$B$1)</f>
        <v>624.59</v>
      </c>
      <c r="AQ9">
        <f>_xll.EQNXTDZ($A$1,$B9,AQ$1,$B$1)</f>
        <v>784.81</v>
      </c>
      <c r="AR9">
        <f>_xll.EQNXTDZ($A$1,$B9,AR$1,$B$1)</f>
        <v>809.44</v>
      </c>
      <c r="AS9">
        <f>_xll.EQNXTDZ($A$1,$B9,AS$1,$B$1)</f>
        <v>792.71</v>
      </c>
      <c r="AT9">
        <f>_xll.EQNXTDZ($A$1,$B9,AT$1,$B$1)</f>
        <v>762.32</v>
      </c>
      <c r="AU9">
        <f>_xll.EQNXTDZ($A$1,$B9,AU$1,$B$1)</f>
        <v>896.2</v>
      </c>
      <c r="AV9">
        <f>_xll.EQNXTDZ($A$1,$B9,AV$1,$B$1)</f>
        <v>881.74</v>
      </c>
      <c r="AW9">
        <f>_xll.EQNXTDZ($A$1,$B9,AW$1,$B$1)</f>
        <v>844.51</v>
      </c>
      <c r="AX9">
        <f>_xll.EQNXTDZ($A$1,$B9,AX$1,$B$1)</f>
        <v>861.73</v>
      </c>
      <c r="AY9">
        <f>_xll.EQNXTDZ($A$1,$B9,AY$1,$B$1)</f>
        <v>1004.4</v>
      </c>
      <c r="AZ9">
        <f>_xll.EQNXTDZ($A$1,$B9,AZ$1,$B$1)</f>
        <v>1000.62</v>
      </c>
      <c r="BA9">
        <f>_xll.EQNXTDZ($A$1,$B9,BA$1,$B$1)</f>
        <v>963.49</v>
      </c>
      <c r="BB9">
        <f>_xll.EQNXTDZ($A$1,$B9,BB$1,$B$1)</f>
        <v>949.48</v>
      </c>
      <c r="BC9">
        <f>_xll.EQNXTDZ($A$1,$B9,BC$1,$B$1)</f>
        <v>1093.94</v>
      </c>
      <c r="BD9">
        <f>_xll.EQNXTDZ($A$1,$B9,BD$1,$B$1)</f>
        <v>1084.9000000000001</v>
      </c>
      <c r="BE9">
        <f>_xll.EQNXTDZ($A$1,$B9,BE$1,$B$1)</f>
        <v>1064.72</v>
      </c>
      <c r="BF9">
        <f>_xll.EQNXTDZ($A$1,$B9,BF$1,$B$1)</f>
        <v>904.23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3.5459999999999998</v>
      </c>
      <c r="D10">
        <f>_xll.EQNXTDZ($A$1,$B10,D$1,$B$1)</f>
        <v>2.161</v>
      </c>
      <c r="E10">
        <f>_xll.EQNXTDZ($A$1,$B10,E$1,$B$1)</f>
        <v>0.114</v>
      </c>
      <c r="F10">
        <f>_xll.EQNXTDZ($A$1,$B10,F$1,$B$1)</f>
        <v>-1.0109999999999999</v>
      </c>
      <c r="G10">
        <f>_xll.EQNXTDZ($A$1,$B10,G$1,$B$1)</f>
        <v>-2.0750000000000002</v>
      </c>
      <c r="H10">
        <f>_xll.EQNXTDZ($A$1,$B10,H$1,$B$1)</f>
        <v>0.438</v>
      </c>
      <c r="I10">
        <f>_xll.EQNXTDZ($A$1,$B10,I$1,$B$1)</f>
        <v>-3.3290000000000002</v>
      </c>
      <c r="J10">
        <f>_xll.EQNXTDZ($A$1,$B10,J$1,$B$1)</f>
        <v>-5.7830000000000004</v>
      </c>
      <c r="K10">
        <f>_xll.EQNXTDZ($A$1,$B10,K$1,$B$1)</f>
        <v>4.375</v>
      </c>
      <c r="L10">
        <f>_xll.EQNXTDZ($A$1,$B10,L$1,$B$1)</f>
        <v>-5.0739999999999998</v>
      </c>
      <c r="M10">
        <f>_xll.EQNXTDZ($A$1,$B10,M$1,$B$1)</f>
        <v>2.7890000000000001</v>
      </c>
      <c r="N10">
        <f>_xll.EQNXTDZ($A$1,$B10,N$1,$B$1)</f>
        <v>-2.7719999999999998</v>
      </c>
      <c r="O10">
        <f>_xll.EQNXTDZ($A$1,$B10,O$1,$B$1)</f>
        <v>5.9950000000000001</v>
      </c>
      <c r="P10">
        <f>_xll.EQNXTDZ($A$1,$B10,P$1,$B$1)</f>
        <v>-1.895</v>
      </c>
      <c r="Q10">
        <f>_xll.EQNXTDZ($A$1,$B10,Q$1,$B$1)</f>
        <v>-3.9540000000000002</v>
      </c>
      <c r="R10">
        <f>_xll.EQNXTDZ($A$1,$B10,R$1,$B$1)</f>
        <v>-6.9870000000000001</v>
      </c>
      <c r="S10">
        <f>_xll.EQNXTDZ($A$1,$B10,S$1,$B$1)</f>
        <v>-1.7410000000000001</v>
      </c>
      <c r="T10">
        <f>_xll.EQNXTDZ($A$1,$B10,T$1,$B$1)</f>
        <v>-6.91</v>
      </c>
      <c r="U10">
        <f>_xll.EQNXTDZ($A$1,$B10,U$1,$B$1)</f>
        <v>-2.7690000000000001</v>
      </c>
      <c r="V10">
        <f>_xll.EQNXTDZ($A$1,$B10,V$1,$B$1)</f>
        <v>-6.6319999999999997</v>
      </c>
      <c r="W10">
        <f>_xll.EQNXTDZ($A$1,$B10,W$1,$B$1)</f>
        <v>-1.3420000000000001</v>
      </c>
      <c r="X10">
        <f>_xll.EQNXTDZ($A$1,$B10,X$1,$B$1)</f>
        <v>19.312000000000001</v>
      </c>
      <c r="Y10">
        <f>_xll.EQNXTDZ($A$1,$B10,Y$1,$B$1)</f>
        <v>-16.760999999999999</v>
      </c>
      <c r="Z10">
        <f>_xll.EQNXTDZ($A$1,$B10,Z$1,$B$1)</f>
        <v>-1.5960000000000001</v>
      </c>
      <c r="AA10">
        <f>_xll.EQNXTDZ($A$1,$B10,AA$1,$B$1)</f>
        <v>-9.4719999999999995</v>
      </c>
      <c r="AB10">
        <f>_xll.EQNXTDZ($A$1,$B10,AB$1,$B$1)</f>
        <v>1.1579999999999999</v>
      </c>
      <c r="AC10">
        <f>_xll.EQNXTDZ($A$1,$B10,AC$1,$B$1)</f>
        <v>-19.012</v>
      </c>
      <c r="AD10">
        <f>_xll.EQNXTDZ($A$1,$B10,AD$1,$B$1)</f>
        <v>8.0269999999999992</v>
      </c>
      <c r="AE10">
        <f>_xll.EQNXTDZ($A$1,$B10,AE$1,$B$1)</f>
        <v>9.6010000000000009</v>
      </c>
      <c r="AF10">
        <f>_xll.EQNXTDZ($A$1,$B10,AF$1,$B$1)</f>
        <v>-1.03</v>
      </c>
      <c r="AG10">
        <f>_xll.EQNXTDZ($A$1,$B10,AG$1,$B$1)</f>
        <v>-3.391</v>
      </c>
      <c r="AH10">
        <f>_xll.EQNXTDZ($A$1,$B10,AH$1,$B$1)</f>
        <v>-9.1739999999999995</v>
      </c>
      <c r="AI10">
        <f>_xll.EQNXTDZ($A$1,$B10,AI$1,$B$1)</f>
        <v>-5.452</v>
      </c>
      <c r="AJ10">
        <f>_xll.EQNXTDZ($A$1,$B10,AJ$1,$B$1)</f>
        <v>-53.792000000000002</v>
      </c>
      <c r="AK10">
        <f>_xll.EQNXTDZ($A$1,$B10,AK$1,$B$1)</f>
        <v>-1.2430000000000001</v>
      </c>
      <c r="AL10">
        <f>_xll.EQNXTDZ($A$1,$B10,AL$1,$B$1)</f>
        <v>19.23</v>
      </c>
      <c r="AM10">
        <f>_xll.EQNXTDZ($A$1,$B10,AM$1,$B$1)</f>
        <v>-9.44</v>
      </c>
      <c r="AN10">
        <f>_xll.EQNXTDZ($A$1,$B10,AN$1,$B$1)</f>
        <v>-6.14</v>
      </c>
      <c r="AO10">
        <f>_xll.EQNXTDZ($A$1,$B10,AO$1,$B$1)</f>
        <v>6.7</v>
      </c>
      <c r="AP10">
        <f>_xll.EQNXTDZ($A$1,$B10,AP$1,$B$1)</f>
        <v>-8.57</v>
      </c>
      <c r="AQ10">
        <f>_xll.EQNXTDZ($A$1,$B10,AQ$1,$B$1)</f>
        <v>-8.11</v>
      </c>
      <c r="AR10">
        <f>_xll.EQNXTDZ($A$1,$B10,AR$1,$B$1)</f>
        <v>-5.2</v>
      </c>
      <c r="AS10">
        <f>_xll.EQNXTDZ($A$1,$B10,AS$1,$B$1)</f>
        <v>-19.32</v>
      </c>
      <c r="AT10">
        <f>_xll.EQNXTDZ($A$1,$B10,AT$1,$B$1)</f>
        <v>21.63</v>
      </c>
      <c r="AU10">
        <f>_xll.EQNXTDZ($A$1,$B10,AU$1,$B$1)</f>
        <v>10.95</v>
      </c>
      <c r="AV10">
        <f>_xll.EQNXTDZ($A$1,$B10,AV$1,$B$1)</f>
        <v>-1.37</v>
      </c>
      <c r="AW10">
        <f>_xll.EQNXTDZ($A$1,$B10,AW$1,$B$1)</f>
        <v>-3.73</v>
      </c>
      <c r="AX10">
        <f>_xll.EQNXTDZ($A$1,$B10,AX$1,$B$1)</f>
        <v>-52.7</v>
      </c>
      <c r="AY10">
        <f>_xll.EQNXTDZ($A$1,$B10,AY$1,$B$1)</f>
        <v>-12.89</v>
      </c>
      <c r="AZ10">
        <f>_xll.EQNXTDZ($A$1,$B10,AZ$1,$B$1)</f>
        <v>9.08</v>
      </c>
      <c r="BA10">
        <f>_xll.EQNXTDZ($A$1,$B10,BA$1,$B$1)</f>
        <v>6.67</v>
      </c>
      <c r="BB10">
        <f>_xll.EQNXTDZ($A$1,$B10,BB$1,$B$1)</f>
        <v>-3.29</v>
      </c>
      <c r="BC10">
        <f>_xll.EQNXTDZ($A$1,$B10,BC$1,$B$1)</f>
        <v>-43.69</v>
      </c>
      <c r="BD10">
        <f>_xll.EQNXTDZ($A$1,$B10,BD$1,$B$1)</f>
        <v>-1.19</v>
      </c>
      <c r="BE10">
        <f>_xll.EQNXTDZ($A$1,$B10,BE$1,$B$1)</f>
        <v>13.08</v>
      </c>
      <c r="BF10">
        <f>_xll.EQNXTDZ($A$1,$B10,BF$1,$B$1)</f>
        <v>-62.28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61.328000000000003</v>
      </c>
      <c r="D11">
        <f>_xll.EQNXTDZ($A$1,$B11,D$1,$B$1)</f>
        <v>73.370999999999995</v>
      </c>
      <c r="E11">
        <f>_xll.EQNXTDZ($A$1,$B11,E$1,$B$1)</f>
        <v>65.096999999999994</v>
      </c>
      <c r="F11">
        <f>_xll.EQNXTDZ($A$1,$B11,F$1,$B$1)</f>
        <v>62.107999999999997</v>
      </c>
      <c r="G11">
        <f>_xll.EQNXTDZ($A$1,$B11,G$1,$B$1)</f>
        <v>78.254000000000005</v>
      </c>
      <c r="H11">
        <f>_xll.EQNXTDZ($A$1,$B11,H$1,$B$1)</f>
        <v>78.344999999999999</v>
      </c>
      <c r="I11">
        <f>_xll.EQNXTDZ($A$1,$B11,I$1,$B$1)</f>
        <v>78.712000000000003</v>
      </c>
      <c r="J11">
        <f>_xll.EQNXTDZ($A$1,$B11,J$1,$B$1)</f>
        <v>75.474999999999994</v>
      </c>
      <c r="K11">
        <f>_xll.EQNXTDZ($A$1,$B11,K$1,$B$1)</f>
        <v>83.385999999999996</v>
      </c>
      <c r="L11">
        <f>_xll.EQNXTDZ($A$1,$B11,L$1,$B$1)</f>
        <v>87.037999999999997</v>
      </c>
      <c r="M11">
        <f>_xll.EQNXTDZ($A$1,$B11,M$1,$B$1)</f>
        <v>84.11</v>
      </c>
      <c r="N11">
        <f>_xll.EQNXTDZ($A$1,$B11,N$1,$B$1)</f>
        <v>87.052000000000007</v>
      </c>
      <c r="O11">
        <f>_xll.EQNXTDZ($A$1,$B11,O$1,$B$1)</f>
        <v>90.23</v>
      </c>
      <c r="P11">
        <f>_xll.EQNXTDZ($A$1,$B11,P$1,$B$1)</f>
        <v>98.197999999999993</v>
      </c>
      <c r="Q11">
        <f>_xll.EQNXTDZ($A$1,$B11,Q$1,$B$1)</f>
        <v>94.974999999999994</v>
      </c>
      <c r="R11">
        <f>_xll.EQNXTDZ($A$1,$B11,R$1,$B$1)</f>
        <v>89.676000000000002</v>
      </c>
      <c r="S11">
        <f>_xll.EQNXTDZ($A$1,$B11,S$1,$B$1)</f>
        <v>95.552999999999997</v>
      </c>
      <c r="T11">
        <f>_xll.EQNXTDZ($A$1,$B11,T$1,$B$1)</f>
        <v>97.917000000000002</v>
      </c>
      <c r="U11">
        <f>_xll.EQNXTDZ($A$1,$B11,U$1,$B$1)</f>
        <v>82.308999999999997</v>
      </c>
      <c r="V11">
        <f>_xll.EQNXTDZ($A$1,$B11,V$1,$B$1)</f>
        <v>91.313999999999993</v>
      </c>
      <c r="W11">
        <f>_xll.EQNXTDZ($A$1,$B11,W$1,$B$1)</f>
        <v>88.188000000000002</v>
      </c>
      <c r="X11">
        <f>_xll.EQNXTDZ($A$1,$B11,X$1,$B$1)</f>
        <v>80.302000000000007</v>
      </c>
      <c r="Y11">
        <f>_xll.EQNXTDZ($A$1,$B11,Y$1,$B$1)</f>
        <v>100.815</v>
      </c>
      <c r="Z11">
        <f>_xll.EQNXTDZ($A$1,$B11,Z$1,$B$1)</f>
        <v>117.712</v>
      </c>
      <c r="AA11">
        <f>_xll.EQNXTDZ($A$1,$B11,AA$1,$B$1)</f>
        <v>111.001</v>
      </c>
      <c r="AB11">
        <f>_xll.EQNXTDZ($A$1,$B11,AB$1,$B$1)</f>
        <v>114.512</v>
      </c>
      <c r="AC11">
        <f>_xll.EQNXTDZ($A$1,$B11,AC$1,$B$1)</f>
        <v>110.498</v>
      </c>
      <c r="AD11">
        <f>_xll.EQNXTDZ($A$1,$B11,AD$1,$B$1)</f>
        <v>117.649</v>
      </c>
      <c r="AE11">
        <f>_xll.EQNXTDZ($A$1,$B11,AE$1,$B$1)</f>
        <v>126.17700000000001</v>
      </c>
      <c r="AF11">
        <f>_xll.EQNXTDZ($A$1,$B11,AF$1,$B$1)</f>
        <v>105.83</v>
      </c>
      <c r="AG11">
        <f>_xll.EQNXTDZ($A$1,$B11,AG$1,$B$1)</f>
        <v>99.707999999999998</v>
      </c>
      <c r="AH11">
        <f>_xll.EQNXTDZ($A$1,$B11,AH$1,$B$1)</f>
        <v>120.76600000000001</v>
      </c>
      <c r="AI11">
        <f>_xll.EQNXTDZ($A$1,$B11,AI$1,$B$1)</f>
        <v>126.605</v>
      </c>
      <c r="AJ11">
        <f>_xll.EQNXTDZ($A$1,$B11,AJ$1,$B$1)</f>
        <v>152.07900000000001</v>
      </c>
      <c r="AK11">
        <f>_xll.EQNXTDZ($A$1,$B11,AK$1,$B$1)</f>
        <v>128.53800000000001</v>
      </c>
      <c r="AL11">
        <f>_xll.EQNXTDZ($A$1,$B11,AL$1,$B$1)</f>
        <v>135.16800000000001</v>
      </c>
      <c r="AM11">
        <f>_xll.EQNXTDZ($A$1,$B11,AM$1,$B$1)</f>
        <v>147.93</v>
      </c>
      <c r="AN11">
        <f>_xll.EQNXTDZ($A$1,$B11,AN$1,$B$1)</f>
        <v>147.22</v>
      </c>
      <c r="AO11">
        <f>_xll.EQNXTDZ($A$1,$B11,AO$1,$B$1)</f>
        <v>146.6</v>
      </c>
      <c r="AP11">
        <f>_xll.EQNXTDZ($A$1,$B11,AP$1,$B$1)</f>
        <v>160.47</v>
      </c>
      <c r="AQ11">
        <f>_xll.EQNXTDZ($A$1,$B11,AQ$1,$B$1)</f>
        <v>185.88</v>
      </c>
      <c r="AR11">
        <f>_xll.EQNXTDZ($A$1,$B11,AR$1,$B$1)</f>
        <v>210.18</v>
      </c>
      <c r="AS11">
        <f>_xll.EQNXTDZ($A$1,$B11,AS$1,$B$1)</f>
        <v>198.04</v>
      </c>
      <c r="AT11">
        <f>_xll.EQNXTDZ($A$1,$B11,AT$1,$B$1)</f>
        <v>189.88</v>
      </c>
      <c r="AU11">
        <f>_xll.EQNXTDZ($A$1,$B11,AU$1,$B$1)</f>
        <v>218.81</v>
      </c>
      <c r="AV11">
        <f>_xll.EQNXTDZ($A$1,$B11,AV$1,$B$1)</f>
        <v>221.35</v>
      </c>
      <c r="AW11">
        <f>_xll.EQNXTDZ($A$1,$B11,AW$1,$B$1)</f>
        <v>198.94</v>
      </c>
      <c r="AX11">
        <f>_xll.EQNXTDZ($A$1,$B11,AX$1,$B$1)</f>
        <v>177.18</v>
      </c>
      <c r="AY11">
        <f>_xll.EQNXTDZ($A$1,$B11,AY$1,$B$1)</f>
        <v>251.63</v>
      </c>
      <c r="AZ11">
        <f>_xll.EQNXTDZ($A$1,$B11,AZ$1,$B$1)</f>
        <v>179.2</v>
      </c>
      <c r="BA11">
        <f>_xll.EQNXTDZ($A$1,$B11,BA$1,$B$1)</f>
        <v>200.23</v>
      </c>
      <c r="BB11">
        <f>_xll.EQNXTDZ($A$1,$B11,BB$1,$B$1)</f>
        <v>188.97</v>
      </c>
      <c r="BC11">
        <f>_xll.EQNXTDZ($A$1,$B11,BC$1,$B$1)</f>
        <v>241.38</v>
      </c>
      <c r="BD11">
        <f>_xll.EQNXTDZ($A$1,$B11,BD$1,$B$1)</f>
        <v>225.34</v>
      </c>
      <c r="BE11">
        <f>_xll.EQNXTDZ($A$1,$B11,BE$1,$B$1)</f>
        <v>212.01</v>
      </c>
      <c r="BF11">
        <f>_xll.EQNXTDZ($A$1,$B11,BF$1,$B$1)</f>
        <v>233.71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13.968</v>
      </c>
      <c r="D12">
        <f>_xll.EQNXTDZ($A$1,$B12,D$1,$B$1)</f>
        <v>17.117999999999999</v>
      </c>
      <c r="E12">
        <f>_xll.EQNXTDZ($A$1,$B12,E$1,$B$1)</f>
        <v>19.472000000000001</v>
      </c>
      <c r="F12">
        <f>_xll.EQNXTDZ($A$1,$B12,F$1,$B$1)</f>
        <v>20.994</v>
      </c>
      <c r="G12">
        <f>_xll.EQNXTDZ($A$1,$B12,G$1,$B$1)</f>
        <v>22.390999999999998</v>
      </c>
      <c r="H12">
        <f>_xll.EQNXTDZ($A$1,$B12,H$1,$B$1)</f>
        <v>15.849</v>
      </c>
      <c r="I12">
        <f>_xll.EQNXTDZ($A$1,$B12,I$1,$B$1)</f>
        <v>16.826000000000001</v>
      </c>
      <c r="J12">
        <f>_xll.EQNXTDZ($A$1,$B12,J$1,$B$1)</f>
        <v>21.704999999999998</v>
      </c>
      <c r="K12">
        <f>_xll.EQNXTDZ($A$1,$B12,K$1,$B$1)</f>
        <v>24.02</v>
      </c>
      <c r="L12">
        <f>_xll.EQNXTDZ($A$1,$B12,L$1,$B$1)</f>
        <v>30.709</v>
      </c>
      <c r="M12">
        <f>_xll.EQNXTDZ($A$1,$B12,M$1,$B$1)</f>
        <v>16.297999999999998</v>
      </c>
      <c r="N12">
        <f>_xll.EQNXTDZ($A$1,$B12,N$1,$B$1)</f>
        <v>19.068999999999999</v>
      </c>
      <c r="O12">
        <f>_xll.EQNXTDZ($A$1,$B12,O$1,$B$1)</f>
        <v>23.091000000000001</v>
      </c>
      <c r="P12">
        <f>_xll.EQNXTDZ($A$1,$B12,P$1,$B$1)</f>
        <v>20.036999999999999</v>
      </c>
      <c r="Q12">
        <f>_xll.EQNXTDZ($A$1,$B12,Q$1,$B$1)</f>
        <v>10.731</v>
      </c>
      <c r="R12">
        <f>_xll.EQNXTDZ($A$1,$B12,R$1,$B$1)</f>
        <v>28.69</v>
      </c>
      <c r="S12">
        <f>_xll.EQNXTDZ($A$1,$B12,S$1,$B$1)</f>
        <v>21.35</v>
      </c>
      <c r="T12">
        <f>_xll.EQNXTDZ($A$1,$B12,T$1,$B$1)</f>
        <v>23.117000000000001</v>
      </c>
      <c r="U12">
        <f>_xll.EQNXTDZ($A$1,$B12,U$1,$B$1)</f>
        <v>23.202000000000002</v>
      </c>
      <c r="V12">
        <f>_xll.EQNXTDZ($A$1,$B12,V$1,$B$1)</f>
        <v>28.574999999999999</v>
      </c>
      <c r="W12">
        <f>_xll.EQNXTDZ($A$1,$B12,W$1,$B$1)</f>
        <v>24.369</v>
      </c>
      <c r="X12">
        <f>_xll.EQNXTDZ($A$1,$B12,X$1,$B$1)</f>
        <v>38.61</v>
      </c>
      <c r="Y12">
        <f>_xll.EQNXTDZ($A$1,$B12,Y$1,$B$1)</f>
        <v>22.79</v>
      </c>
      <c r="Z12">
        <f>_xll.EQNXTDZ($A$1,$B12,Z$1,$B$1)</f>
        <v>7.2750000000000004</v>
      </c>
      <c r="AA12">
        <f>_xll.EQNXTDZ($A$1,$B12,AA$1,$B$1)</f>
        <v>45.058999999999997</v>
      </c>
      <c r="AB12">
        <f>_xll.EQNXTDZ($A$1,$B12,AB$1,$B$1)</f>
        <v>43.844000000000001</v>
      </c>
      <c r="AC12">
        <f>_xll.EQNXTDZ($A$1,$B12,AC$1,$B$1)</f>
        <v>34.902000000000001</v>
      </c>
      <c r="AD12">
        <f>_xll.EQNXTDZ($A$1,$B12,AD$1,$B$1)</f>
        <v>38.295000000000002</v>
      </c>
      <c r="AE12">
        <f>_xll.EQNXTDZ($A$1,$B12,AE$1,$B$1)</f>
        <v>30.97</v>
      </c>
      <c r="AF12">
        <f>_xll.EQNXTDZ($A$1,$B12,AF$1,$B$1)</f>
        <v>61.905999999999999</v>
      </c>
      <c r="AG12">
        <f>_xll.EQNXTDZ($A$1,$B12,AG$1,$B$1)</f>
        <v>54.030999999999999</v>
      </c>
      <c r="AH12">
        <f>_xll.EQNXTDZ($A$1,$B12,AH$1,$B$1)</f>
        <v>35.401000000000003</v>
      </c>
      <c r="AI12">
        <f>_xll.EQNXTDZ($A$1,$B12,AI$1,$B$1)</f>
        <v>65.102000000000004</v>
      </c>
      <c r="AJ12">
        <f>_xll.EQNXTDZ($A$1,$B12,AJ$1,$B$1)</f>
        <v>35.542000000000002</v>
      </c>
      <c r="AK12">
        <f>_xll.EQNXTDZ($A$1,$B12,AK$1,$B$1)</f>
        <v>59.595999999999997</v>
      </c>
      <c r="AL12">
        <f>_xll.EQNXTDZ($A$1,$B12,AL$1,$B$1)</f>
        <v>40.125999999999998</v>
      </c>
      <c r="AM12">
        <f>_xll.EQNXTDZ($A$1,$B12,AM$1,$B$1)</f>
        <v>78.05</v>
      </c>
      <c r="AN12">
        <f>_xll.EQNXTDZ($A$1,$B12,AN$1,$B$1)</f>
        <v>66.45</v>
      </c>
      <c r="AO12">
        <f>_xll.EQNXTDZ($A$1,$B12,AO$1,$B$1)</f>
        <v>52.73</v>
      </c>
      <c r="AP12">
        <f>_xll.EQNXTDZ($A$1,$B12,AP$1,$B$1)</f>
        <v>60.93</v>
      </c>
      <c r="AQ12">
        <f>_xll.EQNXTDZ($A$1,$B12,AQ$1,$B$1)</f>
        <v>115.01</v>
      </c>
      <c r="AR12">
        <f>_xll.EQNXTDZ($A$1,$B12,AR$1,$B$1)</f>
        <v>96.57</v>
      </c>
      <c r="AS12">
        <f>_xll.EQNXTDZ($A$1,$B12,AS$1,$B$1)</f>
        <v>120.29</v>
      </c>
      <c r="AT12">
        <f>_xll.EQNXTDZ($A$1,$B12,AT$1,$B$1)</f>
        <v>63.35</v>
      </c>
      <c r="AU12">
        <f>_xll.EQNXTDZ($A$1,$B12,AU$1,$B$1)</f>
        <v>80.209999999999994</v>
      </c>
      <c r="AV12">
        <f>_xll.EQNXTDZ($A$1,$B12,AV$1,$B$1)</f>
        <v>78.19</v>
      </c>
      <c r="AW12">
        <f>_xll.EQNXTDZ($A$1,$B12,AW$1,$B$1)</f>
        <v>78.42</v>
      </c>
      <c r="AX12">
        <f>_xll.EQNXTDZ($A$1,$B12,AX$1,$B$1)</f>
        <v>175.8</v>
      </c>
      <c r="AY12">
        <f>_xll.EQNXTDZ($A$1,$B12,AY$1,$B$1)</f>
        <v>101.01</v>
      </c>
      <c r="AZ12">
        <f>_xll.EQNXTDZ($A$1,$B12,AZ$1,$B$1)</f>
        <v>150.13999999999999</v>
      </c>
      <c r="BA12">
        <f>_xll.EQNXTDZ($A$1,$B12,BA$1,$B$1)</f>
        <v>109.84</v>
      </c>
      <c r="BB12">
        <f>_xll.EQNXTDZ($A$1,$B12,BB$1,$B$1)</f>
        <v>135.96</v>
      </c>
      <c r="BC12">
        <f>_xll.EQNXTDZ($A$1,$B12,BC$1,$B$1)</f>
        <v>149.41</v>
      </c>
      <c r="BD12">
        <f>_xll.EQNXTDZ($A$1,$B12,BD$1,$B$1)</f>
        <v>121.34</v>
      </c>
      <c r="BE12">
        <f>_xll.EQNXTDZ($A$1,$B12,BE$1,$B$1)</f>
        <v>104.34</v>
      </c>
      <c r="BF12">
        <f>_xll.EQNXTDZ($A$1,$B12,BF$1,$B$1)</f>
        <v>102.82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51.167999999999999</v>
      </c>
      <c r="D14">
        <f>_xll.EQNXTDZ($A$1,$B14,D$1,$B$1)</f>
        <v>62.46</v>
      </c>
      <c r="E14">
        <f>_xll.EQNXTDZ($A$1,$B14,E$1,$B$1)</f>
        <v>58.554000000000002</v>
      </c>
      <c r="F14">
        <f>_xll.EQNXTDZ($A$1,$B14,F$1,$B$1)</f>
        <v>65.284999999999997</v>
      </c>
      <c r="G14">
        <f>_xll.EQNXTDZ($A$1,$B14,G$1,$B$1)</f>
        <v>62.332999999999998</v>
      </c>
      <c r="H14">
        <f>_xll.EQNXTDZ($A$1,$B14,H$1,$B$1)</f>
        <v>75.141000000000005</v>
      </c>
      <c r="I14">
        <f>_xll.EQNXTDZ($A$1,$B14,I$1,$B$1)</f>
        <v>69.007000000000005</v>
      </c>
      <c r="J14">
        <f>_xll.EQNXTDZ($A$1,$B14,J$1,$B$1)</f>
        <v>86.513999999999996</v>
      </c>
      <c r="K14">
        <f>_xll.EQNXTDZ($A$1,$B14,K$1,$B$1)</f>
        <v>65.78</v>
      </c>
      <c r="L14">
        <f>_xll.EQNXTDZ($A$1,$B14,L$1,$B$1)</f>
        <v>74.227999999999994</v>
      </c>
      <c r="M14">
        <f>_xll.EQNXTDZ($A$1,$B14,M$1,$B$1)</f>
        <v>75.789000000000001</v>
      </c>
      <c r="N14">
        <f>_xll.EQNXTDZ($A$1,$B14,N$1,$B$1)</f>
        <v>70.539000000000001</v>
      </c>
      <c r="O14">
        <f>_xll.EQNXTDZ($A$1,$B14,O$1,$B$1)</f>
        <v>73.224999999999994</v>
      </c>
      <c r="P14">
        <f>_xll.EQNXTDZ($A$1,$B14,P$1,$B$1)</f>
        <v>75.581999999999994</v>
      </c>
      <c r="Q14">
        <f>_xll.EQNXTDZ($A$1,$B14,Q$1,$B$1)</f>
        <v>72.245000000000005</v>
      </c>
      <c r="R14">
        <f>_xll.EQNXTDZ($A$1,$B14,R$1,$B$1)</f>
        <v>88.965000000000003</v>
      </c>
      <c r="S14">
        <f>_xll.EQNXTDZ($A$1,$B14,S$1,$B$1)</f>
        <v>83.709000000000003</v>
      </c>
      <c r="T14">
        <f>_xll.EQNXTDZ($A$1,$B14,T$1,$B$1)</f>
        <v>82.47</v>
      </c>
      <c r="U14">
        <f>_xll.EQNXTDZ($A$1,$B14,U$1,$B$1)</f>
        <v>80.975999999999999</v>
      </c>
      <c r="V14">
        <f>_xll.EQNXTDZ($A$1,$B14,V$1,$B$1)</f>
        <v>96.233999999999995</v>
      </c>
      <c r="W14">
        <f>_xll.EQNXTDZ($A$1,$B14,W$1,$B$1)</f>
        <v>85.733000000000004</v>
      </c>
      <c r="X14">
        <f>_xll.EQNXTDZ($A$1,$B14,X$1,$B$1)</f>
        <v>82.331000000000003</v>
      </c>
      <c r="Y14">
        <f>_xll.EQNXTDZ($A$1,$B14,Y$1,$B$1)</f>
        <v>86.176000000000002</v>
      </c>
      <c r="Z14">
        <f>_xll.EQNXTDZ($A$1,$B14,Z$1,$B$1)</f>
        <v>100.36199999999999</v>
      </c>
      <c r="AA14">
        <f>_xll.EQNXTDZ($A$1,$B14,AA$1,$B$1)</f>
        <v>112.04300000000001</v>
      </c>
      <c r="AB14">
        <f>_xll.EQNXTDZ($A$1,$B14,AB$1,$B$1)</f>
        <v>120.57599999999999</v>
      </c>
      <c r="AC14">
        <f>_xll.EQNXTDZ($A$1,$B14,AC$1,$B$1)</f>
        <v>105.402</v>
      </c>
      <c r="AD14">
        <f>_xll.EQNXTDZ($A$1,$B14,AD$1,$B$1)</f>
        <v>114.702</v>
      </c>
      <c r="AE14">
        <f>_xll.EQNXTDZ($A$1,$B14,AE$1,$B$1)</f>
        <v>105.328</v>
      </c>
      <c r="AF14">
        <f>_xll.EQNXTDZ($A$1,$B14,AF$1,$B$1)</f>
        <v>112.429</v>
      </c>
      <c r="AG14">
        <f>_xll.EQNXTDZ($A$1,$B14,AG$1,$B$1)</f>
        <v>106.373</v>
      </c>
      <c r="AH14">
        <f>_xll.EQNXTDZ($A$1,$B14,AH$1,$B$1)</f>
        <v>119.313</v>
      </c>
      <c r="AI14">
        <f>_xll.EQNXTDZ($A$1,$B14,AI$1,$B$1)</f>
        <v>91.941999999999993</v>
      </c>
      <c r="AJ14">
        <f>_xll.EQNXTDZ($A$1,$B14,AJ$1,$B$1)</f>
        <v>118.565</v>
      </c>
      <c r="AK14">
        <f>_xll.EQNXTDZ($A$1,$B14,AK$1,$B$1)</f>
        <v>105.63500000000001</v>
      </c>
      <c r="AL14">
        <f>_xll.EQNXTDZ($A$1,$B14,AL$1,$B$1)</f>
        <v>123.871</v>
      </c>
      <c r="AM14">
        <f>_xll.EQNXTDZ($A$1,$B14,AM$1,$B$1)</f>
        <v>127.62</v>
      </c>
      <c r="AN14">
        <f>_xll.EQNXTDZ($A$1,$B14,AN$1,$B$1)</f>
        <v>153.33000000000001</v>
      </c>
      <c r="AO14">
        <f>_xll.EQNXTDZ($A$1,$B14,AO$1,$B$1)</f>
        <v>147.05000000000001</v>
      </c>
      <c r="AP14">
        <f>_xll.EQNXTDZ($A$1,$B14,AP$1,$B$1)</f>
        <v>170.61</v>
      </c>
      <c r="AQ14">
        <f>_xll.EQNXTDZ($A$1,$B14,AQ$1,$B$1)</f>
        <v>185.4</v>
      </c>
      <c r="AR14">
        <f>_xll.EQNXTDZ($A$1,$B14,AR$1,$B$1)</f>
        <v>187.69</v>
      </c>
      <c r="AS14">
        <f>_xll.EQNXTDZ($A$1,$B14,AS$1,$B$1)</f>
        <v>180.6</v>
      </c>
      <c r="AT14">
        <f>_xll.EQNXTDZ($A$1,$B14,AT$1,$B$1)</f>
        <v>188.19</v>
      </c>
      <c r="AU14">
        <f>_xll.EQNXTDZ($A$1,$B14,AU$1,$B$1)</f>
        <v>205.37</v>
      </c>
      <c r="AV14">
        <f>_xll.EQNXTDZ($A$1,$B14,AV$1,$B$1)</f>
        <v>191.75</v>
      </c>
      <c r="AW14">
        <f>_xll.EQNXTDZ($A$1,$B14,AW$1,$B$1)</f>
        <v>196.08</v>
      </c>
      <c r="AX14">
        <f>_xll.EQNXTDZ($A$1,$B14,AX$1,$B$1)</f>
        <v>210.63</v>
      </c>
      <c r="AY14">
        <f>_xll.EQNXTDZ($A$1,$B14,AY$1,$B$1)</f>
        <v>217.37</v>
      </c>
      <c r="AZ14">
        <f>_xll.EQNXTDZ($A$1,$B14,AZ$1,$B$1)</f>
        <v>221.11</v>
      </c>
      <c r="BA14">
        <f>_xll.EQNXTDZ($A$1,$B14,BA$1,$B$1)</f>
        <v>218.93</v>
      </c>
      <c r="BB14">
        <f>_xll.EQNXTDZ($A$1,$B14,BB$1,$B$1)</f>
        <v>224.58</v>
      </c>
      <c r="BC14">
        <f>_xll.EQNXTDZ($A$1,$B14,BC$1,$B$1)</f>
        <v>251.68</v>
      </c>
      <c r="BD14">
        <f>_xll.EQNXTDZ($A$1,$B14,BD$1,$B$1)</f>
        <v>241.55</v>
      </c>
      <c r="BE14">
        <f>_xll.EQNXTDZ($A$1,$B14,BE$1,$B$1)</f>
        <v>248.05</v>
      </c>
      <c r="BF14">
        <f>_xll.EQNXTDZ($A$1,$B14,BF$1,$B$1)</f>
        <v>230.12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30.795000000000002</v>
      </c>
      <c r="D16">
        <f>_xll.EQNXTDZ($A$1,$B16,D$1,$B$1)</f>
        <v>28.928000000000001</v>
      </c>
      <c r="E16">
        <f>_xll.EQNXTDZ($A$1,$B16,E$1,$B$1)</f>
        <v>29.056000000000001</v>
      </c>
      <c r="F16">
        <f>_xll.EQNXTDZ($A$1,$B16,F$1,$B$1)</f>
        <v>31.349</v>
      </c>
      <c r="G16">
        <f>_xll.EQNXTDZ($A$1,$B16,G$1,$B$1)</f>
        <v>33.9</v>
      </c>
      <c r="H16">
        <f>_xll.EQNXTDZ($A$1,$B16,H$1,$B$1)</f>
        <v>33.067</v>
      </c>
      <c r="I16">
        <f>_xll.EQNXTDZ($A$1,$B16,I$1,$B$1)</f>
        <v>31.952999999999999</v>
      </c>
      <c r="J16">
        <f>_xll.EQNXTDZ($A$1,$B16,J$1,$B$1)</f>
        <v>32.926000000000002</v>
      </c>
      <c r="K16">
        <f>_xll.EQNXTDZ($A$1,$B16,K$1,$B$1)</f>
        <v>37.183</v>
      </c>
      <c r="L16">
        <f>_xll.EQNXTDZ($A$1,$B16,L$1,$B$1)</f>
        <v>35.531999999999996</v>
      </c>
      <c r="M16">
        <f>_xll.EQNXTDZ($A$1,$B16,M$1,$B$1)</f>
        <v>35.514000000000003</v>
      </c>
      <c r="N16">
        <f>_xll.EQNXTDZ($A$1,$B16,N$1,$B$1)</f>
        <v>38.588999999999999</v>
      </c>
      <c r="O16">
        <f>_xll.EQNXTDZ($A$1,$B16,O$1,$B$1)</f>
        <v>40.584000000000003</v>
      </c>
      <c r="P16">
        <f>_xll.EQNXTDZ($A$1,$B16,P$1,$B$1)</f>
        <v>39.945</v>
      </c>
      <c r="Q16">
        <f>_xll.EQNXTDZ($A$1,$B16,Q$1,$B$1)</f>
        <v>38.719000000000001</v>
      </c>
      <c r="R16">
        <f>_xll.EQNXTDZ($A$1,$B16,R$1,$B$1)</f>
        <v>46.710999999999999</v>
      </c>
      <c r="S16">
        <f>_xll.EQNXTDZ($A$1,$B16,S$1,$B$1)</f>
        <v>46.204999999999998</v>
      </c>
      <c r="T16">
        <f>_xll.EQNXTDZ($A$1,$B16,T$1,$B$1)</f>
        <v>44.734000000000002</v>
      </c>
      <c r="U16">
        <f>_xll.EQNXTDZ($A$1,$B16,U$1,$B$1)</f>
        <v>47.026000000000003</v>
      </c>
      <c r="V16">
        <f>_xll.EQNXTDZ($A$1,$B16,V$1,$B$1)</f>
        <v>49.896000000000001</v>
      </c>
      <c r="W16">
        <f>_xll.EQNXTDZ($A$1,$B16,W$1,$B$1)</f>
        <v>55.822000000000003</v>
      </c>
      <c r="X16">
        <f>_xll.EQNXTDZ($A$1,$B16,X$1,$B$1)</f>
        <v>52.997999999999998</v>
      </c>
      <c r="Y16">
        <f>_xll.EQNXTDZ($A$1,$B16,Y$1,$B$1)</f>
        <v>53.106999999999999</v>
      </c>
      <c r="Z16">
        <f>_xll.EQNXTDZ($A$1,$B16,Z$1,$B$1)</f>
        <v>55.384</v>
      </c>
      <c r="AA16">
        <f>_xll.EQNXTDZ($A$1,$B16,AA$1,$B$1)</f>
        <v>67.463999999999999</v>
      </c>
      <c r="AB16">
        <f>_xll.EQNXTDZ($A$1,$B16,AB$1,$B$1)</f>
        <v>73.751000000000005</v>
      </c>
      <c r="AC16">
        <f>_xll.EQNXTDZ($A$1,$B16,AC$1,$B$1)</f>
        <v>72.259</v>
      </c>
      <c r="AD16">
        <f>_xll.EQNXTDZ($A$1,$B16,AD$1,$B$1)</f>
        <v>74.701999999999998</v>
      </c>
      <c r="AE16">
        <f>_xll.EQNXTDZ($A$1,$B16,AE$1,$B$1)</f>
        <v>78.054000000000002</v>
      </c>
      <c r="AF16">
        <f>_xll.EQNXTDZ($A$1,$B16,AF$1,$B$1)</f>
        <v>77.022000000000006</v>
      </c>
      <c r="AG16">
        <f>_xll.EQNXTDZ($A$1,$B16,AG$1,$B$1)</f>
        <v>82.316000000000003</v>
      </c>
      <c r="AH16">
        <f>_xll.EQNXTDZ($A$1,$B16,AH$1,$B$1)</f>
        <v>85.525000000000006</v>
      </c>
      <c r="AI16">
        <f>_xll.EQNXTDZ($A$1,$B16,AI$1,$B$1)</f>
        <v>88.665999999999997</v>
      </c>
      <c r="AJ16">
        <f>_xll.EQNXTDZ($A$1,$B16,AJ$1,$B$1)</f>
        <v>81.070999999999998</v>
      </c>
      <c r="AK16">
        <f>_xll.EQNXTDZ($A$1,$B16,AK$1,$B$1)</f>
        <v>84.697999999999993</v>
      </c>
      <c r="AL16">
        <f>_xll.EQNXTDZ($A$1,$B16,AL$1,$B$1)</f>
        <v>86.165000000000006</v>
      </c>
      <c r="AM16">
        <f>_xll.EQNXTDZ($A$1,$B16,AM$1,$B$1)</f>
        <v>98.14</v>
      </c>
      <c r="AN16">
        <f>_xll.EQNXTDZ($A$1,$B16,AN$1,$B$1)</f>
        <v>105.4</v>
      </c>
      <c r="AO16">
        <f>_xll.EQNXTDZ($A$1,$B16,AO$1,$B$1)</f>
        <v>119.47</v>
      </c>
      <c r="AP16">
        <f>_xll.EQNXTDZ($A$1,$B16,AP$1,$B$1)</f>
        <v>116.23</v>
      </c>
      <c r="AQ16">
        <f>_xll.EQNXTDZ($A$1,$B16,AQ$1,$B$1)</f>
        <v>133.87</v>
      </c>
      <c r="AR16">
        <f>_xll.EQNXTDZ($A$1,$B16,AR$1,$B$1)</f>
        <v>135.62</v>
      </c>
      <c r="AS16">
        <f>_xll.EQNXTDZ($A$1,$B16,AS$1,$B$1)</f>
        <v>138.33000000000001</v>
      </c>
      <c r="AT16">
        <f>_xll.EQNXTDZ($A$1,$B16,AT$1,$B$1)</f>
        <v>135.63</v>
      </c>
      <c r="AU16">
        <f>_xll.EQNXTDZ($A$1,$B16,AU$1,$B$1)</f>
        <v>148.75</v>
      </c>
      <c r="AV16">
        <f>_xll.EQNXTDZ($A$1,$B16,AV$1,$B$1)</f>
        <v>148.28</v>
      </c>
      <c r="AW16">
        <f>_xll.EQNXTDZ($A$1,$B16,AW$1,$B$1)</f>
        <v>151.68</v>
      </c>
      <c r="AX16">
        <f>_xll.EQNXTDZ($A$1,$B16,AX$1,$B$1)</f>
        <v>152.69999999999999</v>
      </c>
      <c r="AY16">
        <f>_xll.EQNXTDZ($A$1,$B16,AY$1,$B$1)</f>
        <v>166.91</v>
      </c>
      <c r="AZ16">
        <f>_xll.EQNXTDZ($A$1,$B16,AZ$1,$B$1)</f>
        <v>170.57</v>
      </c>
      <c r="BA16">
        <f>_xll.EQNXTDZ($A$1,$B16,BA$1,$B$1)</f>
        <v>173.31</v>
      </c>
      <c r="BB16">
        <f>_xll.EQNXTDZ($A$1,$B16,BB$1,$B$1)</f>
        <v>176.82</v>
      </c>
      <c r="BC16">
        <f>_xll.EQNXTDZ($A$1,$B16,BC$1,$B$1)</f>
        <v>194.29</v>
      </c>
      <c r="BD16">
        <f>_xll.EQNXTDZ($A$1,$B16,BD$1,$B$1)</f>
        <v>188.26</v>
      </c>
      <c r="BE16">
        <f>_xll.EQNXTDZ($A$1,$B16,BE$1,$B$1)</f>
        <v>191.42</v>
      </c>
      <c r="BF16">
        <f>_xll.EQNXTDZ($A$1,$B16,BF$1,$B$1)</f>
        <v>198.73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8.9589999999999996</v>
      </c>
      <c r="D19">
        <f>_xll.EQNXTDZ($A$1,$B19,D$1,$B$1)</f>
        <v>1.3660000000000001</v>
      </c>
      <c r="E19">
        <f>_xll.EQNXTDZ($A$1,$B19,E$1,$B$1)</f>
        <v>6.3890000000000002</v>
      </c>
      <c r="F19">
        <f>_xll.EQNXTDZ($A$1,$B19,F$1,$B$1)</f>
        <v>0</v>
      </c>
      <c r="G19">
        <f>_xll.EQNXTDZ($A$1,$B19,G$1,$B$1)</f>
        <v>3.5999999999999997E-2</v>
      </c>
      <c r="H19">
        <f>_xll.EQNXTDZ($A$1,$B19,H$1,$B$1)</f>
        <v>1.3160000000000001</v>
      </c>
      <c r="I19">
        <f>_xll.EQNXTDZ($A$1,$B19,I$1,$B$1)</f>
        <v>3.4420000000000002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0.26</v>
      </c>
      <c r="M19">
        <f>_xll.EQNXTDZ($A$1,$B19,M$1,$B$1)</f>
        <v>2.83</v>
      </c>
      <c r="N19">
        <f>_xll.EQNXTDZ($A$1,$B19,N$1,$B$1)</f>
        <v>0.39900000000000002</v>
      </c>
      <c r="O19">
        <f>_xll.EQNXTDZ($A$1,$B19,O$1,$B$1)</f>
        <v>1.1870000000000001</v>
      </c>
      <c r="P19">
        <f>_xll.EQNXTDZ($A$1,$B19,P$1,$B$1)</f>
        <v>4.7919999999999998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19.981000000000002</v>
      </c>
      <c r="D22">
        <f>_xll.EQNXTDZ($A$1,$B22,D$1,$B$1)</f>
        <v>31.838000000000001</v>
      </c>
      <c r="E22">
        <f>_xll.EQNXTDZ($A$1,$B22,E$1,$B$1)</f>
        <v>25.61</v>
      </c>
      <c r="F22">
        <f>_xll.EQNXTDZ($A$1,$B22,F$1,$B$1)</f>
        <v>26.419</v>
      </c>
      <c r="G22">
        <f>_xll.EQNXTDZ($A$1,$B22,G$1,$B$1)</f>
        <v>40.389000000000003</v>
      </c>
      <c r="H22">
        <f>_xll.EQNXTDZ($A$1,$B22,H$1,$B$1)</f>
        <v>49.030999999999999</v>
      </c>
      <c r="I22">
        <f>_xll.EQNXTDZ($A$1,$B22,I$1,$B$1)</f>
        <v>42.911000000000001</v>
      </c>
      <c r="J22">
        <f>_xll.EQNXTDZ($A$1,$B22,J$1,$B$1)</f>
        <v>17.760999999999999</v>
      </c>
      <c r="K22">
        <f>_xll.EQNXTDZ($A$1,$B22,K$1,$B$1)</f>
        <v>47.857999999999997</v>
      </c>
      <c r="L22">
        <f>_xll.EQNXTDZ($A$1,$B22,L$1,$B$1)</f>
        <v>57.564999999999998</v>
      </c>
      <c r="M22">
        <f>_xll.EQNXTDZ($A$1,$B22,M$1,$B$1)</f>
        <v>46.139000000000003</v>
      </c>
      <c r="N22">
        <f>_xll.EQNXTDZ($A$1,$B22,N$1,$B$1)</f>
        <v>42.215000000000003</v>
      </c>
      <c r="O22">
        <f>_xll.EQNXTDZ($A$1,$B22,O$1,$B$1)</f>
        <v>49.896000000000001</v>
      </c>
      <c r="P22">
        <f>_xll.EQNXTDZ($A$1,$B22,P$1,$B$1)</f>
        <v>50.122</v>
      </c>
      <c r="Q22">
        <f>_xll.EQNXTDZ($A$1,$B22,Q$1,$B$1)</f>
        <v>65.638999999999996</v>
      </c>
      <c r="R22">
        <f>_xll.EQNXTDZ($A$1,$B22,R$1,$B$1)</f>
        <v>55.704000000000001</v>
      </c>
      <c r="S22">
        <f>_xll.EQNXTDZ($A$1,$B22,S$1,$B$1)</f>
        <v>69.212000000000003</v>
      </c>
      <c r="T22">
        <f>_xll.EQNXTDZ($A$1,$B22,T$1,$B$1)</f>
        <v>60.16</v>
      </c>
      <c r="U22">
        <f>_xll.EQNXTDZ($A$1,$B22,U$1,$B$1)</f>
        <v>45.738</v>
      </c>
      <c r="V22">
        <f>_xll.EQNXTDZ($A$1,$B22,V$1,$B$1)</f>
        <v>46.875</v>
      </c>
      <c r="W22">
        <f>_xll.EQNXTDZ($A$1,$B22,W$1,$B$1)</f>
        <v>31.067</v>
      </c>
      <c r="X22">
        <f>_xll.EQNXTDZ($A$1,$B22,X$1,$B$1)</f>
        <v>73.768000000000001</v>
      </c>
      <c r="Y22">
        <f>_xll.EQNXTDZ($A$1,$B22,Y$1,$B$1)</f>
        <v>58.615000000000002</v>
      </c>
      <c r="Z22">
        <f>_xll.EQNXTDZ($A$1,$B22,Z$1,$B$1)</f>
        <v>39.338000000000001</v>
      </c>
      <c r="AA22">
        <f>_xll.EQNXTDZ($A$1,$B22,AA$1,$B$1)</f>
        <v>80.822000000000003</v>
      </c>
      <c r="AB22">
        <f>_xll.EQNXTDZ($A$1,$B22,AB$1,$B$1)</f>
        <v>81.501999999999995</v>
      </c>
      <c r="AC22">
        <f>_xll.EQNXTDZ($A$1,$B22,AC$1,$B$1)</f>
        <v>77.977000000000004</v>
      </c>
      <c r="AD22">
        <f>_xll.EQNXTDZ($A$1,$B22,AD$1,$B$1)</f>
        <v>65.540000000000006</v>
      </c>
      <c r="AE22">
        <f>_xll.EQNXTDZ($A$1,$B22,AE$1,$B$1)</f>
        <v>95.980000000000103</v>
      </c>
      <c r="AF22">
        <f>_xll.EQNXTDZ($A$1,$B22,AF$1,$B$1)</f>
        <v>100.26</v>
      </c>
      <c r="AG22">
        <f>_xll.EQNXTDZ($A$1,$B22,AG$1,$B$1)</f>
        <v>89.594999999999999</v>
      </c>
      <c r="AH22">
        <f>_xll.EQNXTDZ($A$1,$B22,AH$1,$B$1)</f>
        <v>91.7379999999999</v>
      </c>
      <c r="AI22">
        <f>_xll.EQNXTDZ($A$1,$B22,AI$1,$B$1)</f>
        <v>155.422</v>
      </c>
      <c r="AJ22">
        <f>_xll.EQNXTDZ($A$1,$B22,AJ$1,$B$1)</f>
        <v>110.099</v>
      </c>
      <c r="AK22">
        <f>_xll.EQNXTDZ($A$1,$B22,AK$1,$B$1)</f>
        <v>170.99299999999999</v>
      </c>
      <c r="AL22">
        <f>_xll.EQNXTDZ($A$1,$B22,AL$1,$B$1)</f>
        <v>123.895</v>
      </c>
      <c r="AM22">
        <f>_xll.EQNXTDZ($A$1,$B22,AM$1,$B$1)</f>
        <v>163.69</v>
      </c>
      <c r="AN22">
        <f>_xll.EQNXTDZ($A$1,$B22,AN$1,$B$1)</f>
        <v>126.75</v>
      </c>
      <c r="AO22">
        <f>_xll.EQNXTDZ($A$1,$B22,AO$1,$B$1)</f>
        <v>128.1</v>
      </c>
      <c r="AP22">
        <f>_xll.EQNXTDZ($A$1,$B22,AP$1,$B$1)</f>
        <v>124.92</v>
      </c>
      <c r="AQ22">
        <f>_xll.EQNXTDZ($A$1,$B22,AQ$1,$B$1)</f>
        <v>172.76</v>
      </c>
      <c r="AR22">
        <f>_xll.EQNXTDZ($A$1,$B22,AR$1,$B$1)</f>
        <v>184.58</v>
      </c>
      <c r="AS22">
        <f>_xll.EQNXTDZ($A$1,$B22,AS$1,$B$1)</f>
        <v>174.77</v>
      </c>
      <c r="AT22">
        <f>_xll.EQNXTDZ($A$1,$B22,AT$1,$B$1)</f>
        <v>163.63999999999999</v>
      </c>
      <c r="AU22">
        <f>_xll.EQNXTDZ($A$1,$B22,AU$1,$B$1)</f>
        <v>232.11</v>
      </c>
      <c r="AV22">
        <f>_xll.EQNXTDZ($A$1,$B22,AV$1,$B$1)</f>
        <v>243.54</v>
      </c>
      <c r="AW22">
        <f>_xll.EQNXTDZ($A$1,$B22,AW$1,$B$1)</f>
        <v>223.12</v>
      </c>
      <c r="AX22">
        <f>_xll.EQNXTDZ($A$1,$B22,AX$1,$B$1)</f>
        <v>198.12</v>
      </c>
      <c r="AY22">
        <f>_xll.EQNXTDZ($A$1,$B22,AY$1,$B$1)</f>
        <v>280.37</v>
      </c>
      <c r="AZ22">
        <f>_xll.EQNXTDZ($A$1,$B22,AZ$1,$B$1)</f>
        <v>270.52</v>
      </c>
      <c r="BA22">
        <f>_xll.EQNXTDZ($A$1,$B22,BA$1,$B$1)</f>
        <v>254.51</v>
      </c>
      <c r="BB22">
        <f>_xll.EQNXTDZ($A$1,$B22,BB$1,$B$1)</f>
        <v>226.44</v>
      </c>
      <c r="BC22">
        <f>_xll.EQNXTDZ($A$1,$B22,BC$1,$B$1)</f>
        <v>300.87</v>
      </c>
      <c r="BD22">
        <f>_xll.EQNXTDZ($A$1,$B22,BD$1,$B$1)</f>
        <v>309.60000000000002</v>
      </c>
      <c r="BE22">
        <f>_xll.EQNXTDZ($A$1,$B22,BE$1,$B$1)</f>
        <v>295.82</v>
      </c>
      <c r="BF22">
        <f>_xll.EQNXTDZ($A$1,$B22,BF$1,$B$1)</f>
        <v>201.13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2.7</v>
      </c>
      <c r="D23">
        <f>_xll.EQNXTDZ($A$1,$B23,D$1,$B$1)</f>
        <v>13.683999999999999</v>
      </c>
      <c r="E23">
        <f>_xll.EQNXTDZ($A$1,$B23,E$1,$B$1)</f>
        <v>13.757999999999999</v>
      </c>
      <c r="F23">
        <f>_xll.EQNXTDZ($A$1,$B23,F$1,$B$1)</f>
        <v>3.5840000000000001</v>
      </c>
      <c r="G23">
        <f>_xll.EQNXTDZ($A$1,$B23,G$1,$B$1)</f>
        <v>1.5149999999999999</v>
      </c>
      <c r="H23">
        <f>_xll.EQNXTDZ($A$1,$B23,H$1,$B$1)</f>
        <v>6.8090000000000002</v>
      </c>
      <c r="I23">
        <f>_xll.EQNXTDZ($A$1,$B23,I$1,$B$1)</f>
        <v>30.760999999999999</v>
      </c>
      <c r="J23">
        <f>_xll.EQNXTDZ($A$1,$B23,J$1,$B$1)</f>
        <v>14.218999999999999</v>
      </c>
      <c r="K23">
        <f>_xll.EQNXTDZ($A$1,$B23,K$1,$B$1)</f>
        <v>2.2349999999999999</v>
      </c>
      <c r="L23">
        <f>_xll.EQNXTDZ($A$1,$B23,L$1,$B$1)</f>
        <v>5.2050000000000001</v>
      </c>
      <c r="M23">
        <f>_xll.EQNXTDZ($A$1,$B23,M$1,$B$1)</f>
        <v>1.9590000000000001</v>
      </c>
      <c r="N23">
        <f>_xll.EQNXTDZ($A$1,$B23,N$1,$B$1)</f>
        <v>4.3140000000000001</v>
      </c>
      <c r="O23">
        <f>_xll.EQNXTDZ($A$1,$B23,O$1,$B$1)</f>
        <v>15.099</v>
      </c>
      <c r="P23">
        <f>_xll.EQNXTDZ($A$1,$B23,P$1,$B$1)</f>
        <v>16.32</v>
      </c>
      <c r="Q23">
        <f>_xll.EQNXTDZ($A$1,$B23,Q$1,$B$1)</f>
        <v>8.5649999999999995</v>
      </c>
      <c r="R23">
        <f>_xll.EQNXTDZ($A$1,$B23,R$1,$B$1)</f>
        <v>20.050999999999998</v>
      </c>
      <c r="S23">
        <f>_xll.EQNXTDZ($A$1,$B23,S$1,$B$1)</f>
        <v>10.967000000000001</v>
      </c>
      <c r="T23">
        <f>_xll.EQNXTDZ($A$1,$B23,T$1,$B$1)</f>
        <v>14.645</v>
      </c>
      <c r="U23">
        <f>_xll.EQNXTDZ($A$1,$B23,U$1,$B$1)</f>
        <v>7.6909999999999998</v>
      </c>
      <c r="V23">
        <f>_xll.EQNXTDZ($A$1,$B23,V$1,$B$1)</f>
        <v>12.763</v>
      </c>
      <c r="W23">
        <f>_xll.EQNXTDZ($A$1,$B23,W$1,$B$1)</f>
        <v>9.2720000000000002</v>
      </c>
      <c r="X23">
        <f>_xll.EQNXTDZ($A$1,$B23,X$1,$B$1)</f>
        <v>9.5690000000000008</v>
      </c>
      <c r="Y23">
        <f>_xll.EQNXTDZ($A$1,$B23,Y$1,$B$1)</f>
        <v>5.32</v>
      </c>
      <c r="Z23">
        <f>_xll.EQNXTDZ($A$1,$B23,Z$1,$B$1)</f>
        <v>11.455</v>
      </c>
      <c r="AA23">
        <f>_xll.EQNXTDZ($A$1,$B23,AA$1,$B$1)</f>
        <v>1.4159999999999999</v>
      </c>
      <c r="AB23">
        <f>_xll.EQNXTDZ($A$1,$B23,AB$1,$B$1)</f>
        <v>8.5519999999999996</v>
      </c>
      <c r="AC23">
        <f>_xll.EQNXTDZ($A$1,$B23,AC$1,$B$1)</f>
        <v>15.82</v>
      </c>
      <c r="AD23">
        <f>_xll.EQNXTDZ($A$1,$B23,AD$1,$B$1)</f>
        <v>15.651</v>
      </c>
      <c r="AE23">
        <f>_xll.EQNXTDZ($A$1,$B23,AE$1,$B$1)</f>
        <v>12.608000000000001</v>
      </c>
      <c r="AF23">
        <f>_xll.EQNXTDZ($A$1,$B23,AF$1,$B$1)</f>
        <v>18.509</v>
      </c>
      <c r="AG23">
        <f>_xll.EQNXTDZ($A$1,$B23,AG$1,$B$1)</f>
        <v>16.38</v>
      </c>
      <c r="AH23">
        <f>_xll.EQNXTDZ($A$1,$B23,AH$1,$B$1)</f>
        <v>3.1739999999999999</v>
      </c>
      <c r="AI23">
        <f>_xll.EQNXTDZ($A$1,$B23,AI$1,$B$1)</f>
        <v>22.69</v>
      </c>
      <c r="AJ23">
        <f>_xll.EQNXTDZ($A$1,$B23,AJ$1,$B$1)</f>
        <v>8.3930000000000007</v>
      </c>
      <c r="AK23">
        <f>_xll.EQNXTDZ($A$1,$B23,AK$1,$B$1)</f>
        <v>55.953000000000003</v>
      </c>
      <c r="AL23">
        <f>_xll.EQNXTDZ($A$1,$B23,AL$1,$B$1)</f>
        <v>25.347999999999999</v>
      </c>
      <c r="AM23">
        <f>_xll.EQNXTDZ($A$1,$B23,AM$1,$B$1)</f>
        <v>12.97</v>
      </c>
      <c r="AN23">
        <f>_xll.EQNXTDZ($A$1,$B23,AN$1,$B$1)</f>
        <v>19.649999999999999</v>
      </c>
      <c r="AO23">
        <f>_xll.EQNXTDZ($A$1,$B23,AO$1,$B$1)</f>
        <v>4.53</v>
      </c>
      <c r="AP23">
        <f>_xll.EQNXTDZ($A$1,$B23,AP$1,$B$1)</f>
        <v>2.08</v>
      </c>
      <c r="AQ23">
        <f>_xll.EQNXTDZ($A$1,$B23,AQ$1,$B$1)</f>
        <v>0.89</v>
      </c>
      <c r="AR23">
        <f>_xll.EQNXTDZ($A$1,$B23,AR$1,$B$1)</f>
        <v>1.34</v>
      </c>
      <c r="AS23">
        <f>_xll.EQNXTDZ($A$1,$B23,AS$1,$B$1)</f>
        <v>3.13</v>
      </c>
      <c r="AT23">
        <f>_xll.EQNXTDZ($A$1,$B23,AT$1,$B$1)</f>
        <v>4.58</v>
      </c>
      <c r="AU23">
        <f>_xll.EQNXTDZ($A$1,$B23,AU$1,$B$1)</f>
        <v>5.63</v>
      </c>
      <c r="AV23">
        <f>_xll.EQNXTDZ($A$1,$B23,AV$1,$B$1)</f>
        <v>7.66</v>
      </c>
      <c r="AW23">
        <f>_xll.EQNXTDZ($A$1,$B23,AW$1,$B$1)</f>
        <v>7.35</v>
      </c>
      <c r="AX23">
        <f>_xll.EQNXTDZ($A$1,$B23,AX$1,$B$1)</f>
        <v>16.63</v>
      </c>
      <c r="AY23">
        <f>_xll.EQNXTDZ($A$1,$B23,AY$1,$B$1)</f>
        <v>5.89</v>
      </c>
      <c r="AZ23">
        <f>_xll.EQNXTDZ($A$1,$B23,AZ$1,$B$1)</f>
        <v>9.9499999999999993</v>
      </c>
      <c r="BA23">
        <f>_xll.EQNXTDZ($A$1,$B23,BA$1,$B$1)</f>
        <v>8</v>
      </c>
      <c r="BB23">
        <f>_xll.EQNXTDZ($A$1,$B23,BB$1,$B$1)</f>
        <v>14.48</v>
      </c>
      <c r="BC23">
        <f>_xll.EQNXTDZ($A$1,$B23,BC$1,$B$1)</f>
        <v>14.55</v>
      </c>
      <c r="BD23">
        <f>_xll.EQNXTDZ($A$1,$B23,BD$1,$B$1)</f>
        <v>15.34</v>
      </c>
      <c r="BE23">
        <f>_xll.EQNXTDZ($A$1,$B23,BE$1,$B$1)</f>
        <v>18.28</v>
      </c>
      <c r="BF23">
        <f>_xll.EQNXTDZ($A$1,$B23,BF$1,$B$1)</f>
        <v>11.98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22.681000000000001</v>
      </c>
      <c r="D24">
        <f>_xll.EQNXTDZ($A$1,$B24,D$1,$B$1)</f>
        <v>45.521999999999998</v>
      </c>
      <c r="E24">
        <f>_xll.EQNXTDZ($A$1,$B24,E$1,$B$1)</f>
        <v>39.368000000000002</v>
      </c>
      <c r="F24">
        <f>_xll.EQNXTDZ($A$1,$B24,F$1,$B$1)</f>
        <v>30.003</v>
      </c>
      <c r="G24">
        <f>_xll.EQNXTDZ($A$1,$B24,G$1,$B$1)</f>
        <v>41.904000000000003</v>
      </c>
      <c r="H24">
        <f>_xll.EQNXTDZ($A$1,$B24,H$1,$B$1)</f>
        <v>55.84</v>
      </c>
      <c r="I24">
        <f>_xll.EQNXTDZ($A$1,$B24,I$1,$B$1)</f>
        <v>73.671999999999997</v>
      </c>
      <c r="J24">
        <f>_xll.EQNXTDZ($A$1,$B24,J$1,$B$1)</f>
        <v>31.98</v>
      </c>
      <c r="K24">
        <f>_xll.EQNXTDZ($A$1,$B24,K$1,$B$1)</f>
        <v>50.093000000000004</v>
      </c>
      <c r="L24">
        <f>_xll.EQNXTDZ($A$1,$B24,L$1,$B$1)</f>
        <v>62.77</v>
      </c>
      <c r="M24">
        <f>_xll.EQNXTDZ($A$1,$B24,M$1,$B$1)</f>
        <v>48.097999999999999</v>
      </c>
      <c r="N24">
        <f>_xll.EQNXTDZ($A$1,$B24,N$1,$B$1)</f>
        <v>46.529000000000003</v>
      </c>
      <c r="O24">
        <f>_xll.EQNXTDZ($A$1,$B24,O$1,$B$1)</f>
        <v>64.995000000000005</v>
      </c>
      <c r="P24">
        <f>_xll.EQNXTDZ($A$1,$B24,P$1,$B$1)</f>
        <v>66.441999999999993</v>
      </c>
      <c r="Q24">
        <f>_xll.EQNXTDZ($A$1,$B24,Q$1,$B$1)</f>
        <v>74.203999999999994</v>
      </c>
      <c r="R24">
        <f>_xll.EQNXTDZ($A$1,$B24,R$1,$B$1)</f>
        <v>75.754999999999995</v>
      </c>
      <c r="S24">
        <f>_xll.EQNXTDZ($A$1,$B24,S$1,$B$1)</f>
        <v>80.179000000000002</v>
      </c>
      <c r="T24">
        <f>_xll.EQNXTDZ($A$1,$B24,T$1,$B$1)</f>
        <v>74.805000000000007</v>
      </c>
      <c r="U24">
        <f>_xll.EQNXTDZ($A$1,$B24,U$1,$B$1)</f>
        <v>53.427999999999997</v>
      </c>
      <c r="V24">
        <f>_xll.EQNXTDZ($A$1,$B24,V$1,$B$1)</f>
        <v>59.637999999999998</v>
      </c>
      <c r="W24">
        <f>_xll.EQNXTDZ($A$1,$B24,W$1,$B$1)</f>
        <v>40.338999999999999</v>
      </c>
      <c r="X24">
        <f>_xll.EQNXTDZ($A$1,$B24,X$1,$B$1)</f>
        <v>83.337000000000003</v>
      </c>
      <c r="Y24">
        <f>_xll.EQNXTDZ($A$1,$B24,Y$1,$B$1)</f>
        <v>63.935000000000002</v>
      </c>
      <c r="Z24">
        <f>_xll.EQNXTDZ($A$1,$B24,Z$1,$B$1)</f>
        <v>50.793999999999997</v>
      </c>
      <c r="AA24">
        <f>_xll.EQNXTDZ($A$1,$B24,AA$1,$B$1)</f>
        <v>82.238</v>
      </c>
      <c r="AB24">
        <f>_xll.EQNXTDZ($A$1,$B24,AB$1,$B$1)</f>
        <v>90.054000000000002</v>
      </c>
      <c r="AC24">
        <f>_xll.EQNXTDZ($A$1,$B24,AC$1,$B$1)</f>
        <v>93.798000000000002</v>
      </c>
      <c r="AD24">
        <f>_xll.EQNXTDZ($A$1,$B24,AD$1,$B$1)</f>
        <v>81.191000000000003</v>
      </c>
      <c r="AE24">
        <f>_xll.EQNXTDZ($A$1,$B24,AE$1,$B$1)</f>
        <v>108.58799999999999</v>
      </c>
      <c r="AF24">
        <f>_xll.EQNXTDZ($A$1,$B24,AF$1,$B$1)</f>
        <v>118.76900000000001</v>
      </c>
      <c r="AG24">
        <f>_xll.EQNXTDZ($A$1,$B24,AG$1,$B$1)</f>
        <v>105.97499999999999</v>
      </c>
      <c r="AH24">
        <f>_xll.EQNXTDZ($A$1,$B24,AH$1,$B$1)</f>
        <v>94.912000000000006</v>
      </c>
      <c r="AI24">
        <f>_xll.EQNXTDZ($A$1,$B24,AI$1,$B$1)</f>
        <v>178.11199999999999</v>
      </c>
      <c r="AJ24">
        <f>_xll.EQNXTDZ($A$1,$B24,AJ$1,$B$1)</f>
        <v>118.492</v>
      </c>
      <c r="AK24">
        <f>_xll.EQNXTDZ($A$1,$B24,AK$1,$B$1)</f>
        <v>226.94499999999999</v>
      </c>
      <c r="AL24">
        <f>_xll.EQNXTDZ($A$1,$B24,AL$1,$B$1)</f>
        <v>149.244</v>
      </c>
      <c r="AM24">
        <f>_xll.EQNXTDZ($A$1,$B24,AM$1,$B$1)</f>
        <v>176.66</v>
      </c>
      <c r="AN24">
        <f>_xll.EQNXTDZ($A$1,$B24,AN$1,$B$1)</f>
        <v>146.4</v>
      </c>
      <c r="AO24">
        <f>_xll.EQNXTDZ($A$1,$B24,AO$1,$B$1)</f>
        <v>132.63</v>
      </c>
      <c r="AP24">
        <f>_xll.EQNXTDZ($A$1,$B24,AP$1,$B$1)</f>
        <v>127</v>
      </c>
      <c r="AQ24">
        <f>_xll.EQNXTDZ($A$1,$B24,AQ$1,$B$1)</f>
        <v>173.65</v>
      </c>
      <c r="AR24">
        <f>_xll.EQNXTDZ($A$1,$B24,AR$1,$B$1)</f>
        <v>185.92</v>
      </c>
      <c r="AS24">
        <f>_xll.EQNXTDZ($A$1,$B24,AS$1,$B$1)</f>
        <v>177.9</v>
      </c>
      <c r="AT24">
        <f>_xll.EQNXTDZ($A$1,$B24,AT$1,$B$1)</f>
        <v>168.22</v>
      </c>
      <c r="AU24">
        <f>_xll.EQNXTDZ($A$1,$B24,AU$1,$B$1)</f>
        <v>237.74</v>
      </c>
      <c r="AV24">
        <f>_xll.EQNXTDZ($A$1,$B24,AV$1,$B$1)</f>
        <v>251.2</v>
      </c>
      <c r="AW24">
        <f>_xll.EQNXTDZ($A$1,$B24,AW$1,$B$1)</f>
        <v>230.47</v>
      </c>
      <c r="AX24">
        <f>_xll.EQNXTDZ($A$1,$B24,AX$1,$B$1)</f>
        <v>214.75</v>
      </c>
      <c r="AY24">
        <f>_xll.EQNXTDZ($A$1,$B24,AY$1,$B$1)</f>
        <v>286.26</v>
      </c>
      <c r="AZ24">
        <f>_xll.EQNXTDZ($A$1,$B24,AZ$1,$B$1)</f>
        <v>280.47000000000003</v>
      </c>
      <c r="BA24">
        <f>_xll.EQNXTDZ($A$1,$B24,BA$1,$B$1)</f>
        <v>262.51</v>
      </c>
      <c r="BB24">
        <f>_xll.EQNXTDZ($A$1,$B24,BB$1,$B$1)</f>
        <v>240.92</v>
      </c>
      <c r="BC24">
        <f>_xll.EQNXTDZ($A$1,$B24,BC$1,$B$1)</f>
        <v>315.42</v>
      </c>
      <c r="BD24">
        <f>_xll.EQNXTDZ($A$1,$B24,BD$1,$B$1)</f>
        <v>324.94</v>
      </c>
      <c r="BE24">
        <f>_xll.EQNXTDZ($A$1,$B24,BE$1,$B$1)</f>
        <v>314.10000000000002</v>
      </c>
      <c r="BF24">
        <f>_xll.EQNXTDZ($A$1,$B24,BF$1,$B$1)</f>
        <v>213.11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1.2410000000000001</v>
      </c>
      <c r="D25">
        <f>_xll.EQNXTDZ($A$1,$B25,D$1,$B$1)</f>
        <v>0.95699999999999996</v>
      </c>
      <c r="E25">
        <f>_xll.EQNXTDZ($A$1,$B25,E$1,$B$1)</f>
        <v>1.88</v>
      </c>
      <c r="F25">
        <f>_xll.EQNXTDZ($A$1,$B25,F$1,$B$1)</f>
        <v>1.1639999999999999</v>
      </c>
      <c r="G25">
        <f>_xll.EQNXTDZ($A$1,$B25,G$1,$B$1)</f>
        <v>1.4690000000000001</v>
      </c>
      <c r="H25">
        <f>_xll.EQNXTDZ($A$1,$B25,H$1,$B$1)</f>
        <v>1.899</v>
      </c>
      <c r="I25">
        <f>_xll.EQNXTDZ($A$1,$B25,I$1,$B$1)</f>
        <v>1.897</v>
      </c>
      <c r="J25">
        <f>_xll.EQNXTDZ($A$1,$B25,J$1,$B$1)</f>
        <v>0.86199999999999999</v>
      </c>
      <c r="K25">
        <f>_xll.EQNXTDZ($A$1,$B25,K$1,$B$1)</f>
        <v>1.3260000000000001</v>
      </c>
      <c r="L25">
        <f>_xll.EQNXTDZ($A$1,$B25,L$1,$B$1)</f>
        <v>2.254</v>
      </c>
      <c r="M25">
        <f>_xll.EQNXTDZ($A$1,$B25,M$1,$B$1)</f>
        <v>2.847</v>
      </c>
      <c r="N25">
        <f>_xll.EQNXTDZ($A$1,$B25,N$1,$B$1)</f>
        <v>0.223</v>
      </c>
      <c r="O25">
        <f>_xll.EQNXTDZ($A$1,$B25,O$1,$B$1)</f>
        <v>1.978</v>
      </c>
      <c r="P25">
        <f>_xll.EQNXTDZ($A$1,$B25,P$1,$B$1)</f>
        <v>3.3519999999999999</v>
      </c>
      <c r="Q25">
        <f>_xll.EQNXTDZ($A$1,$B25,Q$1,$B$1)</f>
        <v>2.8660000000000001</v>
      </c>
      <c r="R25">
        <f>_xll.EQNXTDZ($A$1,$B25,R$1,$B$1)</f>
        <v>2.0979999999999999</v>
      </c>
      <c r="S25">
        <f>_xll.EQNXTDZ($A$1,$B25,S$1,$B$1)</f>
        <v>0.77900000000000003</v>
      </c>
      <c r="T25">
        <f>_xll.EQNXTDZ($A$1,$B25,T$1,$B$1)</f>
        <v>2.0329999999999999</v>
      </c>
      <c r="U25">
        <f>_xll.EQNXTDZ($A$1,$B25,U$1,$B$1)</f>
        <v>2.4300000000000002</v>
      </c>
      <c r="V25">
        <f>_xll.EQNXTDZ($A$1,$B25,V$1,$B$1)</f>
        <v>-0.24099999999999999</v>
      </c>
      <c r="W25">
        <f>_xll.EQNXTDZ($A$1,$B25,W$1,$B$1)</f>
        <v>0.79100000000000004</v>
      </c>
      <c r="X25">
        <f>_xll.EQNXTDZ($A$1,$B25,X$1,$B$1)</f>
        <v>1.0609999999999999</v>
      </c>
      <c r="Y25">
        <f>_xll.EQNXTDZ($A$1,$B25,Y$1,$B$1)</f>
        <v>0.61099999999999999</v>
      </c>
      <c r="Z25">
        <f>_xll.EQNXTDZ($A$1,$B25,Z$1,$B$1)</f>
        <v>0.95099999999999996</v>
      </c>
      <c r="AA25">
        <f>_xll.EQNXTDZ($A$1,$B25,AA$1,$B$1)</f>
        <v>1.2789999999999999</v>
      </c>
      <c r="AB25">
        <f>_xll.EQNXTDZ($A$1,$B25,AB$1,$B$1)</f>
        <v>0.76400000000000001</v>
      </c>
      <c r="AC25">
        <f>_xll.EQNXTDZ($A$1,$B25,AC$1,$B$1)</f>
        <v>1.2969999999999999</v>
      </c>
      <c r="AD25">
        <f>_xll.EQNXTDZ($A$1,$B25,AD$1,$B$1)</f>
        <v>1.3080000000000001</v>
      </c>
      <c r="AE25">
        <f>_xll.EQNXTDZ($A$1,$B25,AE$1,$B$1)</f>
        <v>0.80400000000000005</v>
      </c>
      <c r="AF25">
        <f>_xll.EQNXTDZ($A$1,$B25,AF$1,$B$1)</f>
        <v>0.874</v>
      </c>
      <c r="AG25">
        <f>_xll.EQNXTDZ($A$1,$B25,AG$1,$B$1)</f>
        <v>0.85299999999999998</v>
      </c>
      <c r="AH25">
        <f>_xll.EQNXTDZ($A$1,$B25,AH$1,$B$1)</f>
        <v>0.499</v>
      </c>
      <c r="AI25">
        <f>_xll.EQNXTDZ($A$1,$B25,AI$1,$B$1)</f>
        <v>3.7450000000000001</v>
      </c>
      <c r="AJ25">
        <f>_xll.EQNXTDZ($A$1,$B25,AJ$1,$B$1)</f>
        <v>1.716</v>
      </c>
      <c r="AK25">
        <f>_xll.EQNXTDZ($A$1,$B25,AK$1,$B$1)</f>
        <v>1.091</v>
      </c>
      <c r="AL25">
        <f>_xll.EQNXTDZ($A$1,$B25,AL$1,$B$1)</f>
        <v>0.68899999999999995</v>
      </c>
      <c r="AM25">
        <f>_xll.EQNXTDZ($A$1,$B25,AM$1,$B$1)</f>
        <v>0.94</v>
      </c>
      <c r="AN25">
        <f>_xll.EQNXTDZ($A$1,$B25,AN$1,$B$1)</f>
        <v>1.23</v>
      </c>
      <c r="AO25">
        <f>_xll.EQNXTDZ($A$1,$B25,AO$1,$B$1)</f>
        <v>1.34</v>
      </c>
      <c r="AP25">
        <f>_xll.EQNXTDZ($A$1,$B25,AP$1,$B$1)</f>
        <v>1.61</v>
      </c>
      <c r="AQ25">
        <f>_xll.EQNXTDZ($A$1,$B25,AQ$1,$B$1)</f>
        <v>5.83</v>
      </c>
      <c r="AR25">
        <f>_xll.EQNXTDZ($A$1,$B25,AR$1,$B$1)</f>
        <v>7.96</v>
      </c>
      <c r="AS25">
        <f>_xll.EQNXTDZ($A$1,$B25,AS$1,$B$1)</f>
        <v>8.3000000000000007</v>
      </c>
      <c r="AT25">
        <f>_xll.EQNXTDZ($A$1,$B25,AT$1,$B$1)</f>
        <v>13.96</v>
      </c>
      <c r="AU25">
        <f>_xll.EQNXTDZ($A$1,$B25,AU$1,$B$1)</f>
        <v>12.06</v>
      </c>
      <c r="AV25">
        <f>_xll.EQNXTDZ($A$1,$B25,AV$1,$B$1)</f>
        <v>10.37</v>
      </c>
      <c r="AW25">
        <f>_xll.EQNXTDZ($A$1,$B25,AW$1,$B$1)</f>
        <v>12.49</v>
      </c>
      <c r="AX25">
        <f>_xll.EQNXTDZ($A$1,$B25,AX$1,$B$1)</f>
        <v>9.41</v>
      </c>
      <c r="AY25">
        <f>_xll.EQNXTDZ($A$1,$B25,AY$1,$B$1)</f>
        <v>5.64</v>
      </c>
      <c r="AZ25">
        <f>_xll.EQNXTDZ($A$1,$B25,AZ$1,$B$1)</f>
        <v>2.06</v>
      </c>
      <c r="BA25">
        <f>_xll.EQNXTDZ($A$1,$B25,BA$1,$B$1)</f>
        <v>2.58</v>
      </c>
      <c r="BB25">
        <f>_xll.EQNXTDZ($A$1,$B25,BB$1,$B$1)</f>
        <v>1.45</v>
      </c>
      <c r="BC25">
        <f>_xll.EQNXTDZ($A$1,$B25,BC$1,$B$1)</f>
        <v>1.1100000000000001</v>
      </c>
      <c r="BD25">
        <f>_xll.EQNXTDZ($A$1,$B25,BD$1,$B$1)</f>
        <v>1.35</v>
      </c>
      <c r="BE25">
        <f>_xll.EQNXTDZ($A$1,$B25,BE$1,$B$1)</f>
        <v>1.88</v>
      </c>
      <c r="BF25">
        <f>_xll.EQNXTDZ($A$1,$B25,BF$1,$B$1)</f>
        <v>1.23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-9.6180000000000003</v>
      </c>
      <c r="D26">
        <f>_xll.EQNXTDZ($A$1,$B26,D$1,$B$1)</f>
        <v>9.4260000000000002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-5.4420000000000002</v>
      </c>
      <c r="H26">
        <f>_xll.EQNXTDZ($A$1,$B26,H$1,$B$1)</f>
        <v>-6.1749999999999998</v>
      </c>
      <c r="I26">
        <f>_xll.EQNXTDZ($A$1,$B26,I$1,$B$1)</f>
        <v>-64.5</v>
      </c>
      <c r="J26">
        <f>_xll.EQNXTDZ($A$1,$B26,J$1,$B$1)</f>
        <v>0</v>
      </c>
      <c r="K26">
        <f>_xll.EQNXTDZ($A$1,$B26,K$1,$B$1)</f>
        <v>3.6880000000000002</v>
      </c>
      <c r="L26">
        <f>_xll.EQNXTDZ($A$1,$B26,L$1,$B$1)</f>
        <v>-7.8230000000000004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-10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-27.18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11.821999999999999</v>
      </c>
      <c r="D27">
        <f>_xll.EQNXTDZ($A$1,$B27,D$1,$B$1)</f>
        <v>53.991</v>
      </c>
      <c r="E27">
        <f>_xll.EQNXTDZ($A$1,$B27,E$1,$B$1)</f>
        <v>37.488</v>
      </c>
      <c r="F27">
        <f>_xll.EQNXTDZ($A$1,$B27,F$1,$B$1)</f>
        <v>28.838999999999999</v>
      </c>
      <c r="G27">
        <f>_xll.EQNXTDZ($A$1,$B27,G$1,$B$1)</f>
        <v>34.993000000000002</v>
      </c>
      <c r="H27">
        <f>_xll.EQNXTDZ($A$1,$B27,H$1,$B$1)</f>
        <v>47.765000000000001</v>
      </c>
      <c r="I27">
        <f>_xll.EQNXTDZ($A$1,$B27,I$1,$B$1)</f>
        <v>7.2750000000000004</v>
      </c>
      <c r="J27">
        <f>_xll.EQNXTDZ($A$1,$B27,J$1,$B$1)</f>
        <v>31.117999999999999</v>
      </c>
      <c r="K27">
        <f>_xll.EQNXTDZ($A$1,$B27,K$1,$B$1)</f>
        <v>52.454999999999998</v>
      </c>
      <c r="L27">
        <f>_xll.EQNXTDZ($A$1,$B27,L$1,$B$1)</f>
        <v>52.692999999999998</v>
      </c>
      <c r="M27">
        <f>_xll.EQNXTDZ($A$1,$B27,M$1,$B$1)</f>
        <v>45.250999999999998</v>
      </c>
      <c r="N27">
        <f>_xll.EQNXTDZ($A$1,$B27,N$1,$B$1)</f>
        <v>46.305999999999997</v>
      </c>
      <c r="O27">
        <f>_xll.EQNXTDZ($A$1,$B27,O$1,$B$1)</f>
        <v>63.017000000000003</v>
      </c>
      <c r="P27">
        <f>_xll.EQNXTDZ($A$1,$B27,P$1,$B$1)</f>
        <v>63.09</v>
      </c>
      <c r="Q27">
        <f>_xll.EQNXTDZ($A$1,$B27,Q$1,$B$1)</f>
        <v>71.337999999999994</v>
      </c>
      <c r="R27">
        <f>_xll.EQNXTDZ($A$1,$B27,R$1,$B$1)</f>
        <v>73.656999999999996</v>
      </c>
      <c r="S27">
        <f>_xll.EQNXTDZ($A$1,$B27,S$1,$B$1)</f>
        <v>79.400000000000006</v>
      </c>
      <c r="T27">
        <f>_xll.EQNXTDZ($A$1,$B27,T$1,$B$1)</f>
        <v>72.772000000000006</v>
      </c>
      <c r="U27">
        <f>_xll.EQNXTDZ($A$1,$B27,U$1,$B$1)</f>
        <v>50.997999999999998</v>
      </c>
      <c r="V27">
        <f>_xll.EQNXTDZ($A$1,$B27,V$1,$B$1)</f>
        <v>59.878999999999998</v>
      </c>
      <c r="W27">
        <f>_xll.EQNXTDZ($A$1,$B27,W$1,$B$1)</f>
        <v>39.548000000000002</v>
      </c>
      <c r="X27">
        <f>_xll.EQNXTDZ($A$1,$B27,X$1,$B$1)</f>
        <v>82.275999999999996</v>
      </c>
      <c r="Y27">
        <f>_xll.EQNXTDZ($A$1,$B27,Y$1,$B$1)</f>
        <v>63.323999999999998</v>
      </c>
      <c r="Z27">
        <f>_xll.EQNXTDZ($A$1,$B27,Z$1,$B$1)</f>
        <v>49.843000000000004</v>
      </c>
      <c r="AA27">
        <f>_xll.EQNXTDZ($A$1,$B27,AA$1,$B$1)</f>
        <v>80.959000000000003</v>
      </c>
      <c r="AB27">
        <f>_xll.EQNXTDZ($A$1,$B27,AB$1,$B$1)</f>
        <v>89.29</v>
      </c>
      <c r="AC27">
        <f>_xll.EQNXTDZ($A$1,$B27,AC$1,$B$1)</f>
        <v>92.501000000000005</v>
      </c>
      <c r="AD27">
        <f>_xll.EQNXTDZ($A$1,$B27,AD$1,$B$1)</f>
        <v>79.882999999999996</v>
      </c>
      <c r="AE27">
        <f>_xll.EQNXTDZ($A$1,$B27,AE$1,$B$1)</f>
        <v>107.78400000000001</v>
      </c>
      <c r="AF27">
        <f>_xll.EQNXTDZ($A$1,$B27,AF$1,$B$1)</f>
        <v>117.895</v>
      </c>
      <c r="AG27">
        <f>_xll.EQNXTDZ($A$1,$B27,AG$1,$B$1)</f>
        <v>105.122</v>
      </c>
      <c r="AH27">
        <f>_xll.EQNXTDZ($A$1,$B27,AH$1,$B$1)</f>
        <v>84.412999999999997</v>
      </c>
      <c r="AI27">
        <f>_xll.EQNXTDZ($A$1,$B27,AI$1,$B$1)</f>
        <v>174.36699999999999</v>
      </c>
      <c r="AJ27">
        <f>_xll.EQNXTDZ($A$1,$B27,AJ$1,$B$1)</f>
        <v>116.776</v>
      </c>
      <c r="AK27">
        <f>_xll.EQNXTDZ($A$1,$B27,AK$1,$B$1)</f>
        <v>225.85400000000001</v>
      </c>
      <c r="AL27">
        <f>_xll.EQNXTDZ($A$1,$B27,AL$1,$B$1)</f>
        <v>148.55500000000001</v>
      </c>
      <c r="AM27">
        <f>_xll.EQNXTDZ($A$1,$B27,AM$1,$B$1)</f>
        <v>175.72</v>
      </c>
      <c r="AN27">
        <f>_xll.EQNXTDZ($A$1,$B27,AN$1,$B$1)</f>
        <v>145.16999999999999</v>
      </c>
      <c r="AO27">
        <f>_xll.EQNXTDZ($A$1,$B27,AO$1,$B$1)</f>
        <v>131.29</v>
      </c>
      <c r="AP27">
        <f>_xll.EQNXTDZ($A$1,$B27,AP$1,$B$1)</f>
        <v>125.39</v>
      </c>
      <c r="AQ27">
        <f>_xll.EQNXTDZ($A$1,$B27,AQ$1,$B$1)</f>
        <v>167.82</v>
      </c>
      <c r="AR27">
        <f>_xll.EQNXTDZ($A$1,$B27,AR$1,$B$1)</f>
        <v>177.96</v>
      </c>
      <c r="AS27">
        <f>_xll.EQNXTDZ($A$1,$B27,AS$1,$B$1)</f>
        <v>169.6</v>
      </c>
      <c r="AT27">
        <f>_xll.EQNXTDZ($A$1,$B27,AT$1,$B$1)</f>
        <v>154.26</v>
      </c>
      <c r="AU27">
        <f>_xll.EQNXTDZ($A$1,$B27,AU$1,$B$1)</f>
        <v>225.68</v>
      </c>
      <c r="AV27">
        <f>_xll.EQNXTDZ($A$1,$B27,AV$1,$B$1)</f>
        <v>240.83</v>
      </c>
      <c r="AW27">
        <f>_xll.EQNXTDZ($A$1,$B27,AW$1,$B$1)</f>
        <v>217.98</v>
      </c>
      <c r="AX27">
        <f>_xll.EQNXTDZ($A$1,$B27,AX$1,$B$1)</f>
        <v>205.34</v>
      </c>
      <c r="AY27">
        <f>_xll.EQNXTDZ($A$1,$B27,AY$1,$B$1)</f>
        <v>280.62</v>
      </c>
      <c r="AZ27">
        <f>_xll.EQNXTDZ($A$1,$B27,AZ$1,$B$1)</f>
        <v>278.41000000000003</v>
      </c>
      <c r="BA27">
        <f>_xll.EQNXTDZ($A$1,$B27,BA$1,$B$1)</f>
        <v>259.93</v>
      </c>
      <c r="BB27">
        <f>_xll.EQNXTDZ($A$1,$B27,BB$1,$B$1)</f>
        <v>239.47</v>
      </c>
      <c r="BC27">
        <f>_xll.EQNXTDZ($A$1,$B27,BC$1,$B$1)</f>
        <v>314.31</v>
      </c>
      <c r="BD27">
        <f>_xll.EQNXTDZ($A$1,$B27,BD$1,$B$1)</f>
        <v>323.58999999999997</v>
      </c>
      <c r="BE27">
        <f>_xll.EQNXTDZ($A$1,$B27,BE$1,$B$1)</f>
        <v>312.22000000000003</v>
      </c>
      <c r="BF27">
        <f>_xll.EQNXTDZ($A$1,$B27,BF$1,$B$1)</f>
        <v>184.7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6.0129999999999999</v>
      </c>
      <c r="D28">
        <f>_xll.EQNXTDZ($A$1,$B28,D$1,$B$1)</f>
        <v>6.1269999999999998</v>
      </c>
      <c r="E28">
        <f>_xll.EQNXTDZ($A$1,$B28,E$1,$B$1)</f>
        <v>6.25</v>
      </c>
      <c r="F28">
        <f>_xll.EQNXTDZ($A$1,$B28,F$1,$B$1)</f>
        <v>6.0060000000000002</v>
      </c>
      <c r="G28">
        <f>_xll.EQNXTDZ($A$1,$B28,G$1,$B$1)</f>
        <v>7.5</v>
      </c>
      <c r="H28">
        <f>_xll.EQNXTDZ($A$1,$B28,H$1,$B$1)</f>
        <v>7.5</v>
      </c>
      <c r="I28">
        <f>_xll.EQNXTDZ($A$1,$B28,I$1,$B$1)</f>
        <v>6</v>
      </c>
      <c r="J28">
        <f>_xll.EQNXTDZ($A$1,$B28,J$1,$B$1)</f>
        <v>6.165</v>
      </c>
      <c r="K28">
        <f>_xll.EQNXTDZ($A$1,$B28,K$1,$B$1)</f>
        <v>9.9</v>
      </c>
      <c r="L28">
        <f>_xll.EQNXTDZ($A$1,$B28,L$1,$B$1)</f>
        <v>10.01</v>
      </c>
      <c r="M28">
        <f>_xll.EQNXTDZ($A$1,$B28,M$1,$B$1)</f>
        <v>10.11</v>
      </c>
      <c r="N28">
        <f>_xll.EQNXTDZ($A$1,$B28,N$1,$B$1)</f>
        <v>7.58</v>
      </c>
      <c r="O28">
        <f>_xll.EQNXTDZ($A$1,$B28,O$1,$B$1)</f>
        <v>9.77</v>
      </c>
      <c r="P28">
        <f>_xll.EQNXTDZ($A$1,$B28,P$1,$B$1)</f>
        <v>10.039999999999999</v>
      </c>
      <c r="Q28">
        <f>_xll.EQNXTDZ($A$1,$B28,Q$1,$B$1)</f>
        <v>10.226000000000001</v>
      </c>
      <c r="R28">
        <f>_xll.EQNXTDZ($A$1,$B28,R$1,$B$1)</f>
        <v>10.372999999999999</v>
      </c>
      <c r="S28">
        <f>_xll.EQNXTDZ($A$1,$B28,S$1,$B$1)</f>
        <v>11.317</v>
      </c>
      <c r="T28">
        <f>_xll.EQNXTDZ($A$1,$B28,T$1,$B$1)</f>
        <v>11.183</v>
      </c>
      <c r="U28">
        <f>_xll.EQNXTDZ($A$1,$B28,U$1,$B$1)</f>
        <v>11.36</v>
      </c>
      <c r="V28">
        <f>_xll.EQNXTDZ($A$1,$B28,V$1,$B$1)</f>
        <v>12.406000000000001</v>
      </c>
      <c r="W28">
        <f>_xll.EQNXTDZ($A$1,$B28,W$1,$B$1)</f>
        <v>14.327999999999999</v>
      </c>
      <c r="X28">
        <f>_xll.EQNXTDZ($A$1,$B28,X$1,$B$1)</f>
        <v>14.327</v>
      </c>
      <c r="Y28">
        <f>_xll.EQNXTDZ($A$1,$B28,Y$1,$B$1)</f>
        <v>14.25</v>
      </c>
      <c r="Z28">
        <f>_xll.EQNXTDZ($A$1,$B28,Z$1,$B$1)</f>
        <v>13.042999999999999</v>
      </c>
      <c r="AA28">
        <f>_xll.EQNXTDZ($A$1,$B28,AA$1,$B$1)</f>
        <v>14.69</v>
      </c>
      <c r="AB28">
        <f>_xll.EQNXTDZ($A$1,$B28,AB$1,$B$1)</f>
        <v>14.692</v>
      </c>
      <c r="AC28">
        <f>_xll.EQNXTDZ($A$1,$B28,AC$1,$B$1)</f>
        <v>14.66</v>
      </c>
      <c r="AD28">
        <f>_xll.EQNXTDZ($A$1,$B28,AD$1,$B$1)</f>
        <v>11.6</v>
      </c>
      <c r="AE28">
        <f>_xll.EQNXTDZ($A$1,$B28,AE$1,$B$1)</f>
        <v>15.798</v>
      </c>
      <c r="AF28">
        <f>_xll.EQNXTDZ($A$1,$B28,AF$1,$B$1)</f>
        <v>16.387</v>
      </c>
      <c r="AG28">
        <f>_xll.EQNXTDZ($A$1,$B28,AG$1,$B$1)</f>
        <v>16.748999999999999</v>
      </c>
      <c r="AH28">
        <f>_xll.EQNXTDZ($A$1,$B28,AH$1,$B$1)</f>
        <v>17.388999999999999</v>
      </c>
      <c r="AI28">
        <f>_xll.EQNXTDZ($A$1,$B28,AI$1,$B$1)</f>
        <v>17.294</v>
      </c>
      <c r="AJ28">
        <f>_xll.EQNXTDZ($A$1,$B28,AJ$1,$B$1)</f>
        <v>17.446000000000002</v>
      </c>
      <c r="AK28">
        <f>_xll.EQNXTDZ($A$1,$B28,AK$1,$B$1)</f>
        <v>17.393000000000001</v>
      </c>
      <c r="AL28">
        <f>_xll.EQNXTDZ($A$1,$B28,AL$1,$B$1)</f>
        <v>16.532</v>
      </c>
      <c r="AM28">
        <f>_xll.EQNXTDZ($A$1,$B28,AM$1,$B$1)</f>
        <v>17.850000000000001</v>
      </c>
      <c r="AN28">
        <f>_xll.EQNXTDZ($A$1,$B28,AN$1,$B$1)</f>
        <v>15.74</v>
      </c>
      <c r="AO28">
        <f>_xll.EQNXTDZ($A$1,$B28,AO$1,$B$1)</f>
        <v>16.97</v>
      </c>
      <c r="AP28">
        <f>_xll.EQNXTDZ($A$1,$B28,AP$1,$B$1)</f>
        <v>22.11</v>
      </c>
      <c r="AQ28">
        <f>_xll.EQNXTDZ($A$1,$B28,AQ$1,$B$1)</f>
        <v>26.08</v>
      </c>
      <c r="AR28">
        <f>_xll.EQNXTDZ($A$1,$B28,AR$1,$B$1)</f>
        <v>28.13</v>
      </c>
      <c r="AS28">
        <f>_xll.EQNXTDZ($A$1,$B28,AS$1,$B$1)</f>
        <v>28.4</v>
      </c>
      <c r="AT28">
        <f>_xll.EQNXTDZ($A$1,$B28,AT$1,$B$1)</f>
        <v>31.8</v>
      </c>
      <c r="AU28">
        <f>_xll.EQNXTDZ($A$1,$B28,AU$1,$B$1)</f>
        <v>31.38</v>
      </c>
      <c r="AV28">
        <f>_xll.EQNXTDZ($A$1,$B28,AV$1,$B$1)</f>
        <v>32.17</v>
      </c>
      <c r="AW28">
        <f>_xll.EQNXTDZ($A$1,$B28,AW$1,$B$1)</f>
        <v>34.03</v>
      </c>
      <c r="AX28">
        <f>_xll.EQNXTDZ($A$1,$B28,AX$1,$B$1)</f>
        <v>40.74</v>
      </c>
      <c r="AY28">
        <f>_xll.EQNXTDZ($A$1,$B28,AY$1,$B$1)</f>
        <v>40.78</v>
      </c>
      <c r="AZ28">
        <f>_xll.EQNXTDZ($A$1,$B28,AZ$1,$B$1)</f>
        <v>41.88</v>
      </c>
      <c r="BA28">
        <f>_xll.EQNXTDZ($A$1,$B28,BA$1,$B$1)</f>
        <v>41.94</v>
      </c>
      <c r="BB28">
        <f>_xll.EQNXTDZ($A$1,$B28,BB$1,$B$1)</f>
        <v>46.44</v>
      </c>
      <c r="BC28">
        <f>_xll.EQNXTDZ($A$1,$B28,BC$1,$B$1)</f>
        <v>42.7</v>
      </c>
      <c r="BD28">
        <f>_xll.EQNXTDZ($A$1,$B28,BD$1,$B$1)</f>
        <v>44.44</v>
      </c>
      <c r="BE28">
        <f>_xll.EQNXTDZ($A$1,$B28,BE$1,$B$1)</f>
        <v>45.35</v>
      </c>
      <c r="BF28">
        <f>_xll.EQNXTDZ($A$1,$B28,BF$1,$B$1)</f>
        <v>50.01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1.5009999999999999</v>
      </c>
      <c r="D29">
        <f>_xll.EQNXTDZ($A$1,$B29,D$1,$B$1)</f>
        <v>8.8610000000000007</v>
      </c>
      <c r="E29">
        <f>_xll.EQNXTDZ($A$1,$B29,E$1,$B$1)</f>
        <v>9.3640000000000008</v>
      </c>
      <c r="F29">
        <f>_xll.EQNXTDZ($A$1,$B29,F$1,$B$1)</f>
        <v>3.081</v>
      </c>
      <c r="G29">
        <f>_xll.EQNXTDZ($A$1,$B29,G$1,$B$1)</f>
        <v>7.1680000000000001</v>
      </c>
      <c r="H29">
        <f>_xll.EQNXTDZ($A$1,$B29,H$1,$B$1)</f>
        <v>7.1230000000000002</v>
      </c>
      <c r="I29">
        <f>_xll.EQNXTDZ($A$1,$B29,I$1,$B$1)</f>
        <v>7.75</v>
      </c>
      <c r="J29">
        <f>_xll.EQNXTDZ($A$1,$B29,J$1,$B$1)</f>
        <v>3.5219999999999998</v>
      </c>
      <c r="K29">
        <f>_xll.EQNXTDZ($A$1,$B29,K$1,$B$1)</f>
        <v>10.763999999999999</v>
      </c>
      <c r="L29">
        <f>_xll.EQNXTDZ($A$1,$B29,L$1,$B$1)</f>
        <v>10.795999999999999</v>
      </c>
      <c r="M29">
        <f>_xll.EQNXTDZ($A$1,$B29,M$1,$B$1)</f>
        <v>10.973000000000001</v>
      </c>
      <c r="N29">
        <f>_xll.EQNXTDZ($A$1,$B29,N$1,$B$1)</f>
        <v>12.99</v>
      </c>
      <c r="O29">
        <f>_xll.EQNXTDZ($A$1,$B29,O$1,$B$1)</f>
        <v>13.609</v>
      </c>
      <c r="P29">
        <f>_xll.EQNXTDZ($A$1,$B29,P$1,$B$1)</f>
        <v>10.901999999999999</v>
      </c>
      <c r="Q29">
        <f>_xll.EQNXTDZ($A$1,$B29,Q$1,$B$1)</f>
        <v>14.231</v>
      </c>
      <c r="R29">
        <f>_xll.EQNXTDZ($A$1,$B29,R$1,$B$1)</f>
        <v>12.747999999999999</v>
      </c>
      <c r="S29">
        <f>_xll.EQNXTDZ($A$1,$B29,S$1,$B$1)</f>
        <v>18.228000000000002</v>
      </c>
      <c r="T29">
        <f>_xll.EQNXTDZ($A$1,$B29,T$1,$B$1)</f>
        <v>16.388999999999999</v>
      </c>
      <c r="U29">
        <f>_xll.EQNXTDZ($A$1,$B29,U$1,$B$1)</f>
        <v>3.8769999999999998</v>
      </c>
      <c r="V29">
        <f>_xll.EQNXTDZ($A$1,$B29,V$1,$B$1)</f>
        <v>5.3239999999999998</v>
      </c>
      <c r="W29">
        <f>_xll.EQNXTDZ($A$1,$B29,W$1,$B$1)</f>
        <v>4.8529999999999998</v>
      </c>
      <c r="X29">
        <f>_xll.EQNXTDZ($A$1,$B29,X$1,$B$1)</f>
        <v>16.225000000000001</v>
      </c>
      <c r="Y29">
        <f>_xll.EQNXTDZ($A$1,$B29,Y$1,$B$1)</f>
        <v>15.224</v>
      </c>
      <c r="Z29">
        <f>_xll.EQNXTDZ($A$1,$B29,Z$1,$B$1)</f>
        <v>14.741</v>
      </c>
      <c r="AA29">
        <f>_xll.EQNXTDZ($A$1,$B29,AA$1,$B$1)</f>
        <v>20.513000000000002</v>
      </c>
      <c r="AB29">
        <f>_xll.EQNXTDZ($A$1,$B29,AB$1,$B$1)</f>
        <v>23.128</v>
      </c>
      <c r="AC29">
        <f>_xll.EQNXTDZ($A$1,$B29,AC$1,$B$1)</f>
        <v>27.888999999999999</v>
      </c>
      <c r="AD29">
        <f>_xll.EQNXTDZ($A$1,$B29,AD$1,$B$1)</f>
        <v>21.492999999999999</v>
      </c>
      <c r="AE29">
        <f>_xll.EQNXTDZ($A$1,$B29,AE$1,$B$1)</f>
        <v>29.873999999999999</v>
      </c>
      <c r="AF29">
        <f>_xll.EQNXTDZ($A$1,$B29,AF$1,$B$1)</f>
        <v>7.7460000000000004</v>
      </c>
      <c r="AG29">
        <f>_xll.EQNXTDZ($A$1,$B29,AG$1,$B$1)</f>
        <v>21.927</v>
      </c>
      <c r="AH29">
        <f>_xll.EQNXTDZ($A$1,$B29,AH$1,$B$1)</f>
        <v>16.952000000000002</v>
      </c>
      <c r="AI29">
        <f>_xll.EQNXTDZ($A$1,$B29,AI$1,$B$1)</f>
        <v>37.566000000000003</v>
      </c>
      <c r="AJ29">
        <f>_xll.EQNXTDZ($A$1,$B29,AJ$1,$B$1)</f>
        <v>25.405999999999999</v>
      </c>
      <c r="AK29">
        <f>_xll.EQNXTDZ($A$1,$B29,AK$1,$B$1)</f>
        <v>54.177999999999997</v>
      </c>
      <c r="AL29">
        <f>_xll.EQNXTDZ($A$1,$B29,AL$1,$B$1)</f>
        <v>31.212</v>
      </c>
      <c r="AM29">
        <f>_xll.EQNXTDZ($A$1,$B29,AM$1,$B$1)</f>
        <v>38.81</v>
      </c>
      <c r="AN29">
        <f>_xll.EQNXTDZ($A$1,$B29,AN$1,$B$1)</f>
        <v>31.54</v>
      </c>
      <c r="AO29">
        <f>_xll.EQNXTDZ($A$1,$B29,AO$1,$B$1)</f>
        <v>30.21</v>
      </c>
      <c r="AP29">
        <f>_xll.EQNXTDZ($A$1,$B29,AP$1,$B$1)</f>
        <v>18.309999999999999</v>
      </c>
      <c r="AQ29">
        <f>_xll.EQNXTDZ($A$1,$B29,AQ$1,$B$1)</f>
        <v>36.54</v>
      </c>
      <c r="AR29">
        <f>_xll.EQNXTDZ($A$1,$B29,AR$1,$B$1)</f>
        <v>38.75</v>
      </c>
      <c r="AS29">
        <f>_xll.EQNXTDZ($A$1,$B29,AS$1,$B$1)</f>
        <v>35.1</v>
      </c>
      <c r="AT29">
        <f>_xll.EQNXTDZ($A$1,$B29,AT$1,$B$1)</f>
        <v>34.83</v>
      </c>
      <c r="AU29">
        <f>_xll.EQNXTDZ($A$1,$B29,AU$1,$B$1)</f>
        <v>51.98</v>
      </c>
      <c r="AV29">
        <f>_xll.EQNXTDZ($A$1,$B29,AV$1,$B$1)</f>
        <v>58.07</v>
      </c>
      <c r="AW29">
        <f>_xll.EQNXTDZ($A$1,$B29,AW$1,$B$1)</f>
        <v>50.38</v>
      </c>
      <c r="AX29">
        <f>_xll.EQNXTDZ($A$1,$B29,AX$1,$B$1)</f>
        <v>38.44</v>
      </c>
      <c r="AY29">
        <f>_xll.EQNXTDZ($A$1,$B29,AY$1,$B$1)</f>
        <v>63.01</v>
      </c>
      <c r="AZ29">
        <f>_xll.EQNXTDZ($A$1,$B29,AZ$1,$B$1)</f>
        <v>61.96</v>
      </c>
      <c r="BA29">
        <f>_xll.EQNXTDZ($A$1,$B29,BA$1,$B$1)</f>
        <v>55.5</v>
      </c>
      <c r="BB29">
        <f>_xll.EQNXTDZ($A$1,$B29,BB$1,$B$1)</f>
        <v>47.34</v>
      </c>
      <c r="BC29">
        <f>_xll.EQNXTDZ($A$1,$B29,BC$1,$B$1)</f>
        <v>69.23</v>
      </c>
      <c r="BD29">
        <f>_xll.EQNXTDZ($A$1,$B29,BD$1,$B$1)</f>
        <v>71.33</v>
      </c>
      <c r="BE29">
        <f>_xll.EQNXTDZ($A$1,$B29,BE$1,$B$1)</f>
        <v>68.98</v>
      </c>
      <c r="BF29">
        <f>_xll.EQNXTDZ($A$1,$B29,BF$1,$B$1)</f>
        <v>33.32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4.3079999999999998</v>
      </c>
      <c r="D30">
        <f>_xll.EQNXTDZ($A$1,$B30,D$1,$B$1)</f>
        <v>39.003999999999998</v>
      </c>
      <c r="E30">
        <f>_xll.EQNXTDZ($A$1,$B30,E$1,$B$1)</f>
        <v>21.873999999999999</v>
      </c>
      <c r="F30">
        <f>_xll.EQNXTDZ($A$1,$B30,F$1,$B$1)</f>
        <v>19.751999999999999</v>
      </c>
      <c r="G30">
        <f>_xll.EQNXTDZ($A$1,$B30,G$1,$B$1)</f>
        <v>20.324999999999999</v>
      </c>
      <c r="H30">
        <f>_xll.EQNXTDZ($A$1,$B30,H$1,$B$1)</f>
        <v>33.143000000000001</v>
      </c>
      <c r="I30">
        <f>_xll.EQNXTDZ($A$1,$B30,I$1,$B$1)</f>
        <v>-6.4749999999999996</v>
      </c>
      <c r="J30">
        <f>_xll.EQNXTDZ($A$1,$B30,J$1,$B$1)</f>
        <v>21.431999999999999</v>
      </c>
      <c r="K30">
        <f>_xll.EQNXTDZ($A$1,$B30,K$1,$B$1)</f>
        <v>31.791</v>
      </c>
      <c r="L30">
        <f>_xll.EQNXTDZ($A$1,$B30,L$1,$B$1)</f>
        <v>31.887</v>
      </c>
      <c r="M30">
        <f>_xll.EQNXTDZ($A$1,$B30,M$1,$B$1)</f>
        <v>24.167999999999999</v>
      </c>
      <c r="N30">
        <f>_xll.EQNXTDZ($A$1,$B30,N$1,$B$1)</f>
        <v>25.736000000000001</v>
      </c>
      <c r="O30">
        <f>_xll.EQNXTDZ($A$1,$B30,O$1,$B$1)</f>
        <v>39.637999999999998</v>
      </c>
      <c r="P30">
        <f>_xll.EQNXTDZ($A$1,$B30,P$1,$B$1)</f>
        <v>42.148000000000003</v>
      </c>
      <c r="Q30">
        <f>_xll.EQNXTDZ($A$1,$B30,Q$1,$B$1)</f>
        <v>46.881</v>
      </c>
      <c r="R30">
        <f>_xll.EQNXTDZ($A$1,$B30,R$1,$B$1)</f>
        <v>50.536000000000001</v>
      </c>
      <c r="S30">
        <f>_xll.EQNXTDZ($A$1,$B30,S$1,$B$1)</f>
        <v>49.854999999999997</v>
      </c>
      <c r="T30">
        <f>_xll.EQNXTDZ($A$1,$B30,T$1,$B$1)</f>
        <v>45.2</v>
      </c>
      <c r="U30">
        <f>_xll.EQNXTDZ($A$1,$B30,U$1,$B$1)</f>
        <v>35.761000000000003</v>
      </c>
      <c r="V30">
        <f>_xll.EQNXTDZ($A$1,$B30,V$1,$B$1)</f>
        <v>42.149000000000001</v>
      </c>
      <c r="W30">
        <f>_xll.EQNXTDZ($A$1,$B30,W$1,$B$1)</f>
        <v>20.367000000000001</v>
      </c>
      <c r="X30">
        <f>_xll.EQNXTDZ($A$1,$B30,X$1,$B$1)</f>
        <v>51.723999999999997</v>
      </c>
      <c r="Y30">
        <f>_xll.EQNXTDZ($A$1,$B30,Y$1,$B$1)</f>
        <v>33.85</v>
      </c>
      <c r="Z30">
        <f>_xll.EQNXTDZ($A$1,$B30,Z$1,$B$1)</f>
        <v>22.059000000000001</v>
      </c>
      <c r="AA30">
        <f>_xll.EQNXTDZ($A$1,$B30,AA$1,$B$1)</f>
        <v>45.756999999999998</v>
      </c>
      <c r="AB30">
        <f>_xll.EQNXTDZ($A$1,$B30,AB$1,$B$1)</f>
        <v>51.47</v>
      </c>
      <c r="AC30">
        <f>_xll.EQNXTDZ($A$1,$B30,AC$1,$B$1)</f>
        <v>49.951999999999998</v>
      </c>
      <c r="AD30">
        <f>_xll.EQNXTDZ($A$1,$B30,AD$1,$B$1)</f>
        <v>46.79</v>
      </c>
      <c r="AE30">
        <f>_xll.EQNXTDZ($A$1,$B30,AE$1,$B$1)</f>
        <v>62.112000000000101</v>
      </c>
      <c r="AF30">
        <f>_xll.EQNXTDZ($A$1,$B30,AF$1,$B$1)</f>
        <v>93.762</v>
      </c>
      <c r="AG30">
        <f>_xll.EQNXTDZ($A$1,$B30,AG$1,$B$1)</f>
        <v>66.445999999999998</v>
      </c>
      <c r="AH30">
        <f>_xll.EQNXTDZ($A$1,$B30,AH$1,$B$1)</f>
        <v>50.072000000000003</v>
      </c>
      <c r="AI30">
        <f>_xll.EQNXTDZ($A$1,$B30,AI$1,$B$1)</f>
        <v>119.50700000000001</v>
      </c>
      <c r="AJ30">
        <f>_xll.EQNXTDZ($A$1,$B30,AJ$1,$B$1)</f>
        <v>73.924000000000007</v>
      </c>
      <c r="AK30">
        <f>_xll.EQNXTDZ($A$1,$B30,AK$1,$B$1)</f>
        <v>154.28299999999999</v>
      </c>
      <c r="AL30">
        <f>_xll.EQNXTDZ($A$1,$B30,AL$1,$B$1)</f>
        <v>100.81100000000001</v>
      </c>
      <c r="AM30">
        <f>_xll.EQNXTDZ($A$1,$B30,AM$1,$B$1)</f>
        <v>119.06</v>
      </c>
      <c r="AN30">
        <f>_xll.EQNXTDZ($A$1,$B30,AN$1,$B$1)</f>
        <v>97.89</v>
      </c>
      <c r="AO30">
        <f>_xll.EQNXTDZ($A$1,$B30,AO$1,$B$1)</f>
        <v>84.11</v>
      </c>
      <c r="AP30">
        <f>_xll.EQNXTDZ($A$1,$B30,AP$1,$B$1)</f>
        <v>84.97</v>
      </c>
      <c r="AQ30">
        <f>_xll.EQNXTDZ($A$1,$B30,AQ$1,$B$1)</f>
        <v>105.2</v>
      </c>
      <c r="AR30">
        <f>_xll.EQNXTDZ($A$1,$B30,AR$1,$B$1)</f>
        <v>111.08</v>
      </c>
      <c r="AS30">
        <f>_xll.EQNXTDZ($A$1,$B30,AS$1,$B$1)</f>
        <v>106.1</v>
      </c>
      <c r="AT30">
        <f>_xll.EQNXTDZ($A$1,$B30,AT$1,$B$1)</f>
        <v>87.63</v>
      </c>
      <c r="AU30">
        <f>_xll.EQNXTDZ($A$1,$B30,AU$1,$B$1)</f>
        <v>142.32</v>
      </c>
      <c r="AV30">
        <f>_xll.EQNXTDZ($A$1,$B30,AV$1,$B$1)</f>
        <v>150.59</v>
      </c>
      <c r="AW30">
        <f>_xll.EQNXTDZ($A$1,$B30,AW$1,$B$1)</f>
        <v>133.57</v>
      </c>
      <c r="AX30">
        <f>_xll.EQNXTDZ($A$1,$B30,AX$1,$B$1)</f>
        <v>126.16</v>
      </c>
      <c r="AY30">
        <f>_xll.EQNXTDZ($A$1,$B30,AY$1,$B$1)</f>
        <v>176.83</v>
      </c>
      <c r="AZ30">
        <f>_xll.EQNXTDZ($A$1,$B30,AZ$1,$B$1)</f>
        <v>174.57</v>
      </c>
      <c r="BA30">
        <f>_xll.EQNXTDZ($A$1,$B30,BA$1,$B$1)</f>
        <v>162.49</v>
      </c>
      <c r="BB30">
        <f>_xll.EQNXTDZ($A$1,$B30,BB$1,$B$1)</f>
        <v>145.69</v>
      </c>
      <c r="BC30">
        <f>_xll.EQNXTDZ($A$1,$B30,BC$1,$B$1)</f>
        <v>202.38</v>
      </c>
      <c r="BD30">
        <f>_xll.EQNXTDZ($A$1,$B30,BD$1,$B$1)</f>
        <v>207.82</v>
      </c>
      <c r="BE30">
        <f>_xll.EQNXTDZ($A$1,$B30,BE$1,$B$1)</f>
        <v>197.89</v>
      </c>
      <c r="BF30">
        <f>_xll.EQNXTDZ($A$1,$B30,BF$1,$B$1)</f>
        <v>101.37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-0.13100000000000001</v>
      </c>
      <c r="AB34">
        <f>_xll.EQNXTDZ($A$1,$B34,AB$1,$B$1)</f>
        <v>-0.14199999999999999</v>
      </c>
      <c r="AC34">
        <f>_xll.EQNXTDZ($A$1,$B34,AC$1,$B$1)</f>
        <v>-9.6000000000000002E-2</v>
      </c>
      <c r="AD34">
        <f>_xll.EQNXTDZ($A$1,$B34,AD$1,$B$1)</f>
        <v>-0.13300000000000001</v>
      </c>
      <c r="AE34">
        <f>_xll.EQNXTDZ($A$1,$B34,AE$1,$B$1)</f>
        <v>-0.105</v>
      </c>
      <c r="AF34">
        <f>_xll.EQNXTDZ($A$1,$B34,AF$1,$B$1)</f>
        <v>-0.13900000000000001</v>
      </c>
      <c r="AG34">
        <f>_xll.EQNXTDZ($A$1,$B34,AG$1,$B$1)</f>
        <v>-0.17</v>
      </c>
      <c r="AH34">
        <f>_xll.EQNXTDZ($A$1,$B34,AH$1,$B$1)</f>
        <v>6.8000000000000005E-2</v>
      </c>
      <c r="AI34">
        <f>_xll.EQNXTDZ($A$1,$B34,AI$1,$B$1)</f>
        <v>-8.4000000000000005E-2</v>
      </c>
      <c r="AJ34">
        <f>_xll.EQNXTDZ($A$1,$B34,AJ$1,$B$1)</f>
        <v>-0.10100000000000001</v>
      </c>
      <c r="AK34">
        <f>_xll.EQNXTDZ($A$1,$B34,AK$1,$B$1)</f>
        <v>-0.17699999999999999</v>
      </c>
      <c r="AL34">
        <f>_xll.EQNXTDZ($A$1,$B34,AL$1,$B$1)</f>
        <v>-0.19800000000000001</v>
      </c>
      <c r="AM34">
        <f>_xll.EQNXTDZ($A$1,$B34,AM$1,$B$1)</f>
        <v>-0.19</v>
      </c>
      <c r="AN34">
        <f>_xll.EQNXTDZ($A$1,$B34,AN$1,$B$1)</f>
        <v>-0.14000000000000001</v>
      </c>
      <c r="AO34">
        <f>_xll.EQNXTDZ($A$1,$B34,AO$1,$B$1)</f>
        <v>-0.23</v>
      </c>
      <c r="AP34">
        <f>_xll.EQNXTDZ($A$1,$B34,AP$1,$B$1)</f>
        <v>-0.13</v>
      </c>
      <c r="AQ34">
        <f>_xll.EQNXTDZ($A$1,$B34,AQ$1,$B$1)</f>
        <v>-0.17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4.3079999999999998</v>
      </c>
      <c r="D38">
        <f>_xll.EQNXTDZ($A$1,$B38,D$1,$B$1)</f>
        <v>39.003999999999998</v>
      </c>
      <c r="E38">
        <f>_xll.EQNXTDZ($A$1,$B38,E$1,$B$1)</f>
        <v>21.873999999999999</v>
      </c>
      <c r="F38">
        <f>_xll.EQNXTDZ($A$1,$B38,F$1,$B$1)</f>
        <v>19.751999999999999</v>
      </c>
      <c r="G38">
        <f>_xll.EQNXTDZ($A$1,$B38,G$1,$B$1)</f>
        <v>20.324999999999999</v>
      </c>
      <c r="H38">
        <f>_xll.EQNXTDZ($A$1,$B38,H$1,$B$1)</f>
        <v>33.143000000000001</v>
      </c>
      <c r="I38">
        <f>_xll.EQNXTDZ($A$1,$B38,I$1,$B$1)</f>
        <v>-6.4749999999999996</v>
      </c>
      <c r="J38">
        <f>_xll.EQNXTDZ($A$1,$B38,J$1,$B$1)</f>
        <v>21.431999999999999</v>
      </c>
      <c r="K38">
        <f>_xll.EQNXTDZ($A$1,$B38,K$1,$B$1)</f>
        <v>31.791</v>
      </c>
      <c r="L38">
        <f>_xll.EQNXTDZ($A$1,$B38,L$1,$B$1)</f>
        <v>31.887</v>
      </c>
      <c r="M38">
        <f>_xll.EQNXTDZ($A$1,$B38,M$1,$B$1)</f>
        <v>24.167999999999999</v>
      </c>
      <c r="N38">
        <f>_xll.EQNXTDZ($A$1,$B38,N$1,$B$1)</f>
        <v>25.736000000000001</v>
      </c>
      <c r="O38">
        <f>_xll.EQNXTDZ($A$1,$B38,O$1,$B$1)</f>
        <v>39.637999999999998</v>
      </c>
      <c r="P38">
        <f>_xll.EQNXTDZ($A$1,$B38,P$1,$B$1)</f>
        <v>42.148000000000003</v>
      </c>
      <c r="Q38">
        <f>_xll.EQNXTDZ($A$1,$B38,Q$1,$B$1)</f>
        <v>46.881</v>
      </c>
      <c r="R38">
        <f>_xll.EQNXTDZ($A$1,$B38,R$1,$B$1)</f>
        <v>50.536000000000001</v>
      </c>
      <c r="S38">
        <f>_xll.EQNXTDZ($A$1,$B38,S$1,$B$1)</f>
        <v>49.854999999999997</v>
      </c>
      <c r="T38">
        <f>_xll.EQNXTDZ($A$1,$B38,T$1,$B$1)</f>
        <v>45.2</v>
      </c>
      <c r="U38">
        <f>_xll.EQNXTDZ($A$1,$B38,U$1,$B$1)</f>
        <v>35.761000000000003</v>
      </c>
      <c r="V38">
        <f>_xll.EQNXTDZ($A$1,$B38,V$1,$B$1)</f>
        <v>42.149000000000001</v>
      </c>
      <c r="W38">
        <f>_xll.EQNXTDZ($A$1,$B38,W$1,$B$1)</f>
        <v>20.367000000000001</v>
      </c>
      <c r="X38">
        <f>_xll.EQNXTDZ($A$1,$B38,X$1,$B$1)</f>
        <v>51.723999999999997</v>
      </c>
      <c r="Y38">
        <f>_xll.EQNXTDZ($A$1,$B38,Y$1,$B$1)</f>
        <v>33.85</v>
      </c>
      <c r="Z38">
        <f>_xll.EQNXTDZ($A$1,$B38,Z$1,$B$1)</f>
        <v>22.059000000000001</v>
      </c>
      <c r="AA38">
        <f>_xll.EQNXTDZ($A$1,$B38,AA$1,$B$1)</f>
        <v>45.625</v>
      </c>
      <c r="AB38">
        <f>_xll.EQNXTDZ($A$1,$B38,AB$1,$B$1)</f>
        <v>51.329000000000001</v>
      </c>
      <c r="AC38">
        <f>_xll.EQNXTDZ($A$1,$B38,AC$1,$B$1)</f>
        <v>49.854999999999997</v>
      </c>
      <c r="AD38">
        <f>_xll.EQNXTDZ($A$1,$B38,AD$1,$B$1)</f>
        <v>46.656999999999996</v>
      </c>
      <c r="AE38">
        <f>_xll.EQNXTDZ($A$1,$B38,AE$1,$B$1)</f>
        <v>62.006999999999998</v>
      </c>
      <c r="AF38">
        <f>_xll.EQNXTDZ($A$1,$B38,AF$1,$B$1)</f>
        <v>93.623999999999995</v>
      </c>
      <c r="AG38">
        <f>_xll.EQNXTDZ($A$1,$B38,AG$1,$B$1)</f>
        <v>66.277000000000001</v>
      </c>
      <c r="AH38">
        <f>_xll.EQNXTDZ($A$1,$B38,AH$1,$B$1)</f>
        <v>50.139000000000003</v>
      </c>
      <c r="AI38">
        <f>_xll.EQNXTDZ($A$1,$B38,AI$1,$B$1)</f>
        <v>119.422</v>
      </c>
      <c r="AJ38">
        <f>_xll.EQNXTDZ($A$1,$B38,AJ$1,$B$1)</f>
        <v>73.822999999999993</v>
      </c>
      <c r="AK38">
        <f>_xll.EQNXTDZ($A$1,$B38,AK$1,$B$1)</f>
        <v>154.107</v>
      </c>
      <c r="AL38">
        <f>_xll.EQNXTDZ($A$1,$B38,AL$1,$B$1)</f>
        <v>100.61199999999999</v>
      </c>
      <c r="AM38">
        <f>_xll.EQNXTDZ($A$1,$B38,AM$1,$B$1)</f>
        <v>118.87</v>
      </c>
      <c r="AN38">
        <f>_xll.EQNXTDZ($A$1,$B38,AN$1,$B$1)</f>
        <v>97.75</v>
      </c>
      <c r="AO38">
        <f>_xll.EQNXTDZ($A$1,$B38,AO$1,$B$1)</f>
        <v>83.88</v>
      </c>
      <c r="AP38">
        <f>_xll.EQNXTDZ($A$1,$B38,AP$1,$B$1)</f>
        <v>84.84</v>
      </c>
      <c r="AQ38">
        <f>_xll.EQNXTDZ($A$1,$B38,AQ$1,$B$1)</f>
        <v>105.03</v>
      </c>
      <c r="AR38">
        <f>_xll.EQNXTDZ($A$1,$B38,AR$1,$B$1)</f>
        <v>111.08</v>
      </c>
      <c r="AS38">
        <f>_xll.EQNXTDZ($A$1,$B38,AS$1,$B$1)</f>
        <v>106.1</v>
      </c>
      <c r="AT38">
        <f>_xll.EQNXTDZ($A$1,$B38,AT$1,$B$1)</f>
        <v>87.63</v>
      </c>
      <c r="AU38">
        <f>_xll.EQNXTDZ($A$1,$B38,AU$1,$B$1)</f>
        <v>142.32</v>
      </c>
      <c r="AV38">
        <f>_xll.EQNXTDZ($A$1,$B38,AV$1,$B$1)</f>
        <v>150.59</v>
      </c>
      <c r="AW38">
        <f>_xll.EQNXTDZ($A$1,$B38,AW$1,$B$1)</f>
        <v>133.57</v>
      </c>
      <c r="AX38">
        <f>_xll.EQNXTDZ($A$1,$B38,AX$1,$B$1)</f>
        <v>126.16</v>
      </c>
      <c r="AY38">
        <f>_xll.EQNXTDZ($A$1,$B38,AY$1,$B$1)</f>
        <v>176.83</v>
      </c>
      <c r="AZ38">
        <f>_xll.EQNXTDZ($A$1,$B38,AZ$1,$B$1)</f>
        <v>174.57</v>
      </c>
      <c r="BA38">
        <f>_xll.EQNXTDZ($A$1,$B38,BA$1,$B$1)</f>
        <v>162.49</v>
      </c>
      <c r="BB38">
        <f>_xll.EQNXTDZ($A$1,$B38,BB$1,$B$1)</f>
        <v>145.69</v>
      </c>
      <c r="BC38">
        <f>_xll.EQNXTDZ($A$1,$B38,BC$1,$B$1)</f>
        <v>202.38</v>
      </c>
      <c r="BD38">
        <f>_xll.EQNXTDZ($A$1,$B38,BD$1,$B$1)</f>
        <v>207.82</v>
      </c>
      <c r="BE38">
        <f>_xll.EQNXTDZ($A$1,$B38,BE$1,$B$1)</f>
        <v>197.89</v>
      </c>
      <c r="BF38">
        <f>_xll.EQNXTDZ($A$1,$B38,BF$1,$B$1)</f>
        <v>101.37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-7.6999999999999999E-2</v>
      </c>
      <c r="P40">
        <f>_xll.EQNXTDZ($A$1,$B40,P$1,$B$1)</f>
        <v>-7.8E-2</v>
      </c>
      <c r="Q40">
        <f>_xll.EQNXTDZ($A$1,$B40,Q$1,$B$1)</f>
        <v>-7.6999999999999999E-2</v>
      </c>
      <c r="R40">
        <f>_xll.EQNXTDZ($A$1,$B40,R$1,$B$1)</f>
        <v>-7.6999999999999999E-2</v>
      </c>
      <c r="S40">
        <f>_xll.EQNXTDZ($A$1,$B40,S$1,$B$1)</f>
        <v>-8.1000000000000003E-2</v>
      </c>
      <c r="T40">
        <f>_xll.EQNXTDZ($A$1,$B40,T$1,$B$1)</f>
        <v>-8.1000000000000003E-2</v>
      </c>
      <c r="U40">
        <f>_xll.EQNXTDZ($A$1,$B40,U$1,$B$1)</f>
        <v>-8.1000000000000003E-2</v>
      </c>
      <c r="V40">
        <f>_xll.EQNXTDZ($A$1,$B40,V$1,$B$1)</f>
        <v>-2.4620000000000002</v>
      </c>
      <c r="W40">
        <f>_xll.EQNXTDZ($A$1,$B40,W$1,$B$1)</f>
        <v>-0.67600000000000005</v>
      </c>
      <c r="X40">
        <f>_xll.EQNXTDZ($A$1,$B40,X$1,$B$1)</f>
        <v>-0.13100000000000001</v>
      </c>
      <c r="Y40">
        <f>_xll.EQNXTDZ($A$1,$B40,Y$1,$B$1)</f>
        <v>-0.13100000000000001</v>
      </c>
      <c r="Z40">
        <f>_xll.EQNXTDZ($A$1,$B40,Z$1,$B$1)</f>
        <v>-1.478</v>
      </c>
      <c r="AA40">
        <f>_xll.EQNXTDZ($A$1,$B40,AA$1,$B$1)</f>
        <v>-2.7109999999999999</v>
      </c>
      <c r="AB40">
        <f>_xll.EQNXTDZ($A$1,$B40,AB$1,$B$1)</f>
        <v>2.0680000000000001</v>
      </c>
      <c r="AC40">
        <f>_xll.EQNXTDZ($A$1,$B40,AC$1,$B$1)</f>
        <v>-6.3159999999999998</v>
      </c>
      <c r="AD40">
        <f>_xll.EQNXTDZ($A$1,$B40,AD$1,$B$1)</f>
        <v>2.762</v>
      </c>
      <c r="AE40">
        <f>_xll.EQNXTDZ($A$1,$B40,AE$1,$B$1)</f>
        <v>1.9159999999999999</v>
      </c>
      <c r="AF40">
        <f>_xll.EQNXTDZ($A$1,$B40,AF$1,$B$1)</f>
        <v>-5.7229999999999999</v>
      </c>
      <c r="AG40">
        <f>_xll.EQNXTDZ($A$1,$B40,AG$1,$B$1)</f>
        <v>6.9649999999999999</v>
      </c>
      <c r="AH40">
        <f>_xll.EQNXTDZ($A$1,$B40,AH$1,$B$1)</f>
        <v>-18.134</v>
      </c>
      <c r="AI40">
        <f>_xll.EQNXTDZ($A$1,$B40,AI$1,$B$1)</f>
        <v>3.0379999999999998</v>
      </c>
      <c r="AJ40">
        <f>_xll.EQNXTDZ($A$1,$B40,AJ$1,$B$1)</f>
        <v>-5.609</v>
      </c>
      <c r="AK40">
        <f>_xll.EQNXTDZ($A$1,$B40,AK$1,$B$1)</f>
        <v>8.6039999999999992</v>
      </c>
      <c r="AL40">
        <f>_xll.EQNXTDZ($A$1,$B40,AL$1,$B$1)</f>
        <v>-5.6989999999999998</v>
      </c>
      <c r="AM40">
        <f>_xll.EQNXTDZ($A$1,$B40,AM$1,$B$1)</f>
        <v>3.34</v>
      </c>
      <c r="AN40">
        <f>_xll.EQNXTDZ($A$1,$B40,AN$1,$B$1)</f>
        <v>-7.29</v>
      </c>
      <c r="AO40">
        <f>_xll.EQNXTDZ($A$1,$B40,AO$1,$B$1)</f>
        <v>-6.74</v>
      </c>
      <c r="AP40">
        <f>_xll.EQNXTDZ($A$1,$B40,AP$1,$B$1)</f>
        <v>14.71</v>
      </c>
      <c r="AQ40">
        <f>_xll.EQNXTDZ($A$1,$B40,AQ$1,$B$1)</f>
        <v>0.5</v>
      </c>
      <c r="AR40">
        <f>_xll.EQNXTDZ($A$1,$B40,AR$1,$B$1)</f>
        <v>-11.68</v>
      </c>
      <c r="AS40">
        <f>_xll.EQNXTDZ($A$1,$B40,AS$1,$B$1)</f>
        <v>2.21</v>
      </c>
      <c r="AT40">
        <f>_xll.EQNXTDZ($A$1,$B40,AT$1,$B$1)</f>
        <v>-4.6100000000000003</v>
      </c>
      <c r="AU40">
        <f>_xll.EQNXTDZ($A$1,$B40,AU$1,$B$1)</f>
        <v>-8.5</v>
      </c>
      <c r="AV40">
        <f>_xll.EQNXTDZ($A$1,$B40,AV$1,$B$1)</f>
        <v>-3.28</v>
      </c>
      <c r="AW40">
        <f>_xll.EQNXTDZ($A$1,$B40,AW$1,$B$1)</f>
        <v>1.4</v>
      </c>
      <c r="AX40">
        <f>_xll.EQNXTDZ($A$1,$B40,AX$1,$B$1)</f>
        <v>-4.24</v>
      </c>
      <c r="AY40">
        <f>_xll.EQNXTDZ($A$1,$B40,AY$1,$B$1)</f>
        <v>7.12</v>
      </c>
      <c r="AZ40">
        <f>_xll.EQNXTDZ($A$1,$B40,AZ$1,$B$1)</f>
        <v>2.74</v>
      </c>
      <c r="BA40">
        <f>_xll.EQNXTDZ($A$1,$B40,BA$1,$B$1)</f>
        <v>-14.91</v>
      </c>
      <c r="BB40">
        <f>_xll.EQNXTDZ($A$1,$B40,BB$1,$B$1)</f>
        <v>13.59</v>
      </c>
      <c r="BC40">
        <f>_xll.EQNXTDZ($A$1,$B40,BC$1,$B$1)</f>
        <v>4.3</v>
      </c>
      <c r="BD40">
        <f>_xll.EQNXTDZ($A$1,$B40,BD$1,$B$1)</f>
        <v>5.15</v>
      </c>
      <c r="BE40">
        <f>_xll.EQNXTDZ($A$1,$B40,BE$1,$B$1)</f>
        <v>10.01</v>
      </c>
      <c r="BF40">
        <f>_xll.EQNXTDZ($A$1,$B40,BF$1,$B$1)</f>
        <v>7.3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39.56</v>
      </c>
      <c r="P41">
        <f>_xll.EQNXTDZ($A$1,$B41,P$1,$B$1)</f>
        <v>42.07</v>
      </c>
      <c r="Q41">
        <f>_xll.EQNXTDZ($A$1,$B41,Q$1,$B$1)</f>
        <v>46.804000000000002</v>
      </c>
      <c r="R41">
        <f>_xll.EQNXTDZ($A$1,$B41,R$1,$B$1)</f>
        <v>50.459000000000003</v>
      </c>
      <c r="S41">
        <f>_xll.EQNXTDZ($A$1,$B41,S$1,$B$1)</f>
        <v>49.774000000000001</v>
      </c>
      <c r="T41">
        <f>_xll.EQNXTDZ($A$1,$B41,T$1,$B$1)</f>
        <v>45.119</v>
      </c>
      <c r="U41">
        <f>_xll.EQNXTDZ($A$1,$B41,U$1,$B$1)</f>
        <v>35.68</v>
      </c>
      <c r="V41">
        <f>_xll.EQNXTDZ($A$1,$B41,V$1,$B$1)</f>
        <v>39.686999999999998</v>
      </c>
      <c r="W41">
        <f>_xll.EQNXTDZ($A$1,$B41,W$1,$B$1)</f>
        <v>19.690999999999999</v>
      </c>
      <c r="X41">
        <f>_xll.EQNXTDZ($A$1,$B41,X$1,$B$1)</f>
        <v>51.593000000000004</v>
      </c>
      <c r="Y41">
        <f>_xll.EQNXTDZ($A$1,$B41,Y$1,$B$1)</f>
        <v>33.719000000000001</v>
      </c>
      <c r="Z41">
        <f>_xll.EQNXTDZ($A$1,$B41,Z$1,$B$1)</f>
        <v>20.581</v>
      </c>
      <c r="AA41">
        <f>_xll.EQNXTDZ($A$1,$B41,AA$1,$B$1)</f>
        <v>43.234000000000002</v>
      </c>
      <c r="AB41">
        <f>_xll.EQNXTDZ($A$1,$B41,AB$1,$B$1)</f>
        <v>53.482999999999997</v>
      </c>
      <c r="AC41">
        <f>_xll.EQNXTDZ($A$1,$B41,AC$1,$B$1)</f>
        <v>43.591999999999999</v>
      </c>
      <c r="AD41">
        <f>_xll.EQNXTDZ($A$1,$B41,AD$1,$B$1)</f>
        <v>49.433999999999997</v>
      </c>
      <c r="AE41">
        <f>_xll.EQNXTDZ($A$1,$B41,AE$1,$B$1)</f>
        <v>63.832000000000001</v>
      </c>
      <c r="AF41">
        <f>_xll.EQNXTDZ($A$1,$B41,AF$1,$B$1)</f>
        <v>88.138999999999996</v>
      </c>
      <c r="AG41">
        <f>_xll.EQNXTDZ($A$1,$B41,AG$1,$B$1)</f>
        <v>72.986999999999995</v>
      </c>
      <c r="AH41">
        <f>_xll.EQNXTDZ($A$1,$B41,AH$1,$B$1)</f>
        <v>32.76</v>
      </c>
      <c r="AI41">
        <f>_xll.EQNXTDZ($A$1,$B41,AI$1,$B$1)</f>
        <v>122.36499999999999</v>
      </c>
      <c r="AJ41">
        <f>_xll.EQNXTDZ($A$1,$B41,AJ$1,$B$1)</f>
        <v>68.123999999999995</v>
      </c>
      <c r="AK41">
        <f>_xll.EQNXTDZ($A$1,$B41,AK$1,$B$1)</f>
        <v>162.215</v>
      </c>
      <c r="AL41">
        <f>_xll.EQNXTDZ($A$1,$B41,AL$1,$B$1)</f>
        <v>94.95</v>
      </c>
      <c r="AM41">
        <f>_xll.EQNXTDZ($A$1,$B41,AM$1,$B$1)</f>
        <v>122.06</v>
      </c>
      <c r="AN41">
        <f>_xll.EQNXTDZ($A$1,$B41,AN$1,$B$1)</f>
        <v>90.7</v>
      </c>
      <c r="AO41">
        <f>_xll.EQNXTDZ($A$1,$B41,AO$1,$B$1)</f>
        <v>77.37</v>
      </c>
      <c r="AP41">
        <f>_xll.EQNXTDZ($A$1,$B41,AP$1,$B$1)</f>
        <v>99.12</v>
      </c>
      <c r="AQ41">
        <f>_xll.EQNXTDZ($A$1,$B41,AQ$1,$B$1)</f>
        <v>105.9</v>
      </c>
      <c r="AR41">
        <f>_xll.EQNXTDZ($A$1,$B41,AR$1,$B$1)</f>
        <v>99.4</v>
      </c>
      <c r="AS41">
        <f>_xll.EQNXTDZ($A$1,$B41,AS$1,$B$1)</f>
        <v>108.31</v>
      </c>
      <c r="AT41">
        <f>_xll.EQNXTDZ($A$1,$B41,AT$1,$B$1)</f>
        <v>83.02</v>
      </c>
      <c r="AU41">
        <f>_xll.EQNXTDZ($A$1,$B41,AU$1,$B$1)</f>
        <v>133.82</v>
      </c>
      <c r="AV41">
        <f>_xll.EQNXTDZ($A$1,$B41,AV$1,$B$1)</f>
        <v>147.31</v>
      </c>
      <c r="AW41">
        <f>_xll.EQNXTDZ($A$1,$B41,AW$1,$B$1)</f>
        <v>134.97</v>
      </c>
      <c r="AX41">
        <f>_xll.EQNXTDZ($A$1,$B41,AX$1,$B$1)</f>
        <v>121.92</v>
      </c>
      <c r="AY41">
        <f>_xll.EQNXTDZ($A$1,$B41,AY$1,$B$1)</f>
        <v>183.95</v>
      </c>
      <c r="AZ41">
        <f>_xll.EQNXTDZ($A$1,$B41,AZ$1,$B$1)</f>
        <v>177.31</v>
      </c>
      <c r="BA41">
        <f>_xll.EQNXTDZ($A$1,$B41,BA$1,$B$1)</f>
        <v>147.58000000000001</v>
      </c>
      <c r="BB41">
        <f>_xll.EQNXTDZ($A$1,$B41,BB$1,$B$1)</f>
        <v>159.28</v>
      </c>
      <c r="BC41">
        <f>_xll.EQNXTDZ($A$1,$B41,BC$1,$B$1)</f>
        <v>206.68</v>
      </c>
      <c r="BD41">
        <f>_xll.EQNXTDZ($A$1,$B41,BD$1,$B$1)</f>
        <v>212.97</v>
      </c>
      <c r="BE41">
        <f>_xll.EQNXTDZ($A$1,$B41,BE$1,$B$1)</f>
        <v>207.9</v>
      </c>
      <c r="BF41">
        <f>_xll.EQNXTDZ($A$1,$B41,BF$1,$B$1)</f>
        <v>108.67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4.3079999999999998</v>
      </c>
      <c r="D42">
        <f>_xll.EQNXTDZ($A$1,$B42,D$1,$B$1)</f>
        <v>39.003999999999998</v>
      </c>
      <c r="E42">
        <f>_xll.EQNXTDZ($A$1,$B42,E$1,$B$1)</f>
        <v>21.873999999999999</v>
      </c>
      <c r="F42">
        <f>_xll.EQNXTDZ($A$1,$B42,F$1,$B$1)</f>
        <v>19.751999999999999</v>
      </c>
      <c r="G42">
        <f>_xll.EQNXTDZ($A$1,$B42,G$1,$B$1)</f>
        <v>20.324999999999999</v>
      </c>
      <c r="H42">
        <f>_xll.EQNXTDZ($A$1,$B42,H$1,$B$1)</f>
        <v>33.143000000000001</v>
      </c>
      <c r="I42">
        <f>_xll.EQNXTDZ($A$1,$B42,I$1,$B$1)</f>
        <v>-6.4749999999999996</v>
      </c>
      <c r="J42">
        <f>_xll.EQNXTDZ($A$1,$B42,J$1,$B$1)</f>
        <v>21.431999999999999</v>
      </c>
      <c r="K42">
        <f>_xll.EQNXTDZ($A$1,$B42,K$1,$B$1)</f>
        <v>31.791</v>
      </c>
      <c r="L42">
        <f>_xll.EQNXTDZ($A$1,$B42,L$1,$B$1)</f>
        <v>31.887</v>
      </c>
      <c r="M42">
        <f>_xll.EQNXTDZ($A$1,$B42,M$1,$B$1)</f>
        <v>24.167999999999999</v>
      </c>
      <c r="N42">
        <f>_xll.EQNXTDZ($A$1,$B42,N$1,$B$1)</f>
        <v>25.736000000000001</v>
      </c>
      <c r="O42">
        <f>_xll.EQNXTDZ($A$1,$B42,O$1,$B$1)</f>
        <v>39.637999999999998</v>
      </c>
      <c r="P42">
        <f>_xll.EQNXTDZ($A$1,$B42,P$1,$B$1)</f>
        <v>42.148000000000003</v>
      </c>
      <c r="Q42">
        <f>_xll.EQNXTDZ($A$1,$B42,Q$1,$B$1)</f>
        <v>46.881</v>
      </c>
      <c r="R42">
        <f>_xll.EQNXTDZ($A$1,$B42,R$1,$B$1)</f>
        <v>50.536000000000001</v>
      </c>
      <c r="S42">
        <f>_xll.EQNXTDZ($A$1,$B42,S$1,$B$1)</f>
        <v>49.854999999999997</v>
      </c>
      <c r="T42">
        <f>_xll.EQNXTDZ($A$1,$B42,T$1,$B$1)</f>
        <v>45.2</v>
      </c>
      <c r="U42">
        <f>_xll.EQNXTDZ($A$1,$B42,U$1,$B$1)</f>
        <v>35.761000000000003</v>
      </c>
      <c r="V42">
        <f>_xll.EQNXTDZ($A$1,$B42,V$1,$B$1)</f>
        <v>42.149000000000001</v>
      </c>
      <c r="W42">
        <f>_xll.EQNXTDZ($A$1,$B42,W$1,$B$1)</f>
        <v>20.367000000000001</v>
      </c>
      <c r="X42">
        <f>_xll.EQNXTDZ($A$1,$B42,X$1,$B$1)</f>
        <v>51.723999999999997</v>
      </c>
      <c r="Y42">
        <f>_xll.EQNXTDZ($A$1,$B42,Y$1,$B$1)</f>
        <v>33.85</v>
      </c>
      <c r="Z42">
        <f>_xll.EQNXTDZ($A$1,$B42,Z$1,$B$1)</f>
        <v>22.059000000000001</v>
      </c>
      <c r="AA42">
        <f>_xll.EQNXTDZ($A$1,$B42,AA$1,$B$1)</f>
        <v>45.625</v>
      </c>
      <c r="AB42">
        <f>_xll.EQNXTDZ($A$1,$B42,AB$1,$B$1)</f>
        <v>51.329000000000001</v>
      </c>
      <c r="AC42">
        <f>_xll.EQNXTDZ($A$1,$B42,AC$1,$B$1)</f>
        <v>49.854999999999997</v>
      </c>
      <c r="AD42">
        <f>_xll.EQNXTDZ($A$1,$B42,AD$1,$B$1)</f>
        <v>46.656999999999996</v>
      </c>
      <c r="AE42">
        <f>_xll.EQNXTDZ($A$1,$B42,AE$1,$B$1)</f>
        <v>62.006999999999998</v>
      </c>
      <c r="AF42">
        <f>_xll.EQNXTDZ($A$1,$B42,AF$1,$B$1)</f>
        <v>93.623999999999995</v>
      </c>
      <c r="AG42">
        <f>_xll.EQNXTDZ($A$1,$B42,AG$1,$B$1)</f>
        <v>66.277000000000001</v>
      </c>
      <c r="AH42">
        <f>_xll.EQNXTDZ($A$1,$B42,AH$1,$B$1)</f>
        <v>50.139000000000003</v>
      </c>
      <c r="AI42">
        <f>_xll.EQNXTDZ($A$1,$B42,AI$1,$B$1)</f>
        <v>119.422</v>
      </c>
      <c r="AJ42">
        <f>_xll.EQNXTDZ($A$1,$B42,AJ$1,$B$1)</f>
        <v>73.822999999999993</v>
      </c>
      <c r="AK42">
        <f>_xll.EQNXTDZ($A$1,$B42,AK$1,$B$1)</f>
        <v>154.107</v>
      </c>
      <c r="AL42">
        <f>_xll.EQNXTDZ($A$1,$B42,AL$1,$B$1)</f>
        <v>100.61199999999999</v>
      </c>
      <c r="AM42">
        <f>_xll.EQNXTDZ($A$1,$B42,AM$1,$B$1)</f>
        <v>118.87</v>
      </c>
      <c r="AN42">
        <f>_xll.EQNXTDZ($A$1,$B42,AN$1,$B$1)</f>
        <v>97.75</v>
      </c>
      <c r="AO42">
        <f>_xll.EQNXTDZ($A$1,$B42,AO$1,$B$1)</f>
        <v>83.88</v>
      </c>
      <c r="AP42">
        <f>_xll.EQNXTDZ($A$1,$B42,AP$1,$B$1)</f>
        <v>84.84</v>
      </c>
      <c r="AQ42">
        <f>_xll.EQNXTDZ($A$1,$B42,AQ$1,$B$1)</f>
        <v>105.03</v>
      </c>
      <c r="AR42">
        <f>_xll.EQNXTDZ($A$1,$B42,AR$1,$B$1)</f>
        <v>111.08</v>
      </c>
      <c r="AS42">
        <f>_xll.EQNXTDZ($A$1,$B42,AS$1,$B$1)</f>
        <v>106.1</v>
      </c>
      <c r="AT42">
        <f>_xll.EQNXTDZ($A$1,$B42,AT$1,$B$1)</f>
        <v>87.63</v>
      </c>
      <c r="AU42">
        <f>_xll.EQNXTDZ($A$1,$B42,AU$1,$B$1)</f>
        <v>142.32</v>
      </c>
      <c r="AV42">
        <f>_xll.EQNXTDZ($A$1,$B42,AV$1,$B$1)</f>
        <v>150.59</v>
      </c>
      <c r="AW42">
        <f>_xll.EQNXTDZ($A$1,$B42,AW$1,$B$1)</f>
        <v>133.57</v>
      </c>
      <c r="AX42">
        <f>_xll.EQNXTDZ($A$1,$B42,AX$1,$B$1)</f>
        <v>126.16</v>
      </c>
      <c r="AY42">
        <f>_xll.EQNXTDZ($A$1,$B42,AY$1,$B$1)</f>
        <v>176.83</v>
      </c>
      <c r="AZ42">
        <f>_xll.EQNXTDZ($A$1,$B42,AZ$1,$B$1)</f>
        <v>174.57</v>
      </c>
      <c r="BA42">
        <f>_xll.EQNXTDZ($A$1,$B42,BA$1,$B$1)</f>
        <v>162.49</v>
      </c>
      <c r="BB42">
        <f>_xll.EQNXTDZ($A$1,$B42,BB$1,$B$1)</f>
        <v>145.69</v>
      </c>
      <c r="BC42">
        <f>_xll.EQNXTDZ($A$1,$B42,BC$1,$B$1)</f>
        <v>202.38</v>
      </c>
      <c r="BD42">
        <f>_xll.EQNXTDZ($A$1,$B42,BD$1,$B$1)</f>
        <v>207.82</v>
      </c>
      <c r="BE42">
        <f>_xll.EQNXTDZ($A$1,$B42,BE$1,$B$1)</f>
        <v>197.89</v>
      </c>
      <c r="BF42">
        <f>_xll.EQNXTDZ($A$1,$B42,BF$1,$B$1)</f>
        <v>101.37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16.942</v>
      </c>
      <c r="D45">
        <f>_xll.EQNXTDZ($A$1,$B45,D$1,$B$1)</f>
        <v>16.942</v>
      </c>
      <c r="E45">
        <f>_xll.EQNXTDZ($A$1,$B45,E$1,$B$1)</f>
        <v>16.942</v>
      </c>
      <c r="F45">
        <f>_xll.EQNXTDZ($A$1,$B45,F$1,$B$1)</f>
        <v>16.942</v>
      </c>
      <c r="G45">
        <f>_xll.EQNXTDZ($A$1,$B45,G$1,$B$1)</f>
        <v>16.942</v>
      </c>
      <c r="H45">
        <f>_xll.EQNXTDZ($A$1,$B45,H$1,$B$1)</f>
        <v>16.942</v>
      </c>
      <c r="I45">
        <f>_xll.EQNXTDZ($A$1,$B45,I$1,$B$1)</f>
        <v>16.942</v>
      </c>
      <c r="J45">
        <f>_xll.EQNXTDZ($A$1,$B45,J$1,$B$1)</f>
        <v>16.946000000000002</v>
      </c>
      <c r="K45">
        <f>_xll.EQNXTDZ($A$1,$B45,K$1,$B$1)</f>
        <v>16.954000000000001</v>
      </c>
      <c r="L45">
        <f>_xll.EQNXTDZ($A$1,$B45,L$1,$B$1)</f>
        <v>16.962</v>
      </c>
      <c r="M45">
        <f>_xll.EQNXTDZ($A$1,$B45,M$1,$B$1)</f>
        <v>16.962</v>
      </c>
      <c r="N45">
        <f>_xll.EQNXTDZ($A$1,$B45,N$1,$B$1)</f>
        <v>16.962</v>
      </c>
      <c r="O45">
        <f>_xll.EQNXTDZ($A$1,$B45,O$1,$B$1)</f>
        <v>16.962</v>
      </c>
      <c r="P45">
        <f>_xll.EQNXTDZ($A$1,$B45,P$1,$B$1)</f>
        <v>16.963999999999999</v>
      </c>
      <c r="Q45">
        <f>_xll.EQNXTDZ($A$1,$B45,Q$1,$B$1)</f>
        <v>16.963999999999999</v>
      </c>
      <c r="R45">
        <f>_xll.EQNXTDZ($A$1,$B45,R$1,$B$1)</f>
        <v>16.963999999999999</v>
      </c>
      <c r="S45">
        <f>_xll.EQNXTDZ($A$1,$B45,S$1,$B$1)</f>
        <v>16.963999999999999</v>
      </c>
      <c r="T45">
        <f>_xll.EQNXTDZ($A$1,$B45,T$1,$B$1)</f>
        <v>16.963999999999999</v>
      </c>
      <c r="U45">
        <f>_xll.EQNXTDZ($A$1,$B45,U$1,$B$1)</f>
        <v>16.963999999999999</v>
      </c>
      <c r="V45">
        <f>_xll.EQNXTDZ($A$1,$B45,V$1,$B$1)</f>
        <v>16.963999999999999</v>
      </c>
      <c r="W45">
        <f>_xll.EQNXTDZ($A$1,$B45,W$1,$B$1)</f>
        <v>16.963999999999999</v>
      </c>
      <c r="X45">
        <f>_xll.EQNXTDZ($A$1,$B45,X$1,$B$1)</f>
        <v>16.963999999999999</v>
      </c>
      <c r="Y45">
        <f>_xll.EQNXTDZ($A$1,$B45,Y$1,$B$1)</f>
        <v>16.963999999999999</v>
      </c>
      <c r="Z45">
        <f>_xll.EQNXTDZ($A$1,$B45,Z$1,$B$1)</f>
        <v>16.963999999999999</v>
      </c>
      <c r="AA45">
        <f>_xll.EQNXTDZ($A$1,$B45,AA$1,$B$1)</f>
        <v>16.963999999999999</v>
      </c>
      <c r="AB45">
        <f>_xll.EQNXTDZ($A$1,$B45,AB$1,$B$1)</f>
        <v>16.963999999999999</v>
      </c>
      <c r="AC45">
        <f>_xll.EQNXTDZ($A$1,$B45,AC$1,$B$1)</f>
        <v>16.963999999999999</v>
      </c>
      <c r="AD45">
        <f>_xll.EQNXTDZ($A$1,$B45,AD$1,$B$1)</f>
        <v>16.047000000000001</v>
      </c>
      <c r="AE45">
        <f>_xll.EQNXTDZ($A$1,$B45,AE$1,$B$1)</f>
        <v>16.047000000000001</v>
      </c>
      <c r="AF45">
        <f>_xll.EQNXTDZ($A$1,$B45,AF$1,$B$1)</f>
        <v>16.047000000000001</v>
      </c>
      <c r="AG45">
        <f>_xll.EQNXTDZ($A$1,$B45,AG$1,$B$1)</f>
        <v>16.047000000000001</v>
      </c>
      <c r="AH45">
        <f>_xll.EQNXTDZ($A$1,$B45,AH$1,$B$1)</f>
        <v>15.456</v>
      </c>
      <c r="AI45">
        <f>_xll.EQNXTDZ($A$1,$B45,AI$1,$B$1)</f>
        <v>15.456</v>
      </c>
      <c r="AJ45">
        <f>_xll.EQNXTDZ($A$1,$B45,AJ$1,$B$1)</f>
        <v>15.456</v>
      </c>
      <c r="AK45">
        <f>_xll.EQNXTDZ($A$1,$B45,AK$1,$B$1)</f>
        <v>15.456</v>
      </c>
      <c r="AL45">
        <f>_xll.EQNXTDZ($A$1,$B45,AL$1,$B$1)</f>
        <v>15.456</v>
      </c>
      <c r="AM45">
        <f>_xll.EQNXTDZ($A$1,$B45,AM$1,$B$1)</f>
        <v>15.46</v>
      </c>
      <c r="AN45">
        <f>_xll.EQNXTDZ($A$1,$B45,AN$1,$B$1)</f>
        <v>15.46</v>
      </c>
      <c r="AO45">
        <f>_xll.EQNXTDZ($A$1,$B45,AO$1,$B$1)</f>
        <v>15.46</v>
      </c>
      <c r="AP45">
        <f>_xll.EQNXTDZ($A$1,$B45,AP$1,$B$1)</f>
        <v>15.46</v>
      </c>
      <c r="AQ45">
        <f>_xll.EQNXTDZ($A$1,$B45,AQ$1,$B$1)</f>
        <v>15.46</v>
      </c>
      <c r="AR45">
        <f>_xll.EQNXTDZ($A$1,$B45,AR$1,$B$1)</f>
        <v>15.47</v>
      </c>
      <c r="AS45">
        <f>_xll.EQNXTDZ($A$1,$B45,AS$1,$B$1)</f>
        <v>15.47</v>
      </c>
      <c r="AT45">
        <f>_xll.EQNXTDZ($A$1,$B45,AT$1,$B$1)</f>
        <v>15.48</v>
      </c>
      <c r="AU45">
        <f>_xll.EQNXTDZ($A$1,$B45,AU$1,$B$1)</f>
        <v>15.48</v>
      </c>
      <c r="AV45">
        <f>_xll.EQNXTDZ($A$1,$B45,AV$1,$B$1)</f>
        <v>15.5</v>
      </c>
      <c r="AW45">
        <f>_xll.EQNXTDZ($A$1,$B45,AW$1,$B$1)</f>
        <v>15.5</v>
      </c>
      <c r="AX45">
        <f>_xll.EQNXTDZ($A$1,$B45,AX$1,$B$1)</f>
        <v>15.52</v>
      </c>
      <c r="AY45">
        <f>_xll.EQNXTDZ($A$1,$B45,AY$1,$B$1)</f>
        <v>15.52</v>
      </c>
      <c r="AZ45">
        <f>_xll.EQNXTDZ($A$1,$B45,AZ$1,$B$1)</f>
        <v>15.53</v>
      </c>
      <c r="BA45">
        <f>_xll.EQNXTDZ($A$1,$B45,BA$1,$B$1)</f>
        <v>15.55</v>
      </c>
      <c r="BB45">
        <f>_xll.EQNXTDZ($A$1,$B45,BB$1,$B$1)</f>
        <v>15.57</v>
      </c>
      <c r="BC45">
        <f>_xll.EQNXTDZ($A$1,$B45,BC$1,$B$1)</f>
        <v>15.61</v>
      </c>
      <c r="BD45">
        <f>_xll.EQNXTDZ($A$1,$B45,BD$1,$B$1)</f>
        <v>15.66</v>
      </c>
      <c r="BE45">
        <f>_xll.EQNXTDZ($A$1,$B45,BE$1,$B$1)</f>
        <v>15.67</v>
      </c>
      <c r="BF45">
        <f>_xll.EQNXTDZ($A$1,$B45,BF$1,$B$1)</f>
        <v>16.059999999999999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2</v>
      </c>
      <c r="D46">
        <f>_xll.EQNXTDZ($A$1,$B46,D$1,$B$1)</f>
        <v>2</v>
      </c>
      <c r="E46">
        <f>_xll.EQNXTDZ($A$1,$B46,E$1,$B$1)</f>
        <v>2</v>
      </c>
      <c r="F46">
        <f>_xll.EQNXTDZ($A$1,$B46,F$1,$B$1)</f>
        <v>2</v>
      </c>
      <c r="G46">
        <f>_xll.EQNXTDZ($A$1,$B46,G$1,$B$1)</f>
        <v>2</v>
      </c>
      <c r="H46">
        <f>_xll.EQNXTDZ($A$1,$B46,H$1,$B$1)</f>
        <v>2</v>
      </c>
      <c r="I46">
        <f>_xll.EQNXTDZ($A$1,$B46,I$1,$B$1)</f>
        <v>2</v>
      </c>
      <c r="J46">
        <f>_xll.EQNXTDZ($A$1,$B46,J$1,$B$1)</f>
        <v>2</v>
      </c>
      <c r="K46">
        <f>_xll.EQNXTDZ($A$1,$B46,K$1,$B$1)</f>
        <v>2</v>
      </c>
      <c r="L46">
        <f>_xll.EQNXTDZ($A$1,$B46,L$1,$B$1)</f>
        <v>2</v>
      </c>
      <c r="M46">
        <f>_xll.EQNXTDZ($A$1,$B46,M$1,$B$1)</f>
        <v>2</v>
      </c>
      <c r="N46">
        <f>_xll.EQNXTDZ($A$1,$B46,N$1,$B$1)</f>
        <v>2</v>
      </c>
      <c r="O46">
        <f>_xll.EQNXTDZ($A$1,$B46,O$1,$B$1)</f>
        <v>2</v>
      </c>
      <c r="P46">
        <f>_xll.EQNXTDZ($A$1,$B46,P$1,$B$1)</f>
        <v>2</v>
      </c>
      <c r="Q46">
        <f>_xll.EQNXTDZ($A$1,$B46,Q$1,$B$1)</f>
        <v>2</v>
      </c>
      <c r="R46">
        <f>_xll.EQNXTDZ($A$1,$B46,R$1,$B$1)</f>
        <v>2</v>
      </c>
      <c r="S46">
        <f>_xll.EQNXTDZ($A$1,$B46,S$1,$B$1)</f>
        <v>2</v>
      </c>
      <c r="T46">
        <f>_xll.EQNXTDZ($A$1,$B46,T$1,$B$1)</f>
        <v>2</v>
      </c>
      <c r="U46">
        <f>_xll.EQNXTDZ($A$1,$B46,U$1,$B$1)</f>
        <v>2</v>
      </c>
      <c r="V46">
        <f>_xll.EQNXTDZ($A$1,$B46,V$1,$B$1)</f>
        <v>2</v>
      </c>
      <c r="W46">
        <f>_xll.EQNXTDZ($A$1,$B46,W$1,$B$1)</f>
        <v>2</v>
      </c>
      <c r="X46">
        <f>_xll.EQNXTDZ($A$1,$B46,X$1,$B$1)</f>
        <v>2</v>
      </c>
      <c r="Y46">
        <f>_xll.EQNXTDZ($A$1,$B46,Y$1,$B$1)</f>
        <v>2</v>
      </c>
      <c r="Z46">
        <f>_xll.EQNXTDZ($A$1,$B46,Z$1,$B$1)</f>
        <v>2</v>
      </c>
      <c r="AA46">
        <f>_xll.EQNXTDZ($A$1,$B46,AA$1,$B$1)</f>
        <v>2</v>
      </c>
      <c r="AB46">
        <f>_xll.EQNXTDZ($A$1,$B46,AB$1,$B$1)</f>
        <v>2</v>
      </c>
      <c r="AC46">
        <f>_xll.EQNXTDZ($A$1,$B46,AC$1,$B$1)</f>
        <v>2</v>
      </c>
      <c r="AD46">
        <f>_xll.EQNXTDZ($A$1,$B46,AD$1,$B$1)</f>
        <v>2</v>
      </c>
      <c r="AE46">
        <f>_xll.EQNXTDZ($A$1,$B46,AE$1,$B$1)</f>
        <v>2</v>
      </c>
      <c r="AF46">
        <f>_xll.EQNXTDZ($A$1,$B46,AF$1,$B$1)</f>
        <v>2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1</v>
      </c>
      <c r="AW46">
        <f>_xll.EQNXTDZ($A$1,$B46,AW$1,$B$1)</f>
        <v>1</v>
      </c>
      <c r="AX46">
        <f>_xll.EQNXTDZ($A$1,$B46,AX$1,$B$1)</f>
        <v>1</v>
      </c>
      <c r="AY46">
        <f>_xll.EQNXTDZ($A$1,$B46,AY$1,$B$1)</f>
        <v>1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31.8</v>
      </c>
      <c r="D48" s="55">
        <f>_xll.EQNXTDZ($A$1,$B48,D$5)</f>
        <v>36.9</v>
      </c>
      <c r="E48" s="55">
        <f>_xll.EQNXTDZ($A$1,$B48,E$5)</f>
        <v>46.7</v>
      </c>
      <c r="F48" s="55">
        <f>_xll.EQNXTDZ($A$1,$B48,F$5)</f>
        <v>36.774999999999999</v>
      </c>
      <c r="G48" s="55">
        <f>_xll.EQNXTDZ($A$1,$B48,G$5)</f>
        <v>38.325000000000003</v>
      </c>
      <c r="H48" s="55">
        <f>_xll.EQNXTDZ($A$1,$B48,H$5)</f>
        <v>42.5</v>
      </c>
      <c r="I48" s="55">
        <f>_xll.EQNXTDZ($A$1,$B48,I$5)</f>
        <v>64.625</v>
      </c>
      <c r="J48" s="55">
        <f>_xll.EQNXTDZ($A$1,$B48,J$5)</f>
        <v>64.174999999999997</v>
      </c>
      <c r="K48" s="55">
        <f>_xll.EQNXTDZ($A$1,$B48,K$5)</f>
        <v>78.075000000000003</v>
      </c>
      <c r="L48" s="55">
        <f>_xll.EQNXTDZ($A$1,$B48,L$5)</f>
        <v>111.925</v>
      </c>
      <c r="M48" s="55">
        <f>_xll.EQNXTDZ($A$1,$B48,M$5)</f>
        <v>100.72499999999999</v>
      </c>
      <c r="N48" s="55">
        <f>_xll.EQNXTDZ($A$1,$B48,N$5)</f>
        <v>100.05</v>
      </c>
      <c r="O48" s="55">
        <f>_xll.EQNXTDZ($A$1,$B48,O$5)</f>
        <v>118.27500000000001</v>
      </c>
      <c r="P48" s="55">
        <f>_xll.EQNXTDZ($A$1,$B48,P$5)</f>
        <v>138.52500000000001</v>
      </c>
      <c r="Q48" s="55">
        <f>_xll.EQNXTDZ($A$1,$B48,Q$5)</f>
        <v>139.52500000000001</v>
      </c>
      <c r="R48" s="55">
        <f>_xll.EQNXTDZ($A$1,$B48,R$5)</f>
        <v>124.7</v>
      </c>
      <c r="S48" s="55">
        <f>_xll.EQNXTDZ($A$1,$B48,S$5)</f>
        <v>125.22499999999999</v>
      </c>
      <c r="T48" s="55">
        <f>_xll.EQNXTDZ($A$1,$B48,T$5)</f>
        <v>178.05</v>
      </c>
      <c r="U48" s="55">
        <f>_xll.EQNXTDZ($A$1,$B48,U$5)</f>
        <v>175.27500000000001</v>
      </c>
      <c r="V48" s="55">
        <f>_xll.EQNXTDZ($A$1,$B48,V$5)</f>
        <v>173.5</v>
      </c>
      <c r="W48" s="55">
        <f>_xll.EQNXTDZ($A$1,$B48,W$5)</f>
        <v>156.57499999999999</v>
      </c>
      <c r="X48" s="55">
        <f>_xll.EQNXTDZ($A$1,$B48,X$5)</f>
        <v>139.94999999999999</v>
      </c>
      <c r="Y48" s="55">
        <f>_xll.EQNXTDZ($A$1,$B48,Y$5)</f>
        <v>166.95</v>
      </c>
      <c r="Z48" s="55">
        <f>_xll.EQNXTDZ($A$1,$B48,Z$5)</f>
        <v>154.6</v>
      </c>
      <c r="AA48" s="55">
        <f>_xll.EQNXTDZ($A$1,$B48,AA$5)</f>
        <v>129.05000000000001</v>
      </c>
      <c r="AB48" s="55">
        <f>_xll.EQNXTDZ($A$1,$B48,AB$5)</f>
        <v>146.30000000000001</v>
      </c>
      <c r="AC48" s="55">
        <f>_xll.EQNXTDZ($A$1,$B48,AC$5)</f>
        <v>153.125</v>
      </c>
      <c r="AD48" s="55">
        <f>_xll.EQNXTDZ($A$1,$B48,AD$5)</f>
        <v>179.8</v>
      </c>
      <c r="AE48" s="55">
        <f>_xll.EQNXTDZ($A$1,$B48,AE$5)</f>
        <v>182.07499999999999</v>
      </c>
      <c r="AF48" s="55">
        <f>_xll.EQNXTDZ($A$1,$B48,AF$5)</f>
        <v>185.3</v>
      </c>
      <c r="AG48" s="55">
        <f>_xll.EQNXTDZ($A$1,$B48,AG$5)</f>
        <v>212.9</v>
      </c>
      <c r="AH48" s="55">
        <f>_xll.EQNXTDZ($A$1,$B48,AH$5)</f>
        <v>254.17500000000001</v>
      </c>
      <c r="AI48" s="55">
        <f>_xll.EQNXTDZ($A$1,$B48,AI$5)</f>
        <v>353.6</v>
      </c>
      <c r="AJ48" s="55">
        <f>_xll.EQNXTDZ($A$1,$B48,AJ$5)</f>
        <v>493.75</v>
      </c>
      <c r="AK48" s="55">
        <f>_xll.EQNXTDZ($A$1,$B48,AK$5)</f>
        <v>508.57499999999999</v>
      </c>
      <c r="AL48" s="55">
        <f>_xll.EQNXTDZ($A$1,$B48,AL$5)</f>
        <v>626.79999999999995</v>
      </c>
      <c r="AM48" s="55">
        <f>_xll.EQNXTDZ($A$1,$B48,AM$5)</f>
        <v>831.5</v>
      </c>
      <c r="AN48" s="55">
        <f>_xll.EQNXTDZ($A$1,$B48,AN$5)</f>
        <v>932.55</v>
      </c>
      <c r="AO48" s="55">
        <f>_xll.EQNXTDZ($A$1,$B48,AO$5)</f>
        <v>888.8</v>
      </c>
      <c r="AP48" s="55">
        <f>_xll.EQNXTDZ($A$1,$B48,AP$5)</f>
        <v>787.6</v>
      </c>
      <c r="AQ48" s="55">
        <f>_xll.EQNXTDZ($A$1,$B48,AQ$5)</f>
        <v>784.35</v>
      </c>
      <c r="AR48" s="55">
        <f>_xll.EQNXTDZ($A$1,$B48,AR$5)</f>
        <v>958.65</v>
      </c>
      <c r="AS48" s="55">
        <f>_xll.EQNXTDZ($A$1,$B48,AS$5)</f>
        <v>971.67499999999995</v>
      </c>
      <c r="AT48" s="55">
        <f>_xll.EQNXTDZ($A$1,$B48,AT$5)</f>
        <v>985.45</v>
      </c>
      <c r="AU48" s="55">
        <f>_xll.EQNXTDZ($A$1,$B48,AU$5)</f>
        <v>1183.1500000000001</v>
      </c>
      <c r="AV48" s="55">
        <f>_xll.EQNXTDZ($A$1,$B48,AV$5)</f>
        <v>1483.65</v>
      </c>
      <c r="AW48" s="55">
        <f>_xll.EQNXTDZ($A$1,$B48,AW$5)</f>
        <v>1624.4</v>
      </c>
      <c r="AX48" s="55">
        <f>_xll.EQNXTDZ($A$1,$B48,AX$5)</f>
        <v>1649.45</v>
      </c>
      <c r="AY48" s="55">
        <f>_xll.EQNXTDZ($A$1,$B48,AY$5)</f>
        <v>1756.05</v>
      </c>
      <c r="AZ48" s="55">
        <f>_xll.EQNXTDZ($A$1,$B48,AZ$5)</f>
        <v>1875.45</v>
      </c>
      <c r="BA48" s="55">
        <f>_xll.EQNXTDZ($A$1,$B48,BA$5)</f>
        <v>1844.7</v>
      </c>
      <c r="BB48" s="55">
        <f>_xll.EQNXTDZ($A$1,$B48,BB$5)</f>
        <v>1622.2</v>
      </c>
      <c r="BC48" s="55">
        <f>_xll.EQNXTDZ($A$1,$B48,BC$5)</f>
        <v>1679.8</v>
      </c>
      <c r="BD48" s="55">
        <f>_xll.EQNXTDZ($A$1,$B48,BD$5)</f>
        <v>1707.9</v>
      </c>
      <c r="BE48" s="55">
        <f>_xll.EQNXTDZ($A$1,$B48,BE$5)</f>
        <v>1820.45</v>
      </c>
      <c r="BF48" s="55">
        <f>_xll.EQNXTDZ($A$1,$B48,BF$5)</f>
        <v>2063.1999999999998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55.87</v>
      </c>
      <c r="D49" s="55">
        <f>_xll.EQNXTDZ($A$1,$B49,D$5)</f>
        <v>55.87</v>
      </c>
      <c r="E49" s="55">
        <f>_xll.EQNXTDZ($A$1,$B49,E$5)</f>
        <v>55.87</v>
      </c>
      <c r="F49" s="55">
        <f>_xll.EQNXTDZ($A$1,$B49,F$5)</f>
        <v>55.87</v>
      </c>
      <c r="G49" s="55">
        <f>_xll.EQNXTDZ($A$1,$B49,G$5)</f>
        <v>55.87</v>
      </c>
      <c r="H49" s="55">
        <f>_xll.EQNXTDZ($A$1,$B49,H$5)</f>
        <v>55.87</v>
      </c>
      <c r="I49" s="55">
        <f>_xll.EQNXTDZ($A$1,$B49,I$5)</f>
        <v>55.87</v>
      </c>
      <c r="J49" s="55">
        <f>_xll.EQNXTDZ($A$1,$B49,J$5)</f>
        <v>55.85</v>
      </c>
      <c r="K49" s="55">
        <f>_xll.EQNXTDZ($A$1,$B49,K$5)</f>
        <v>55.82</v>
      </c>
      <c r="L49" s="55">
        <f>_xll.EQNXTDZ($A$1,$B49,L$5)</f>
        <v>55.78</v>
      </c>
      <c r="M49" s="55">
        <f>_xll.EQNXTDZ($A$1,$B49,M$5)</f>
        <v>55.78</v>
      </c>
      <c r="N49" s="55">
        <f>_xll.EQNXTDZ($A$1,$B49,N$5)</f>
        <v>55.78</v>
      </c>
      <c r="O49" s="55">
        <f>_xll.EQNXTDZ($A$1,$B49,O$5)</f>
        <v>55.78</v>
      </c>
      <c r="P49" s="55">
        <f>_xll.EQNXTDZ($A$1,$B49,P$5)</f>
        <v>55.77</v>
      </c>
      <c r="Q49" s="55">
        <f>_xll.EQNXTDZ($A$1,$B49,Q$5)</f>
        <v>55.77</v>
      </c>
      <c r="R49" s="55">
        <f>_xll.EQNXTDZ($A$1,$B49,R$5)</f>
        <v>55.77</v>
      </c>
      <c r="S49" s="55">
        <f>_xll.EQNXTDZ($A$1,$B49,S$5)</f>
        <v>55.77</v>
      </c>
      <c r="T49" s="55">
        <f>_xll.EQNXTDZ($A$1,$B49,T$5)</f>
        <v>55.77</v>
      </c>
      <c r="U49" s="55">
        <f>_xll.EQNXTDZ($A$1,$B49,U$5)</f>
        <v>55.76</v>
      </c>
      <c r="V49" s="55">
        <f>_xll.EQNXTDZ($A$1,$B49,V$5)</f>
        <v>55.76</v>
      </c>
      <c r="W49" s="55">
        <f>_xll.EQNXTDZ($A$1,$B49,W$5)</f>
        <v>55.76</v>
      </c>
      <c r="X49" s="55">
        <f>_xll.EQNXTDZ($A$1,$B49,X$5)</f>
        <v>55.85</v>
      </c>
      <c r="Y49" s="55">
        <f>_xll.EQNXTDZ($A$1,$B49,Y$5)</f>
        <v>55.84</v>
      </c>
      <c r="Z49" s="55">
        <f>_xll.EQNXTDZ($A$1,$B49,Z$5)</f>
        <v>55.84</v>
      </c>
      <c r="AA49" s="55">
        <f>_xll.EQNXTDZ($A$1,$B49,AA$5)</f>
        <v>55.81</v>
      </c>
      <c r="AB49" s="55">
        <f>_xll.EQNXTDZ($A$1,$B49,AB$5)</f>
        <v>55.81</v>
      </c>
      <c r="AC49" s="55">
        <f>_xll.EQNXTDZ($A$1,$B49,AC$5)</f>
        <v>56.06</v>
      </c>
      <c r="AD49" s="55">
        <f>_xll.EQNXTDZ($A$1,$B49,AD$5)</f>
        <v>56.02</v>
      </c>
      <c r="AE49" s="55">
        <f>_xll.EQNXTDZ($A$1,$B49,AE$5)</f>
        <v>56.02</v>
      </c>
      <c r="AF49" s="55">
        <f>_xll.EQNXTDZ($A$1,$B49,AF$5)</f>
        <v>56.02</v>
      </c>
      <c r="AG49" s="55">
        <f>_xll.EQNXTDZ($A$1,$B49,AG$5)</f>
        <v>55.68</v>
      </c>
      <c r="AH49" s="55">
        <f>_xll.EQNXTDZ($A$1,$B49,AH$5)</f>
        <v>55.91</v>
      </c>
      <c r="AI49" s="55">
        <f>_xll.EQNXTDZ($A$1,$B49,AI$5)</f>
        <v>55.91</v>
      </c>
      <c r="AJ49" s="55">
        <f>_xll.EQNXTDZ($A$1,$B49,AJ$5)</f>
        <v>55.91</v>
      </c>
      <c r="AK49" s="55">
        <f>_xll.EQNXTDZ($A$1,$B49,AK$5)</f>
        <v>55.91</v>
      </c>
      <c r="AL49" s="55">
        <f>_xll.EQNXTDZ($A$1,$B49,AL$5)</f>
        <v>55.91</v>
      </c>
      <c r="AM49" s="55">
        <f>_xll.EQNXTDZ($A$1,$B49,AM$5)</f>
        <v>55.91</v>
      </c>
      <c r="AN49" s="55">
        <f>_xll.EQNXTDZ($A$1,$B49,AN$5)</f>
        <v>55.91</v>
      </c>
      <c r="AO49" s="55">
        <f>_xll.EQNXTDZ($A$1,$B49,AO$5)</f>
        <v>54</v>
      </c>
      <c r="AP49" s="55">
        <f>_xll.EQNXTDZ($A$1,$B49,AP$5)</f>
        <v>54</v>
      </c>
      <c r="AQ49" s="55">
        <f>_xll.EQNXTDZ($A$1,$B49,AQ$5)</f>
        <v>54</v>
      </c>
      <c r="AR49" s="55">
        <f>_xll.EQNXTDZ($A$1,$B49,AR$5)</f>
        <v>53.96</v>
      </c>
      <c r="AS49" s="55">
        <f>_xll.EQNXTDZ($A$1,$B49,AS$5)</f>
        <v>53.95</v>
      </c>
      <c r="AT49" s="55">
        <f>_xll.EQNXTDZ($A$1,$B49,AT$5)</f>
        <v>53.93</v>
      </c>
      <c r="AU49" s="55">
        <f>_xll.EQNXTDZ($A$1,$B49,AU$5)</f>
        <v>53.91</v>
      </c>
      <c r="AV49" s="55">
        <f>_xll.EQNXTDZ($A$1,$B49,AV$5)</f>
        <v>53.86</v>
      </c>
      <c r="AW49" s="55">
        <f>_xll.EQNXTDZ($A$1,$B49,AW$5)</f>
        <v>53.83</v>
      </c>
      <c r="AX49" s="55">
        <f>_xll.EQNXTDZ($A$1,$B49,AX$5)</f>
        <v>53.78</v>
      </c>
      <c r="AY49" s="55">
        <f>_xll.EQNXTDZ($A$1,$B49,AY$5)</f>
        <v>53.77</v>
      </c>
      <c r="AZ49" s="55">
        <f>_xll.EQNXTDZ($A$1,$B49,AZ$5)</f>
        <v>53.74</v>
      </c>
      <c r="BA49" s="55">
        <f>_xll.EQNXTDZ($A$1,$B49,BA$5)</f>
        <v>53.66</v>
      </c>
      <c r="BB49" s="55">
        <f>_xll.EQNXTDZ($A$1,$B49,BB$5)</f>
        <v>47.84</v>
      </c>
      <c r="BC49" s="55">
        <f>_xll.EQNXTDZ($A$1,$B49,BC$5)</f>
        <v>47.73</v>
      </c>
      <c r="BD49" s="55">
        <f>_xll.EQNXTDZ($A$1,$B49,BD$5)</f>
        <v>47.56</v>
      </c>
      <c r="BE49" s="55">
        <f>_xll.EQNXTDZ($A$1,$B49,BE$5)</f>
        <v>47.55</v>
      </c>
      <c r="BF49" s="55">
        <f>_xll.EQNXTDZ($A$1,$B49,BF$5)</f>
        <v>48.8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16.942</v>
      </c>
      <c r="E56" s="55">
        <f>_xll.EQNXTDZ($A$1,$B56,E$5,$B$1)</f>
        <v>0</v>
      </c>
      <c r="F56" s="55">
        <f>_xll.EQNXTDZ($A$1,$B56,F$5,$B$1)</f>
        <v>16.942</v>
      </c>
      <c r="G56" s="55">
        <f>_xll.EQNXTDZ($A$1,$B56,G$5,$B$1)</f>
        <v>0</v>
      </c>
      <c r="H56" s="55">
        <f>_xll.EQNXTDZ($A$1,$B56,H$5,$B$1)</f>
        <v>16.942</v>
      </c>
      <c r="I56" s="55">
        <f>_xll.EQNXTDZ($A$1,$B56,I$5,$B$1)</f>
        <v>0</v>
      </c>
      <c r="J56" s="55">
        <f>_xll.EQNXTDZ($A$1,$B56,J$5,$B$1)</f>
        <v>16.946000000000002</v>
      </c>
      <c r="K56" s="55">
        <f>_xll.EQNXTDZ($A$1,$B56,K$5,$B$1)</f>
        <v>0</v>
      </c>
      <c r="L56" s="55">
        <f>_xll.EQNXTDZ($A$1,$B56,L$5,$B$1)</f>
        <v>16.962</v>
      </c>
      <c r="M56" s="55">
        <f>_xll.EQNXTDZ($A$1,$B56,M$5,$B$1)</f>
        <v>0</v>
      </c>
      <c r="N56" s="55">
        <f>_xll.EQNXTDZ($A$1,$B56,N$5,$B$1)</f>
        <v>16.962</v>
      </c>
      <c r="O56" s="55">
        <f>_xll.EQNXTDZ($A$1,$B56,O$5,$B$1)</f>
        <v>0</v>
      </c>
      <c r="P56" s="55">
        <f>_xll.EQNXTDZ($A$1,$B56,P$5,$B$1)</f>
        <v>16.963999999999999</v>
      </c>
      <c r="Q56" s="55">
        <f>_xll.EQNXTDZ($A$1,$B56,Q$5,$B$1)</f>
        <v>0</v>
      </c>
      <c r="R56" s="55">
        <f>_xll.EQNXTDZ($A$1,$B56,R$5,$B$1)</f>
        <v>16.963999999999999</v>
      </c>
      <c r="S56" s="55">
        <f>_xll.EQNXTDZ($A$1,$B56,S$5,$B$1)</f>
        <v>0</v>
      </c>
      <c r="T56" s="55">
        <f>_xll.EQNXTDZ($A$1,$B56,T$5,$B$1)</f>
        <v>16.963999999999999</v>
      </c>
      <c r="U56" s="55">
        <f>_xll.EQNXTDZ($A$1,$B56,U$5,$B$1)</f>
        <v>0</v>
      </c>
      <c r="V56" s="55">
        <f>_xll.EQNXTDZ($A$1,$B56,V$5,$B$1)</f>
        <v>16.963999999999999</v>
      </c>
      <c r="W56" s="55">
        <f>_xll.EQNXTDZ($A$1,$B56,W$5,$B$1)</f>
        <v>0</v>
      </c>
      <c r="X56" s="55">
        <f>_xll.EQNXTDZ($A$1,$B56,X$5,$B$1)</f>
        <v>16.713999999999999</v>
      </c>
      <c r="Y56" s="55">
        <f>_xll.EQNXTDZ($A$1,$B56,Y$5,$B$1)</f>
        <v>0</v>
      </c>
      <c r="Z56" s="55">
        <f>_xll.EQNXTDZ($A$1,$B56,Z$5,$B$1)</f>
        <v>16.713999999999999</v>
      </c>
      <c r="AA56" s="55">
        <f>_xll.EQNXTDZ($A$1,$B56,AA$5,$B$1)</f>
        <v>0</v>
      </c>
      <c r="AB56" s="55">
        <f>_xll.EQNXTDZ($A$1,$B56,AB$5,$B$1)</f>
        <v>16.713999999999999</v>
      </c>
      <c r="AC56" s="55">
        <f>_xll.EQNXTDZ($A$1,$B56,AC$5,$B$1)</f>
        <v>0</v>
      </c>
      <c r="AD56" s="55">
        <f>_xll.EQNXTDZ($A$1,$B56,AD$5,$B$1)</f>
        <v>16.047000000000001</v>
      </c>
      <c r="AE56" s="55">
        <f>_xll.EQNXTDZ($A$1,$B56,AE$5,$B$1)</f>
        <v>0</v>
      </c>
      <c r="AF56" s="55">
        <f>_xll.EQNXTDZ($A$1,$B56,AF$5,$B$1)</f>
        <v>16.047000000000001</v>
      </c>
      <c r="AG56" s="55">
        <f>_xll.EQNXTDZ($A$1,$B56,AG$5,$B$1)</f>
        <v>0</v>
      </c>
      <c r="AH56" s="55">
        <f>_xll.EQNXTDZ($A$1,$B56,AH$5,$B$1)</f>
        <v>15.456</v>
      </c>
      <c r="AI56" s="55">
        <f>_xll.EQNXTDZ($A$1,$B56,AI$5,$B$1)</f>
        <v>0</v>
      </c>
      <c r="AJ56" s="55">
        <f>_xll.EQNXTDZ($A$1,$B56,AJ$5,$B$1)</f>
        <v>15.456</v>
      </c>
      <c r="AK56" s="55">
        <f>_xll.EQNXTDZ($A$1,$B56,AK$5,$B$1)</f>
        <v>0</v>
      </c>
      <c r="AL56" s="55">
        <f>_xll.EQNXTDZ($A$1,$B56,AL$5,$B$1)</f>
        <v>15.456</v>
      </c>
      <c r="AM56" s="55">
        <f>_xll.EQNXTDZ($A$1,$B56,AM$5,$B$1)</f>
        <v>0</v>
      </c>
      <c r="AN56" s="55">
        <f>_xll.EQNXTDZ($A$1,$B56,AN$5,$B$1)</f>
        <v>15.456</v>
      </c>
      <c r="AO56" s="55">
        <f>_xll.EQNXTDZ($A$1,$B56,AO$5,$B$1)</f>
        <v>0</v>
      </c>
      <c r="AP56" s="55">
        <f>_xll.EQNXTDZ($A$1,$B56,AP$5,$B$1)</f>
        <v>15.46</v>
      </c>
      <c r="AQ56" s="55">
        <f>_xll.EQNXTDZ($A$1,$B56,AQ$5,$B$1)</f>
        <v>0</v>
      </c>
      <c r="AR56" s="55">
        <f>_xll.EQNXTDZ($A$1,$B56,AR$5,$B$1)</f>
        <v>15.47</v>
      </c>
      <c r="AS56" s="55">
        <f>_xll.EQNXTDZ($A$1,$B56,AS$5,$B$1)</f>
        <v>0</v>
      </c>
      <c r="AT56" s="55">
        <f>_xll.EQNXTDZ($A$1,$B56,AT$5,$B$1)</f>
        <v>15.48</v>
      </c>
      <c r="AU56" s="55">
        <f>_xll.EQNXTDZ($A$1,$B56,AU$5,$B$1)</f>
        <v>0</v>
      </c>
      <c r="AV56" s="55">
        <f>_xll.EQNXTDZ($A$1,$B56,AV$5,$B$1)</f>
        <v>15.5</v>
      </c>
      <c r="AW56" s="55">
        <f>_xll.EQNXTDZ($A$1,$B56,AW$5,$B$1)</f>
        <v>0</v>
      </c>
      <c r="AX56" s="55">
        <f>_xll.EQNXTDZ($A$1,$B56,AX$5,$B$1)</f>
        <v>15.52</v>
      </c>
      <c r="AY56" s="55">
        <f>_xll.EQNXTDZ($A$1,$B56,AY$5,$B$1)</f>
        <v>0</v>
      </c>
      <c r="AZ56" s="55">
        <f>_xll.EQNXTDZ($A$1,$B56,AZ$5,$B$1)</f>
        <v>15.53</v>
      </c>
      <c r="BA56" s="55">
        <f>_xll.EQNXTDZ($A$1,$B56,BA$5,$B$1)</f>
        <v>0</v>
      </c>
      <c r="BB56" s="55">
        <f>_xll.EQNXTDZ($A$1,$B56,BB$5,$B$1)</f>
        <v>15.57</v>
      </c>
      <c r="BC56" s="55">
        <f>_xll.EQNXTDZ($A$1,$B56,BC$5,$B$1)</f>
        <v>0</v>
      </c>
      <c r="BD56" s="55">
        <f>_xll.EQNXTDZ($A$1,$B56,BD$5,$B$1)</f>
        <v>15.66</v>
      </c>
      <c r="BE56" s="55">
        <f>_xll.EQNXTDZ($A$1,$B56,BE$5,$B$1)</f>
        <v>0</v>
      </c>
      <c r="BF56" s="55">
        <f>_xll.EQNXTDZ($A$1,$B56,BF$5,$B$1)</f>
        <v>16.059999999999999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980.173</v>
      </c>
      <c r="E58" s="55">
        <f>_xll.EQNXTDZ($A$1,$B58,E$5,$B$1)</f>
        <v>0</v>
      </c>
      <c r="F58" s="55">
        <f>_xll.EQNXTDZ($A$1,$B58,F$5,$B$1)</f>
        <v>1003.33</v>
      </c>
      <c r="G58" s="55">
        <f>_xll.EQNXTDZ($A$1,$B58,G$5,$B$1)</f>
        <v>0</v>
      </c>
      <c r="H58" s="55">
        <f>_xll.EQNXTDZ($A$1,$B58,H$5,$B$1)</f>
        <v>1045.499</v>
      </c>
      <c r="I58" s="55">
        <f>_xll.EQNXTDZ($A$1,$B58,I$5,$B$1)</f>
        <v>0</v>
      </c>
      <c r="J58" s="55">
        <f>_xll.EQNXTDZ($A$1,$B58,J$5,$B$1)</f>
        <v>1025.866</v>
      </c>
      <c r="K58" s="55">
        <f>_xll.EQNXTDZ($A$1,$B58,K$5,$B$1)</f>
        <v>0</v>
      </c>
      <c r="L58" s="55">
        <f>_xll.EQNXTDZ($A$1,$B58,L$5,$B$1)</f>
        <v>1091.3779999999999</v>
      </c>
      <c r="M58" s="55">
        <f>_xll.EQNXTDZ($A$1,$B58,M$5,$B$1)</f>
        <v>0</v>
      </c>
      <c r="N58" s="55">
        <f>_xll.EQNXTDZ($A$1,$B58,N$5,$B$1)</f>
        <v>977.91300000000001</v>
      </c>
      <c r="O58" s="55">
        <f>_xll.EQNXTDZ($A$1,$B58,O$5,$B$1)</f>
        <v>0</v>
      </c>
      <c r="P58" s="55">
        <f>_xll.EQNXTDZ($A$1,$B58,P$5,$B$1)</f>
        <v>1082.7080000000001</v>
      </c>
      <c r="Q58" s="55">
        <f>_xll.EQNXTDZ($A$1,$B58,Q$5,$B$1)</f>
        <v>0</v>
      </c>
      <c r="R58" s="55">
        <f>_xll.EQNXTDZ($A$1,$B58,R$5,$B$1)</f>
        <v>1166.874</v>
      </c>
      <c r="S58" s="55">
        <f>_xll.EQNXTDZ($A$1,$B58,S$5,$B$1)</f>
        <v>0</v>
      </c>
      <c r="T58" s="55">
        <f>_xll.EQNXTDZ($A$1,$B58,T$5,$B$1)</f>
        <v>1291.393</v>
      </c>
      <c r="U58" s="55">
        <f>_xll.EQNXTDZ($A$1,$B58,U$5,$B$1)</f>
        <v>0</v>
      </c>
      <c r="V58" s="55">
        <f>_xll.EQNXTDZ($A$1,$B58,V$5,$B$1)</f>
        <v>1346.6859999999999</v>
      </c>
      <c r="W58" s="55">
        <f>_xll.EQNXTDZ($A$1,$B58,W$5,$B$1)</f>
        <v>0</v>
      </c>
      <c r="X58" s="55">
        <f>_xll.EQNXTDZ($A$1,$B58,X$5,$B$1)</f>
        <v>1382.374</v>
      </c>
      <c r="Y58" s="55">
        <f>_xll.EQNXTDZ($A$1,$B58,Y$5,$B$1)</f>
        <v>0</v>
      </c>
      <c r="Z58" s="55">
        <f>_xll.EQNXTDZ($A$1,$B58,Z$5,$B$1)</f>
        <v>1424.8440000000001</v>
      </c>
      <c r="AA58" s="55">
        <f>_xll.EQNXTDZ($A$1,$B58,AA$5,$B$1)</f>
        <v>0</v>
      </c>
      <c r="AB58" s="55">
        <f>_xll.EQNXTDZ($A$1,$B58,AB$5,$B$1)</f>
        <v>1508.799</v>
      </c>
      <c r="AC58" s="55">
        <f>_xll.EQNXTDZ($A$1,$B58,AC$5,$B$1)</f>
        <v>0</v>
      </c>
      <c r="AD58" s="55">
        <f>_xll.EQNXTDZ($A$1,$B58,AD$5,$B$1)</f>
        <v>1464.075</v>
      </c>
      <c r="AE58" s="55">
        <f>_xll.EQNXTDZ($A$1,$B58,AE$5,$B$1)</f>
        <v>0</v>
      </c>
      <c r="AF58" s="55">
        <f>_xll.EQNXTDZ($A$1,$B58,AF$5,$B$1)</f>
        <v>1567.681</v>
      </c>
      <c r="AG58" s="55">
        <f>_xll.EQNXTDZ($A$1,$B58,AG$5,$B$1)</f>
        <v>0</v>
      </c>
      <c r="AH58" s="55">
        <f>_xll.EQNXTDZ($A$1,$B58,AH$5,$B$1)</f>
        <v>1420.0329999999999</v>
      </c>
      <c r="AI58" s="55">
        <f>_xll.EQNXTDZ($A$1,$B58,AI$5,$B$1)</f>
        <v>0</v>
      </c>
      <c r="AJ58" s="55">
        <f>_xll.EQNXTDZ($A$1,$B58,AJ$5,$B$1)</f>
        <v>1610.5219999999999</v>
      </c>
      <c r="AK58" s="55">
        <f>_xll.EQNXTDZ($A$1,$B58,AK$5,$B$1)</f>
        <v>0</v>
      </c>
      <c r="AL58" s="55">
        <f>_xll.EQNXTDZ($A$1,$B58,AL$5,$B$1)</f>
        <v>1794.268</v>
      </c>
      <c r="AM58" s="55">
        <f>_xll.EQNXTDZ($A$1,$B58,AM$5,$B$1)</f>
        <v>0</v>
      </c>
      <c r="AN58" s="55">
        <f>_xll.EQNXTDZ($A$1,$B58,AN$5,$B$1)</f>
        <v>1964.05</v>
      </c>
      <c r="AO58" s="55">
        <f>_xll.EQNXTDZ($A$1,$B58,AO$5,$B$1)</f>
        <v>0</v>
      </c>
      <c r="AP58" s="55">
        <f>_xll.EQNXTDZ($A$1,$B58,AP$5,$B$1)</f>
        <v>2118.66</v>
      </c>
      <c r="AQ58" s="55">
        <f>_xll.EQNXTDZ($A$1,$B58,AQ$5,$B$1)</f>
        <v>0</v>
      </c>
      <c r="AR58" s="55">
        <f>_xll.EQNXTDZ($A$1,$B58,AR$5,$B$1)</f>
        <v>2299.84</v>
      </c>
      <c r="AS58" s="55">
        <f>_xll.EQNXTDZ($A$1,$B58,AS$5,$B$1)</f>
        <v>0</v>
      </c>
      <c r="AT58" s="55">
        <f>_xll.EQNXTDZ($A$1,$B58,AT$5,$B$1)</f>
        <v>2464.87</v>
      </c>
      <c r="AU58" s="55">
        <f>_xll.EQNXTDZ($A$1,$B58,AU$5,$B$1)</f>
        <v>0</v>
      </c>
      <c r="AV58" s="55">
        <f>_xll.EQNXTDZ($A$1,$B58,AV$5,$B$1)</f>
        <v>2701.21</v>
      </c>
      <c r="AW58" s="55">
        <f>_xll.EQNXTDZ($A$1,$B58,AW$5,$B$1)</f>
        <v>0</v>
      </c>
      <c r="AX58" s="55">
        <f>_xll.EQNXTDZ($A$1,$B58,AX$5,$B$1)</f>
        <v>2907.81</v>
      </c>
      <c r="AY58" s="55">
        <f>_xll.EQNXTDZ($A$1,$B58,AY$5,$B$1)</f>
        <v>0</v>
      </c>
      <c r="AZ58" s="55">
        <f>_xll.EQNXTDZ($A$1,$B58,AZ$5,$B$1)</f>
        <v>3196.7</v>
      </c>
      <c r="BA58" s="55">
        <f>_xll.EQNXTDZ($A$1,$B58,BA$5,$B$1)</f>
        <v>0</v>
      </c>
      <c r="BB58" s="55">
        <f>_xll.EQNXTDZ($A$1,$B58,BB$5,$B$1)</f>
        <v>3417.75</v>
      </c>
      <c r="BC58" s="55">
        <f>_xll.EQNXTDZ($A$1,$B58,BC$5,$B$1)</f>
        <v>0</v>
      </c>
      <c r="BD58" s="55">
        <f>_xll.EQNXTDZ($A$1,$B58,BD$5,$B$1)</f>
        <v>3790.08</v>
      </c>
      <c r="BE58" s="55">
        <f>_xll.EQNXTDZ($A$1,$B58,BE$5,$B$1)</f>
        <v>0</v>
      </c>
      <c r="BF58" s="55">
        <f>_xll.EQNXTDZ($A$1,$B58,BF$5,$B$1)</f>
        <v>4143.16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997.11500000000001</v>
      </c>
      <c r="E59" s="55">
        <f>_xll.EQNXTDZ($A$1,$B59,E$5,$B$1)</f>
        <v>0</v>
      </c>
      <c r="F59" s="55">
        <f>_xll.EQNXTDZ($A$1,$B59,F$5,$B$1)</f>
        <v>1020.272</v>
      </c>
      <c r="G59" s="55">
        <f>_xll.EQNXTDZ($A$1,$B59,G$5,$B$1)</f>
        <v>0</v>
      </c>
      <c r="H59" s="55">
        <f>_xll.EQNXTDZ($A$1,$B59,H$5,$B$1)</f>
        <v>1062.441</v>
      </c>
      <c r="I59" s="55">
        <f>_xll.EQNXTDZ($A$1,$B59,I$5,$B$1)</f>
        <v>0</v>
      </c>
      <c r="J59" s="55">
        <f>_xll.EQNXTDZ($A$1,$B59,J$5,$B$1)</f>
        <v>1042.8119999999999</v>
      </c>
      <c r="K59" s="55">
        <f>_xll.EQNXTDZ($A$1,$B59,K$5,$B$1)</f>
        <v>0</v>
      </c>
      <c r="L59" s="55">
        <f>_xll.EQNXTDZ($A$1,$B59,L$5,$B$1)</f>
        <v>1108.3399999999999</v>
      </c>
      <c r="M59" s="55">
        <f>_xll.EQNXTDZ($A$1,$B59,M$5,$B$1)</f>
        <v>0</v>
      </c>
      <c r="N59" s="55">
        <f>_xll.EQNXTDZ($A$1,$B59,N$5,$B$1)</f>
        <v>994.875</v>
      </c>
      <c r="O59" s="55">
        <f>_xll.EQNXTDZ($A$1,$B59,O$5,$B$1)</f>
        <v>0</v>
      </c>
      <c r="P59" s="55">
        <f>_xll.EQNXTDZ($A$1,$B59,P$5,$B$1)</f>
        <v>1099.672</v>
      </c>
      <c r="Q59" s="55">
        <f>_xll.EQNXTDZ($A$1,$B59,Q$5,$B$1)</f>
        <v>0</v>
      </c>
      <c r="R59" s="55">
        <f>_xll.EQNXTDZ($A$1,$B59,R$5,$B$1)</f>
        <v>1183.838</v>
      </c>
      <c r="S59" s="55">
        <f>_xll.EQNXTDZ($A$1,$B59,S$5,$B$1)</f>
        <v>0</v>
      </c>
      <c r="T59" s="55">
        <f>_xll.EQNXTDZ($A$1,$B59,T$5,$B$1)</f>
        <v>1308.357</v>
      </c>
      <c r="U59" s="55">
        <f>_xll.EQNXTDZ($A$1,$B59,U$5,$B$1)</f>
        <v>0</v>
      </c>
      <c r="V59" s="55">
        <f>_xll.EQNXTDZ($A$1,$B59,V$5,$B$1)</f>
        <v>1363.65</v>
      </c>
      <c r="W59" s="55">
        <f>_xll.EQNXTDZ($A$1,$B59,W$5,$B$1)</f>
        <v>0</v>
      </c>
      <c r="X59" s="55">
        <f>_xll.EQNXTDZ($A$1,$B59,X$5,$B$1)</f>
        <v>1399.088</v>
      </c>
      <c r="Y59" s="55">
        <f>_xll.EQNXTDZ($A$1,$B59,Y$5,$B$1)</f>
        <v>0</v>
      </c>
      <c r="Z59" s="55">
        <f>_xll.EQNXTDZ($A$1,$B59,Z$5,$B$1)</f>
        <v>1441.558</v>
      </c>
      <c r="AA59" s="55">
        <f>_xll.EQNXTDZ($A$1,$B59,AA$5,$B$1)</f>
        <v>0</v>
      </c>
      <c r="AB59" s="55">
        <f>_xll.EQNXTDZ($A$1,$B59,AB$5,$B$1)</f>
        <v>1525.5129999999999</v>
      </c>
      <c r="AC59" s="55">
        <f>_xll.EQNXTDZ($A$1,$B59,AC$5,$B$1)</f>
        <v>0</v>
      </c>
      <c r="AD59" s="55">
        <f>_xll.EQNXTDZ($A$1,$B59,AD$5,$B$1)</f>
        <v>1480.1220000000001</v>
      </c>
      <c r="AE59" s="55">
        <f>_xll.EQNXTDZ($A$1,$B59,AE$5,$B$1)</f>
        <v>0</v>
      </c>
      <c r="AF59" s="55">
        <f>_xll.EQNXTDZ($A$1,$B59,AF$5,$B$1)</f>
        <v>1583.7280000000001</v>
      </c>
      <c r="AG59" s="55">
        <f>_xll.EQNXTDZ($A$1,$B59,AG$5,$B$1)</f>
        <v>0</v>
      </c>
      <c r="AH59" s="55">
        <f>_xll.EQNXTDZ($A$1,$B59,AH$5,$B$1)</f>
        <v>1435.489</v>
      </c>
      <c r="AI59" s="55">
        <f>_xll.EQNXTDZ($A$1,$B59,AI$5,$B$1)</f>
        <v>0</v>
      </c>
      <c r="AJ59" s="55">
        <f>_xll.EQNXTDZ($A$1,$B59,AJ$5,$B$1)</f>
        <v>1625.9780000000001</v>
      </c>
      <c r="AK59" s="55">
        <f>_xll.EQNXTDZ($A$1,$B59,AK$5,$B$1)</f>
        <v>0</v>
      </c>
      <c r="AL59" s="55">
        <f>_xll.EQNXTDZ($A$1,$B59,AL$5,$B$1)</f>
        <v>1809.7239999999999</v>
      </c>
      <c r="AM59" s="55">
        <f>_xll.EQNXTDZ($A$1,$B59,AM$5,$B$1)</f>
        <v>0</v>
      </c>
      <c r="AN59" s="55">
        <f>_xll.EQNXTDZ($A$1,$B59,AN$5,$B$1)</f>
        <v>1979.5060000000001</v>
      </c>
      <c r="AO59" s="55">
        <f>_xll.EQNXTDZ($A$1,$B59,AO$5,$B$1)</f>
        <v>0</v>
      </c>
      <c r="AP59" s="55">
        <f>_xll.EQNXTDZ($A$1,$B59,AP$5,$B$1)</f>
        <v>2134.12</v>
      </c>
      <c r="AQ59" s="55">
        <f>_xll.EQNXTDZ($A$1,$B59,AQ$5,$B$1)</f>
        <v>0</v>
      </c>
      <c r="AR59" s="55">
        <f>_xll.EQNXTDZ($A$1,$B59,AR$5,$B$1)</f>
        <v>2315.31</v>
      </c>
      <c r="AS59" s="55">
        <f>_xll.EQNXTDZ($A$1,$B59,AS$5,$B$1)</f>
        <v>0</v>
      </c>
      <c r="AT59" s="55">
        <f>_xll.EQNXTDZ($A$1,$B59,AT$5,$B$1)</f>
        <v>2480.35</v>
      </c>
      <c r="AU59" s="55">
        <f>_xll.EQNXTDZ($A$1,$B59,AU$5,$B$1)</f>
        <v>0</v>
      </c>
      <c r="AV59" s="55">
        <f>_xll.EQNXTDZ($A$1,$B59,AV$5,$B$1)</f>
        <v>2716.71</v>
      </c>
      <c r="AW59" s="55">
        <f>_xll.EQNXTDZ($A$1,$B59,AW$5,$B$1)</f>
        <v>0</v>
      </c>
      <c r="AX59" s="55">
        <f>_xll.EQNXTDZ($A$1,$B59,AX$5,$B$1)</f>
        <v>2923.33</v>
      </c>
      <c r="AY59" s="55">
        <f>_xll.EQNXTDZ($A$1,$B59,AY$5,$B$1)</f>
        <v>0</v>
      </c>
      <c r="AZ59" s="55">
        <f>_xll.EQNXTDZ($A$1,$B59,AZ$5,$B$1)</f>
        <v>3212.23</v>
      </c>
      <c r="BA59" s="55">
        <f>_xll.EQNXTDZ($A$1,$B59,BA$5,$B$1)</f>
        <v>0</v>
      </c>
      <c r="BB59" s="55">
        <f>_xll.EQNXTDZ($A$1,$B59,BB$5,$B$1)</f>
        <v>3433.32</v>
      </c>
      <c r="BC59" s="55">
        <f>_xll.EQNXTDZ($A$1,$B59,BC$5,$B$1)</f>
        <v>0</v>
      </c>
      <c r="BD59" s="55">
        <f>_xll.EQNXTDZ($A$1,$B59,BD$5,$B$1)</f>
        <v>3805.74</v>
      </c>
      <c r="BE59" s="55">
        <f>_xll.EQNXTDZ($A$1,$B59,BE$5,$B$1)</f>
        <v>0</v>
      </c>
      <c r="BF59" s="55">
        <f>_xll.EQNXTDZ($A$1,$B59,BF$5,$B$1)</f>
        <v>4159.22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1.665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2.181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2.7719999999999998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2.8029999999999999</v>
      </c>
      <c r="AE60" s="55">
        <f>_xll.EQNXTDZ($A$1,$B60,AE$5,$B$1)</f>
        <v>0</v>
      </c>
      <c r="AF60" s="55">
        <f>_xll.EQNXTDZ($A$1,$B60,AF$5,$B$1)</f>
        <v>2.9009999999999998</v>
      </c>
      <c r="AG60" s="55">
        <f>_xll.EQNXTDZ($A$1,$B60,AG$5,$B$1)</f>
        <v>0</v>
      </c>
      <c r="AH60" s="55">
        <f>_xll.EQNXTDZ($A$1,$B60,AH$5,$B$1)</f>
        <v>2.5009999999999999</v>
      </c>
      <c r="AI60" s="55">
        <f>_xll.EQNXTDZ($A$1,$B60,AI$5,$B$1)</f>
        <v>0</v>
      </c>
      <c r="AJ60" s="55">
        <f>_xll.EQNXTDZ($A$1,$B60,AJ$5,$B$1)</f>
        <v>2.87</v>
      </c>
      <c r="AK60" s="55">
        <f>_xll.EQNXTDZ($A$1,$B60,AK$5,$B$1)</f>
        <v>0</v>
      </c>
      <c r="AL60" s="55">
        <f>_xll.EQNXTDZ($A$1,$B60,AL$5,$B$1)</f>
        <v>3.7050000000000001</v>
      </c>
      <c r="AM60" s="55">
        <f>_xll.EQNXTDZ($A$1,$B60,AM$5,$B$1)</f>
        <v>0</v>
      </c>
      <c r="AN60" s="55">
        <f>_xll.EQNXTDZ($A$1,$B60,AN$5,$B$1)</f>
        <v>3.9350000000000001</v>
      </c>
      <c r="AO60" s="55">
        <f>_xll.EQNXTDZ($A$1,$B60,AO$5,$B$1)</f>
        <v>0</v>
      </c>
      <c r="AP60" s="55">
        <f>_xll.EQNXTDZ($A$1,$B60,AP$5,$B$1)</f>
        <v>4.49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8.3859999999999992</v>
      </c>
      <c r="E61" s="55">
        <f>_xll.EQNXTDZ($A$1,$B61,E$5,$B$1)</f>
        <v>0</v>
      </c>
      <c r="F61" s="55">
        <f>_xll.EQNXTDZ($A$1,$B61,F$5,$B$1)</f>
        <v>7.2430000000000003</v>
      </c>
      <c r="G61" s="55">
        <f>_xll.EQNXTDZ($A$1,$B61,G$5,$B$1)</f>
        <v>0</v>
      </c>
      <c r="H61" s="55">
        <f>_xll.EQNXTDZ($A$1,$B61,H$5,$B$1)</f>
        <v>6.6870000000000003</v>
      </c>
      <c r="I61" s="55">
        <f>_xll.EQNXTDZ($A$1,$B61,I$5,$B$1)</f>
        <v>0</v>
      </c>
      <c r="J61" s="55">
        <f>_xll.EQNXTDZ($A$1,$B61,J$5,$B$1)</f>
        <v>0.48799999999999999</v>
      </c>
      <c r="K61" s="55">
        <f>_xll.EQNXTDZ($A$1,$B61,K$5,$B$1)</f>
        <v>0</v>
      </c>
      <c r="L61" s="55">
        <f>_xll.EQNXTDZ($A$1,$B61,L$5,$B$1)</f>
        <v>0.42499999999999999</v>
      </c>
      <c r="M61" s="55">
        <f>_xll.EQNXTDZ($A$1,$B61,M$5,$B$1)</f>
        <v>0</v>
      </c>
      <c r="N61" s="55">
        <f>_xll.EQNXTDZ($A$1,$B61,N$5,$B$1)</f>
        <v>0.4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232.08</v>
      </c>
      <c r="AS61" s="55">
        <f>_xll.EQNXTDZ($A$1,$B61,AS$5,$B$1)</f>
        <v>0</v>
      </c>
      <c r="AT61" s="55">
        <f>_xll.EQNXTDZ($A$1,$B61,AT$5,$B$1)</f>
        <v>383.22</v>
      </c>
      <c r="AU61" s="55">
        <f>_xll.EQNXTDZ($A$1,$B61,AU$5,$B$1)</f>
        <v>0</v>
      </c>
      <c r="AV61" s="55">
        <f>_xll.EQNXTDZ($A$1,$B61,AV$5,$B$1)</f>
        <v>279.08</v>
      </c>
      <c r="AW61" s="55">
        <f>_xll.EQNXTDZ($A$1,$B61,AW$5,$B$1)</f>
        <v>0</v>
      </c>
      <c r="AX61" s="55">
        <f>_xll.EQNXTDZ($A$1,$B61,AX$5,$B$1)</f>
        <v>23.64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8.3859999999999992</v>
      </c>
      <c r="E63" s="55">
        <f>_xll.EQNXTDZ($A$1,$B63,E$5,$B$1)</f>
        <v>0</v>
      </c>
      <c r="F63" s="55">
        <f>_xll.EQNXTDZ($A$1,$B63,F$5,$B$1)</f>
        <v>7.2430000000000003</v>
      </c>
      <c r="G63" s="55">
        <f>_xll.EQNXTDZ($A$1,$B63,G$5,$B$1)</f>
        <v>0</v>
      </c>
      <c r="H63" s="55">
        <f>_xll.EQNXTDZ($A$1,$B63,H$5,$B$1)</f>
        <v>6.6870000000000003</v>
      </c>
      <c r="I63" s="55">
        <f>_xll.EQNXTDZ($A$1,$B63,I$5,$B$1)</f>
        <v>0</v>
      </c>
      <c r="J63" s="55">
        <f>_xll.EQNXTDZ($A$1,$B63,J$5,$B$1)</f>
        <v>0.48799999999999999</v>
      </c>
      <c r="K63" s="55">
        <f>_xll.EQNXTDZ($A$1,$B63,K$5,$B$1)</f>
        <v>0</v>
      </c>
      <c r="L63" s="55">
        <f>_xll.EQNXTDZ($A$1,$B63,L$5,$B$1)</f>
        <v>0.42499999999999999</v>
      </c>
      <c r="M63" s="55">
        <f>_xll.EQNXTDZ($A$1,$B63,M$5,$B$1)</f>
        <v>0</v>
      </c>
      <c r="N63" s="55">
        <f>_xll.EQNXTDZ($A$1,$B63,N$5,$B$1)</f>
        <v>0.4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232.08</v>
      </c>
      <c r="AS63" s="55">
        <f>_xll.EQNXTDZ($A$1,$B63,AS$5,$B$1)</f>
        <v>0</v>
      </c>
      <c r="AT63" s="55">
        <f>_xll.EQNXTDZ($A$1,$B63,AT$5,$B$1)</f>
        <v>383.22</v>
      </c>
      <c r="AU63" s="55">
        <f>_xll.EQNXTDZ($A$1,$B63,AU$5,$B$1)</f>
        <v>0</v>
      </c>
      <c r="AV63" s="55">
        <f>_xll.EQNXTDZ($A$1,$B63,AV$5,$B$1)</f>
        <v>279.08</v>
      </c>
      <c r="AW63" s="55">
        <f>_xll.EQNXTDZ($A$1,$B63,AW$5,$B$1)</f>
        <v>0</v>
      </c>
      <c r="AX63" s="55">
        <f>_xll.EQNXTDZ($A$1,$B63,AX$5,$B$1)</f>
        <v>23.64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3.806</v>
      </c>
      <c r="S64" s="55">
        <f>_xll.EQNXTDZ($A$1,$B64,S$5,$B$1)</f>
        <v>0</v>
      </c>
      <c r="T64" s="55">
        <f>_xll.EQNXTDZ($A$1,$B64,T$5,$B$1)</f>
        <v>4.157</v>
      </c>
      <c r="U64" s="55">
        <f>_xll.EQNXTDZ($A$1,$B64,U$5,$B$1)</f>
        <v>0</v>
      </c>
      <c r="V64" s="55">
        <f>_xll.EQNXTDZ($A$1,$B64,V$5,$B$1)</f>
        <v>3.9550000000000001</v>
      </c>
      <c r="W64" s="55">
        <f>_xll.EQNXTDZ($A$1,$B64,W$5,$B$1)</f>
        <v>0</v>
      </c>
      <c r="X64" s="55">
        <f>_xll.EQNXTDZ($A$1,$B64,X$5,$B$1)</f>
        <v>4.1219999999999999</v>
      </c>
      <c r="Y64" s="55">
        <f>_xll.EQNXTDZ($A$1,$B64,Y$5,$B$1)</f>
        <v>0</v>
      </c>
      <c r="Z64" s="55">
        <f>_xll.EQNXTDZ($A$1,$B64,Z$5,$B$1)</f>
        <v>3.6</v>
      </c>
      <c r="AA64" s="55">
        <f>_xll.EQNXTDZ($A$1,$B64,AA$5,$B$1)</f>
        <v>0</v>
      </c>
      <c r="AB64" s="55">
        <f>_xll.EQNXTDZ($A$1,$B64,AB$5,$B$1)</f>
        <v>2.08</v>
      </c>
      <c r="AC64" s="55">
        <f>_xll.EQNXTDZ($A$1,$B64,AC$5,$B$1)</f>
        <v>0</v>
      </c>
      <c r="AD64" s="55">
        <f>_xll.EQNXTDZ($A$1,$B64,AD$5,$B$1)</f>
        <v>2.2029999999999998</v>
      </c>
      <c r="AE64" s="55">
        <f>_xll.EQNXTDZ($A$1,$B64,AE$5,$B$1)</f>
        <v>0</v>
      </c>
      <c r="AF64" s="55">
        <f>_xll.EQNXTDZ($A$1,$B64,AF$5,$B$1)</f>
        <v>4.6189999999999998</v>
      </c>
      <c r="AG64" s="55">
        <f>_xll.EQNXTDZ($A$1,$B64,AG$5,$B$1)</f>
        <v>0</v>
      </c>
      <c r="AH64" s="55">
        <f>_xll.EQNXTDZ($A$1,$B64,AH$5,$B$1)</f>
        <v>7.1970000000000001</v>
      </c>
      <c r="AI64" s="55">
        <f>_xll.EQNXTDZ($A$1,$B64,AI$5,$B$1)</f>
        <v>0</v>
      </c>
      <c r="AJ64" s="55">
        <f>_xll.EQNXTDZ($A$1,$B64,AJ$5,$B$1)</f>
        <v>12.234999999999999</v>
      </c>
      <c r="AK64" s="55">
        <f>_xll.EQNXTDZ($A$1,$B64,AK$5,$B$1)</f>
        <v>0</v>
      </c>
      <c r="AL64" s="55">
        <f>_xll.EQNXTDZ($A$1,$B64,AL$5,$B$1)</f>
        <v>10.073</v>
      </c>
      <c r="AM64" s="55">
        <f>_xll.EQNXTDZ($A$1,$B64,AM$5,$B$1)</f>
        <v>0</v>
      </c>
      <c r="AN64" s="55">
        <f>_xll.EQNXTDZ($A$1,$B64,AN$5,$B$1)</f>
        <v>26.856000000000002</v>
      </c>
      <c r="AO64" s="55">
        <f>_xll.EQNXTDZ($A$1,$B64,AO$5,$B$1)</f>
        <v>0</v>
      </c>
      <c r="AP64" s="55">
        <f>_xll.EQNXTDZ($A$1,$B64,AP$5,$B$1)</f>
        <v>23.78</v>
      </c>
      <c r="AQ64" s="55">
        <f>_xll.EQNXTDZ($A$1,$B64,AQ$5,$B$1)</f>
        <v>0</v>
      </c>
      <c r="AR64" s="55">
        <f>_xll.EQNXTDZ($A$1,$B64,AR$5,$B$1)</f>
        <v>19.59</v>
      </c>
      <c r="AS64" s="55">
        <f>_xll.EQNXTDZ($A$1,$B64,AS$5,$B$1)</f>
        <v>0</v>
      </c>
      <c r="AT64" s="55">
        <f>_xll.EQNXTDZ($A$1,$B64,AT$5,$B$1)</f>
        <v>17.82</v>
      </c>
      <c r="AU64" s="55">
        <f>_xll.EQNXTDZ($A$1,$B64,AU$5,$B$1)</f>
        <v>0</v>
      </c>
      <c r="AV64" s="55">
        <f>_xll.EQNXTDZ($A$1,$B64,AV$5,$B$1)</f>
        <v>15.49</v>
      </c>
      <c r="AW64" s="55">
        <f>_xll.EQNXTDZ($A$1,$B64,AW$5,$B$1)</f>
        <v>0</v>
      </c>
      <c r="AX64" s="55">
        <f>_xll.EQNXTDZ($A$1,$B64,AX$5,$B$1)</f>
        <v>11.34</v>
      </c>
      <c r="AY64" s="55">
        <f>_xll.EQNXTDZ($A$1,$B64,AY$5,$B$1)</f>
        <v>0</v>
      </c>
      <c r="AZ64" s="55">
        <f>_xll.EQNXTDZ($A$1,$B64,AZ$5,$B$1)</f>
        <v>9.15</v>
      </c>
      <c r="BA64" s="55">
        <f>_xll.EQNXTDZ($A$1,$B64,BA$5,$B$1)</f>
        <v>0</v>
      </c>
      <c r="BB64" s="55">
        <f>_xll.EQNXTDZ($A$1,$B64,BB$5,$B$1)</f>
        <v>8.26</v>
      </c>
      <c r="BC64" s="55">
        <f>_xll.EQNXTDZ($A$1,$B64,BC$5,$B$1)</f>
        <v>0</v>
      </c>
      <c r="BD64" s="55">
        <f>_xll.EQNXTDZ($A$1,$B64,BD$5,$B$1)</f>
        <v>23.22</v>
      </c>
      <c r="BE64" s="55">
        <f>_xll.EQNXTDZ($A$1,$B64,BE$5,$B$1)</f>
        <v>0</v>
      </c>
      <c r="BF64" s="55">
        <f>_xll.EQNXTDZ($A$1,$B64,BF$5,$B$1)</f>
        <v>4.7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9.3529999999999998</v>
      </c>
      <c r="E66" s="55">
        <f>_xll.EQNXTDZ($A$1,$B66,E$5,$B$1)</f>
        <v>0</v>
      </c>
      <c r="F66" s="55">
        <f>_xll.EQNXTDZ($A$1,$B66,F$5,$B$1)</f>
        <v>8.2279999999999998</v>
      </c>
      <c r="G66" s="55">
        <f>_xll.EQNXTDZ($A$1,$B66,G$5,$B$1)</f>
        <v>0</v>
      </c>
      <c r="H66" s="55">
        <f>_xll.EQNXTDZ($A$1,$B66,H$5,$B$1)</f>
        <v>8.859</v>
      </c>
      <c r="I66" s="55">
        <f>_xll.EQNXTDZ($A$1,$B66,I$5,$B$1)</f>
        <v>0</v>
      </c>
      <c r="J66" s="55">
        <f>_xll.EQNXTDZ($A$1,$B66,J$5,$B$1)</f>
        <v>12.186999999999999</v>
      </c>
      <c r="K66" s="55">
        <f>_xll.EQNXTDZ($A$1,$B66,K$5,$B$1)</f>
        <v>0</v>
      </c>
      <c r="L66" s="55">
        <f>_xll.EQNXTDZ($A$1,$B66,L$5,$B$1)</f>
        <v>13.587</v>
      </c>
      <c r="M66" s="55">
        <f>_xll.EQNXTDZ($A$1,$B66,M$5,$B$1)</f>
        <v>0</v>
      </c>
      <c r="N66" s="55">
        <f>_xll.EQNXTDZ($A$1,$B66,N$5,$B$1)</f>
        <v>12.026</v>
      </c>
      <c r="O66" s="55">
        <f>_xll.EQNXTDZ($A$1,$B66,O$5,$B$1)</f>
        <v>0</v>
      </c>
      <c r="P66" s="55">
        <f>_xll.EQNXTDZ($A$1,$B66,P$5,$B$1)</f>
        <v>13.416</v>
      </c>
      <c r="Q66" s="55">
        <f>_xll.EQNXTDZ($A$1,$B66,Q$5,$B$1)</f>
        <v>0</v>
      </c>
      <c r="R66" s="55">
        <f>_xll.EQNXTDZ($A$1,$B66,R$5,$B$1)</f>
        <v>10.433</v>
      </c>
      <c r="S66" s="55">
        <f>_xll.EQNXTDZ($A$1,$B66,S$5,$B$1)</f>
        <v>0</v>
      </c>
      <c r="T66" s="55">
        <f>_xll.EQNXTDZ($A$1,$B66,T$5,$B$1)</f>
        <v>11.372</v>
      </c>
      <c r="U66" s="55">
        <f>_xll.EQNXTDZ($A$1,$B66,U$5,$B$1)</f>
        <v>0</v>
      </c>
      <c r="V66" s="55">
        <f>_xll.EQNXTDZ($A$1,$B66,V$5,$B$1)</f>
        <v>12.561999999999999</v>
      </c>
      <c r="W66" s="55">
        <f>_xll.EQNXTDZ($A$1,$B66,W$5,$B$1)</f>
        <v>0</v>
      </c>
      <c r="X66" s="55">
        <f>_xll.EQNXTDZ($A$1,$B66,X$5,$B$1)</f>
        <v>9.0609999999999999</v>
      </c>
      <c r="Y66" s="55">
        <f>_xll.EQNXTDZ($A$1,$B66,Y$5,$B$1)</f>
        <v>0</v>
      </c>
      <c r="Z66" s="55">
        <f>_xll.EQNXTDZ($A$1,$B66,Z$5,$B$1)</f>
        <v>9.6739999999999995</v>
      </c>
      <c r="AA66" s="55">
        <f>_xll.EQNXTDZ($A$1,$B66,AA$5,$B$1)</f>
        <v>0</v>
      </c>
      <c r="AB66" s="55">
        <f>_xll.EQNXTDZ($A$1,$B66,AB$5,$B$1)</f>
        <v>11.454000000000001</v>
      </c>
      <c r="AC66" s="55">
        <f>_xll.EQNXTDZ($A$1,$B66,AC$5,$B$1)</f>
        <v>0</v>
      </c>
      <c r="AD66" s="55">
        <f>_xll.EQNXTDZ($A$1,$B66,AD$5,$B$1)</f>
        <v>5.7290000000000001</v>
      </c>
      <c r="AE66" s="55">
        <f>_xll.EQNXTDZ($A$1,$B66,AE$5,$B$1)</f>
        <v>0</v>
      </c>
      <c r="AF66" s="55">
        <f>_xll.EQNXTDZ($A$1,$B66,AF$5,$B$1)</f>
        <v>5.7350000000000003</v>
      </c>
      <c r="AG66" s="55">
        <f>_xll.EQNXTDZ($A$1,$B66,AG$5,$B$1)</f>
        <v>0</v>
      </c>
      <c r="AH66" s="55">
        <f>_xll.EQNXTDZ($A$1,$B66,AH$5,$B$1)</f>
        <v>7.3869999999999996</v>
      </c>
      <c r="AI66" s="55">
        <f>_xll.EQNXTDZ($A$1,$B66,AI$5,$B$1)</f>
        <v>0</v>
      </c>
      <c r="AJ66" s="55">
        <f>_xll.EQNXTDZ($A$1,$B66,AJ$5,$B$1)</f>
        <v>19.78</v>
      </c>
      <c r="AK66" s="55">
        <f>_xll.EQNXTDZ($A$1,$B66,AK$5,$B$1)</f>
        <v>0</v>
      </c>
      <c r="AL66" s="55">
        <f>_xll.EQNXTDZ($A$1,$B66,AL$5,$B$1)</f>
        <v>12.571</v>
      </c>
      <c r="AM66" s="55">
        <f>_xll.EQNXTDZ($A$1,$B66,AM$5,$B$1)</f>
        <v>0</v>
      </c>
      <c r="AN66" s="55">
        <f>_xll.EQNXTDZ($A$1,$B66,AN$5,$B$1)</f>
        <v>20.440000000000001</v>
      </c>
      <c r="AO66" s="55">
        <f>_xll.EQNXTDZ($A$1,$B66,AO$5,$B$1)</f>
        <v>0</v>
      </c>
      <c r="AP66" s="55">
        <f>_xll.EQNXTDZ($A$1,$B66,AP$5,$B$1)</f>
        <v>13.73</v>
      </c>
      <c r="AQ66" s="55">
        <f>_xll.EQNXTDZ($A$1,$B66,AQ$5,$B$1)</f>
        <v>0</v>
      </c>
      <c r="AR66" s="55">
        <f>_xll.EQNXTDZ($A$1,$B66,AR$5,$B$1)</f>
        <v>14.88</v>
      </c>
      <c r="AS66" s="55">
        <f>_xll.EQNXTDZ($A$1,$B66,AS$5,$B$1)</f>
        <v>0</v>
      </c>
      <c r="AT66" s="55">
        <f>_xll.EQNXTDZ($A$1,$B66,AT$5,$B$1)</f>
        <v>15.21</v>
      </c>
      <c r="AU66" s="55">
        <f>_xll.EQNXTDZ($A$1,$B66,AU$5,$B$1)</f>
        <v>0</v>
      </c>
      <c r="AV66" s="55">
        <f>_xll.EQNXTDZ($A$1,$B66,AV$5,$B$1)</f>
        <v>17.8</v>
      </c>
      <c r="AW66" s="55">
        <f>_xll.EQNXTDZ($A$1,$B66,AW$5,$B$1)</f>
        <v>0</v>
      </c>
      <c r="AX66" s="55">
        <f>_xll.EQNXTDZ($A$1,$B66,AX$5,$B$1)</f>
        <v>18.39</v>
      </c>
      <c r="AY66" s="55">
        <f>_xll.EQNXTDZ($A$1,$B66,AY$5,$B$1)</f>
        <v>0</v>
      </c>
      <c r="AZ66" s="55">
        <f>_xll.EQNXTDZ($A$1,$B66,AZ$5,$B$1)</f>
        <v>21.99</v>
      </c>
      <c r="BA66" s="55">
        <f>_xll.EQNXTDZ($A$1,$B66,BA$5,$B$1)</f>
        <v>0</v>
      </c>
      <c r="BB66" s="55">
        <f>_xll.EQNXTDZ($A$1,$B66,BB$5,$B$1)</f>
        <v>22.53</v>
      </c>
      <c r="BC66" s="55">
        <f>_xll.EQNXTDZ($A$1,$B66,BC$5,$B$1)</f>
        <v>0</v>
      </c>
      <c r="BD66" s="55">
        <f>_xll.EQNXTDZ($A$1,$B66,BD$5,$B$1)</f>
        <v>25.99</v>
      </c>
      <c r="BE66" s="55">
        <f>_xll.EQNXTDZ($A$1,$B66,BE$5,$B$1)</f>
        <v>0</v>
      </c>
      <c r="BF66" s="55">
        <f>_xll.EQNXTDZ($A$1,$B66,BF$5,$B$1)</f>
        <v>29.37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1014.854</v>
      </c>
      <c r="E67" s="55">
        <f>_xll.EQNXTDZ($A$1,$B67,E$5,$B$1)</f>
        <v>0</v>
      </c>
      <c r="F67" s="55">
        <f>_xll.EQNXTDZ($A$1,$B67,F$5,$B$1)</f>
        <v>1035.7429999999999</v>
      </c>
      <c r="G67" s="55">
        <f>_xll.EQNXTDZ($A$1,$B67,G$5,$B$1)</f>
        <v>0</v>
      </c>
      <c r="H67" s="55">
        <f>_xll.EQNXTDZ($A$1,$B67,H$5,$B$1)</f>
        <v>1077.9870000000001</v>
      </c>
      <c r="I67" s="55">
        <f>_xll.EQNXTDZ($A$1,$B67,I$5,$B$1)</f>
        <v>0</v>
      </c>
      <c r="J67" s="55">
        <f>_xll.EQNXTDZ($A$1,$B67,J$5,$B$1)</f>
        <v>1055.4870000000001</v>
      </c>
      <c r="K67" s="55">
        <f>_xll.EQNXTDZ($A$1,$B67,K$5,$B$1)</f>
        <v>0</v>
      </c>
      <c r="L67" s="55">
        <f>_xll.EQNXTDZ($A$1,$B67,L$5,$B$1)</f>
        <v>1122.3520000000001</v>
      </c>
      <c r="M67" s="55">
        <f>_xll.EQNXTDZ($A$1,$B67,M$5,$B$1)</f>
        <v>0</v>
      </c>
      <c r="N67" s="55">
        <f>_xll.EQNXTDZ($A$1,$B67,N$5,$B$1)</f>
        <v>1007.301</v>
      </c>
      <c r="O67" s="55">
        <f>_xll.EQNXTDZ($A$1,$B67,O$5,$B$1)</f>
        <v>0</v>
      </c>
      <c r="P67" s="55">
        <f>_xll.EQNXTDZ($A$1,$B67,P$5,$B$1)</f>
        <v>1113.088</v>
      </c>
      <c r="Q67" s="55">
        <f>_xll.EQNXTDZ($A$1,$B67,Q$5,$B$1)</f>
        <v>0</v>
      </c>
      <c r="R67" s="55">
        <f>_xll.EQNXTDZ($A$1,$B67,R$5,$B$1)</f>
        <v>1199.742</v>
      </c>
      <c r="S67" s="55">
        <f>_xll.EQNXTDZ($A$1,$B67,S$5,$B$1)</f>
        <v>0</v>
      </c>
      <c r="T67" s="55">
        <f>_xll.EQNXTDZ($A$1,$B67,T$5,$B$1)</f>
        <v>1323.886</v>
      </c>
      <c r="U67" s="55">
        <f>_xll.EQNXTDZ($A$1,$B67,U$5,$B$1)</f>
        <v>0</v>
      </c>
      <c r="V67" s="55">
        <f>_xll.EQNXTDZ($A$1,$B67,V$5,$B$1)</f>
        <v>1382.348</v>
      </c>
      <c r="W67" s="55">
        <f>_xll.EQNXTDZ($A$1,$B67,W$5,$B$1)</f>
        <v>0</v>
      </c>
      <c r="X67" s="55">
        <f>_xll.EQNXTDZ($A$1,$B67,X$5,$B$1)</f>
        <v>1412.271</v>
      </c>
      <c r="Y67" s="55">
        <f>_xll.EQNXTDZ($A$1,$B67,Y$5,$B$1)</f>
        <v>0</v>
      </c>
      <c r="Z67" s="55">
        <f>_xll.EQNXTDZ($A$1,$B67,Z$5,$B$1)</f>
        <v>1457.604</v>
      </c>
      <c r="AA67" s="55">
        <f>_xll.EQNXTDZ($A$1,$B67,AA$5,$B$1)</f>
        <v>0</v>
      </c>
      <c r="AB67" s="55">
        <f>_xll.EQNXTDZ($A$1,$B67,AB$5,$B$1)</f>
        <v>1539.047</v>
      </c>
      <c r="AC67" s="55">
        <f>_xll.EQNXTDZ($A$1,$B67,AC$5,$B$1)</f>
        <v>0</v>
      </c>
      <c r="AD67" s="55">
        <f>_xll.EQNXTDZ($A$1,$B67,AD$5,$B$1)</f>
        <v>1490.857</v>
      </c>
      <c r="AE67" s="55">
        <f>_xll.EQNXTDZ($A$1,$B67,AE$5,$B$1)</f>
        <v>0</v>
      </c>
      <c r="AF67" s="55">
        <f>_xll.EQNXTDZ($A$1,$B67,AF$5,$B$1)</f>
        <v>1596.9829999999999</v>
      </c>
      <c r="AG67" s="55">
        <f>_xll.EQNXTDZ($A$1,$B67,AG$5,$B$1)</f>
        <v>0</v>
      </c>
      <c r="AH67" s="55">
        <f>_xll.EQNXTDZ($A$1,$B67,AH$5,$B$1)</f>
        <v>1452.5740000000001</v>
      </c>
      <c r="AI67" s="55">
        <f>_xll.EQNXTDZ($A$1,$B67,AI$5,$B$1)</f>
        <v>0</v>
      </c>
      <c r="AJ67" s="55">
        <f>_xll.EQNXTDZ($A$1,$B67,AJ$5,$B$1)</f>
        <v>1660.8630000000001</v>
      </c>
      <c r="AK67" s="55">
        <f>_xll.EQNXTDZ($A$1,$B67,AK$5,$B$1)</f>
        <v>0</v>
      </c>
      <c r="AL67" s="55">
        <f>_xll.EQNXTDZ($A$1,$B67,AL$5,$B$1)</f>
        <v>1836.0730000000001</v>
      </c>
      <c r="AM67" s="55">
        <f>_xll.EQNXTDZ($A$1,$B67,AM$5,$B$1)</f>
        <v>0</v>
      </c>
      <c r="AN67" s="55">
        <f>_xll.EQNXTDZ($A$1,$B67,AN$5,$B$1)</f>
        <v>2030.7370000000001</v>
      </c>
      <c r="AO67" s="55">
        <f>_xll.EQNXTDZ($A$1,$B67,AO$5,$B$1)</f>
        <v>0</v>
      </c>
      <c r="AP67" s="55">
        <f>_xll.EQNXTDZ($A$1,$B67,AP$5,$B$1)</f>
        <v>2176.12</v>
      </c>
      <c r="AQ67" s="55">
        <f>_xll.EQNXTDZ($A$1,$B67,AQ$5,$B$1)</f>
        <v>0</v>
      </c>
      <c r="AR67" s="55">
        <f>_xll.EQNXTDZ($A$1,$B67,AR$5,$B$1)</f>
        <v>2581.86</v>
      </c>
      <c r="AS67" s="55">
        <f>_xll.EQNXTDZ($A$1,$B67,AS$5,$B$1)</f>
        <v>0</v>
      </c>
      <c r="AT67" s="55">
        <f>_xll.EQNXTDZ($A$1,$B67,AT$5,$B$1)</f>
        <v>2896.6</v>
      </c>
      <c r="AU67" s="55">
        <f>_xll.EQNXTDZ($A$1,$B67,AU$5,$B$1)</f>
        <v>0</v>
      </c>
      <c r="AV67" s="55">
        <f>_xll.EQNXTDZ($A$1,$B67,AV$5,$B$1)</f>
        <v>3029.08</v>
      </c>
      <c r="AW67" s="55">
        <f>_xll.EQNXTDZ($A$1,$B67,AW$5,$B$1)</f>
        <v>0</v>
      </c>
      <c r="AX67" s="55">
        <f>_xll.EQNXTDZ($A$1,$B67,AX$5,$B$1)</f>
        <v>2976.7</v>
      </c>
      <c r="AY67" s="55">
        <f>_xll.EQNXTDZ($A$1,$B67,AY$5,$B$1)</f>
        <v>0</v>
      </c>
      <c r="AZ67" s="55">
        <f>_xll.EQNXTDZ($A$1,$B67,AZ$5,$B$1)</f>
        <v>3243.37</v>
      </c>
      <c r="BA67" s="55">
        <f>_xll.EQNXTDZ($A$1,$B67,BA$5,$B$1)</f>
        <v>0</v>
      </c>
      <c r="BB67" s="55">
        <f>_xll.EQNXTDZ($A$1,$B67,BB$5,$B$1)</f>
        <v>3464.11</v>
      </c>
      <c r="BC67" s="55">
        <f>_xll.EQNXTDZ($A$1,$B67,BC$5,$B$1)</f>
        <v>0</v>
      </c>
      <c r="BD67" s="55">
        <f>_xll.EQNXTDZ($A$1,$B67,BD$5,$B$1)</f>
        <v>3854.95</v>
      </c>
      <c r="BE67" s="55">
        <f>_xll.EQNXTDZ($A$1,$B67,BE$5,$B$1)</f>
        <v>0</v>
      </c>
      <c r="BF67" s="55">
        <f>_xll.EQNXTDZ($A$1,$B67,BF$5,$B$1)</f>
        <v>4193.29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290.38099999999997</v>
      </c>
      <c r="E68" s="55">
        <f>_xll.EQNXTDZ($A$1,$B68,E$5,$B$1)</f>
        <v>0</v>
      </c>
      <c r="F68" s="55">
        <f>_xll.EQNXTDZ($A$1,$B68,F$5,$B$1)</f>
        <v>322.31299999999999</v>
      </c>
      <c r="G68" s="55">
        <f>_xll.EQNXTDZ($A$1,$B68,G$5,$B$1)</f>
        <v>0</v>
      </c>
      <c r="H68" s="55">
        <f>_xll.EQNXTDZ($A$1,$B68,H$5,$B$1)</f>
        <v>298.49400000000003</v>
      </c>
      <c r="I68" s="55">
        <f>_xll.EQNXTDZ($A$1,$B68,I$5,$B$1)</f>
        <v>0</v>
      </c>
      <c r="J68" s="55">
        <f>_xll.EQNXTDZ($A$1,$B68,J$5,$B$1)</f>
        <v>340.00599999999997</v>
      </c>
      <c r="K68" s="55">
        <f>_xll.EQNXTDZ($A$1,$B68,K$5,$B$1)</f>
        <v>0</v>
      </c>
      <c r="L68" s="55">
        <f>_xll.EQNXTDZ($A$1,$B68,L$5,$B$1)</f>
        <v>329.78399999999999</v>
      </c>
      <c r="M68" s="55">
        <f>_xll.EQNXTDZ($A$1,$B68,M$5,$B$1)</f>
        <v>0</v>
      </c>
      <c r="N68" s="55">
        <f>_xll.EQNXTDZ($A$1,$B68,N$5,$B$1)</f>
        <v>383.73399999999998</v>
      </c>
      <c r="O68" s="55">
        <f>_xll.EQNXTDZ($A$1,$B68,O$5,$B$1)</f>
        <v>0</v>
      </c>
      <c r="P68" s="55">
        <f>_xll.EQNXTDZ($A$1,$B68,P$5,$B$1)</f>
        <v>449.66199999999998</v>
      </c>
      <c r="Q68" s="55">
        <f>_xll.EQNXTDZ($A$1,$B68,Q$5,$B$1)</f>
        <v>0</v>
      </c>
      <c r="R68" s="55">
        <f>_xll.EQNXTDZ($A$1,$B68,R$5,$B$1)</f>
        <v>387.78500000000003</v>
      </c>
      <c r="S68" s="55">
        <f>_xll.EQNXTDZ($A$1,$B68,S$5,$B$1)</f>
        <v>0</v>
      </c>
      <c r="T68" s="55">
        <f>_xll.EQNXTDZ($A$1,$B68,T$5,$B$1)</f>
        <v>391.17399999999998</v>
      </c>
      <c r="U68" s="55">
        <f>_xll.EQNXTDZ($A$1,$B68,U$5,$B$1)</f>
        <v>0</v>
      </c>
      <c r="V68" s="55">
        <f>_xll.EQNXTDZ($A$1,$B68,V$5,$B$1)</f>
        <v>626.30399999999997</v>
      </c>
      <c r="W68" s="55">
        <f>_xll.EQNXTDZ($A$1,$B68,W$5,$B$1)</f>
        <v>0</v>
      </c>
      <c r="X68" s="55">
        <f>_xll.EQNXTDZ($A$1,$B68,X$5,$B$1)</f>
        <v>585.41099999999994</v>
      </c>
      <c r="Y68" s="55">
        <f>_xll.EQNXTDZ($A$1,$B68,Y$5,$B$1)</f>
        <v>0</v>
      </c>
      <c r="Z68" s="55">
        <f>_xll.EQNXTDZ($A$1,$B68,Z$5,$B$1)</f>
        <v>586.36300000000006</v>
      </c>
      <c r="AA68" s="55">
        <f>_xll.EQNXTDZ($A$1,$B68,AA$5,$B$1)</f>
        <v>0</v>
      </c>
      <c r="AB68" s="55">
        <f>_xll.EQNXTDZ($A$1,$B68,AB$5,$B$1)</f>
        <v>572.85199999999998</v>
      </c>
      <c r="AC68" s="55">
        <f>_xll.EQNXTDZ($A$1,$B68,AC$5,$B$1)</f>
        <v>0</v>
      </c>
      <c r="AD68" s="55">
        <f>_xll.EQNXTDZ($A$1,$B68,AD$5,$B$1)</f>
        <v>567.79499999999996</v>
      </c>
      <c r="AE68" s="55">
        <f>_xll.EQNXTDZ($A$1,$B68,AE$5,$B$1)</f>
        <v>0</v>
      </c>
      <c r="AF68" s="55">
        <f>_xll.EQNXTDZ($A$1,$B68,AF$5,$B$1)</f>
        <v>585.37699999999995</v>
      </c>
      <c r="AG68" s="55">
        <f>_xll.EQNXTDZ($A$1,$B68,AG$5,$B$1)</f>
        <v>0</v>
      </c>
      <c r="AH68" s="55">
        <f>_xll.EQNXTDZ($A$1,$B68,AH$5,$B$1)</f>
        <v>598.12199999999996</v>
      </c>
      <c r="AI68" s="55">
        <f>_xll.EQNXTDZ($A$1,$B68,AI$5,$B$1)</f>
        <v>0</v>
      </c>
      <c r="AJ68" s="55">
        <f>_xll.EQNXTDZ($A$1,$B68,AJ$5,$B$1)</f>
        <v>592.27700000000004</v>
      </c>
      <c r="AK68" s="55">
        <f>_xll.EQNXTDZ($A$1,$B68,AK$5,$B$1)</f>
        <v>0</v>
      </c>
      <c r="AL68" s="55">
        <f>_xll.EQNXTDZ($A$1,$B68,AL$5,$B$1)</f>
        <v>551.51599999999996</v>
      </c>
      <c r="AM68" s="55">
        <f>_xll.EQNXTDZ($A$1,$B68,AM$5,$B$1)</f>
        <v>0</v>
      </c>
      <c r="AN68" s="55">
        <f>_xll.EQNXTDZ($A$1,$B68,AN$5,$B$1)</f>
        <v>600.70399999999995</v>
      </c>
      <c r="AO68" s="55">
        <f>_xll.EQNXTDZ($A$1,$B68,AO$5,$B$1)</f>
        <v>0</v>
      </c>
      <c r="AP68" s="55">
        <f>_xll.EQNXTDZ($A$1,$B68,AP$5,$B$1)</f>
        <v>1190.8599999999999</v>
      </c>
      <c r="AQ68" s="55">
        <f>_xll.EQNXTDZ($A$1,$B68,AQ$5,$B$1)</f>
        <v>0</v>
      </c>
      <c r="AR68" s="55">
        <f>_xll.EQNXTDZ($A$1,$B68,AR$5,$B$1)</f>
        <v>1525.06</v>
      </c>
      <c r="AS68" s="55">
        <f>_xll.EQNXTDZ($A$1,$B68,AS$5,$B$1)</f>
        <v>0</v>
      </c>
      <c r="AT68" s="55">
        <f>_xll.EQNXTDZ($A$1,$B68,AT$5,$B$1)</f>
        <v>1825.67</v>
      </c>
      <c r="AU68" s="55">
        <f>_xll.EQNXTDZ($A$1,$B68,AU$5,$B$1)</f>
        <v>0</v>
      </c>
      <c r="AV68" s="55">
        <f>_xll.EQNXTDZ($A$1,$B68,AV$5,$B$1)</f>
        <v>1832.2</v>
      </c>
      <c r="AW68" s="55">
        <f>_xll.EQNXTDZ($A$1,$B68,AW$5,$B$1)</f>
        <v>0</v>
      </c>
      <c r="AX68" s="55">
        <f>_xll.EQNXTDZ($A$1,$B68,AX$5,$B$1)</f>
        <v>1935.29</v>
      </c>
      <c r="AY68" s="55">
        <f>_xll.EQNXTDZ($A$1,$B68,AY$5,$B$1)</f>
        <v>0</v>
      </c>
      <c r="AZ68" s="55">
        <f>_xll.EQNXTDZ($A$1,$B68,AZ$5,$B$1)</f>
        <v>1935.18</v>
      </c>
      <c r="BA68" s="55">
        <f>_xll.EQNXTDZ($A$1,$B68,BA$5,$B$1)</f>
        <v>0</v>
      </c>
      <c r="BB68" s="55">
        <f>_xll.EQNXTDZ($A$1,$B68,BB$5,$B$1)</f>
        <v>1908.47</v>
      </c>
      <c r="BC68" s="55">
        <f>_xll.EQNXTDZ($A$1,$B68,BC$5,$B$1)</f>
        <v>0</v>
      </c>
      <c r="BD68" s="55">
        <f>_xll.EQNXTDZ($A$1,$B68,BD$5,$B$1)</f>
        <v>1880.57</v>
      </c>
      <c r="BE68" s="55">
        <f>_xll.EQNXTDZ($A$1,$B68,BE$5,$B$1)</f>
        <v>0</v>
      </c>
      <c r="BF68" s="55">
        <f>_xll.EQNXTDZ($A$1,$B68,BF$5,$B$1)</f>
        <v>1821.97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290.38099999999997</v>
      </c>
      <c r="E71" s="55">
        <f>_xll.EQNXTDZ($A$1,$B71,E$5,$B$1)</f>
        <v>0</v>
      </c>
      <c r="F71" s="55">
        <f>_xll.EQNXTDZ($A$1,$B71,F$5,$B$1)</f>
        <v>322.31299999999999</v>
      </c>
      <c r="G71" s="55">
        <f>_xll.EQNXTDZ($A$1,$B71,G$5,$B$1)</f>
        <v>0</v>
      </c>
      <c r="H71" s="55">
        <f>_xll.EQNXTDZ($A$1,$B71,H$5,$B$1)</f>
        <v>298.49400000000003</v>
      </c>
      <c r="I71" s="55">
        <f>_xll.EQNXTDZ($A$1,$B71,I$5,$B$1)</f>
        <v>0</v>
      </c>
      <c r="J71" s="55">
        <f>_xll.EQNXTDZ($A$1,$B71,J$5,$B$1)</f>
        <v>340.00599999999997</v>
      </c>
      <c r="K71" s="55">
        <f>_xll.EQNXTDZ($A$1,$B71,K$5,$B$1)</f>
        <v>0</v>
      </c>
      <c r="L71" s="55">
        <f>_xll.EQNXTDZ($A$1,$B71,L$5,$B$1)</f>
        <v>329.78399999999999</v>
      </c>
      <c r="M71" s="55">
        <f>_xll.EQNXTDZ($A$1,$B71,M$5,$B$1)</f>
        <v>0</v>
      </c>
      <c r="N71" s="55">
        <f>_xll.EQNXTDZ($A$1,$B71,N$5,$B$1)</f>
        <v>383.73399999999998</v>
      </c>
      <c r="O71" s="55">
        <f>_xll.EQNXTDZ($A$1,$B71,O$5,$B$1)</f>
        <v>0</v>
      </c>
      <c r="P71" s="55">
        <f>_xll.EQNXTDZ($A$1,$B71,P$5,$B$1)</f>
        <v>449.66199999999998</v>
      </c>
      <c r="Q71" s="55">
        <f>_xll.EQNXTDZ($A$1,$B71,Q$5,$B$1)</f>
        <v>0</v>
      </c>
      <c r="R71" s="55">
        <f>_xll.EQNXTDZ($A$1,$B71,R$5,$B$1)</f>
        <v>387.78500000000003</v>
      </c>
      <c r="S71" s="55">
        <f>_xll.EQNXTDZ($A$1,$B71,S$5,$B$1)</f>
        <v>0</v>
      </c>
      <c r="T71" s="55">
        <f>_xll.EQNXTDZ($A$1,$B71,T$5,$B$1)</f>
        <v>391.17399999999998</v>
      </c>
      <c r="U71" s="55">
        <f>_xll.EQNXTDZ($A$1,$B71,U$5,$B$1)</f>
        <v>0</v>
      </c>
      <c r="V71" s="55">
        <f>_xll.EQNXTDZ($A$1,$B71,V$5,$B$1)</f>
        <v>626.30399999999997</v>
      </c>
      <c r="W71" s="55">
        <f>_xll.EQNXTDZ($A$1,$B71,W$5,$B$1)</f>
        <v>0</v>
      </c>
      <c r="X71" s="55">
        <f>_xll.EQNXTDZ($A$1,$B71,X$5,$B$1)</f>
        <v>585.41099999999994</v>
      </c>
      <c r="Y71" s="55">
        <f>_xll.EQNXTDZ($A$1,$B71,Y$5,$B$1)</f>
        <v>0</v>
      </c>
      <c r="Z71" s="55">
        <f>_xll.EQNXTDZ($A$1,$B71,Z$5,$B$1)</f>
        <v>586.36300000000006</v>
      </c>
      <c r="AA71" s="55">
        <f>_xll.EQNXTDZ($A$1,$B71,AA$5,$B$1)</f>
        <v>0</v>
      </c>
      <c r="AB71" s="55">
        <f>_xll.EQNXTDZ($A$1,$B71,AB$5,$B$1)</f>
        <v>572.85199999999998</v>
      </c>
      <c r="AC71" s="55">
        <f>_xll.EQNXTDZ($A$1,$B71,AC$5,$B$1)</f>
        <v>0</v>
      </c>
      <c r="AD71" s="55">
        <f>_xll.EQNXTDZ($A$1,$B71,AD$5,$B$1)</f>
        <v>567.79499999999996</v>
      </c>
      <c r="AE71" s="55">
        <f>_xll.EQNXTDZ($A$1,$B71,AE$5,$B$1)</f>
        <v>0</v>
      </c>
      <c r="AF71" s="55">
        <f>_xll.EQNXTDZ($A$1,$B71,AF$5,$B$1)</f>
        <v>585.37699999999995</v>
      </c>
      <c r="AG71" s="55">
        <f>_xll.EQNXTDZ($A$1,$B71,AG$5,$B$1)</f>
        <v>0</v>
      </c>
      <c r="AH71" s="55">
        <f>_xll.EQNXTDZ($A$1,$B71,AH$5,$B$1)</f>
        <v>598.12199999999996</v>
      </c>
      <c r="AI71" s="55">
        <f>_xll.EQNXTDZ($A$1,$B71,AI$5,$B$1)</f>
        <v>0</v>
      </c>
      <c r="AJ71" s="55">
        <f>_xll.EQNXTDZ($A$1,$B71,AJ$5,$B$1)</f>
        <v>592.27700000000004</v>
      </c>
      <c r="AK71" s="55">
        <f>_xll.EQNXTDZ($A$1,$B71,AK$5,$B$1)</f>
        <v>0</v>
      </c>
      <c r="AL71" s="55">
        <f>_xll.EQNXTDZ($A$1,$B71,AL$5,$B$1)</f>
        <v>551.51599999999996</v>
      </c>
      <c r="AM71" s="55">
        <f>_xll.EQNXTDZ($A$1,$B71,AM$5,$B$1)</f>
        <v>0</v>
      </c>
      <c r="AN71" s="55">
        <f>_xll.EQNXTDZ($A$1,$B71,AN$5,$B$1)</f>
        <v>600.70399999999995</v>
      </c>
      <c r="AO71" s="55">
        <f>_xll.EQNXTDZ($A$1,$B71,AO$5,$B$1)</f>
        <v>0</v>
      </c>
      <c r="AP71" s="55">
        <f>_xll.EQNXTDZ($A$1,$B71,AP$5,$B$1)</f>
        <v>1190.8599999999999</v>
      </c>
      <c r="AQ71" s="55">
        <f>_xll.EQNXTDZ($A$1,$B71,AQ$5,$B$1)</f>
        <v>0</v>
      </c>
      <c r="AR71" s="55">
        <f>_xll.EQNXTDZ($A$1,$B71,AR$5,$B$1)</f>
        <v>1525.06</v>
      </c>
      <c r="AS71" s="55">
        <f>_xll.EQNXTDZ($A$1,$B71,AS$5,$B$1)</f>
        <v>0</v>
      </c>
      <c r="AT71" s="55">
        <f>_xll.EQNXTDZ($A$1,$B71,AT$5,$B$1)</f>
        <v>1825.67</v>
      </c>
      <c r="AU71" s="55">
        <f>_xll.EQNXTDZ($A$1,$B71,AU$5,$B$1)</f>
        <v>0</v>
      </c>
      <c r="AV71" s="55">
        <f>_xll.EQNXTDZ($A$1,$B71,AV$5,$B$1)</f>
        <v>1832.2</v>
      </c>
      <c r="AW71" s="55">
        <f>_xll.EQNXTDZ($A$1,$B71,AW$5,$B$1)</f>
        <v>0</v>
      </c>
      <c r="AX71" s="55">
        <f>_xll.EQNXTDZ($A$1,$B71,AX$5,$B$1)</f>
        <v>1935.29</v>
      </c>
      <c r="AY71" s="55">
        <f>_xll.EQNXTDZ($A$1,$B71,AY$5,$B$1)</f>
        <v>0</v>
      </c>
      <c r="AZ71" s="55">
        <f>_xll.EQNXTDZ($A$1,$B71,AZ$5,$B$1)</f>
        <v>1935.18</v>
      </c>
      <c r="BA71" s="55">
        <f>_xll.EQNXTDZ($A$1,$B71,BA$5,$B$1)</f>
        <v>0</v>
      </c>
      <c r="BB71" s="55">
        <f>_xll.EQNXTDZ($A$1,$B71,BB$5,$B$1)</f>
        <v>1908.47</v>
      </c>
      <c r="BC71" s="55">
        <f>_xll.EQNXTDZ($A$1,$B71,BC$5,$B$1)</f>
        <v>0</v>
      </c>
      <c r="BD71" s="55">
        <f>_xll.EQNXTDZ($A$1,$B71,BD$5,$B$1)</f>
        <v>1880.57</v>
      </c>
      <c r="BE71" s="55">
        <f>_xll.EQNXTDZ($A$1,$B71,BE$5,$B$1)</f>
        <v>0</v>
      </c>
      <c r="BF71" s="55">
        <f>_xll.EQNXTDZ($A$1,$B71,BF$5,$B$1)</f>
        <v>1821.97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16.902000000000001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16.902000000000001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53.14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53.14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53.14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53.14</v>
      </c>
      <c r="AE72" s="55">
        <f>_xll.EQNXTDZ($A$1,$B72,AE$5,$B$1)</f>
        <v>0</v>
      </c>
      <c r="AF72" s="55">
        <f>_xll.EQNXTDZ($A$1,$B72,AF$5,$B$1)</f>
        <v>53.14</v>
      </c>
      <c r="AG72" s="55">
        <f>_xll.EQNXTDZ($A$1,$B72,AG$5,$B$1)</f>
        <v>0</v>
      </c>
      <c r="AH72" s="55">
        <f>_xll.EQNXTDZ($A$1,$B72,AH$5,$B$1)</f>
        <v>53.14</v>
      </c>
      <c r="AI72" s="55">
        <f>_xll.EQNXTDZ($A$1,$B72,AI$5,$B$1)</f>
        <v>0</v>
      </c>
      <c r="AJ72" s="55">
        <f>_xll.EQNXTDZ($A$1,$B72,AJ$5,$B$1)</f>
        <v>57.459000000000003</v>
      </c>
      <c r="AK72" s="55">
        <f>_xll.EQNXTDZ($A$1,$B72,AK$5,$B$1)</f>
        <v>0</v>
      </c>
      <c r="AL72" s="55">
        <f>_xll.EQNXTDZ($A$1,$B72,AL$5,$B$1)</f>
        <v>57.459000000000003</v>
      </c>
      <c r="AM72" s="55">
        <f>_xll.EQNXTDZ($A$1,$B72,AM$5,$B$1)</f>
        <v>0</v>
      </c>
      <c r="AN72" s="55">
        <f>_xll.EQNXTDZ($A$1,$B72,AN$5,$B$1)</f>
        <v>57.459000000000003</v>
      </c>
      <c r="AO72" s="55">
        <f>_xll.EQNXTDZ($A$1,$B72,AO$5,$B$1)</f>
        <v>0</v>
      </c>
      <c r="AP72" s="55">
        <f>_xll.EQNXTDZ($A$1,$B72,AP$5,$B$1)</f>
        <v>57.46</v>
      </c>
      <c r="AQ72" s="55">
        <f>_xll.EQNXTDZ($A$1,$B72,AQ$5,$B$1)</f>
        <v>0</v>
      </c>
      <c r="AR72" s="55">
        <f>_xll.EQNXTDZ($A$1,$B72,AR$5,$B$1)</f>
        <v>57.46</v>
      </c>
      <c r="AS72" s="55">
        <f>_xll.EQNXTDZ($A$1,$B72,AS$5,$B$1)</f>
        <v>0</v>
      </c>
      <c r="AT72" s="55">
        <f>_xll.EQNXTDZ($A$1,$B72,AT$5,$B$1)</f>
        <v>57.46</v>
      </c>
      <c r="AU72" s="55">
        <f>_xll.EQNXTDZ($A$1,$B72,AU$5,$B$1)</f>
        <v>0</v>
      </c>
      <c r="AV72" s="55">
        <f>_xll.EQNXTDZ($A$1,$B72,AV$5,$B$1)</f>
        <v>57.46</v>
      </c>
      <c r="AW72" s="55">
        <f>_xll.EQNXTDZ($A$1,$B72,AW$5,$B$1)</f>
        <v>0</v>
      </c>
      <c r="AX72" s="55">
        <f>_xll.EQNXTDZ($A$1,$B72,AX$5,$B$1)</f>
        <v>57.46</v>
      </c>
      <c r="AY72" s="55">
        <f>_xll.EQNXTDZ($A$1,$B72,AY$5,$B$1)</f>
        <v>0</v>
      </c>
      <c r="AZ72" s="55">
        <f>_xll.EQNXTDZ($A$1,$B72,AZ$5,$B$1)</f>
        <v>57.46</v>
      </c>
      <c r="BA72" s="55">
        <f>_xll.EQNXTDZ($A$1,$B72,BA$5,$B$1)</f>
        <v>0</v>
      </c>
      <c r="BB72" s="55">
        <f>_xll.EQNXTDZ($A$1,$B72,BB$5,$B$1)</f>
        <v>57.46</v>
      </c>
      <c r="BC72" s="55">
        <f>_xll.EQNXTDZ($A$1,$B72,BC$5,$B$1)</f>
        <v>0</v>
      </c>
      <c r="BD72" s="55">
        <f>_xll.EQNXTDZ($A$1,$B72,BD$5,$B$1)</f>
        <v>57.46</v>
      </c>
      <c r="BE72" s="55">
        <f>_xll.EQNXTDZ($A$1,$B72,BE$5,$B$1)</f>
        <v>0</v>
      </c>
      <c r="BF72" s="55">
        <f>_xll.EQNXTDZ($A$1,$B72,BF$5,$B$1)</f>
        <v>57.46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134.185</v>
      </c>
      <c r="S74" s="55">
        <f>_xll.EQNXTDZ($A$1,$B74,S$5,$B$1)</f>
        <v>0</v>
      </c>
      <c r="T74" s="55">
        <f>_xll.EQNXTDZ($A$1,$B74,T$5,$B$1)</f>
        <v>176.083</v>
      </c>
      <c r="U74" s="55">
        <f>_xll.EQNXTDZ($A$1,$B74,U$5,$B$1)</f>
        <v>0</v>
      </c>
      <c r="V74" s="55">
        <f>_xll.EQNXTDZ($A$1,$B74,V$5,$B$1)</f>
        <v>3.7629999999999999</v>
      </c>
      <c r="W74" s="55">
        <f>_xll.EQNXTDZ($A$1,$B74,W$5,$B$1)</f>
        <v>0</v>
      </c>
      <c r="X74" s="55">
        <f>_xll.EQNXTDZ($A$1,$B74,X$5,$B$1)</f>
        <v>17.163</v>
      </c>
      <c r="Y74" s="55">
        <f>_xll.EQNXTDZ($A$1,$B74,Y$5,$B$1)</f>
        <v>0</v>
      </c>
      <c r="Z74" s="55">
        <f>_xll.EQNXTDZ($A$1,$B74,Z$5,$B$1)</f>
        <v>17.402000000000001</v>
      </c>
      <c r="AA74" s="55">
        <f>_xll.EQNXTDZ($A$1,$B74,AA$5,$B$1)</f>
        <v>0</v>
      </c>
      <c r="AB74" s="55">
        <f>_xll.EQNXTDZ($A$1,$B74,AB$5,$B$1)</f>
        <v>6.6429999999999998</v>
      </c>
      <c r="AC74" s="55">
        <f>_xll.EQNXTDZ($A$1,$B74,AC$5,$B$1)</f>
        <v>0</v>
      </c>
      <c r="AD74" s="55">
        <f>_xll.EQNXTDZ($A$1,$B74,AD$5,$B$1)</f>
        <v>15.09</v>
      </c>
      <c r="AE74" s="55">
        <f>_xll.EQNXTDZ($A$1,$B74,AE$5,$B$1)</f>
        <v>0</v>
      </c>
      <c r="AF74" s="55">
        <f>_xll.EQNXTDZ($A$1,$B74,AF$5,$B$1)</f>
        <v>19.495000000000001</v>
      </c>
      <c r="AG74" s="55">
        <f>_xll.EQNXTDZ($A$1,$B74,AG$5,$B$1)</f>
        <v>0</v>
      </c>
      <c r="AH74" s="55">
        <f>_xll.EQNXTDZ($A$1,$B74,AH$5,$B$1)</f>
        <v>16.167000000000002</v>
      </c>
      <c r="AI74" s="55">
        <f>_xll.EQNXTDZ($A$1,$B74,AI$5,$B$1)</f>
        <v>0</v>
      </c>
      <c r="AJ74" s="55">
        <f>_xll.EQNXTDZ($A$1,$B74,AJ$5,$B$1)</f>
        <v>15.638</v>
      </c>
      <c r="AK74" s="55">
        <f>_xll.EQNXTDZ($A$1,$B74,AK$5,$B$1)</f>
        <v>0</v>
      </c>
      <c r="AL74" s="55">
        <f>_xll.EQNXTDZ($A$1,$B74,AL$5,$B$1)</f>
        <v>25.567</v>
      </c>
      <c r="AM74" s="55">
        <f>_xll.EQNXTDZ($A$1,$B74,AM$5,$B$1)</f>
        <v>0</v>
      </c>
      <c r="AN74" s="55">
        <f>_xll.EQNXTDZ($A$1,$B74,AN$5,$B$1)</f>
        <v>7.0670000000000002</v>
      </c>
      <c r="AO74" s="55">
        <f>_xll.EQNXTDZ($A$1,$B74,AO$5,$B$1)</f>
        <v>0</v>
      </c>
      <c r="AP74" s="55">
        <f>_xll.EQNXTDZ($A$1,$B74,AP$5,$B$1)</f>
        <v>13.91</v>
      </c>
      <c r="AQ74" s="55">
        <f>_xll.EQNXTDZ($A$1,$B74,AQ$5,$B$1)</f>
        <v>0</v>
      </c>
      <c r="AR74" s="55">
        <f>_xll.EQNXTDZ($A$1,$B74,AR$5,$B$1)</f>
        <v>16.420000000000002</v>
      </c>
      <c r="AS74" s="55">
        <f>_xll.EQNXTDZ($A$1,$B74,AS$5,$B$1)</f>
        <v>0</v>
      </c>
      <c r="AT74" s="55">
        <f>_xll.EQNXTDZ($A$1,$B74,AT$5,$B$1)</f>
        <v>44.41</v>
      </c>
      <c r="AU74" s="55">
        <f>_xll.EQNXTDZ($A$1,$B74,AU$5,$B$1)</f>
        <v>0</v>
      </c>
      <c r="AV74" s="55">
        <f>_xll.EQNXTDZ($A$1,$B74,AV$5,$B$1)</f>
        <v>72.44</v>
      </c>
      <c r="AW74" s="55">
        <f>_xll.EQNXTDZ($A$1,$B74,AW$5,$B$1)</f>
        <v>0</v>
      </c>
      <c r="AX74" s="55">
        <f>_xll.EQNXTDZ($A$1,$B74,AX$5,$B$1)</f>
        <v>63.32</v>
      </c>
      <c r="AY74" s="55">
        <f>_xll.EQNXTDZ($A$1,$B74,AY$5,$B$1)</f>
        <v>0</v>
      </c>
      <c r="AZ74" s="55">
        <f>_xll.EQNXTDZ($A$1,$B74,AZ$5,$B$1)</f>
        <v>41.96</v>
      </c>
      <c r="BA74" s="55">
        <f>_xll.EQNXTDZ($A$1,$B74,BA$5,$B$1)</f>
        <v>0</v>
      </c>
      <c r="BB74" s="55">
        <f>_xll.EQNXTDZ($A$1,$B74,BB$5,$B$1)</f>
        <v>46.7</v>
      </c>
      <c r="BC74" s="55">
        <f>_xll.EQNXTDZ($A$1,$B74,BC$5,$B$1)</f>
        <v>0</v>
      </c>
      <c r="BD74" s="55">
        <f>_xll.EQNXTDZ($A$1,$B74,BD$5,$B$1)</f>
        <v>32.15</v>
      </c>
      <c r="BE74" s="55">
        <f>_xll.EQNXTDZ($A$1,$B74,BE$5,$B$1)</f>
        <v>0</v>
      </c>
      <c r="BF74" s="55">
        <f>_xll.EQNXTDZ($A$1,$B74,BF$5,$B$1)</f>
        <v>61.16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46.854999999999997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38.844999999999999</v>
      </c>
      <c r="E77" s="55">
        <f>_xll.EQNXTDZ($A$1,$B77,E$5,$B$1)</f>
        <v>0</v>
      </c>
      <c r="F77" s="55">
        <f>_xll.EQNXTDZ($A$1,$B77,F$5,$B$1)</f>
        <v>2.9929999999999999</v>
      </c>
      <c r="G77" s="55">
        <f>_xll.EQNXTDZ($A$1,$B77,G$5,$B$1)</f>
        <v>0</v>
      </c>
      <c r="H77" s="55">
        <f>_xll.EQNXTDZ($A$1,$B77,H$5,$B$1)</f>
        <v>38.869</v>
      </c>
      <c r="I77" s="55">
        <f>_xll.EQNXTDZ($A$1,$B77,I$5,$B$1)</f>
        <v>0</v>
      </c>
      <c r="J77" s="55">
        <f>_xll.EQNXTDZ($A$1,$B77,J$5,$B$1)</f>
        <v>2.7530000000000001</v>
      </c>
      <c r="K77" s="55">
        <f>_xll.EQNXTDZ($A$1,$B77,K$5,$B$1)</f>
        <v>0</v>
      </c>
      <c r="L77" s="55">
        <f>_xll.EQNXTDZ($A$1,$B77,L$5,$B$1)</f>
        <v>39.517000000000003</v>
      </c>
      <c r="M77" s="55">
        <f>_xll.EQNXTDZ($A$1,$B77,M$5,$B$1)</f>
        <v>0</v>
      </c>
      <c r="N77" s="55">
        <f>_xll.EQNXTDZ($A$1,$B77,N$5,$B$1)</f>
        <v>184.83199999999999</v>
      </c>
      <c r="O77" s="55">
        <f>_xll.EQNXTDZ($A$1,$B77,O$5,$B$1)</f>
        <v>0</v>
      </c>
      <c r="P77" s="55">
        <f>_xll.EQNXTDZ($A$1,$B77,P$5,$B$1)</f>
        <v>230.71600000000001</v>
      </c>
      <c r="Q77" s="55">
        <f>_xll.EQNXTDZ($A$1,$B77,Q$5,$B$1)</f>
        <v>0</v>
      </c>
      <c r="R77" s="55">
        <f>_xll.EQNXTDZ($A$1,$B77,R$5,$B$1)</f>
        <v>231.416</v>
      </c>
      <c r="S77" s="55">
        <f>_xll.EQNXTDZ($A$1,$B77,S$5,$B$1)</f>
        <v>0</v>
      </c>
      <c r="T77" s="55">
        <f>_xll.EQNXTDZ($A$1,$B77,T$5,$B$1)</f>
        <v>335.065</v>
      </c>
      <c r="U77" s="55">
        <f>_xll.EQNXTDZ($A$1,$B77,U$5,$B$1)</f>
        <v>0</v>
      </c>
      <c r="V77" s="55">
        <f>_xll.EQNXTDZ($A$1,$B77,V$5,$B$1)</f>
        <v>185.84200000000001</v>
      </c>
      <c r="W77" s="55">
        <f>_xll.EQNXTDZ($A$1,$B77,W$5,$B$1)</f>
        <v>0</v>
      </c>
      <c r="X77" s="55">
        <f>_xll.EQNXTDZ($A$1,$B77,X$5,$B$1)</f>
        <v>171.054</v>
      </c>
      <c r="Y77" s="55">
        <f>_xll.EQNXTDZ($A$1,$B77,Y$5,$B$1)</f>
        <v>0</v>
      </c>
      <c r="Z77" s="55">
        <f>_xll.EQNXTDZ($A$1,$B77,Z$5,$B$1)</f>
        <v>49.957999999999998</v>
      </c>
      <c r="AA77" s="55">
        <f>_xll.EQNXTDZ($A$1,$B77,AA$5,$B$1)</f>
        <v>0</v>
      </c>
      <c r="AB77" s="55">
        <f>_xll.EQNXTDZ($A$1,$B77,AB$5,$B$1)</f>
        <v>223.44300000000001</v>
      </c>
      <c r="AC77" s="55">
        <f>_xll.EQNXTDZ($A$1,$B77,AC$5,$B$1)</f>
        <v>0</v>
      </c>
      <c r="AD77" s="55">
        <f>_xll.EQNXTDZ($A$1,$B77,AD$5,$B$1)</f>
        <v>95.876000000000005</v>
      </c>
      <c r="AE77" s="55">
        <f>_xll.EQNXTDZ($A$1,$B77,AE$5,$B$1)</f>
        <v>0</v>
      </c>
      <c r="AF77" s="55">
        <f>_xll.EQNXTDZ($A$1,$B77,AF$5,$B$1)</f>
        <v>67.344999999999999</v>
      </c>
      <c r="AG77" s="55">
        <f>_xll.EQNXTDZ($A$1,$B77,AG$5,$B$1)</f>
        <v>0</v>
      </c>
      <c r="AH77" s="55">
        <f>_xll.EQNXTDZ($A$1,$B77,AH$5,$B$1)</f>
        <v>69.454999999999998</v>
      </c>
      <c r="AI77" s="55">
        <f>_xll.EQNXTDZ($A$1,$B77,AI$5,$B$1)</f>
        <v>0</v>
      </c>
      <c r="AJ77" s="55">
        <f>_xll.EQNXTDZ($A$1,$B77,AJ$5,$B$1)</f>
        <v>12.965999999999999</v>
      </c>
      <c r="AK77" s="55">
        <f>_xll.EQNXTDZ($A$1,$B77,AK$5,$B$1)</f>
        <v>0</v>
      </c>
      <c r="AL77" s="55">
        <f>_xll.EQNXTDZ($A$1,$B77,AL$5,$B$1)</f>
        <v>12.909000000000001</v>
      </c>
      <c r="AM77" s="55">
        <f>_xll.EQNXTDZ($A$1,$B77,AM$5,$B$1)</f>
        <v>0</v>
      </c>
      <c r="AN77" s="55">
        <f>_xll.EQNXTDZ($A$1,$B77,AN$5,$B$1)</f>
        <v>13.1</v>
      </c>
      <c r="AO77" s="55">
        <f>_xll.EQNXTDZ($A$1,$B77,AO$5,$B$1)</f>
        <v>0</v>
      </c>
      <c r="AP77" s="55">
        <f>_xll.EQNXTDZ($A$1,$B77,AP$5,$B$1)</f>
        <v>12.72</v>
      </c>
      <c r="AQ77" s="55">
        <f>_xll.EQNXTDZ($A$1,$B77,AQ$5,$B$1)</f>
        <v>0</v>
      </c>
      <c r="AR77" s="55">
        <f>_xll.EQNXTDZ($A$1,$B77,AR$5,$B$1)</f>
        <v>12.72</v>
      </c>
      <c r="AS77" s="55">
        <f>_xll.EQNXTDZ($A$1,$B77,AS$5,$B$1)</f>
        <v>0</v>
      </c>
      <c r="AT77" s="55">
        <f>_xll.EQNXTDZ($A$1,$B77,AT$5,$B$1)</f>
        <v>13.78</v>
      </c>
      <c r="AU77" s="55">
        <f>_xll.EQNXTDZ($A$1,$B77,AU$5,$B$1)</f>
        <v>0</v>
      </c>
      <c r="AV77" s="55">
        <f>_xll.EQNXTDZ($A$1,$B77,AV$5,$B$1)</f>
        <v>14.77</v>
      </c>
      <c r="AW77" s="55">
        <f>_xll.EQNXTDZ($A$1,$B77,AW$5,$B$1)</f>
        <v>0</v>
      </c>
      <c r="AX77" s="55">
        <f>_xll.EQNXTDZ($A$1,$B77,AX$5,$B$1)</f>
        <v>23.71</v>
      </c>
      <c r="AY77" s="55">
        <f>_xll.EQNXTDZ($A$1,$B77,AY$5,$B$1)</f>
        <v>0</v>
      </c>
      <c r="AZ77" s="55">
        <f>_xll.EQNXTDZ($A$1,$B77,AZ$5,$B$1)</f>
        <v>25.98</v>
      </c>
      <c r="BA77" s="55">
        <f>_xll.EQNXTDZ($A$1,$B77,BA$5,$B$1)</f>
        <v>0</v>
      </c>
      <c r="BB77" s="55">
        <f>_xll.EQNXTDZ($A$1,$B77,BB$5,$B$1)</f>
        <v>27.98</v>
      </c>
      <c r="BC77" s="55">
        <f>_xll.EQNXTDZ($A$1,$B77,BC$5,$B$1)</f>
        <v>0</v>
      </c>
      <c r="BD77" s="55">
        <f>_xll.EQNXTDZ($A$1,$B77,BD$5,$B$1)</f>
        <v>29.56</v>
      </c>
      <c r="BE77" s="55">
        <f>_xll.EQNXTDZ($A$1,$B77,BE$5,$B$1)</f>
        <v>0</v>
      </c>
      <c r="BF77" s="55">
        <f>_xll.EQNXTDZ($A$1,$B77,BF$5,$B$1)</f>
        <v>26.03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15.166</v>
      </c>
      <c r="E78" s="55">
        <f>_xll.EQNXTDZ($A$1,$B78,E$5,$B$1)</f>
        <v>0</v>
      </c>
      <c r="F78" s="55">
        <f>_xll.EQNXTDZ($A$1,$B78,F$5,$B$1)</f>
        <v>14.285</v>
      </c>
      <c r="G78" s="55">
        <f>_xll.EQNXTDZ($A$1,$B78,G$5,$B$1)</f>
        <v>0</v>
      </c>
      <c r="H78" s="55">
        <f>_xll.EQNXTDZ($A$1,$B78,H$5,$B$1)</f>
        <v>21.596</v>
      </c>
      <c r="I78" s="55">
        <f>_xll.EQNXTDZ($A$1,$B78,I$5,$B$1)</f>
        <v>0</v>
      </c>
      <c r="J78" s="55">
        <f>_xll.EQNXTDZ($A$1,$B78,J$5,$B$1)</f>
        <v>10.707000000000001</v>
      </c>
      <c r="K78" s="55">
        <f>_xll.EQNXTDZ($A$1,$B78,K$5,$B$1)</f>
        <v>0</v>
      </c>
      <c r="L78" s="55">
        <f>_xll.EQNXTDZ($A$1,$B78,L$5,$B$1)</f>
        <v>20.225000000000001</v>
      </c>
      <c r="M78" s="55">
        <f>_xll.EQNXTDZ($A$1,$B78,M$5,$B$1)</f>
        <v>0</v>
      </c>
      <c r="N78" s="55">
        <f>_xll.EQNXTDZ($A$1,$B78,N$5,$B$1)</f>
        <v>17.744</v>
      </c>
      <c r="O78" s="55">
        <f>_xll.EQNXTDZ($A$1,$B78,O$5,$B$1)</f>
        <v>0</v>
      </c>
      <c r="P78" s="55">
        <f>_xll.EQNXTDZ($A$1,$B78,P$5,$B$1)</f>
        <v>16.37</v>
      </c>
      <c r="Q78" s="55">
        <f>_xll.EQNXTDZ($A$1,$B78,Q$5,$B$1)</f>
        <v>0</v>
      </c>
      <c r="R78" s="55">
        <f>_xll.EQNXTDZ($A$1,$B78,R$5,$B$1)</f>
        <v>0.153</v>
      </c>
      <c r="S78" s="55">
        <f>_xll.EQNXTDZ($A$1,$B78,S$5,$B$1)</f>
        <v>0</v>
      </c>
      <c r="T78" s="55">
        <f>_xll.EQNXTDZ($A$1,$B78,T$5,$B$1)</f>
        <v>7.9880000000000004</v>
      </c>
      <c r="U78" s="55">
        <f>_xll.EQNXTDZ($A$1,$B78,U$5,$B$1)</f>
        <v>0</v>
      </c>
      <c r="V78" s="55">
        <f>_xll.EQNXTDZ($A$1,$B78,V$5,$B$1)</f>
        <v>0.30399999999999999</v>
      </c>
      <c r="W78" s="55">
        <f>_xll.EQNXTDZ($A$1,$B78,W$5,$B$1)</f>
        <v>0</v>
      </c>
      <c r="X78" s="55">
        <f>_xll.EQNXTDZ($A$1,$B78,X$5,$B$1)</f>
        <v>0.215</v>
      </c>
      <c r="Y78" s="55">
        <f>_xll.EQNXTDZ($A$1,$B78,Y$5,$B$1)</f>
        <v>0</v>
      </c>
      <c r="Z78" s="55">
        <f>_xll.EQNXTDZ($A$1,$B78,Z$5,$B$1)</f>
        <v>3.327</v>
      </c>
      <c r="AA78" s="55">
        <f>_xll.EQNXTDZ($A$1,$B78,AA$5,$B$1)</f>
        <v>0</v>
      </c>
      <c r="AB78" s="55">
        <f>_xll.EQNXTDZ($A$1,$B78,AB$5,$B$1)</f>
        <v>3.6240000000000001</v>
      </c>
      <c r="AC78" s="55">
        <f>_xll.EQNXTDZ($A$1,$B78,AC$5,$B$1)</f>
        <v>0</v>
      </c>
      <c r="AD78" s="55">
        <f>_xll.EQNXTDZ($A$1,$B78,AD$5,$B$1)</f>
        <v>3.589</v>
      </c>
      <c r="AE78" s="55">
        <f>_xll.EQNXTDZ($A$1,$B78,AE$5,$B$1)</f>
        <v>0</v>
      </c>
      <c r="AF78" s="55">
        <f>_xll.EQNXTDZ($A$1,$B78,AF$5,$B$1)</f>
        <v>3.6850000000000001</v>
      </c>
      <c r="AG78" s="55">
        <f>_xll.EQNXTDZ($A$1,$B78,AG$5,$B$1)</f>
        <v>0</v>
      </c>
      <c r="AH78" s="55">
        <f>_xll.EQNXTDZ($A$1,$B78,AH$5,$B$1)</f>
        <v>2.5289999999999999</v>
      </c>
      <c r="AI78" s="55">
        <f>_xll.EQNXTDZ($A$1,$B78,AI$5,$B$1)</f>
        <v>0</v>
      </c>
      <c r="AJ78" s="55">
        <f>_xll.EQNXTDZ($A$1,$B78,AJ$5,$B$1)</f>
        <v>3.2749999999999999</v>
      </c>
      <c r="AK78" s="55">
        <f>_xll.EQNXTDZ($A$1,$B78,AK$5,$B$1)</f>
        <v>0</v>
      </c>
      <c r="AL78" s="55">
        <f>_xll.EQNXTDZ($A$1,$B78,AL$5,$B$1)</f>
        <v>0.54900000000000004</v>
      </c>
      <c r="AM78" s="55">
        <f>_xll.EQNXTDZ($A$1,$B78,AM$5,$B$1)</f>
        <v>0</v>
      </c>
      <c r="AN78" s="55">
        <f>_xll.EQNXTDZ($A$1,$B78,AN$5,$B$1)</f>
        <v>1.0249999999999999</v>
      </c>
      <c r="AO78" s="55">
        <f>_xll.EQNXTDZ($A$1,$B78,AO$5,$B$1)</f>
        <v>0</v>
      </c>
      <c r="AP78" s="55">
        <f>_xll.EQNXTDZ($A$1,$B78,AP$5,$B$1)</f>
        <v>0.74</v>
      </c>
      <c r="AQ78" s="55">
        <f>_xll.EQNXTDZ($A$1,$B78,AQ$5,$B$1)</f>
        <v>0</v>
      </c>
      <c r="AR78" s="55">
        <f>_xll.EQNXTDZ($A$1,$B78,AR$5,$B$1)</f>
        <v>0.78</v>
      </c>
      <c r="AS78" s="55">
        <f>_xll.EQNXTDZ($A$1,$B78,AS$5,$B$1)</f>
        <v>0</v>
      </c>
      <c r="AT78" s="55">
        <f>_xll.EQNXTDZ($A$1,$B78,AT$5,$B$1)</f>
        <v>0.68</v>
      </c>
      <c r="AU78" s="55">
        <f>_xll.EQNXTDZ($A$1,$B78,AU$5,$B$1)</f>
        <v>0</v>
      </c>
      <c r="AV78" s="55">
        <f>_xll.EQNXTDZ($A$1,$B78,AV$5,$B$1)</f>
        <v>0.65</v>
      </c>
      <c r="AW78" s="55">
        <f>_xll.EQNXTDZ($A$1,$B78,AW$5,$B$1)</f>
        <v>0</v>
      </c>
      <c r="AX78" s="55">
        <f>_xll.EQNXTDZ($A$1,$B78,AX$5,$B$1)</f>
        <v>0.57999999999999996</v>
      </c>
      <c r="AY78" s="55">
        <f>_xll.EQNXTDZ($A$1,$B78,AY$5,$B$1)</f>
        <v>0</v>
      </c>
      <c r="AZ78" s="55">
        <f>_xll.EQNXTDZ($A$1,$B78,AZ$5,$B$1)</f>
        <v>0.46</v>
      </c>
      <c r="BA78" s="55">
        <f>_xll.EQNXTDZ($A$1,$B78,BA$5,$B$1)</f>
        <v>0</v>
      </c>
      <c r="BB78" s="55">
        <f>_xll.EQNXTDZ($A$1,$B78,BB$5,$B$1)</f>
        <v>0.35</v>
      </c>
      <c r="BC78" s="55">
        <f>_xll.EQNXTDZ($A$1,$B78,BC$5,$B$1)</f>
        <v>0</v>
      </c>
      <c r="BD78" s="55">
        <f>_xll.EQNXTDZ($A$1,$B78,BD$5,$B$1)</f>
        <v>0.33</v>
      </c>
      <c r="BE78" s="55">
        <f>_xll.EQNXTDZ($A$1,$B78,BE$5,$B$1)</f>
        <v>0</v>
      </c>
      <c r="BF78" s="55">
        <f>_xll.EQNXTDZ($A$1,$B78,BF$5,$B$1)</f>
        <v>0.21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10.005000000000001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24.905000000000001</v>
      </c>
      <c r="S79" s="55">
        <f>_xll.EQNXTDZ($A$1,$B79,S$5,$B$1)</f>
        <v>0</v>
      </c>
      <c r="T79" s="55">
        <f>_xll.EQNXTDZ($A$1,$B79,T$5,$B$1)</f>
        <v>30.925000000000001</v>
      </c>
      <c r="U79" s="55">
        <f>_xll.EQNXTDZ($A$1,$B79,U$5,$B$1)</f>
        <v>0</v>
      </c>
      <c r="V79" s="55">
        <f>_xll.EQNXTDZ($A$1,$B79,V$5,$B$1)</f>
        <v>9.7959999999999994</v>
      </c>
      <c r="W79" s="55">
        <f>_xll.EQNXTDZ($A$1,$B79,W$5,$B$1)</f>
        <v>0</v>
      </c>
      <c r="X79" s="55">
        <f>_xll.EQNXTDZ($A$1,$B79,X$5,$B$1)</f>
        <v>14.948</v>
      </c>
      <c r="Y79" s="55">
        <f>_xll.EQNXTDZ($A$1,$B79,Y$5,$B$1)</f>
        <v>0</v>
      </c>
      <c r="Z79" s="55">
        <f>_xll.EQNXTDZ($A$1,$B79,Z$5,$B$1)</f>
        <v>7.702</v>
      </c>
      <c r="AA79" s="55">
        <f>_xll.EQNXTDZ($A$1,$B79,AA$5,$B$1)</f>
        <v>0</v>
      </c>
      <c r="AB79" s="55">
        <f>_xll.EQNXTDZ($A$1,$B79,AB$5,$B$1)</f>
        <v>7.4139999999999997</v>
      </c>
      <c r="AC79" s="55">
        <f>_xll.EQNXTDZ($A$1,$B79,AC$5,$B$1)</f>
        <v>0</v>
      </c>
      <c r="AD79" s="55">
        <f>_xll.EQNXTDZ($A$1,$B79,AD$5,$B$1)</f>
        <v>5.306</v>
      </c>
      <c r="AE79" s="55">
        <f>_xll.EQNXTDZ($A$1,$B79,AE$5,$B$1)</f>
        <v>0</v>
      </c>
      <c r="AF79" s="55">
        <f>_xll.EQNXTDZ($A$1,$B79,AF$5,$B$1)</f>
        <v>8.1129999999999995</v>
      </c>
      <c r="AG79" s="55">
        <f>_xll.EQNXTDZ($A$1,$B79,AG$5,$B$1)</f>
        <v>0</v>
      </c>
      <c r="AH79" s="55">
        <f>_xll.EQNXTDZ($A$1,$B79,AH$5,$B$1)</f>
        <v>1.42</v>
      </c>
      <c r="AI79" s="55">
        <f>_xll.EQNXTDZ($A$1,$B79,AI$5,$B$1)</f>
        <v>0</v>
      </c>
      <c r="AJ79" s="55">
        <f>_xll.EQNXTDZ($A$1,$B79,AJ$5,$B$1)</f>
        <v>6.2510000000000003</v>
      </c>
      <c r="AK79" s="55">
        <f>_xll.EQNXTDZ($A$1,$B79,AK$5,$B$1)</f>
        <v>0</v>
      </c>
      <c r="AL79" s="55">
        <f>_xll.EQNXTDZ($A$1,$B79,AL$5,$B$1)</f>
        <v>30.57</v>
      </c>
      <c r="AM79" s="55">
        <f>_xll.EQNXTDZ($A$1,$B79,AM$5,$B$1)</f>
        <v>0</v>
      </c>
      <c r="AN79" s="55">
        <f>_xll.EQNXTDZ($A$1,$B79,AN$5,$B$1)</f>
        <v>11.244999999999999</v>
      </c>
      <c r="AO79" s="55">
        <f>_xll.EQNXTDZ($A$1,$B79,AO$5,$B$1)</f>
        <v>0</v>
      </c>
      <c r="AP79" s="55">
        <f>_xll.EQNXTDZ($A$1,$B79,AP$5,$B$1)</f>
        <v>72.12</v>
      </c>
      <c r="AQ79" s="55">
        <f>_xll.EQNXTDZ($A$1,$B79,AQ$5,$B$1)</f>
        <v>0</v>
      </c>
      <c r="AR79" s="55">
        <f>_xll.EQNXTDZ($A$1,$B79,AR$5,$B$1)</f>
        <v>45.16</v>
      </c>
      <c r="AS79" s="55">
        <f>_xll.EQNXTDZ($A$1,$B79,AS$5,$B$1)</f>
        <v>0</v>
      </c>
      <c r="AT79" s="55">
        <f>_xll.EQNXTDZ($A$1,$B79,AT$5,$B$1)</f>
        <v>77.33</v>
      </c>
      <c r="AU79" s="55">
        <f>_xll.EQNXTDZ($A$1,$B79,AU$5,$B$1)</f>
        <v>0</v>
      </c>
      <c r="AV79" s="55">
        <f>_xll.EQNXTDZ($A$1,$B79,AV$5,$B$1)</f>
        <v>58.33</v>
      </c>
      <c r="AW79" s="55">
        <f>_xll.EQNXTDZ($A$1,$B79,AW$5,$B$1)</f>
        <v>0</v>
      </c>
      <c r="AX79" s="55">
        <f>_xll.EQNXTDZ($A$1,$B79,AX$5,$B$1)</f>
        <v>54.54</v>
      </c>
      <c r="AY79" s="55">
        <f>_xll.EQNXTDZ($A$1,$B79,AY$5,$B$1)</f>
        <v>0</v>
      </c>
      <c r="AZ79" s="55">
        <f>_xll.EQNXTDZ($A$1,$B79,AZ$5,$B$1)</f>
        <v>49.85</v>
      </c>
      <c r="BA79" s="55">
        <f>_xll.EQNXTDZ($A$1,$B79,BA$5,$B$1)</f>
        <v>0</v>
      </c>
      <c r="BB79" s="55">
        <f>_xll.EQNXTDZ($A$1,$B79,BB$5,$B$1)</f>
        <v>301.66000000000003</v>
      </c>
      <c r="BC79" s="55">
        <f>_xll.EQNXTDZ($A$1,$B79,BC$5,$B$1)</f>
        <v>0</v>
      </c>
      <c r="BD79" s="55">
        <f>_xll.EQNXTDZ($A$1,$B79,BD$5,$B$1)</f>
        <v>149.65</v>
      </c>
      <c r="BE79" s="55">
        <f>_xll.EQNXTDZ($A$1,$B79,BE$5,$B$1)</f>
        <v>0</v>
      </c>
      <c r="BF79" s="55">
        <f>_xll.EQNXTDZ($A$1,$B79,BF$5,$B$1)</f>
        <v>85.58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325.26600000000002</v>
      </c>
      <c r="E80" s="55">
        <f>_xll.EQNXTDZ($A$1,$B80,E$5,$B$1)</f>
        <v>0</v>
      </c>
      <c r="F80" s="55">
        <f>_xll.EQNXTDZ($A$1,$B80,F$5,$B$1)</f>
        <v>394.678</v>
      </c>
      <c r="G80" s="55">
        <f>_xll.EQNXTDZ($A$1,$B80,G$5,$B$1)</f>
        <v>0</v>
      </c>
      <c r="H80" s="55">
        <f>_xll.EQNXTDZ($A$1,$B80,H$5,$B$1)</f>
        <v>468.89400000000001</v>
      </c>
      <c r="I80" s="55">
        <f>_xll.EQNXTDZ($A$1,$B80,I$5,$B$1)</f>
        <v>0</v>
      </c>
      <c r="J80" s="55">
        <f>_xll.EQNXTDZ($A$1,$B80,J$5,$B$1)</f>
        <v>497.25700000000001</v>
      </c>
      <c r="K80" s="55">
        <f>_xll.EQNXTDZ($A$1,$B80,K$5,$B$1)</f>
        <v>0</v>
      </c>
      <c r="L80" s="55">
        <f>_xll.EQNXTDZ($A$1,$B80,L$5,$B$1)</f>
        <v>514.12800000000004</v>
      </c>
      <c r="M80" s="55">
        <f>_xll.EQNXTDZ($A$1,$B80,M$5,$B$1)</f>
        <v>0</v>
      </c>
      <c r="N80" s="55">
        <f>_xll.EQNXTDZ($A$1,$B80,N$5,$B$1)</f>
        <v>366.78199999999998</v>
      </c>
      <c r="O80" s="55">
        <f>_xll.EQNXTDZ($A$1,$B80,O$5,$B$1)</f>
        <v>0</v>
      </c>
      <c r="P80" s="55">
        <f>_xll.EQNXTDZ($A$1,$B80,P$5,$B$1)</f>
        <v>239.25200000000001</v>
      </c>
      <c r="Q80" s="55">
        <f>_xll.EQNXTDZ($A$1,$B80,Q$5,$B$1)</f>
        <v>0</v>
      </c>
      <c r="R80" s="55">
        <f>_xll.EQNXTDZ($A$1,$B80,R$5,$B$1)</f>
        <v>247.28299999999999</v>
      </c>
      <c r="S80" s="55">
        <f>_xll.EQNXTDZ($A$1,$B80,S$5,$B$1)</f>
        <v>0</v>
      </c>
      <c r="T80" s="55">
        <f>_xll.EQNXTDZ($A$1,$B80,T$5,$B$1)</f>
        <v>266.41500000000002</v>
      </c>
      <c r="U80" s="55">
        <f>_xll.EQNXTDZ($A$1,$B80,U$5,$B$1)</f>
        <v>0</v>
      </c>
      <c r="V80" s="55">
        <f>_xll.EQNXTDZ($A$1,$B80,V$5,$B$1)</f>
        <v>224.96199999999999</v>
      </c>
      <c r="W80" s="55">
        <f>_xll.EQNXTDZ($A$1,$B80,W$5,$B$1)</f>
        <v>0</v>
      </c>
      <c r="X80" s="55">
        <f>_xll.EQNXTDZ($A$1,$B80,X$5,$B$1)</f>
        <v>387.93200000000002</v>
      </c>
      <c r="Y80" s="55">
        <f>_xll.EQNXTDZ($A$1,$B80,Y$5,$B$1)</f>
        <v>0</v>
      </c>
      <c r="Z80" s="55">
        <f>_xll.EQNXTDZ($A$1,$B80,Z$5,$B$1)</f>
        <v>383.76600000000002</v>
      </c>
      <c r="AA80" s="55">
        <f>_xll.EQNXTDZ($A$1,$B80,AA$5,$B$1)</f>
        <v>0</v>
      </c>
      <c r="AB80" s="55">
        <f>_xll.EQNXTDZ($A$1,$B80,AB$5,$B$1)</f>
        <v>414.05399999999997</v>
      </c>
      <c r="AC80" s="55">
        <f>_xll.EQNXTDZ($A$1,$B80,AC$5,$B$1)</f>
        <v>0</v>
      </c>
      <c r="AD80" s="55">
        <f>_xll.EQNXTDZ($A$1,$B80,AD$5,$B$1)</f>
        <v>360.65</v>
      </c>
      <c r="AE80" s="55">
        <f>_xll.EQNXTDZ($A$1,$B80,AE$5,$B$1)</f>
        <v>0</v>
      </c>
      <c r="AF80" s="55">
        <f>_xll.EQNXTDZ($A$1,$B80,AF$5,$B$1)</f>
        <v>523.55600000000004</v>
      </c>
      <c r="AG80" s="55">
        <f>_xll.EQNXTDZ($A$1,$B80,AG$5,$B$1)</f>
        <v>0</v>
      </c>
      <c r="AH80" s="55">
        <f>_xll.EQNXTDZ($A$1,$B80,AH$5,$B$1)</f>
        <v>333.81299999999999</v>
      </c>
      <c r="AI80" s="55">
        <f>_xll.EQNXTDZ($A$1,$B80,AI$5,$B$1)</f>
        <v>0</v>
      </c>
      <c r="AJ80" s="55">
        <f>_xll.EQNXTDZ($A$1,$B80,AJ$5,$B$1)</f>
        <v>447.38499999999999</v>
      </c>
      <c r="AK80" s="55">
        <f>_xll.EQNXTDZ($A$1,$B80,AK$5,$B$1)</f>
        <v>0</v>
      </c>
      <c r="AL80" s="55">
        <f>_xll.EQNXTDZ($A$1,$B80,AL$5,$B$1)</f>
        <v>664.97500000000002</v>
      </c>
      <c r="AM80" s="55">
        <f>_xll.EQNXTDZ($A$1,$B80,AM$5,$B$1)</f>
        <v>0</v>
      </c>
      <c r="AN80" s="55">
        <f>_xll.EQNXTDZ($A$1,$B80,AN$5,$B$1)</f>
        <v>729.65300000000002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106.13</v>
      </c>
      <c r="AS80" s="55">
        <f>_xll.EQNXTDZ($A$1,$B80,AS$5,$B$1)</f>
        <v>0</v>
      </c>
      <c r="AT80" s="55">
        <f>_xll.EQNXTDZ($A$1,$B80,AT$5,$B$1)</f>
        <v>192.18</v>
      </c>
      <c r="AU80" s="55">
        <f>_xll.EQNXTDZ($A$1,$B80,AU$5,$B$1)</f>
        <v>0</v>
      </c>
      <c r="AV80" s="55">
        <f>_xll.EQNXTDZ($A$1,$B80,AV$5,$B$1)</f>
        <v>300.08999999999997</v>
      </c>
      <c r="AW80" s="55">
        <f>_xll.EQNXTDZ($A$1,$B80,AW$5,$B$1)</f>
        <v>0</v>
      </c>
      <c r="AX80" s="55">
        <f>_xll.EQNXTDZ($A$1,$B80,AX$5,$B$1)</f>
        <v>364.65</v>
      </c>
      <c r="AY80" s="55">
        <f>_xll.EQNXTDZ($A$1,$B80,AY$5,$B$1)</f>
        <v>0</v>
      </c>
      <c r="AZ80" s="55">
        <f>_xll.EQNXTDZ($A$1,$B80,AZ$5,$B$1)</f>
        <v>319.39999999999998</v>
      </c>
      <c r="BA80" s="55">
        <f>_xll.EQNXTDZ($A$1,$B80,BA$5,$B$1)</f>
        <v>0</v>
      </c>
      <c r="BB80" s="55">
        <f>_xll.EQNXTDZ($A$1,$B80,BB$5,$B$1)</f>
        <v>317.11</v>
      </c>
      <c r="BC80" s="55">
        <f>_xll.EQNXTDZ($A$1,$B80,BC$5,$B$1)</f>
        <v>0</v>
      </c>
      <c r="BD80" s="55">
        <f>_xll.EQNXTDZ($A$1,$B80,BD$5,$B$1)</f>
        <v>489.83</v>
      </c>
      <c r="BE80" s="55">
        <f>_xll.EQNXTDZ($A$1,$B80,BE$5,$B$1)</f>
        <v>0</v>
      </c>
      <c r="BF80" s="55">
        <f>_xll.EQNXTDZ($A$1,$B80,BF$5,$B$1)</f>
        <v>738.91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88.444999999999993</v>
      </c>
      <c r="E81" s="55">
        <f>_xll.EQNXTDZ($A$1,$B81,E$5,$B$1)</f>
        <v>0</v>
      </c>
      <c r="F81" s="55">
        <f>_xll.EQNXTDZ($A$1,$B81,F$5,$B$1)</f>
        <v>104.535</v>
      </c>
      <c r="G81" s="55">
        <f>_xll.EQNXTDZ($A$1,$B81,G$5,$B$1)</f>
        <v>0</v>
      </c>
      <c r="H81" s="55">
        <f>_xll.EQNXTDZ($A$1,$B81,H$5,$B$1)</f>
        <v>101.68300000000001</v>
      </c>
      <c r="I81" s="55">
        <f>_xll.EQNXTDZ($A$1,$B81,I$5,$B$1)</f>
        <v>0</v>
      </c>
      <c r="J81" s="55">
        <f>_xll.EQNXTDZ($A$1,$B81,J$5,$B$1)</f>
        <v>134.4</v>
      </c>
      <c r="K81" s="55">
        <f>_xll.EQNXTDZ($A$1,$B81,K$5,$B$1)</f>
        <v>0</v>
      </c>
      <c r="L81" s="55">
        <f>_xll.EQNXTDZ($A$1,$B81,L$5,$B$1)</f>
        <v>116.97199999999999</v>
      </c>
      <c r="M81" s="55">
        <f>_xll.EQNXTDZ($A$1,$B81,M$5,$B$1)</f>
        <v>0</v>
      </c>
      <c r="N81" s="55">
        <f>_xll.EQNXTDZ($A$1,$B81,N$5,$B$1)</f>
        <v>150.273</v>
      </c>
      <c r="O81" s="55">
        <f>_xll.EQNXTDZ($A$1,$B81,O$5,$B$1)</f>
        <v>0</v>
      </c>
      <c r="P81" s="55">
        <f>_xll.EQNXTDZ($A$1,$B81,P$5,$B$1)</f>
        <v>123.28400000000001</v>
      </c>
      <c r="Q81" s="55">
        <f>_xll.EQNXTDZ($A$1,$B81,Q$5,$B$1)</f>
        <v>0</v>
      </c>
      <c r="R81" s="55">
        <f>_xll.EQNXTDZ($A$1,$B81,R$5,$B$1)</f>
        <v>187.983</v>
      </c>
      <c r="S81" s="55">
        <f>_xll.EQNXTDZ($A$1,$B81,S$5,$B$1)</f>
        <v>0</v>
      </c>
      <c r="T81" s="55">
        <f>_xll.EQNXTDZ($A$1,$B81,T$5,$B$1)</f>
        <v>139.922</v>
      </c>
      <c r="U81" s="55">
        <f>_xll.EQNXTDZ($A$1,$B81,U$5,$B$1)</f>
        <v>0</v>
      </c>
      <c r="V81" s="55">
        <f>_xll.EQNXTDZ($A$1,$B81,V$5,$B$1)</f>
        <v>200.16900000000001</v>
      </c>
      <c r="W81" s="55">
        <f>_xll.EQNXTDZ($A$1,$B81,W$5,$B$1)</f>
        <v>0</v>
      </c>
      <c r="X81" s="55">
        <f>_xll.EQNXTDZ($A$1,$B81,X$5,$B$1)</f>
        <v>144.72499999999999</v>
      </c>
      <c r="Y81" s="55">
        <f>_xll.EQNXTDZ($A$1,$B81,Y$5,$B$1)</f>
        <v>0</v>
      </c>
      <c r="Z81" s="55">
        <f>_xll.EQNXTDZ($A$1,$B81,Z$5,$B$1)</f>
        <v>213.73099999999999</v>
      </c>
      <c r="AA81" s="55">
        <f>_xll.EQNXTDZ($A$1,$B81,AA$5,$B$1)</f>
        <v>0</v>
      </c>
      <c r="AB81" s="55">
        <f>_xll.EQNXTDZ($A$1,$B81,AB$5,$B$1)</f>
        <v>189.988</v>
      </c>
      <c r="AC81" s="55">
        <f>_xll.EQNXTDZ($A$1,$B81,AC$5,$B$1)</f>
        <v>0</v>
      </c>
      <c r="AD81" s="55">
        <f>_xll.EQNXTDZ($A$1,$B81,AD$5,$B$1)</f>
        <v>243.75800000000001</v>
      </c>
      <c r="AE81" s="55">
        <f>_xll.EQNXTDZ($A$1,$B81,AE$5,$B$1)</f>
        <v>0</v>
      </c>
      <c r="AF81" s="55">
        <f>_xll.EQNXTDZ($A$1,$B81,AF$5,$B$1)</f>
        <v>242.01599999999999</v>
      </c>
      <c r="AG81" s="55">
        <f>_xll.EQNXTDZ($A$1,$B81,AG$5,$B$1)</f>
        <v>0</v>
      </c>
      <c r="AH81" s="55">
        <f>_xll.EQNXTDZ($A$1,$B81,AH$5,$B$1)</f>
        <v>274.67</v>
      </c>
      <c r="AI81" s="55">
        <f>_xll.EQNXTDZ($A$1,$B81,AI$5,$B$1)</f>
        <v>0</v>
      </c>
      <c r="AJ81" s="55">
        <f>_xll.EQNXTDZ($A$1,$B81,AJ$5,$B$1)</f>
        <v>377.62200000000001</v>
      </c>
      <c r="AK81" s="55">
        <f>_xll.EQNXTDZ($A$1,$B81,AK$5,$B$1)</f>
        <v>0</v>
      </c>
      <c r="AL81" s="55">
        <f>_xll.EQNXTDZ($A$1,$B81,AL$5,$B$1)</f>
        <v>347.447</v>
      </c>
      <c r="AM81" s="55">
        <f>_xll.EQNXTDZ($A$1,$B81,AM$5,$B$1)</f>
        <v>0</v>
      </c>
      <c r="AN81" s="55">
        <f>_xll.EQNXTDZ($A$1,$B81,AN$5,$B$1)</f>
        <v>363.06099999999998</v>
      </c>
      <c r="AO81" s="55">
        <f>_xll.EQNXTDZ($A$1,$B81,AO$5,$B$1)</f>
        <v>0</v>
      </c>
      <c r="AP81" s="55">
        <f>_xll.EQNXTDZ($A$1,$B81,AP$5,$B$1)</f>
        <v>409.96</v>
      </c>
      <c r="AQ81" s="55">
        <f>_xll.EQNXTDZ($A$1,$B81,AQ$5,$B$1)</f>
        <v>0</v>
      </c>
      <c r="AR81" s="55">
        <f>_xll.EQNXTDZ($A$1,$B81,AR$5,$B$1)</f>
        <v>444.54</v>
      </c>
      <c r="AS81" s="55">
        <f>_xll.EQNXTDZ($A$1,$B81,AS$5,$B$1)</f>
        <v>0</v>
      </c>
      <c r="AT81" s="55">
        <f>_xll.EQNXTDZ($A$1,$B81,AT$5,$B$1)</f>
        <v>430.49</v>
      </c>
      <c r="AU81" s="55">
        <f>_xll.EQNXTDZ($A$1,$B81,AU$5,$B$1)</f>
        <v>0</v>
      </c>
      <c r="AV81" s="55">
        <f>_xll.EQNXTDZ($A$1,$B81,AV$5,$B$1)</f>
        <v>424.53</v>
      </c>
      <c r="AW81" s="55">
        <f>_xll.EQNXTDZ($A$1,$B81,AW$5,$B$1)</f>
        <v>0</v>
      </c>
      <c r="AX81" s="55">
        <f>_xll.EQNXTDZ($A$1,$B81,AX$5,$B$1)</f>
        <v>502.51</v>
      </c>
      <c r="AY81" s="55">
        <f>_xll.EQNXTDZ($A$1,$B81,AY$5,$B$1)</f>
        <v>0</v>
      </c>
      <c r="AZ81" s="55">
        <f>_xll.EQNXTDZ($A$1,$B81,AZ$5,$B$1)</f>
        <v>543.66999999999996</v>
      </c>
      <c r="BA81" s="55">
        <f>_xll.EQNXTDZ($A$1,$B81,BA$5,$B$1)</f>
        <v>0</v>
      </c>
      <c r="BB81" s="55">
        <f>_xll.EQNXTDZ($A$1,$B81,BB$5,$B$1)</f>
        <v>528.95000000000005</v>
      </c>
      <c r="BC81" s="55">
        <f>_xll.EQNXTDZ($A$1,$B81,BC$5,$B$1)</f>
        <v>0</v>
      </c>
      <c r="BD81" s="55">
        <f>_xll.EQNXTDZ($A$1,$B81,BD$5,$B$1)</f>
        <v>576.58000000000004</v>
      </c>
      <c r="BE81" s="55">
        <f>_xll.EQNXTDZ($A$1,$B81,BE$5,$B$1)</f>
        <v>0</v>
      </c>
      <c r="BF81" s="55">
        <f>_xll.EQNXTDZ($A$1,$B81,BF$5,$B$1)</f>
        <v>683.4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182.29900000000001</v>
      </c>
      <c r="E82" s="55">
        <f>_xll.EQNXTDZ($A$1,$B82,E$5,$B$1)</f>
        <v>0</v>
      </c>
      <c r="F82" s="55">
        <f>_xll.EQNXTDZ($A$1,$B82,F$5,$B$1)</f>
        <v>191.274</v>
      </c>
      <c r="G82" s="55">
        <f>_xll.EQNXTDZ($A$1,$B82,G$5,$B$1)</f>
        <v>0</v>
      </c>
      <c r="H82" s="55">
        <f>_xll.EQNXTDZ($A$1,$B82,H$5,$B$1)</f>
        <v>254.17400000000001</v>
      </c>
      <c r="I82" s="55">
        <f>_xll.EQNXTDZ($A$1,$B82,I$5,$B$1)</f>
        <v>0</v>
      </c>
      <c r="J82" s="55">
        <f>_xll.EQNXTDZ($A$1,$B82,J$5,$B$1)</f>
        <v>235.50800000000001</v>
      </c>
      <c r="K82" s="55">
        <f>_xll.EQNXTDZ($A$1,$B82,K$5,$B$1)</f>
        <v>0</v>
      </c>
      <c r="L82" s="55">
        <f>_xll.EQNXTDZ($A$1,$B82,L$5,$B$1)</f>
        <v>265.65499999999997</v>
      </c>
      <c r="M82" s="55">
        <f>_xll.EQNXTDZ($A$1,$B82,M$5,$B$1)</f>
        <v>0</v>
      </c>
      <c r="N82" s="55">
        <f>_xll.EQNXTDZ($A$1,$B82,N$5,$B$1)</f>
        <v>262.34800000000001</v>
      </c>
      <c r="O82" s="55">
        <f>_xll.EQNXTDZ($A$1,$B82,O$5,$B$1)</f>
        <v>0</v>
      </c>
      <c r="P82" s="55">
        <f>_xll.EQNXTDZ($A$1,$B82,P$5,$B$1)</f>
        <v>285.221</v>
      </c>
      <c r="Q82" s="55">
        <f>_xll.EQNXTDZ($A$1,$B82,Q$5,$B$1)</f>
        <v>0</v>
      </c>
      <c r="R82" s="55">
        <f>_xll.EQNXTDZ($A$1,$B82,R$5,$B$1)</f>
        <v>272.64100000000002</v>
      </c>
      <c r="S82" s="55">
        <f>_xll.EQNXTDZ($A$1,$B82,S$5,$B$1)</f>
        <v>0</v>
      </c>
      <c r="T82" s="55">
        <f>_xll.EQNXTDZ($A$1,$B82,T$5,$B$1)</f>
        <v>242.87100000000001</v>
      </c>
      <c r="U82" s="55">
        <f>_xll.EQNXTDZ($A$1,$B82,U$5,$B$1)</f>
        <v>0</v>
      </c>
      <c r="V82" s="55">
        <f>_xll.EQNXTDZ($A$1,$B82,V$5,$B$1)</f>
        <v>265.96600000000001</v>
      </c>
      <c r="W82" s="55">
        <f>_xll.EQNXTDZ($A$1,$B82,W$5,$B$1)</f>
        <v>0</v>
      </c>
      <c r="X82" s="55">
        <f>_xll.EQNXTDZ($A$1,$B82,X$5,$B$1)</f>
        <v>266.50200000000001</v>
      </c>
      <c r="Y82" s="55">
        <f>_xll.EQNXTDZ($A$1,$B82,Y$5,$B$1)</f>
        <v>0</v>
      </c>
      <c r="Z82" s="55">
        <f>_xll.EQNXTDZ($A$1,$B82,Z$5,$B$1)</f>
        <v>300.73</v>
      </c>
      <c r="AA82" s="55">
        <f>_xll.EQNXTDZ($A$1,$B82,AA$5,$B$1)</f>
        <v>0</v>
      </c>
      <c r="AB82" s="55">
        <f>_xll.EQNXTDZ($A$1,$B82,AB$5,$B$1)</f>
        <v>333.55500000000001</v>
      </c>
      <c r="AC82" s="55">
        <f>_xll.EQNXTDZ($A$1,$B82,AC$5,$B$1)</f>
        <v>0</v>
      </c>
      <c r="AD82" s="55">
        <f>_xll.EQNXTDZ($A$1,$B82,AD$5,$B$1)</f>
        <v>308.22399999999999</v>
      </c>
      <c r="AE82" s="55">
        <f>_xll.EQNXTDZ($A$1,$B82,AE$5,$B$1)</f>
        <v>0</v>
      </c>
      <c r="AF82" s="55">
        <f>_xll.EQNXTDZ($A$1,$B82,AF$5,$B$1)</f>
        <v>333.18099999999998</v>
      </c>
      <c r="AG82" s="55">
        <f>_xll.EQNXTDZ($A$1,$B82,AG$5,$B$1)</f>
        <v>0</v>
      </c>
      <c r="AH82" s="55">
        <f>_xll.EQNXTDZ($A$1,$B82,AH$5,$B$1)</f>
        <v>345.42599999999999</v>
      </c>
      <c r="AI82" s="55">
        <f>_xll.EQNXTDZ($A$1,$B82,AI$5,$B$1)</f>
        <v>0</v>
      </c>
      <c r="AJ82" s="55">
        <f>_xll.EQNXTDZ($A$1,$B82,AJ$5,$B$1)</f>
        <v>410.53800000000001</v>
      </c>
      <c r="AK82" s="55">
        <f>_xll.EQNXTDZ($A$1,$B82,AK$5,$B$1)</f>
        <v>0</v>
      </c>
      <c r="AL82" s="55">
        <f>_xll.EQNXTDZ($A$1,$B82,AL$5,$B$1)</f>
        <v>389.01900000000001</v>
      </c>
      <c r="AM82" s="55">
        <f>_xll.EQNXTDZ($A$1,$B82,AM$5,$B$1)</f>
        <v>0</v>
      </c>
      <c r="AN82" s="55">
        <f>_xll.EQNXTDZ($A$1,$B82,AN$5,$B$1)</f>
        <v>471.59300000000002</v>
      </c>
      <c r="AO82" s="55">
        <f>_xll.EQNXTDZ($A$1,$B82,AO$5,$B$1)</f>
        <v>0</v>
      </c>
      <c r="AP82" s="55">
        <f>_xll.EQNXTDZ($A$1,$B82,AP$5,$B$1)</f>
        <v>555.69000000000005</v>
      </c>
      <c r="AQ82" s="55">
        <f>_xll.EQNXTDZ($A$1,$B82,AQ$5,$B$1)</f>
        <v>0</v>
      </c>
      <c r="AR82" s="55">
        <f>_xll.EQNXTDZ($A$1,$B82,AR$5,$B$1)</f>
        <v>646.25</v>
      </c>
      <c r="AS82" s="55">
        <f>_xll.EQNXTDZ($A$1,$B82,AS$5,$B$1)</f>
        <v>0</v>
      </c>
      <c r="AT82" s="55">
        <f>_xll.EQNXTDZ($A$1,$B82,AT$5,$B$1)</f>
        <v>575.79999999999995</v>
      </c>
      <c r="AU82" s="55">
        <f>_xll.EQNXTDZ($A$1,$B82,AU$5,$B$1)</f>
        <v>0</v>
      </c>
      <c r="AV82" s="55">
        <f>_xll.EQNXTDZ($A$1,$B82,AV$5,$B$1)</f>
        <v>714.7</v>
      </c>
      <c r="AW82" s="55">
        <f>_xll.EQNXTDZ($A$1,$B82,AW$5,$B$1)</f>
        <v>0</v>
      </c>
      <c r="AX82" s="55">
        <f>_xll.EQNXTDZ($A$1,$B82,AX$5,$B$1)</f>
        <v>686.92</v>
      </c>
      <c r="AY82" s="55">
        <f>_xll.EQNXTDZ($A$1,$B82,AY$5,$B$1)</f>
        <v>0</v>
      </c>
      <c r="AZ82" s="55">
        <f>_xll.EQNXTDZ($A$1,$B82,AZ$5,$B$1)</f>
        <v>816.53</v>
      </c>
      <c r="BA82" s="55">
        <f>_xll.EQNXTDZ($A$1,$B82,BA$5,$B$1)</f>
        <v>0</v>
      </c>
      <c r="BB82" s="55">
        <f>_xll.EQNXTDZ($A$1,$B82,BB$5,$B$1)</f>
        <v>815.38</v>
      </c>
      <c r="BC82" s="55">
        <f>_xll.EQNXTDZ($A$1,$B82,BC$5,$B$1)</f>
        <v>0</v>
      </c>
      <c r="BD82" s="55">
        <f>_xll.EQNXTDZ($A$1,$B82,BD$5,$B$1)</f>
        <v>937.73</v>
      </c>
      <c r="BE82" s="55">
        <f>_xll.EQNXTDZ($A$1,$B82,BE$5,$B$1)</f>
        <v>0</v>
      </c>
      <c r="BF82" s="55">
        <f>_xll.EQNXTDZ($A$1,$B82,BF$5,$B$1)</f>
        <v>780.91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190.23099999999999</v>
      </c>
      <c r="E83" s="55">
        <f>_xll.EQNXTDZ($A$1,$B83,E$5,$B$1)</f>
        <v>0</v>
      </c>
      <c r="F83" s="55">
        <f>_xll.EQNXTDZ($A$1,$B83,F$5,$B$1)</f>
        <v>156.23500000000001</v>
      </c>
      <c r="G83" s="55">
        <f>_xll.EQNXTDZ($A$1,$B83,G$5,$B$1)</f>
        <v>0</v>
      </c>
      <c r="H83" s="55">
        <f>_xll.EQNXTDZ($A$1,$B83,H$5,$B$1)</f>
        <v>13.159000000000001</v>
      </c>
      <c r="I83" s="55">
        <f>_xll.EQNXTDZ($A$1,$B83,I$5,$B$1)</f>
        <v>0</v>
      </c>
      <c r="J83" s="55">
        <f>_xll.EQNXTDZ($A$1,$B83,J$5,$B$1)</f>
        <v>11.805999999999999</v>
      </c>
      <c r="K83" s="55">
        <f>_xll.EQNXTDZ($A$1,$B83,K$5,$B$1)</f>
        <v>0</v>
      </c>
      <c r="L83" s="55">
        <f>_xll.EQNXTDZ($A$1,$B83,L$5,$B$1)</f>
        <v>12.593</v>
      </c>
      <c r="M83" s="55">
        <f>_xll.EQNXTDZ($A$1,$B83,M$5,$B$1)</f>
        <v>0</v>
      </c>
      <c r="N83" s="55">
        <f>_xll.EQNXTDZ($A$1,$B83,N$5,$B$1)</f>
        <v>25.187999999999999</v>
      </c>
      <c r="O83" s="55">
        <f>_xll.EQNXTDZ($A$1,$B83,O$5,$B$1)</f>
        <v>0</v>
      </c>
      <c r="P83" s="55">
        <f>_xll.EQNXTDZ($A$1,$B83,P$5,$B$1)</f>
        <v>6.2960000000000003</v>
      </c>
      <c r="Q83" s="55">
        <f>_xll.EQNXTDZ($A$1,$B83,Q$5,$B$1)</f>
        <v>0</v>
      </c>
      <c r="R83" s="55">
        <f>_xll.EQNXTDZ($A$1,$B83,R$5,$B$1)</f>
        <v>12.901999999999999</v>
      </c>
      <c r="S83" s="55">
        <f>_xll.EQNXTDZ($A$1,$B83,S$5,$B$1)</f>
        <v>0</v>
      </c>
      <c r="T83" s="55">
        <f>_xll.EQNXTDZ($A$1,$B83,T$5,$B$1)</f>
        <v>8.0310000000000006</v>
      </c>
      <c r="U83" s="55">
        <f>_xll.EQNXTDZ($A$1,$B83,U$5,$B$1)</f>
        <v>0</v>
      </c>
      <c r="V83" s="55">
        <f>_xll.EQNXTDZ($A$1,$B83,V$5,$B$1)</f>
        <v>13.385999999999999</v>
      </c>
      <c r="W83" s="55">
        <f>_xll.EQNXTDZ($A$1,$B83,W$5,$B$1)</f>
        <v>0</v>
      </c>
      <c r="X83" s="55">
        <f>_xll.EQNXTDZ($A$1,$B83,X$5,$B$1)</f>
        <v>11.97</v>
      </c>
      <c r="Y83" s="55">
        <f>_xll.EQNXTDZ($A$1,$B83,Y$5,$B$1)</f>
        <v>0</v>
      </c>
      <c r="Z83" s="55">
        <f>_xll.EQNXTDZ($A$1,$B83,Z$5,$B$1)</f>
        <v>29.922999999999998</v>
      </c>
      <c r="AA83" s="55">
        <f>_xll.EQNXTDZ($A$1,$B83,AA$5,$B$1)</f>
        <v>0</v>
      </c>
      <c r="AB83" s="55">
        <f>_xll.EQNXTDZ($A$1,$B83,AB$5,$B$1)</f>
        <v>12.238</v>
      </c>
      <c r="AC83" s="55">
        <f>_xll.EQNXTDZ($A$1,$B83,AC$5,$B$1)</f>
        <v>0</v>
      </c>
      <c r="AD83" s="55">
        <f>_xll.EQNXTDZ($A$1,$B83,AD$5,$B$1)</f>
        <v>36.796999999999997</v>
      </c>
      <c r="AE83" s="55">
        <f>_xll.EQNXTDZ($A$1,$B83,AE$5,$B$1)</f>
        <v>0</v>
      </c>
      <c r="AF83" s="55">
        <f>_xll.EQNXTDZ($A$1,$B83,AF$5,$B$1)</f>
        <v>35.398000000000003</v>
      </c>
      <c r="AG83" s="55">
        <f>_xll.EQNXTDZ($A$1,$B83,AG$5,$B$1)</f>
        <v>0</v>
      </c>
      <c r="AH83" s="55">
        <f>_xll.EQNXTDZ($A$1,$B83,AH$5,$B$1)</f>
        <v>30.948</v>
      </c>
      <c r="AI83" s="55">
        <f>_xll.EQNXTDZ($A$1,$B83,AI$5,$B$1)</f>
        <v>0</v>
      </c>
      <c r="AJ83" s="55">
        <f>_xll.EQNXTDZ($A$1,$B83,AJ$5,$B$1)</f>
        <v>36.353999999999999</v>
      </c>
      <c r="AK83" s="55">
        <f>_xll.EQNXTDZ($A$1,$B83,AK$5,$B$1)</f>
        <v>0</v>
      </c>
      <c r="AL83" s="55">
        <f>_xll.EQNXTDZ($A$1,$B83,AL$5,$B$1)</f>
        <v>30.850999999999999</v>
      </c>
      <c r="AM83" s="55">
        <f>_xll.EQNXTDZ($A$1,$B83,AM$5,$B$1)</f>
        <v>0</v>
      </c>
      <c r="AN83" s="55">
        <f>_xll.EQNXTDZ($A$1,$B83,AN$5,$B$1)</f>
        <v>37.654000000000003</v>
      </c>
      <c r="AO83" s="55">
        <f>_xll.EQNXTDZ($A$1,$B83,AO$5,$B$1)</f>
        <v>0</v>
      </c>
      <c r="AP83" s="55">
        <f>_xll.EQNXTDZ($A$1,$B83,AP$5,$B$1)</f>
        <v>58.52</v>
      </c>
      <c r="AQ83" s="55">
        <f>_xll.EQNXTDZ($A$1,$B83,AQ$5,$B$1)</f>
        <v>0</v>
      </c>
      <c r="AR83" s="55">
        <f>_xll.EQNXTDZ($A$1,$B83,AR$5,$B$1)</f>
        <v>90.69</v>
      </c>
      <c r="AS83" s="55">
        <f>_xll.EQNXTDZ($A$1,$B83,AS$5,$B$1)</f>
        <v>0</v>
      </c>
      <c r="AT83" s="55">
        <f>_xll.EQNXTDZ($A$1,$B83,AT$5,$B$1)</f>
        <v>78.81</v>
      </c>
      <c r="AU83" s="55">
        <f>_xll.EQNXTDZ($A$1,$B83,AU$5,$B$1)</f>
        <v>0</v>
      </c>
      <c r="AV83" s="55">
        <f>_xll.EQNXTDZ($A$1,$B83,AV$5,$B$1)</f>
        <v>93.2</v>
      </c>
      <c r="AW83" s="55">
        <f>_xll.EQNXTDZ($A$1,$B83,AW$5,$B$1)</f>
        <v>0</v>
      </c>
      <c r="AX83" s="55">
        <f>_xll.EQNXTDZ($A$1,$B83,AX$5,$B$1)</f>
        <v>95.54</v>
      </c>
      <c r="AY83" s="55">
        <f>_xll.EQNXTDZ($A$1,$B83,AY$5,$B$1)</f>
        <v>0</v>
      </c>
      <c r="AZ83" s="55">
        <f>_xll.EQNXTDZ($A$1,$B83,AZ$5,$B$1)</f>
        <v>97.46</v>
      </c>
      <c r="BA83" s="55">
        <f>_xll.EQNXTDZ($A$1,$B83,BA$5,$B$1)</f>
        <v>0</v>
      </c>
      <c r="BB83" s="55">
        <f>_xll.EQNXTDZ($A$1,$B83,BB$5,$B$1)</f>
        <v>129.44999999999999</v>
      </c>
      <c r="BC83" s="55">
        <f>_xll.EQNXTDZ($A$1,$B83,BC$5,$B$1)</f>
        <v>0</v>
      </c>
      <c r="BD83" s="55">
        <f>_xll.EQNXTDZ($A$1,$B83,BD$5,$B$1)</f>
        <v>104.32</v>
      </c>
      <c r="BE83" s="55">
        <f>_xll.EQNXTDZ($A$1,$B83,BE$5,$B$1)</f>
        <v>0</v>
      </c>
      <c r="BF83" s="55">
        <f>_xll.EQNXTDZ($A$1,$B83,BF$5,$B$1)</f>
        <v>145.87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94.521000000000001</v>
      </c>
      <c r="S84" s="55">
        <f>_xll.EQNXTDZ($A$1,$B84,S$5,$B$1)</f>
        <v>0</v>
      </c>
      <c r="T84" s="55">
        <f>_xll.EQNXTDZ($A$1,$B84,T$5,$B$1)</f>
        <v>14.368</v>
      </c>
      <c r="U84" s="55">
        <f>_xll.EQNXTDZ($A$1,$B84,U$5,$B$1)</f>
        <v>0</v>
      </c>
      <c r="V84" s="55">
        <f>_xll.EQNXTDZ($A$1,$B84,V$5,$B$1)</f>
        <v>89.462999999999994</v>
      </c>
      <c r="W84" s="55">
        <f>_xll.EQNXTDZ($A$1,$B84,W$5,$B$1)</f>
        <v>0</v>
      </c>
      <c r="X84" s="55">
        <f>_xll.EQNXTDZ($A$1,$B84,X$5,$B$1)</f>
        <v>99.486000000000004</v>
      </c>
      <c r="Y84" s="55">
        <f>_xll.EQNXTDZ($A$1,$B84,Y$5,$B$1)</f>
        <v>0</v>
      </c>
      <c r="Z84" s="55">
        <f>_xll.EQNXTDZ($A$1,$B84,Z$5,$B$1)</f>
        <v>117.286</v>
      </c>
      <c r="AA84" s="55">
        <f>_xll.EQNXTDZ($A$1,$B84,AA$5,$B$1)</f>
        <v>0</v>
      </c>
      <c r="AB84" s="55">
        <f>_xll.EQNXTDZ($A$1,$B84,AB$5,$B$1)</f>
        <v>96.256</v>
      </c>
      <c r="AC84" s="55">
        <f>_xll.EQNXTDZ($A$1,$B84,AC$5,$B$1)</f>
        <v>0</v>
      </c>
      <c r="AD84" s="55">
        <f>_xll.EQNXTDZ($A$1,$B84,AD$5,$B$1)</f>
        <v>100.322</v>
      </c>
      <c r="AE84" s="55">
        <f>_xll.EQNXTDZ($A$1,$B84,AE$5,$B$1)</f>
        <v>0</v>
      </c>
      <c r="AF84" s="55">
        <f>_xll.EQNXTDZ($A$1,$B84,AF$5,$B$1)</f>
        <v>83.799000000000007</v>
      </c>
      <c r="AG84" s="55">
        <f>_xll.EQNXTDZ($A$1,$B84,AG$5,$B$1)</f>
        <v>0</v>
      </c>
      <c r="AH84" s="55">
        <f>_xll.EQNXTDZ($A$1,$B84,AH$5,$B$1)</f>
        <v>83.275999999999996</v>
      </c>
      <c r="AI84" s="55">
        <f>_xll.EQNXTDZ($A$1,$B84,AI$5,$B$1)</f>
        <v>0</v>
      </c>
      <c r="AJ84" s="55">
        <f>_xll.EQNXTDZ($A$1,$B84,AJ$5,$B$1)</f>
        <v>93.004000000000005</v>
      </c>
      <c r="AK84" s="55">
        <f>_xll.EQNXTDZ($A$1,$B84,AK$5,$B$1)</f>
        <v>0</v>
      </c>
      <c r="AL84" s="55">
        <f>_xll.EQNXTDZ($A$1,$B84,AL$5,$B$1)</f>
        <v>119.828</v>
      </c>
      <c r="AM84" s="55">
        <f>_xll.EQNXTDZ($A$1,$B84,AM$5,$B$1)</f>
        <v>0</v>
      </c>
      <c r="AN84" s="55">
        <f>_xll.EQNXTDZ($A$1,$B84,AN$5,$B$1)</f>
        <v>116.79600000000001</v>
      </c>
      <c r="AO84" s="55">
        <f>_xll.EQNXTDZ($A$1,$B84,AO$5,$B$1)</f>
        <v>0</v>
      </c>
      <c r="AP84" s="55">
        <f>_xll.EQNXTDZ($A$1,$B84,AP$5,$B$1)</f>
        <v>227.68</v>
      </c>
      <c r="AQ84" s="55">
        <f>_xll.EQNXTDZ($A$1,$B84,AQ$5,$B$1)</f>
        <v>0</v>
      </c>
      <c r="AR84" s="55">
        <f>_xll.EQNXTDZ($A$1,$B84,AR$5,$B$1)</f>
        <v>251.79</v>
      </c>
      <c r="AS84" s="55">
        <f>_xll.EQNXTDZ($A$1,$B84,AS$5,$B$1)</f>
        <v>0</v>
      </c>
      <c r="AT84" s="55">
        <f>_xll.EQNXTDZ($A$1,$B84,AT$5,$B$1)</f>
        <v>249.38</v>
      </c>
      <c r="AU84" s="55">
        <f>_xll.EQNXTDZ($A$1,$B84,AU$5,$B$1)</f>
        <v>0</v>
      </c>
      <c r="AV84" s="55">
        <f>_xll.EQNXTDZ($A$1,$B84,AV$5,$B$1)</f>
        <v>224.17</v>
      </c>
      <c r="AW84" s="55">
        <f>_xll.EQNXTDZ($A$1,$B84,AW$5,$B$1)</f>
        <v>0</v>
      </c>
      <c r="AX84" s="55">
        <f>_xll.EQNXTDZ($A$1,$B84,AX$5,$B$1)</f>
        <v>203.03</v>
      </c>
      <c r="AY84" s="55">
        <f>_xll.EQNXTDZ($A$1,$B84,AY$5,$B$1)</f>
        <v>0</v>
      </c>
      <c r="AZ84" s="55">
        <f>_xll.EQNXTDZ($A$1,$B84,AZ$5,$B$1)</f>
        <v>135.63</v>
      </c>
      <c r="BA84" s="55">
        <f>_xll.EQNXTDZ($A$1,$B84,BA$5,$B$1)</f>
        <v>0</v>
      </c>
      <c r="BB84" s="55">
        <f>_xll.EQNXTDZ($A$1,$B84,BB$5,$B$1)</f>
        <v>131.30000000000001</v>
      </c>
      <c r="BC84" s="55">
        <f>_xll.EQNXTDZ($A$1,$B84,BC$5,$B$1)</f>
        <v>0</v>
      </c>
      <c r="BD84" s="55">
        <f>_xll.EQNXTDZ($A$1,$B84,BD$5,$B$1)</f>
        <v>446.08</v>
      </c>
      <c r="BE84" s="55">
        <f>_xll.EQNXTDZ($A$1,$B84,BE$5,$B$1)</f>
        <v>0</v>
      </c>
      <c r="BF84" s="55">
        <f>_xll.EQNXTDZ($A$1,$B84,BF$5,$B$1)</f>
        <v>559.74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75.150000000000006</v>
      </c>
      <c r="E85" s="55">
        <f>_xll.EQNXTDZ($A$1,$B85,E$5,$B$1)</f>
        <v>0</v>
      </c>
      <c r="F85" s="55">
        <f>_xll.EQNXTDZ($A$1,$B85,F$5,$B$1)</f>
        <v>96.986000000000004</v>
      </c>
      <c r="G85" s="55">
        <f>_xll.EQNXTDZ($A$1,$B85,G$5,$B$1)</f>
        <v>0</v>
      </c>
      <c r="H85" s="55">
        <f>_xll.EQNXTDZ($A$1,$B85,H$5,$B$1)</f>
        <v>84.123000000000005</v>
      </c>
      <c r="I85" s="55">
        <f>_xll.EQNXTDZ($A$1,$B85,I$5,$B$1)</f>
        <v>0</v>
      </c>
      <c r="J85" s="55">
        <f>_xll.EQNXTDZ($A$1,$B85,J$5,$B$1)</f>
        <v>101.67400000000001</v>
      </c>
      <c r="K85" s="55">
        <f>_xll.EQNXTDZ($A$1,$B85,K$5,$B$1)</f>
        <v>0</v>
      </c>
      <c r="L85" s="55">
        <f>_xll.EQNXTDZ($A$1,$B85,L$5,$B$1)</f>
        <v>84.813000000000002</v>
      </c>
      <c r="M85" s="55">
        <f>_xll.EQNXTDZ($A$1,$B85,M$5,$B$1)</f>
        <v>0</v>
      </c>
      <c r="N85" s="55">
        <f>_xll.EQNXTDZ($A$1,$B85,N$5,$B$1)</f>
        <v>96.344999999999999</v>
      </c>
      <c r="O85" s="55">
        <f>_xll.EQNXTDZ($A$1,$B85,O$5,$B$1)</f>
        <v>0</v>
      </c>
      <c r="P85" s="55">
        <f>_xll.EQNXTDZ($A$1,$B85,P$5,$B$1)</f>
        <v>93.504999999999995</v>
      </c>
      <c r="Q85" s="55">
        <f>_xll.EQNXTDZ($A$1,$B85,Q$5,$B$1)</f>
        <v>0</v>
      </c>
      <c r="R85" s="55">
        <f>_xll.EQNXTDZ($A$1,$B85,R$5,$B$1)</f>
        <v>0.746</v>
      </c>
      <c r="S85" s="55">
        <f>_xll.EQNXTDZ($A$1,$B85,S$5,$B$1)</f>
        <v>0</v>
      </c>
      <c r="T85" s="55">
        <f>_xll.EQNXTDZ($A$1,$B85,T$5,$B$1)</f>
        <v>71.337000000000003</v>
      </c>
      <c r="U85" s="55">
        <f>_xll.EQNXTDZ($A$1,$B85,U$5,$B$1)</f>
        <v>0</v>
      </c>
      <c r="V85" s="55">
        <f>_xll.EQNXTDZ($A$1,$B85,V$5,$B$1)</f>
        <v>0.92600000000000005</v>
      </c>
      <c r="W85" s="55">
        <f>_xll.EQNXTDZ($A$1,$B85,W$5,$B$1)</f>
        <v>0</v>
      </c>
      <c r="X85" s="55">
        <f>_xll.EQNXTDZ($A$1,$B85,X$5,$B$1)</f>
        <v>0.92100000000000004</v>
      </c>
      <c r="Y85" s="55">
        <f>_xll.EQNXTDZ($A$1,$B85,Y$5,$B$1)</f>
        <v>0</v>
      </c>
      <c r="Z85" s="55">
        <f>_xll.EQNXTDZ($A$1,$B85,Z$5,$B$1)</f>
        <v>1.776</v>
      </c>
      <c r="AA85" s="55">
        <f>_xll.EQNXTDZ($A$1,$B85,AA$5,$B$1)</f>
        <v>0</v>
      </c>
      <c r="AB85" s="55">
        <f>_xll.EQNXTDZ($A$1,$B85,AB$5,$B$1)</f>
        <v>0.21199999999999999</v>
      </c>
      <c r="AC85" s="55">
        <f>_xll.EQNXTDZ($A$1,$B85,AC$5,$B$1)</f>
        <v>0</v>
      </c>
      <c r="AD85" s="55">
        <f>_xll.EQNXTDZ($A$1,$B85,AD$5,$B$1)</f>
        <v>1.4019999999999999</v>
      </c>
      <c r="AE85" s="55">
        <f>_xll.EQNXTDZ($A$1,$B85,AE$5,$B$1)</f>
        <v>0</v>
      </c>
      <c r="AF85" s="55">
        <f>_xll.EQNXTDZ($A$1,$B85,AF$5,$B$1)</f>
        <v>0.71699999999999997</v>
      </c>
      <c r="AG85" s="55">
        <f>_xll.EQNXTDZ($A$1,$B85,AG$5,$B$1)</f>
        <v>0</v>
      </c>
      <c r="AH85" s="55">
        <f>_xll.EQNXTDZ($A$1,$B85,AH$5,$B$1)</f>
        <v>5.0179999999999998</v>
      </c>
      <c r="AI85" s="55">
        <f>_xll.EQNXTDZ($A$1,$B85,AI$5,$B$1)</f>
        <v>0</v>
      </c>
      <c r="AJ85" s="55">
        <f>_xll.EQNXTDZ($A$1,$B85,AJ$5,$B$1)</f>
        <v>0.875</v>
      </c>
      <c r="AK85" s="55">
        <f>_xll.EQNXTDZ($A$1,$B85,AK$5,$B$1)</f>
        <v>0</v>
      </c>
      <c r="AL85" s="55">
        <f>_xll.EQNXTDZ($A$1,$B85,AL$5,$B$1)</f>
        <v>0.48199999999999998</v>
      </c>
      <c r="AM85" s="55">
        <f>_xll.EQNXTDZ($A$1,$B85,AM$5,$B$1)</f>
        <v>0</v>
      </c>
      <c r="AN85" s="55">
        <f>_xll.EQNXTDZ($A$1,$B85,AN$5,$B$1)</f>
        <v>0.50600000000000001</v>
      </c>
      <c r="AO85" s="55">
        <f>_xll.EQNXTDZ($A$1,$B85,AO$5,$B$1)</f>
        <v>0</v>
      </c>
      <c r="AP85" s="55">
        <f>_xll.EQNXTDZ($A$1,$B85,AP$5,$B$1)</f>
        <v>1.31</v>
      </c>
      <c r="AQ85" s="55">
        <f>_xll.EQNXTDZ($A$1,$B85,AQ$5,$B$1)</f>
        <v>0</v>
      </c>
      <c r="AR85" s="55">
        <f>_xll.EQNXTDZ($A$1,$B85,AR$5,$B$1)</f>
        <v>1.42</v>
      </c>
      <c r="AS85" s="55">
        <f>_xll.EQNXTDZ($A$1,$B85,AS$5,$B$1)</f>
        <v>0</v>
      </c>
      <c r="AT85" s="55">
        <f>_xll.EQNXTDZ($A$1,$B85,AT$5,$B$1)</f>
        <v>1.37</v>
      </c>
      <c r="AU85" s="55">
        <f>_xll.EQNXTDZ($A$1,$B85,AU$5,$B$1)</f>
        <v>0</v>
      </c>
      <c r="AV85" s="55">
        <f>_xll.EQNXTDZ($A$1,$B85,AV$5,$B$1)</f>
        <v>1.26</v>
      </c>
      <c r="AW85" s="55">
        <f>_xll.EQNXTDZ($A$1,$B85,AW$5,$B$1)</f>
        <v>0</v>
      </c>
      <c r="AX85" s="55">
        <f>_xll.EQNXTDZ($A$1,$B85,AX$5,$B$1)</f>
        <v>0.7</v>
      </c>
      <c r="AY85" s="55">
        <f>_xll.EQNXTDZ($A$1,$B85,AY$5,$B$1)</f>
        <v>0</v>
      </c>
      <c r="AZ85" s="55">
        <f>_xll.EQNXTDZ($A$1,$B85,AZ$5,$B$1)</f>
        <v>0.61</v>
      </c>
      <c r="BA85" s="55">
        <f>_xll.EQNXTDZ($A$1,$B85,BA$5,$B$1)</f>
        <v>0</v>
      </c>
      <c r="BB85" s="55">
        <f>_xll.EQNXTDZ($A$1,$B85,BB$5,$B$1)</f>
        <v>0.55000000000000004</v>
      </c>
      <c r="BC85" s="55">
        <f>_xll.EQNXTDZ($A$1,$B85,BC$5,$B$1)</f>
        <v>0</v>
      </c>
      <c r="BD85" s="55">
        <f>_xll.EQNXTDZ($A$1,$B85,BD$5,$B$1)</f>
        <v>0.59</v>
      </c>
      <c r="BE85" s="55">
        <f>_xll.EQNXTDZ($A$1,$B85,BE$5,$B$1)</f>
        <v>0</v>
      </c>
      <c r="BF85" s="55">
        <f>_xll.EQNXTDZ($A$1,$B85,BF$5,$B$1)</f>
        <v>0.54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861.39099999999996</v>
      </c>
      <c r="E86" s="55">
        <f>_xll.EQNXTDZ($A$1,$B86,E$5,$B$1)</f>
        <v>0</v>
      </c>
      <c r="F86" s="55">
        <f>_xll.EQNXTDZ($A$1,$B86,F$5,$B$1)</f>
        <v>943.70799999999997</v>
      </c>
      <c r="G86" s="55">
        <f>_xll.EQNXTDZ($A$1,$B86,G$5,$B$1)</f>
        <v>0</v>
      </c>
      <c r="H86" s="55">
        <f>_xll.EQNXTDZ($A$1,$B86,H$5,$B$1)</f>
        <v>922.03300000000002</v>
      </c>
      <c r="I86" s="55">
        <f>_xll.EQNXTDZ($A$1,$B86,I$5,$B$1)</f>
        <v>0</v>
      </c>
      <c r="J86" s="55">
        <f>_xll.EQNXTDZ($A$1,$B86,J$5,$B$1)</f>
        <v>980.64499999999998</v>
      </c>
      <c r="K86" s="55">
        <f>_xll.EQNXTDZ($A$1,$B86,K$5,$B$1)</f>
        <v>0</v>
      </c>
      <c r="L86" s="55">
        <f>_xll.EQNXTDZ($A$1,$B86,L$5,$B$1)</f>
        <v>994.16099999999994</v>
      </c>
      <c r="M86" s="55">
        <f>_xll.EQNXTDZ($A$1,$B86,M$5,$B$1)</f>
        <v>0</v>
      </c>
      <c r="N86" s="55">
        <f>_xll.EQNXTDZ($A$1,$B86,N$5,$B$1)</f>
        <v>900.93600000000004</v>
      </c>
      <c r="O86" s="55">
        <f>_xll.EQNXTDZ($A$1,$B86,O$5,$B$1)</f>
        <v>0</v>
      </c>
      <c r="P86" s="55">
        <f>_xll.EQNXTDZ($A$1,$B86,P$5,$B$1)</f>
        <v>747.55799999999999</v>
      </c>
      <c r="Q86" s="55">
        <f>_xll.EQNXTDZ($A$1,$B86,Q$5,$B$1)</f>
        <v>0</v>
      </c>
      <c r="R86" s="55">
        <f>_xll.EQNXTDZ($A$1,$B86,R$5,$B$1)</f>
        <v>816.07600000000002</v>
      </c>
      <c r="S86" s="55">
        <f>_xll.EQNXTDZ($A$1,$B86,S$5,$B$1)</f>
        <v>0</v>
      </c>
      <c r="T86" s="55">
        <f>_xll.EQNXTDZ($A$1,$B86,T$5,$B$1)</f>
        <v>742.94399999999996</v>
      </c>
      <c r="U86" s="55">
        <f>_xll.EQNXTDZ($A$1,$B86,U$5,$B$1)</f>
        <v>0</v>
      </c>
      <c r="V86" s="55">
        <f>_xll.EQNXTDZ($A$1,$B86,V$5,$B$1)</f>
        <v>794.87199999999996</v>
      </c>
      <c r="W86" s="55">
        <f>_xll.EQNXTDZ($A$1,$B86,W$5,$B$1)</f>
        <v>0</v>
      </c>
      <c r="X86" s="55">
        <f>_xll.EQNXTDZ($A$1,$B86,X$5,$B$1)</f>
        <v>911.53599999999994</v>
      </c>
      <c r="Y86" s="55">
        <f>_xll.EQNXTDZ($A$1,$B86,Y$5,$B$1)</f>
        <v>0</v>
      </c>
      <c r="Z86" s="55">
        <f>_xll.EQNXTDZ($A$1,$B86,Z$5,$B$1)</f>
        <v>1047.212</v>
      </c>
      <c r="AA86" s="55">
        <f>_xll.EQNXTDZ($A$1,$B86,AA$5,$B$1)</f>
        <v>0</v>
      </c>
      <c r="AB86" s="55">
        <f>_xll.EQNXTDZ($A$1,$B86,AB$5,$B$1)</f>
        <v>1046.3030000000001</v>
      </c>
      <c r="AC86" s="55">
        <f>_xll.EQNXTDZ($A$1,$B86,AC$5,$B$1)</f>
        <v>0</v>
      </c>
      <c r="AD86" s="55">
        <f>_xll.EQNXTDZ($A$1,$B86,AD$5,$B$1)</f>
        <v>1051.153</v>
      </c>
      <c r="AE86" s="55">
        <f>_xll.EQNXTDZ($A$1,$B86,AE$5,$B$1)</f>
        <v>0</v>
      </c>
      <c r="AF86" s="55">
        <f>_xll.EQNXTDZ($A$1,$B86,AF$5,$B$1)</f>
        <v>1218.6669999999999</v>
      </c>
      <c r="AG86" s="55">
        <f>_xll.EQNXTDZ($A$1,$B86,AG$5,$B$1)</f>
        <v>0</v>
      </c>
      <c r="AH86" s="55">
        <f>_xll.EQNXTDZ($A$1,$B86,AH$5,$B$1)</f>
        <v>1073.1510000000001</v>
      </c>
      <c r="AI86" s="55">
        <f>_xll.EQNXTDZ($A$1,$B86,AI$5,$B$1)</f>
        <v>0</v>
      </c>
      <c r="AJ86" s="55">
        <f>_xll.EQNXTDZ($A$1,$B86,AJ$5,$B$1)</f>
        <v>1365.778</v>
      </c>
      <c r="AK86" s="55">
        <f>_xll.EQNXTDZ($A$1,$B86,AK$5,$B$1)</f>
        <v>0</v>
      </c>
      <c r="AL86" s="55">
        <f>_xll.EQNXTDZ($A$1,$B86,AL$5,$B$1)</f>
        <v>1552.6020000000001</v>
      </c>
      <c r="AM86" s="55">
        <f>_xll.EQNXTDZ($A$1,$B86,AM$5,$B$1)</f>
        <v>0</v>
      </c>
      <c r="AN86" s="55">
        <f>_xll.EQNXTDZ($A$1,$B86,AN$5,$B$1)</f>
        <v>1719.2629999999999</v>
      </c>
      <c r="AO86" s="55">
        <f>_xll.EQNXTDZ($A$1,$B86,AO$5,$B$1)</f>
        <v>0</v>
      </c>
      <c r="AP86" s="55">
        <f>_xll.EQNXTDZ($A$1,$B86,AP$5,$B$1)</f>
        <v>1253.1600000000001</v>
      </c>
      <c r="AQ86" s="55">
        <f>_xll.EQNXTDZ($A$1,$B86,AQ$5,$B$1)</f>
        <v>0</v>
      </c>
      <c r="AR86" s="55">
        <f>_xll.EQNXTDZ($A$1,$B86,AR$5,$B$1)</f>
        <v>1540.82</v>
      </c>
      <c r="AS86" s="55">
        <f>_xll.EQNXTDZ($A$1,$B86,AS$5,$B$1)</f>
        <v>0</v>
      </c>
      <c r="AT86" s="55">
        <f>_xll.EQNXTDZ($A$1,$B86,AT$5,$B$1)</f>
        <v>1528.03</v>
      </c>
      <c r="AU86" s="55">
        <f>_xll.EQNXTDZ($A$1,$B86,AU$5,$B$1)</f>
        <v>0</v>
      </c>
      <c r="AV86" s="55">
        <f>_xll.EQNXTDZ($A$1,$B86,AV$5,$B$1)</f>
        <v>1757.95</v>
      </c>
      <c r="AW86" s="55">
        <f>_xll.EQNXTDZ($A$1,$B86,AW$5,$B$1)</f>
        <v>0</v>
      </c>
      <c r="AX86" s="55">
        <f>_xll.EQNXTDZ($A$1,$B86,AX$5,$B$1)</f>
        <v>1853.35</v>
      </c>
      <c r="AY86" s="55">
        <f>_xll.EQNXTDZ($A$1,$B86,AY$5,$B$1)</f>
        <v>0</v>
      </c>
      <c r="AZ86" s="55">
        <f>_xll.EQNXTDZ($A$1,$B86,AZ$5,$B$1)</f>
        <v>1913.3</v>
      </c>
      <c r="BA86" s="55">
        <f>_xll.EQNXTDZ($A$1,$B86,BA$5,$B$1)</f>
        <v>0</v>
      </c>
      <c r="BB86" s="55">
        <f>_xll.EQNXTDZ($A$1,$B86,BB$5,$B$1)</f>
        <v>1922.74</v>
      </c>
      <c r="BC86" s="55">
        <f>_xll.EQNXTDZ($A$1,$B86,BC$5,$B$1)</f>
        <v>0</v>
      </c>
      <c r="BD86" s="55">
        <f>_xll.EQNXTDZ($A$1,$B86,BD$5,$B$1)</f>
        <v>2555.13</v>
      </c>
      <c r="BE86" s="55">
        <f>_xll.EQNXTDZ($A$1,$B86,BE$5,$B$1)</f>
        <v>0</v>
      </c>
      <c r="BF86" s="55">
        <f>_xll.EQNXTDZ($A$1,$B86,BF$5,$B$1)</f>
        <v>2909.37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134.71199999999999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37.823999999999998</v>
      </c>
      <c r="E88" s="55">
        <f>_xll.EQNXTDZ($A$1,$B88,E$5,$B$1)</f>
        <v>0</v>
      </c>
      <c r="F88" s="55">
        <f>_xll.EQNXTDZ($A$1,$B88,F$5,$B$1)</f>
        <v>37.277999999999999</v>
      </c>
      <c r="G88" s="55">
        <f>_xll.EQNXTDZ($A$1,$B88,G$5,$B$1)</f>
        <v>0</v>
      </c>
      <c r="H88" s="55">
        <f>_xll.EQNXTDZ($A$1,$B88,H$5,$B$1)</f>
        <v>75.61</v>
      </c>
      <c r="I88" s="55">
        <f>_xll.EQNXTDZ($A$1,$B88,I$5,$B$1)</f>
        <v>0</v>
      </c>
      <c r="J88" s="55">
        <f>_xll.EQNXTDZ($A$1,$B88,J$5,$B$1)</f>
        <v>81.709999999999994</v>
      </c>
      <c r="K88" s="55">
        <f>_xll.EQNXTDZ($A$1,$B88,K$5,$B$1)</f>
        <v>0</v>
      </c>
      <c r="L88" s="55">
        <f>_xll.EQNXTDZ($A$1,$B88,L$5,$B$1)</f>
        <v>82.117999999999995</v>
      </c>
      <c r="M88" s="55">
        <f>_xll.EQNXTDZ($A$1,$B88,M$5,$B$1)</f>
        <v>0</v>
      </c>
      <c r="N88" s="55">
        <f>_xll.EQNXTDZ($A$1,$B88,N$5,$B$1)</f>
        <v>126.88</v>
      </c>
      <c r="O88" s="55">
        <f>_xll.EQNXTDZ($A$1,$B88,O$5,$B$1)</f>
        <v>0</v>
      </c>
      <c r="P88" s="55">
        <f>_xll.EQNXTDZ($A$1,$B88,P$5,$B$1)</f>
        <v>141.72999999999999</v>
      </c>
      <c r="Q88" s="55">
        <f>_xll.EQNXTDZ($A$1,$B88,Q$5,$B$1)</f>
        <v>0</v>
      </c>
      <c r="R88" s="55">
        <f>_xll.EQNXTDZ($A$1,$B88,R$5,$B$1)</f>
        <v>193.024</v>
      </c>
      <c r="S88" s="55">
        <f>_xll.EQNXTDZ($A$1,$B88,S$5,$B$1)</f>
        <v>0</v>
      </c>
      <c r="T88" s="55">
        <f>_xll.EQNXTDZ($A$1,$B88,T$5,$B$1)</f>
        <v>118.64100000000001</v>
      </c>
      <c r="U88" s="55">
        <f>_xll.EQNXTDZ($A$1,$B88,U$5,$B$1)</f>
        <v>0</v>
      </c>
      <c r="V88" s="55">
        <f>_xll.EQNXTDZ($A$1,$B88,V$5,$B$1)</f>
        <v>48.86</v>
      </c>
      <c r="W88" s="55">
        <f>_xll.EQNXTDZ($A$1,$B88,W$5,$B$1)</f>
        <v>0</v>
      </c>
      <c r="X88" s="55">
        <f>_xll.EQNXTDZ($A$1,$B88,X$5,$B$1)</f>
        <v>51.088999999999999</v>
      </c>
      <c r="Y88" s="55">
        <f>_xll.EQNXTDZ($A$1,$B88,Y$5,$B$1)</f>
        <v>0</v>
      </c>
      <c r="Z88" s="55">
        <f>_xll.EQNXTDZ($A$1,$B88,Z$5,$B$1)</f>
        <v>29.292999999999999</v>
      </c>
      <c r="AA88" s="55">
        <f>_xll.EQNXTDZ($A$1,$B88,AA$5,$B$1)</f>
        <v>0</v>
      </c>
      <c r="AB88" s="55">
        <f>_xll.EQNXTDZ($A$1,$B88,AB$5,$B$1)</f>
        <v>42.887</v>
      </c>
      <c r="AC88" s="55">
        <f>_xll.EQNXTDZ($A$1,$B88,AC$5,$B$1)</f>
        <v>0</v>
      </c>
      <c r="AD88" s="55">
        <f>_xll.EQNXTDZ($A$1,$B88,AD$5,$B$1)</f>
        <v>25.797999999999998</v>
      </c>
      <c r="AE88" s="55">
        <f>_xll.EQNXTDZ($A$1,$B88,AE$5,$B$1)</f>
        <v>0</v>
      </c>
      <c r="AF88" s="55">
        <f>_xll.EQNXTDZ($A$1,$B88,AF$5,$B$1)</f>
        <v>47.113999999999997</v>
      </c>
      <c r="AG88" s="55">
        <f>_xll.EQNXTDZ($A$1,$B88,AG$5,$B$1)</f>
        <v>0</v>
      </c>
      <c r="AH88" s="55">
        <f>_xll.EQNXTDZ($A$1,$B88,AH$5,$B$1)</f>
        <v>29.494</v>
      </c>
      <c r="AI88" s="55">
        <f>_xll.EQNXTDZ($A$1,$B88,AI$5,$B$1)</f>
        <v>0</v>
      </c>
      <c r="AJ88" s="55">
        <f>_xll.EQNXTDZ($A$1,$B88,AJ$5,$B$1)</f>
        <v>30.57</v>
      </c>
      <c r="AK88" s="55">
        <f>_xll.EQNXTDZ($A$1,$B88,AK$5,$B$1)</f>
        <v>0</v>
      </c>
      <c r="AL88" s="55">
        <f>_xll.EQNXTDZ($A$1,$B88,AL$5,$B$1)</f>
        <v>32.645000000000003</v>
      </c>
      <c r="AM88" s="55">
        <f>_xll.EQNXTDZ($A$1,$B88,AM$5,$B$1)</f>
        <v>0</v>
      </c>
      <c r="AN88" s="55">
        <f>_xll.EQNXTDZ($A$1,$B88,AN$5,$B$1)</f>
        <v>26.440999999999999</v>
      </c>
      <c r="AO88" s="55">
        <f>_xll.EQNXTDZ($A$1,$B88,AO$5,$B$1)</f>
        <v>0</v>
      </c>
      <c r="AP88" s="55">
        <f>_xll.EQNXTDZ($A$1,$B88,AP$5,$B$1)</f>
        <v>26.32</v>
      </c>
      <c r="AQ88" s="55">
        <f>_xll.EQNXTDZ($A$1,$B88,AQ$5,$B$1)</f>
        <v>0</v>
      </c>
      <c r="AR88" s="55">
        <f>_xll.EQNXTDZ($A$1,$B88,AR$5,$B$1)</f>
        <v>117.98</v>
      </c>
      <c r="AS88" s="55">
        <f>_xll.EQNXTDZ($A$1,$B88,AS$5,$B$1)</f>
        <v>0</v>
      </c>
      <c r="AT88" s="55">
        <f>_xll.EQNXTDZ($A$1,$B88,AT$5,$B$1)</f>
        <v>165.02</v>
      </c>
      <c r="AU88" s="55">
        <f>_xll.EQNXTDZ($A$1,$B88,AU$5,$B$1)</f>
        <v>0</v>
      </c>
      <c r="AV88" s="55">
        <f>_xll.EQNXTDZ($A$1,$B88,AV$5,$B$1)</f>
        <v>148.02000000000001</v>
      </c>
      <c r="AW88" s="55">
        <f>_xll.EQNXTDZ($A$1,$B88,AW$5,$B$1)</f>
        <v>0</v>
      </c>
      <c r="AX88" s="55">
        <f>_xll.EQNXTDZ($A$1,$B88,AX$5,$B$1)</f>
        <v>333.5</v>
      </c>
      <c r="AY88" s="55">
        <f>_xll.EQNXTDZ($A$1,$B88,AY$5,$B$1)</f>
        <v>0</v>
      </c>
      <c r="AZ88" s="55">
        <f>_xll.EQNXTDZ($A$1,$B88,AZ$5,$B$1)</f>
        <v>81.64</v>
      </c>
      <c r="BA88" s="55">
        <f>_xll.EQNXTDZ($A$1,$B88,BA$5,$B$1)</f>
        <v>0</v>
      </c>
      <c r="BB88" s="55">
        <f>_xll.EQNXTDZ($A$1,$B88,BB$5,$B$1)</f>
        <v>13.8</v>
      </c>
      <c r="BC88" s="55">
        <f>_xll.EQNXTDZ($A$1,$B88,BC$5,$B$1)</f>
        <v>0</v>
      </c>
      <c r="BD88" s="55">
        <f>_xll.EQNXTDZ($A$1,$B88,BD$5,$B$1)</f>
        <v>7.32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60.508000000000003</v>
      </c>
      <c r="G89" s="55">
        <f>_xll.EQNXTDZ($A$1,$B89,G$5,$B$1)</f>
        <v>0</v>
      </c>
      <c r="H89" s="55">
        <f>_xll.EQNXTDZ($A$1,$B89,H$5,$B$1)</f>
        <v>43.918999999999997</v>
      </c>
      <c r="I89" s="55">
        <f>_xll.EQNXTDZ($A$1,$B89,I$5,$B$1)</f>
        <v>0</v>
      </c>
      <c r="J89" s="55">
        <f>_xll.EQNXTDZ($A$1,$B89,J$5,$B$1)</f>
        <v>60.747999999999998</v>
      </c>
      <c r="K89" s="55">
        <f>_xll.EQNXTDZ($A$1,$B89,K$5,$B$1)</f>
        <v>0</v>
      </c>
      <c r="L89" s="55">
        <f>_xll.EQNXTDZ($A$1,$B89,L$5,$B$1)</f>
        <v>60.365000000000002</v>
      </c>
      <c r="M89" s="55">
        <f>_xll.EQNXTDZ($A$1,$B89,M$5,$B$1)</f>
        <v>0</v>
      </c>
      <c r="N89" s="55">
        <f>_xll.EQNXTDZ($A$1,$B89,N$5,$B$1)</f>
        <v>77.513999999999996</v>
      </c>
      <c r="O89" s="55">
        <f>_xll.EQNXTDZ($A$1,$B89,O$5,$B$1)</f>
        <v>0</v>
      </c>
      <c r="P89" s="55">
        <f>_xll.EQNXTDZ($A$1,$B89,P$5,$B$1)</f>
        <v>60.378999999999998</v>
      </c>
      <c r="Q89" s="55">
        <f>_xll.EQNXTDZ($A$1,$B89,Q$5,$B$1)</f>
        <v>0</v>
      </c>
      <c r="R89" s="55">
        <f>_xll.EQNXTDZ($A$1,$B89,R$5,$B$1)</f>
        <v>90.850999999999999</v>
      </c>
      <c r="S89" s="55">
        <f>_xll.EQNXTDZ($A$1,$B89,S$5,$B$1)</f>
        <v>0</v>
      </c>
      <c r="T89" s="55">
        <f>_xll.EQNXTDZ($A$1,$B89,T$5,$B$1)</f>
        <v>72.626000000000005</v>
      </c>
      <c r="U89" s="55">
        <f>_xll.EQNXTDZ($A$1,$B89,U$5,$B$1)</f>
        <v>0</v>
      </c>
      <c r="V89" s="55">
        <f>_xll.EQNXTDZ($A$1,$B89,V$5,$B$1)</f>
        <v>98.977000000000004</v>
      </c>
      <c r="W89" s="55">
        <f>_xll.EQNXTDZ($A$1,$B89,W$5,$B$1)</f>
        <v>0</v>
      </c>
      <c r="X89" s="55">
        <f>_xll.EQNXTDZ($A$1,$B89,X$5,$B$1)</f>
        <v>61.65</v>
      </c>
      <c r="Y89" s="55">
        <f>_xll.EQNXTDZ($A$1,$B89,Y$5,$B$1)</f>
        <v>0</v>
      </c>
      <c r="Z89" s="55">
        <f>_xll.EQNXTDZ($A$1,$B89,Z$5,$B$1)</f>
        <v>110.395</v>
      </c>
      <c r="AA89" s="55">
        <f>_xll.EQNXTDZ($A$1,$B89,AA$5,$B$1)</f>
        <v>0</v>
      </c>
      <c r="AB89" s="55">
        <f>_xll.EQNXTDZ($A$1,$B89,AB$5,$B$1)</f>
        <v>93.194999999999993</v>
      </c>
      <c r="AC89" s="55">
        <f>_xll.EQNXTDZ($A$1,$B89,AC$5,$B$1)</f>
        <v>0</v>
      </c>
      <c r="AD89" s="55">
        <f>_xll.EQNXTDZ($A$1,$B89,AD$5,$B$1)</f>
        <v>117.375</v>
      </c>
      <c r="AE89" s="55">
        <f>_xll.EQNXTDZ($A$1,$B89,AE$5,$B$1)</f>
        <v>0</v>
      </c>
      <c r="AF89" s="55">
        <f>_xll.EQNXTDZ($A$1,$B89,AF$5,$B$1)</f>
        <v>107.42700000000001</v>
      </c>
      <c r="AG89" s="55">
        <f>_xll.EQNXTDZ($A$1,$B89,AG$5,$B$1)</f>
        <v>0</v>
      </c>
      <c r="AH89" s="55">
        <f>_xll.EQNXTDZ($A$1,$B89,AH$5,$B$1)</f>
        <v>167.965</v>
      </c>
      <c r="AI89" s="55">
        <f>_xll.EQNXTDZ($A$1,$B89,AI$5,$B$1)</f>
        <v>0</v>
      </c>
      <c r="AJ89" s="55">
        <f>_xll.EQNXTDZ($A$1,$B89,AJ$5,$B$1)</f>
        <v>145.12200000000001</v>
      </c>
      <c r="AK89" s="55">
        <f>_xll.EQNXTDZ($A$1,$B89,AK$5,$B$1)</f>
        <v>0</v>
      </c>
      <c r="AL89" s="55">
        <f>_xll.EQNXTDZ($A$1,$B89,AL$5,$B$1)</f>
        <v>186.92400000000001</v>
      </c>
      <c r="AM89" s="55">
        <f>_xll.EQNXTDZ($A$1,$B89,AM$5,$B$1)</f>
        <v>0</v>
      </c>
      <c r="AN89" s="55">
        <f>_xll.EQNXTDZ($A$1,$B89,AN$5,$B$1)</f>
        <v>190.601</v>
      </c>
      <c r="AO89" s="55">
        <f>_xll.EQNXTDZ($A$1,$B89,AO$5,$B$1)</f>
        <v>0</v>
      </c>
      <c r="AP89" s="55">
        <f>_xll.EQNXTDZ($A$1,$B89,AP$5,$B$1)</f>
        <v>224.48</v>
      </c>
      <c r="AQ89" s="55">
        <f>_xll.EQNXTDZ($A$1,$B89,AQ$5,$B$1)</f>
        <v>0</v>
      </c>
      <c r="AR89" s="55">
        <f>_xll.EQNXTDZ($A$1,$B89,AR$5,$B$1)</f>
        <v>254.02</v>
      </c>
      <c r="AS89" s="55">
        <f>_xll.EQNXTDZ($A$1,$B89,AS$5,$B$1)</f>
        <v>0</v>
      </c>
      <c r="AT89" s="55">
        <f>_xll.EQNXTDZ($A$1,$B89,AT$5,$B$1)</f>
        <v>238.64</v>
      </c>
      <c r="AU89" s="55">
        <f>_xll.EQNXTDZ($A$1,$B89,AU$5,$B$1)</f>
        <v>0</v>
      </c>
      <c r="AV89" s="55">
        <f>_xll.EQNXTDZ($A$1,$B89,AV$5,$B$1)</f>
        <v>322.41000000000003</v>
      </c>
      <c r="AW89" s="55">
        <f>_xll.EQNXTDZ($A$1,$B89,AW$5,$B$1)</f>
        <v>0</v>
      </c>
      <c r="AX89" s="55">
        <f>_xll.EQNXTDZ($A$1,$B89,AX$5,$B$1)</f>
        <v>356.31</v>
      </c>
      <c r="AY89" s="55">
        <f>_xll.EQNXTDZ($A$1,$B89,AY$5,$B$1)</f>
        <v>0</v>
      </c>
      <c r="AZ89" s="55">
        <f>_xll.EQNXTDZ($A$1,$B89,AZ$5,$B$1)</f>
        <v>342.49</v>
      </c>
      <c r="BA89" s="55">
        <f>_xll.EQNXTDZ($A$1,$B89,BA$5,$B$1)</f>
        <v>0</v>
      </c>
      <c r="BB89" s="55">
        <f>_xll.EQNXTDZ($A$1,$B89,BB$5,$B$1)</f>
        <v>410.72</v>
      </c>
      <c r="BC89" s="55">
        <f>_xll.EQNXTDZ($A$1,$B89,BC$5,$B$1)</f>
        <v>0</v>
      </c>
      <c r="BD89" s="55">
        <f>_xll.EQNXTDZ($A$1,$B89,BD$5,$B$1)</f>
        <v>409.74</v>
      </c>
      <c r="BE89" s="55">
        <f>_xll.EQNXTDZ($A$1,$B89,BE$5,$B$1)</f>
        <v>0</v>
      </c>
      <c r="BF89" s="55">
        <f>_xll.EQNXTDZ($A$1,$B89,BF$5,$B$1)</f>
        <v>390.98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101.154</v>
      </c>
      <c r="G91" s="55">
        <f>_xll.EQNXTDZ($A$1,$B91,G$5,$B$1)</f>
        <v>0</v>
      </c>
      <c r="H91" s="55">
        <f>_xll.EQNXTDZ($A$1,$B91,H$5,$B$1)</f>
        <v>95.784000000000006</v>
      </c>
      <c r="I91" s="55">
        <f>_xll.EQNXTDZ($A$1,$B91,I$5,$B$1)</f>
        <v>0</v>
      </c>
      <c r="J91" s="55">
        <f>_xll.EQNXTDZ($A$1,$B91,J$5,$B$1)</f>
        <v>98.058000000000007</v>
      </c>
      <c r="K91" s="55">
        <f>_xll.EQNXTDZ($A$1,$B91,K$5,$B$1)</f>
        <v>0</v>
      </c>
      <c r="L91" s="55">
        <f>_xll.EQNXTDZ($A$1,$B91,L$5,$B$1)</f>
        <v>95.51</v>
      </c>
      <c r="M91" s="55">
        <f>_xll.EQNXTDZ($A$1,$B91,M$5,$B$1)</f>
        <v>0</v>
      </c>
      <c r="N91" s="55">
        <f>_xll.EQNXTDZ($A$1,$B91,N$5,$B$1)</f>
        <v>103.739</v>
      </c>
      <c r="O91" s="55">
        <f>_xll.EQNXTDZ($A$1,$B91,O$5,$B$1)</f>
        <v>0</v>
      </c>
      <c r="P91" s="55">
        <f>_xll.EQNXTDZ($A$1,$B91,P$5,$B$1)</f>
        <v>100.166</v>
      </c>
      <c r="Q91" s="55">
        <f>_xll.EQNXTDZ($A$1,$B91,Q$5,$B$1)</f>
        <v>0</v>
      </c>
      <c r="R91" s="55">
        <f>_xll.EQNXTDZ($A$1,$B91,R$5,$B$1)</f>
        <v>139.149</v>
      </c>
      <c r="S91" s="55">
        <f>_xll.EQNXTDZ($A$1,$B91,S$5,$B$1)</f>
        <v>0</v>
      </c>
      <c r="T91" s="55">
        <f>_xll.EQNXTDZ($A$1,$B91,T$5,$B$1)</f>
        <v>115.48</v>
      </c>
      <c r="U91" s="55">
        <f>_xll.EQNXTDZ($A$1,$B91,U$5,$B$1)</f>
        <v>0</v>
      </c>
      <c r="V91" s="55">
        <f>_xll.EQNXTDZ($A$1,$B91,V$5,$B$1)</f>
        <v>123.02200000000001</v>
      </c>
      <c r="W91" s="55">
        <f>_xll.EQNXTDZ($A$1,$B91,W$5,$B$1)</f>
        <v>0</v>
      </c>
      <c r="X91" s="55">
        <f>_xll.EQNXTDZ($A$1,$B91,X$5,$B$1)</f>
        <v>136.90299999999999</v>
      </c>
      <c r="Y91" s="55">
        <f>_xll.EQNXTDZ($A$1,$B91,Y$5,$B$1)</f>
        <v>0</v>
      </c>
      <c r="Z91" s="55">
        <f>_xll.EQNXTDZ($A$1,$B91,Z$5,$B$1)</f>
        <v>119.902</v>
      </c>
      <c r="AA91" s="55">
        <f>_xll.EQNXTDZ($A$1,$B91,AA$5,$B$1)</f>
        <v>0</v>
      </c>
      <c r="AB91" s="55">
        <f>_xll.EQNXTDZ($A$1,$B91,AB$5,$B$1)</f>
        <v>116.325</v>
      </c>
      <c r="AC91" s="55">
        <f>_xll.EQNXTDZ($A$1,$B91,AC$5,$B$1)</f>
        <v>0</v>
      </c>
      <c r="AD91" s="55">
        <f>_xll.EQNXTDZ($A$1,$B91,AD$5,$B$1)</f>
        <v>97.034999999999997</v>
      </c>
      <c r="AE91" s="55">
        <f>_xll.EQNXTDZ($A$1,$B91,AE$5,$B$1)</f>
        <v>0</v>
      </c>
      <c r="AF91" s="55">
        <f>_xll.EQNXTDZ($A$1,$B91,AF$5,$B$1)</f>
        <v>151.67400000000001</v>
      </c>
      <c r="AG91" s="55">
        <f>_xll.EQNXTDZ($A$1,$B91,AG$5,$B$1)</f>
        <v>0</v>
      </c>
      <c r="AH91" s="55">
        <f>_xll.EQNXTDZ($A$1,$B91,AH$5,$B$1)</f>
        <v>108.696</v>
      </c>
      <c r="AI91" s="55">
        <f>_xll.EQNXTDZ($A$1,$B91,AI$5,$B$1)</f>
        <v>0</v>
      </c>
      <c r="AJ91" s="55">
        <f>_xll.EQNXTDZ($A$1,$B91,AJ$5,$B$1)</f>
        <v>165.15199999999999</v>
      </c>
      <c r="AK91" s="55">
        <f>_xll.EQNXTDZ($A$1,$B91,AK$5,$B$1)</f>
        <v>0</v>
      </c>
      <c r="AL91" s="55">
        <f>_xll.EQNXTDZ($A$1,$B91,AL$5,$B$1)</f>
        <v>97.725999999999999</v>
      </c>
      <c r="AM91" s="55">
        <f>_xll.EQNXTDZ($A$1,$B91,AM$5,$B$1)</f>
        <v>0</v>
      </c>
      <c r="AN91" s="55">
        <f>_xll.EQNXTDZ($A$1,$B91,AN$5,$B$1)</f>
        <v>72.623999999999995</v>
      </c>
      <c r="AO91" s="55">
        <f>_xll.EQNXTDZ($A$1,$B91,AO$5,$B$1)</f>
        <v>0</v>
      </c>
      <c r="AP91" s="55">
        <f>_xll.EQNXTDZ($A$1,$B91,AP$5,$B$1)</f>
        <v>87.4</v>
      </c>
      <c r="AQ91" s="55">
        <f>_xll.EQNXTDZ($A$1,$B91,AQ$5,$B$1)</f>
        <v>0</v>
      </c>
      <c r="AR91" s="55">
        <f>_xll.EQNXTDZ($A$1,$B91,AR$5,$B$1)</f>
        <v>129.52000000000001</v>
      </c>
      <c r="AS91" s="55">
        <f>_xll.EQNXTDZ($A$1,$B91,AS$5,$B$1)</f>
        <v>0</v>
      </c>
      <c r="AT91" s="55">
        <f>_xll.EQNXTDZ($A$1,$B91,AT$5,$B$1)</f>
        <v>108.28</v>
      </c>
      <c r="AU91" s="55">
        <f>_xll.EQNXTDZ($A$1,$B91,AU$5,$B$1)</f>
        <v>0</v>
      </c>
      <c r="AV91" s="55">
        <f>_xll.EQNXTDZ($A$1,$B91,AV$5,$B$1)</f>
        <v>115.85</v>
      </c>
      <c r="AW91" s="55">
        <f>_xll.EQNXTDZ($A$1,$B91,AW$5,$B$1)</f>
        <v>0</v>
      </c>
      <c r="AX91" s="55">
        <f>_xll.EQNXTDZ($A$1,$B91,AX$5,$B$1)</f>
        <v>129.36000000000001</v>
      </c>
      <c r="AY91" s="55">
        <f>_xll.EQNXTDZ($A$1,$B91,AY$5,$B$1)</f>
        <v>0</v>
      </c>
      <c r="AZ91" s="55">
        <f>_xll.EQNXTDZ($A$1,$B91,AZ$5,$B$1)</f>
        <v>135.63</v>
      </c>
      <c r="BA91" s="55">
        <f>_xll.EQNXTDZ($A$1,$B91,BA$5,$B$1)</f>
        <v>0</v>
      </c>
      <c r="BB91" s="55">
        <f>_xll.EQNXTDZ($A$1,$B91,BB$5,$B$1)</f>
        <v>145.55000000000001</v>
      </c>
      <c r="BC91" s="55">
        <f>_xll.EQNXTDZ($A$1,$B91,BC$5,$B$1)</f>
        <v>0</v>
      </c>
      <c r="BD91" s="55">
        <f>_xll.EQNXTDZ($A$1,$B91,BD$5,$B$1)</f>
        <v>180.75</v>
      </c>
      <c r="BE91" s="55">
        <f>_xll.EQNXTDZ($A$1,$B91,BE$5,$B$1)</f>
        <v>0</v>
      </c>
      <c r="BF91" s="55">
        <f>_xll.EQNXTDZ($A$1,$B91,BF$5,$B$1)</f>
        <v>134.93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9.2810000000000006</v>
      </c>
      <c r="E92" s="55">
        <f>_xll.EQNXTDZ($A$1,$B92,E$5,$B$1)</f>
        <v>0</v>
      </c>
      <c r="F92" s="55">
        <f>_xll.EQNXTDZ($A$1,$B92,F$5,$B$1)</f>
        <v>40.537999999999997</v>
      </c>
      <c r="G92" s="55">
        <f>_xll.EQNXTDZ($A$1,$B92,G$5,$B$1)</f>
        <v>0</v>
      </c>
      <c r="H92" s="55">
        <f>_xll.EQNXTDZ($A$1,$B92,H$5,$B$1)</f>
        <v>10.202</v>
      </c>
      <c r="I92" s="55">
        <f>_xll.EQNXTDZ($A$1,$B92,I$5,$B$1)</f>
        <v>0</v>
      </c>
      <c r="J92" s="55">
        <f>_xll.EQNXTDZ($A$1,$B92,J$5,$B$1)</f>
        <v>35.755000000000003</v>
      </c>
      <c r="K92" s="55">
        <f>_xll.EQNXTDZ($A$1,$B92,K$5,$B$1)</f>
        <v>0</v>
      </c>
      <c r="L92" s="55">
        <f>_xll.EQNXTDZ($A$1,$B92,L$5,$B$1)</f>
        <v>5.1379999999999999</v>
      </c>
      <c r="M92" s="55">
        <f>_xll.EQNXTDZ($A$1,$B92,M$5,$B$1)</f>
        <v>0</v>
      </c>
      <c r="N92" s="55">
        <f>_xll.EQNXTDZ($A$1,$B92,N$5,$B$1)</f>
        <v>151.61699999999999</v>
      </c>
      <c r="O92" s="55">
        <f>_xll.EQNXTDZ($A$1,$B92,O$5,$B$1)</f>
        <v>0</v>
      </c>
      <c r="P92" s="55">
        <f>_xll.EQNXTDZ($A$1,$B92,P$5,$B$1)</f>
        <v>6.4720000000000004</v>
      </c>
      <c r="Q92" s="55">
        <f>_xll.EQNXTDZ($A$1,$B92,Q$5,$B$1)</f>
        <v>0</v>
      </c>
      <c r="R92" s="55">
        <f>_xll.EQNXTDZ($A$1,$B92,R$5,$B$1)</f>
        <v>8.1180000000000003</v>
      </c>
      <c r="S92" s="55">
        <f>_xll.EQNXTDZ($A$1,$B92,S$5,$B$1)</f>
        <v>0</v>
      </c>
      <c r="T92" s="55">
        <f>_xll.EQNXTDZ($A$1,$B92,T$5,$B$1)</f>
        <v>7.056</v>
      </c>
      <c r="U92" s="55">
        <f>_xll.EQNXTDZ($A$1,$B92,U$5,$B$1)</f>
        <v>0</v>
      </c>
      <c r="V92" s="55">
        <f>_xll.EQNXTDZ($A$1,$B92,V$5,$B$1)</f>
        <v>10.35</v>
      </c>
      <c r="W92" s="55">
        <f>_xll.EQNXTDZ($A$1,$B92,W$5,$B$1)</f>
        <v>0</v>
      </c>
      <c r="X92" s="55">
        <f>_xll.EQNXTDZ($A$1,$B92,X$5,$B$1)</f>
        <v>10.068</v>
      </c>
      <c r="Y92" s="55">
        <f>_xll.EQNXTDZ($A$1,$B92,Y$5,$B$1)</f>
        <v>0</v>
      </c>
      <c r="Z92" s="55">
        <f>_xll.EQNXTDZ($A$1,$B92,Z$5,$B$1)</f>
        <v>15.525</v>
      </c>
      <c r="AA92" s="55">
        <f>_xll.EQNXTDZ($A$1,$B92,AA$5,$B$1)</f>
        <v>0</v>
      </c>
      <c r="AB92" s="55">
        <f>_xll.EQNXTDZ($A$1,$B92,AB$5,$B$1)</f>
        <v>11.432</v>
      </c>
      <c r="AC92" s="55">
        <f>_xll.EQNXTDZ($A$1,$B92,AC$5,$B$1)</f>
        <v>0</v>
      </c>
      <c r="AD92" s="55">
        <f>_xll.EQNXTDZ($A$1,$B92,AD$5,$B$1)</f>
        <v>3.9769999999999999</v>
      </c>
      <c r="AE92" s="55">
        <f>_xll.EQNXTDZ($A$1,$B92,AE$5,$B$1)</f>
        <v>0</v>
      </c>
      <c r="AF92" s="55">
        <f>_xll.EQNXTDZ($A$1,$B92,AF$5,$B$1)</f>
        <v>4.25</v>
      </c>
      <c r="AG92" s="55">
        <f>_xll.EQNXTDZ($A$1,$B92,AG$5,$B$1)</f>
        <v>0</v>
      </c>
      <c r="AH92" s="55">
        <f>_xll.EQNXTDZ($A$1,$B92,AH$5,$B$1)</f>
        <v>7.1139999999999999</v>
      </c>
      <c r="AI92" s="55">
        <f>_xll.EQNXTDZ($A$1,$B92,AI$5,$B$1)</f>
        <v>0</v>
      </c>
      <c r="AJ92" s="55">
        <f>_xll.EQNXTDZ($A$1,$B92,AJ$5,$B$1)</f>
        <v>4.8609999999999998</v>
      </c>
      <c r="AK92" s="55">
        <f>_xll.EQNXTDZ($A$1,$B92,AK$5,$B$1)</f>
        <v>0</v>
      </c>
      <c r="AL92" s="55">
        <f>_xll.EQNXTDZ($A$1,$B92,AL$5,$B$1)</f>
        <v>27.98</v>
      </c>
      <c r="AM92" s="55">
        <f>_xll.EQNXTDZ($A$1,$B92,AM$5,$B$1)</f>
        <v>0</v>
      </c>
      <c r="AN92" s="55">
        <f>_xll.EQNXTDZ($A$1,$B92,AN$5,$B$1)</f>
        <v>37.347000000000001</v>
      </c>
      <c r="AO92" s="55">
        <f>_xll.EQNXTDZ($A$1,$B92,AO$5,$B$1)</f>
        <v>0</v>
      </c>
      <c r="AP92" s="55">
        <f>_xll.EQNXTDZ($A$1,$B92,AP$5,$B$1)</f>
        <v>45.52</v>
      </c>
      <c r="AQ92" s="55">
        <f>_xll.EQNXTDZ($A$1,$B92,AQ$5,$B$1)</f>
        <v>0</v>
      </c>
      <c r="AR92" s="55">
        <f>_xll.EQNXTDZ($A$1,$B92,AR$5,$B$1)</f>
        <v>54.72</v>
      </c>
      <c r="AS92" s="55">
        <f>_xll.EQNXTDZ($A$1,$B92,AS$5,$B$1)</f>
        <v>0</v>
      </c>
      <c r="AT92" s="55">
        <f>_xll.EQNXTDZ($A$1,$B92,AT$5,$B$1)</f>
        <v>42.51</v>
      </c>
      <c r="AU92" s="55">
        <f>_xll.EQNXTDZ($A$1,$B92,AU$5,$B$1)</f>
        <v>0</v>
      </c>
      <c r="AV92" s="55">
        <f>_xll.EQNXTDZ($A$1,$B92,AV$5,$B$1)</f>
        <v>56.44</v>
      </c>
      <c r="AW92" s="55">
        <f>_xll.EQNXTDZ($A$1,$B92,AW$5,$B$1)</f>
        <v>0</v>
      </c>
      <c r="AX92" s="55">
        <f>_xll.EQNXTDZ($A$1,$B92,AX$5,$B$1)</f>
        <v>49.06</v>
      </c>
      <c r="AY92" s="55">
        <f>_xll.EQNXTDZ($A$1,$B92,AY$5,$B$1)</f>
        <v>0</v>
      </c>
      <c r="AZ92" s="55">
        <f>_xll.EQNXTDZ($A$1,$B92,AZ$5,$B$1)</f>
        <v>62.16</v>
      </c>
      <c r="BA92" s="55">
        <f>_xll.EQNXTDZ($A$1,$B92,BA$5,$B$1)</f>
        <v>0</v>
      </c>
      <c r="BB92" s="55">
        <f>_xll.EQNXTDZ($A$1,$B92,BB$5,$B$1)</f>
        <v>62.26</v>
      </c>
      <c r="BC92" s="55">
        <f>_xll.EQNXTDZ($A$1,$B92,BC$5,$B$1)</f>
        <v>0</v>
      </c>
      <c r="BD92" s="55">
        <f>_xll.EQNXTDZ($A$1,$B92,BD$5,$B$1)</f>
        <v>76.36</v>
      </c>
      <c r="BE92" s="55">
        <f>_xll.EQNXTDZ($A$1,$B92,BE$5,$B$1)</f>
        <v>0</v>
      </c>
      <c r="BF92" s="55">
        <f>_xll.EQNXTDZ($A$1,$B92,BF$5,$B$1)</f>
        <v>65.27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181.81700000000001</v>
      </c>
      <c r="E93" s="55">
        <f>_xll.EQNXTDZ($A$1,$B93,E$5,$B$1)</f>
        <v>0</v>
      </c>
      <c r="F93" s="55">
        <f>_xll.EQNXTDZ($A$1,$B93,F$5,$B$1)</f>
        <v>239.47800000000001</v>
      </c>
      <c r="G93" s="55">
        <f>_xll.EQNXTDZ($A$1,$B93,G$5,$B$1)</f>
        <v>0</v>
      </c>
      <c r="H93" s="55">
        <f>_xll.EQNXTDZ($A$1,$B93,H$5,$B$1)</f>
        <v>225.51499999999999</v>
      </c>
      <c r="I93" s="55">
        <f>_xll.EQNXTDZ($A$1,$B93,I$5,$B$1)</f>
        <v>0</v>
      </c>
      <c r="J93" s="55">
        <f>_xll.EQNXTDZ($A$1,$B93,J$5,$B$1)</f>
        <v>276.27100000000002</v>
      </c>
      <c r="K93" s="55">
        <f>_xll.EQNXTDZ($A$1,$B93,K$5,$B$1)</f>
        <v>0</v>
      </c>
      <c r="L93" s="55">
        <f>_xll.EQNXTDZ($A$1,$B93,L$5,$B$1)</f>
        <v>243.131</v>
      </c>
      <c r="M93" s="55">
        <f>_xll.EQNXTDZ($A$1,$B93,M$5,$B$1)</f>
        <v>0</v>
      </c>
      <c r="N93" s="55">
        <f>_xll.EQNXTDZ($A$1,$B93,N$5,$B$1)</f>
        <v>459.75</v>
      </c>
      <c r="O93" s="55">
        <f>_xll.EQNXTDZ($A$1,$B93,O$5,$B$1)</f>
        <v>0</v>
      </c>
      <c r="P93" s="55">
        <f>_xll.EQNXTDZ($A$1,$B93,P$5,$B$1)</f>
        <v>308.74700000000001</v>
      </c>
      <c r="Q93" s="55">
        <f>_xll.EQNXTDZ($A$1,$B93,Q$5,$B$1)</f>
        <v>0</v>
      </c>
      <c r="R93" s="55">
        <f>_xll.EQNXTDZ($A$1,$B93,R$5,$B$1)</f>
        <v>431.142</v>
      </c>
      <c r="S93" s="55">
        <f>_xll.EQNXTDZ($A$1,$B93,S$5,$B$1)</f>
        <v>0</v>
      </c>
      <c r="T93" s="55">
        <f>_xll.EQNXTDZ($A$1,$B93,T$5,$B$1)</f>
        <v>313.803</v>
      </c>
      <c r="U93" s="55">
        <f>_xll.EQNXTDZ($A$1,$B93,U$5,$B$1)</f>
        <v>0</v>
      </c>
      <c r="V93" s="55">
        <f>_xll.EQNXTDZ($A$1,$B93,V$5,$B$1)</f>
        <v>281.209</v>
      </c>
      <c r="W93" s="55">
        <f>_xll.EQNXTDZ($A$1,$B93,W$5,$B$1)</f>
        <v>0</v>
      </c>
      <c r="X93" s="55">
        <f>_xll.EQNXTDZ($A$1,$B93,X$5,$B$1)</f>
        <v>259.70999999999998</v>
      </c>
      <c r="Y93" s="55">
        <f>_xll.EQNXTDZ($A$1,$B93,Y$5,$B$1)</f>
        <v>0</v>
      </c>
      <c r="Z93" s="55">
        <f>_xll.EQNXTDZ($A$1,$B93,Z$5,$B$1)</f>
        <v>275.11500000000001</v>
      </c>
      <c r="AA93" s="55">
        <f>_xll.EQNXTDZ($A$1,$B93,AA$5,$B$1)</f>
        <v>0</v>
      </c>
      <c r="AB93" s="55">
        <f>_xll.EQNXTDZ($A$1,$B93,AB$5,$B$1)</f>
        <v>263.839</v>
      </c>
      <c r="AC93" s="55">
        <f>_xll.EQNXTDZ($A$1,$B93,AC$5,$B$1)</f>
        <v>0</v>
      </c>
      <c r="AD93" s="55">
        <f>_xll.EQNXTDZ($A$1,$B93,AD$5,$B$1)</f>
        <v>244.185</v>
      </c>
      <c r="AE93" s="55">
        <f>_xll.EQNXTDZ($A$1,$B93,AE$5,$B$1)</f>
        <v>0</v>
      </c>
      <c r="AF93" s="55">
        <f>_xll.EQNXTDZ($A$1,$B93,AF$5,$B$1)</f>
        <v>310.46499999999997</v>
      </c>
      <c r="AG93" s="55">
        <f>_xll.EQNXTDZ($A$1,$B93,AG$5,$B$1)</f>
        <v>0</v>
      </c>
      <c r="AH93" s="55">
        <f>_xll.EQNXTDZ($A$1,$B93,AH$5,$B$1)</f>
        <v>313.26900000000001</v>
      </c>
      <c r="AI93" s="55">
        <f>_xll.EQNXTDZ($A$1,$B93,AI$5,$B$1)</f>
        <v>0</v>
      </c>
      <c r="AJ93" s="55">
        <f>_xll.EQNXTDZ($A$1,$B93,AJ$5,$B$1)</f>
        <v>345.70499999999998</v>
      </c>
      <c r="AK93" s="55">
        <f>_xll.EQNXTDZ($A$1,$B93,AK$5,$B$1)</f>
        <v>0</v>
      </c>
      <c r="AL93" s="55">
        <f>_xll.EQNXTDZ($A$1,$B93,AL$5,$B$1)</f>
        <v>345.27499999999998</v>
      </c>
      <c r="AM93" s="55">
        <f>_xll.EQNXTDZ($A$1,$B93,AM$5,$B$1)</f>
        <v>0</v>
      </c>
      <c r="AN93" s="55">
        <f>_xll.EQNXTDZ($A$1,$B93,AN$5,$B$1)</f>
        <v>327.01299999999998</v>
      </c>
      <c r="AO93" s="55">
        <f>_xll.EQNXTDZ($A$1,$B93,AO$5,$B$1)</f>
        <v>0</v>
      </c>
      <c r="AP93" s="55">
        <f>_xll.EQNXTDZ($A$1,$B93,AP$5,$B$1)</f>
        <v>383.72</v>
      </c>
      <c r="AQ93" s="55">
        <f>_xll.EQNXTDZ($A$1,$B93,AQ$5,$B$1)</f>
        <v>0</v>
      </c>
      <c r="AR93" s="55">
        <f>_xll.EQNXTDZ($A$1,$B93,AR$5,$B$1)</f>
        <v>556.24</v>
      </c>
      <c r="AS93" s="55">
        <f>_xll.EQNXTDZ($A$1,$B93,AS$5,$B$1)</f>
        <v>0</v>
      </c>
      <c r="AT93" s="55">
        <f>_xll.EQNXTDZ($A$1,$B93,AT$5,$B$1)</f>
        <v>554.45000000000005</v>
      </c>
      <c r="AU93" s="55">
        <f>_xll.EQNXTDZ($A$1,$B93,AU$5,$B$1)</f>
        <v>0</v>
      </c>
      <c r="AV93" s="55">
        <f>_xll.EQNXTDZ($A$1,$B93,AV$5,$B$1)</f>
        <v>642.72</v>
      </c>
      <c r="AW93" s="55">
        <f>_xll.EQNXTDZ($A$1,$B93,AW$5,$B$1)</f>
        <v>0</v>
      </c>
      <c r="AX93" s="55">
        <f>_xll.EQNXTDZ($A$1,$B93,AX$5,$B$1)</f>
        <v>868.23</v>
      </c>
      <c r="AY93" s="55">
        <f>_xll.EQNXTDZ($A$1,$B93,AY$5,$B$1)</f>
        <v>0</v>
      </c>
      <c r="AZ93" s="55">
        <f>_xll.EQNXTDZ($A$1,$B93,AZ$5,$B$1)</f>
        <v>621.91999999999996</v>
      </c>
      <c r="BA93" s="55">
        <f>_xll.EQNXTDZ($A$1,$B93,BA$5,$B$1)</f>
        <v>0</v>
      </c>
      <c r="BB93" s="55">
        <f>_xll.EQNXTDZ($A$1,$B93,BB$5,$B$1)</f>
        <v>632.33000000000004</v>
      </c>
      <c r="BC93" s="55">
        <f>_xll.EQNXTDZ($A$1,$B93,BC$5,$B$1)</f>
        <v>0</v>
      </c>
      <c r="BD93" s="55">
        <f>_xll.EQNXTDZ($A$1,$B93,BD$5,$B$1)</f>
        <v>674.17</v>
      </c>
      <c r="BE93" s="55">
        <f>_xll.EQNXTDZ($A$1,$B93,BE$5,$B$1)</f>
        <v>0</v>
      </c>
      <c r="BF93" s="55">
        <f>_xll.EQNXTDZ($A$1,$B93,BF$5,$B$1)</f>
        <v>591.17999999999995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679.57399999999996</v>
      </c>
      <c r="E94" s="55">
        <f>_xll.EQNXTDZ($A$1,$B94,E$5,$B$1)</f>
        <v>0</v>
      </c>
      <c r="F94" s="55">
        <f>_xll.EQNXTDZ($A$1,$B94,F$5,$B$1)</f>
        <v>704.23</v>
      </c>
      <c r="G94" s="55">
        <f>_xll.EQNXTDZ($A$1,$B94,G$5,$B$1)</f>
        <v>0</v>
      </c>
      <c r="H94" s="55">
        <f>_xll.EQNXTDZ($A$1,$B94,H$5,$B$1)</f>
        <v>696.51800000000003</v>
      </c>
      <c r="I94" s="55">
        <f>_xll.EQNXTDZ($A$1,$B94,I$5,$B$1)</f>
        <v>0</v>
      </c>
      <c r="J94" s="55">
        <f>_xll.EQNXTDZ($A$1,$B94,J$5,$B$1)</f>
        <v>704.37400000000002</v>
      </c>
      <c r="K94" s="55">
        <f>_xll.EQNXTDZ($A$1,$B94,K$5,$B$1)</f>
        <v>0</v>
      </c>
      <c r="L94" s="55">
        <f>_xll.EQNXTDZ($A$1,$B94,L$5,$B$1)</f>
        <v>751.03</v>
      </c>
      <c r="M94" s="55">
        <f>_xll.EQNXTDZ($A$1,$B94,M$5,$B$1)</f>
        <v>0</v>
      </c>
      <c r="N94" s="55">
        <f>_xll.EQNXTDZ($A$1,$B94,N$5,$B$1)</f>
        <v>441.18599999999998</v>
      </c>
      <c r="O94" s="55">
        <f>_xll.EQNXTDZ($A$1,$B94,O$5,$B$1)</f>
        <v>0</v>
      </c>
      <c r="P94" s="55">
        <f>_xll.EQNXTDZ($A$1,$B94,P$5,$B$1)</f>
        <v>438.81099999999998</v>
      </c>
      <c r="Q94" s="55">
        <f>_xll.EQNXTDZ($A$1,$B94,Q$5,$B$1)</f>
        <v>0</v>
      </c>
      <c r="R94" s="55">
        <f>_xll.EQNXTDZ($A$1,$B94,R$5,$B$1)</f>
        <v>384.93400000000003</v>
      </c>
      <c r="S94" s="55">
        <f>_xll.EQNXTDZ($A$1,$B94,S$5,$B$1)</f>
        <v>0</v>
      </c>
      <c r="T94" s="55">
        <f>_xll.EQNXTDZ($A$1,$B94,T$5,$B$1)</f>
        <v>429.14100000000002</v>
      </c>
      <c r="U94" s="55">
        <f>_xll.EQNXTDZ($A$1,$B94,U$5,$B$1)</f>
        <v>0</v>
      </c>
      <c r="V94" s="55">
        <f>_xll.EQNXTDZ($A$1,$B94,V$5,$B$1)</f>
        <v>513.66300000000001</v>
      </c>
      <c r="W94" s="55">
        <f>_xll.EQNXTDZ($A$1,$B94,W$5,$B$1)</f>
        <v>0</v>
      </c>
      <c r="X94" s="55">
        <f>_xll.EQNXTDZ($A$1,$B94,X$5,$B$1)</f>
        <v>651.82600000000002</v>
      </c>
      <c r="Y94" s="55">
        <f>_xll.EQNXTDZ($A$1,$B94,Y$5,$B$1)</f>
        <v>0</v>
      </c>
      <c r="Z94" s="55">
        <f>_xll.EQNXTDZ($A$1,$B94,Z$5,$B$1)</f>
        <v>772.09699999999998</v>
      </c>
      <c r="AA94" s="55">
        <f>_xll.EQNXTDZ($A$1,$B94,AA$5,$B$1)</f>
        <v>0</v>
      </c>
      <c r="AB94" s="55">
        <f>_xll.EQNXTDZ($A$1,$B94,AB$5,$B$1)</f>
        <v>782.46400000000006</v>
      </c>
      <c r="AC94" s="55">
        <f>_xll.EQNXTDZ($A$1,$B94,AC$5,$B$1)</f>
        <v>0</v>
      </c>
      <c r="AD94" s="55">
        <f>_xll.EQNXTDZ($A$1,$B94,AD$5,$B$1)</f>
        <v>806.96799999999996</v>
      </c>
      <c r="AE94" s="55">
        <f>_xll.EQNXTDZ($A$1,$B94,AE$5,$B$1)</f>
        <v>0</v>
      </c>
      <c r="AF94" s="55">
        <f>_xll.EQNXTDZ($A$1,$B94,AF$5,$B$1)</f>
        <v>908.202</v>
      </c>
      <c r="AG94" s="55">
        <f>_xll.EQNXTDZ($A$1,$B94,AG$5,$B$1)</f>
        <v>0</v>
      </c>
      <c r="AH94" s="55">
        <f>_xll.EQNXTDZ($A$1,$B94,AH$5,$B$1)</f>
        <v>759.88199999999995</v>
      </c>
      <c r="AI94" s="55">
        <f>_xll.EQNXTDZ($A$1,$B94,AI$5,$B$1)</f>
        <v>0</v>
      </c>
      <c r="AJ94" s="55">
        <f>_xll.EQNXTDZ($A$1,$B94,AJ$5,$B$1)</f>
        <v>1020.073</v>
      </c>
      <c r="AK94" s="55">
        <f>_xll.EQNXTDZ($A$1,$B94,AK$5,$B$1)</f>
        <v>0</v>
      </c>
      <c r="AL94" s="55">
        <f>_xll.EQNXTDZ($A$1,$B94,AL$5,$B$1)</f>
        <v>1207.327</v>
      </c>
      <c r="AM94" s="55">
        <f>_xll.EQNXTDZ($A$1,$B94,AM$5,$B$1)</f>
        <v>0</v>
      </c>
      <c r="AN94" s="55">
        <f>_xll.EQNXTDZ($A$1,$B94,AN$5,$B$1)</f>
        <v>1392.25</v>
      </c>
      <c r="AO94" s="55">
        <f>_xll.EQNXTDZ($A$1,$B94,AO$5,$B$1)</f>
        <v>0</v>
      </c>
      <c r="AP94" s="55">
        <f>_xll.EQNXTDZ($A$1,$B94,AP$5,$B$1)</f>
        <v>869.44</v>
      </c>
      <c r="AQ94" s="55">
        <f>_xll.EQNXTDZ($A$1,$B94,AQ$5,$B$1)</f>
        <v>0</v>
      </c>
      <c r="AR94" s="55">
        <f>_xll.EQNXTDZ($A$1,$B94,AR$5,$B$1)</f>
        <v>984.58</v>
      </c>
      <c r="AS94" s="55">
        <f>_xll.EQNXTDZ($A$1,$B94,AS$5,$B$1)</f>
        <v>0</v>
      </c>
      <c r="AT94" s="55">
        <f>_xll.EQNXTDZ($A$1,$B94,AT$5,$B$1)</f>
        <v>973.58</v>
      </c>
      <c r="AU94" s="55">
        <f>_xll.EQNXTDZ($A$1,$B94,AU$5,$B$1)</f>
        <v>0</v>
      </c>
      <c r="AV94" s="55">
        <f>_xll.EQNXTDZ($A$1,$B94,AV$5,$B$1)</f>
        <v>1115.23</v>
      </c>
      <c r="AW94" s="55">
        <f>_xll.EQNXTDZ($A$1,$B94,AW$5,$B$1)</f>
        <v>0</v>
      </c>
      <c r="AX94" s="55">
        <f>_xll.EQNXTDZ($A$1,$B94,AX$5,$B$1)</f>
        <v>985.12</v>
      </c>
      <c r="AY94" s="55">
        <f>_xll.EQNXTDZ($A$1,$B94,AY$5,$B$1)</f>
        <v>0</v>
      </c>
      <c r="AZ94" s="55">
        <f>_xll.EQNXTDZ($A$1,$B94,AZ$5,$B$1)</f>
        <v>1291.3800000000001</v>
      </c>
      <c r="BA94" s="55">
        <f>_xll.EQNXTDZ($A$1,$B94,BA$5,$B$1)</f>
        <v>0</v>
      </c>
      <c r="BB94" s="55">
        <f>_xll.EQNXTDZ($A$1,$B94,BB$5,$B$1)</f>
        <v>1290.4100000000001</v>
      </c>
      <c r="BC94" s="55">
        <f>_xll.EQNXTDZ($A$1,$B94,BC$5,$B$1)</f>
        <v>0</v>
      </c>
      <c r="BD94" s="55">
        <f>_xll.EQNXTDZ($A$1,$B94,BD$5,$B$1)</f>
        <v>1880.96</v>
      </c>
      <c r="BE94" s="55">
        <f>_xll.EQNXTDZ($A$1,$B94,BE$5,$B$1)</f>
        <v>0</v>
      </c>
      <c r="BF94" s="55">
        <f>_xll.EQNXTDZ($A$1,$B94,BF$5,$B$1)</f>
        <v>2318.19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-19.117000000000001</v>
      </c>
      <c r="E96" s="55">
        <f>_xll.EQNXTDZ($A$1,$B96,E$5,$B$1)</f>
        <v>0</v>
      </c>
      <c r="F96" s="55">
        <f>_xll.EQNXTDZ($A$1,$B96,F$5,$B$1)</f>
        <v>-24.98</v>
      </c>
      <c r="G96" s="55">
        <f>_xll.EQNXTDZ($A$1,$B96,G$5,$B$1)</f>
        <v>0</v>
      </c>
      <c r="H96" s="55">
        <f>_xll.EQNXTDZ($A$1,$B96,H$5,$B$1)</f>
        <v>-24.344999999999999</v>
      </c>
      <c r="I96" s="55">
        <f>_xll.EQNXTDZ($A$1,$B96,I$5,$B$1)</f>
        <v>0</v>
      </c>
      <c r="J96" s="55">
        <f>_xll.EQNXTDZ($A$1,$B96,J$5,$B$1)</f>
        <v>-19.254999999999999</v>
      </c>
      <c r="K96" s="55">
        <f>_xll.EQNXTDZ($A$1,$B96,K$5,$B$1)</f>
        <v>0</v>
      </c>
      <c r="L96" s="55">
        <f>_xll.EQNXTDZ($A$1,$B96,L$5,$B$1)</f>
        <v>-18.184000000000001</v>
      </c>
      <c r="M96" s="55">
        <f>_xll.EQNXTDZ($A$1,$B96,M$5,$B$1)</f>
        <v>0</v>
      </c>
      <c r="N96" s="55">
        <f>_xll.EQNXTDZ($A$1,$B96,N$5,$B$1)</f>
        <v>-20.198</v>
      </c>
      <c r="O96" s="55">
        <f>_xll.EQNXTDZ($A$1,$B96,O$5,$B$1)</f>
        <v>0</v>
      </c>
      <c r="P96" s="55">
        <f>_xll.EQNXTDZ($A$1,$B96,P$5,$B$1)</f>
        <v>-22.472000000000001</v>
      </c>
      <c r="Q96" s="55">
        <f>_xll.EQNXTDZ($A$1,$B96,Q$5,$B$1)</f>
        <v>0</v>
      </c>
      <c r="R96" s="55">
        <f>_xll.EQNXTDZ($A$1,$B96,R$5,$B$1)</f>
        <v>-16.776</v>
      </c>
      <c r="S96" s="55">
        <f>_xll.EQNXTDZ($A$1,$B96,S$5,$B$1)</f>
        <v>0</v>
      </c>
      <c r="T96" s="55">
        <f>_xll.EQNXTDZ($A$1,$B96,T$5,$B$1)</f>
        <v>-46.49</v>
      </c>
      <c r="U96" s="55">
        <f>_xll.EQNXTDZ($A$1,$B96,U$5,$B$1)</f>
        <v>0</v>
      </c>
      <c r="V96" s="55">
        <f>_xll.EQNXTDZ($A$1,$B96,V$5,$B$1)</f>
        <v>-10.464</v>
      </c>
      <c r="W96" s="55">
        <f>_xll.EQNXTDZ($A$1,$B96,W$5,$B$1)</f>
        <v>0</v>
      </c>
      <c r="X96" s="55">
        <f>_xll.EQNXTDZ($A$1,$B96,X$5,$B$1)</f>
        <v>-28.346</v>
      </c>
      <c r="Y96" s="55">
        <f>_xll.EQNXTDZ($A$1,$B96,Y$5,$B$1)</f>
        <v>0</v>
      </c>
      <c r="Z96" s="55">
        <f>_xll.EQNXTDZ($A$1,$B96,Z$5,$B$1)</f>
        <v>-32.386000000000003</v>
      </c>
      <c r="AA96" s="55">
        <f>_xll.EQNXTDZ($A$1,$B96,AA$5,$B$1)</f>
        <v>0</v>
      </c>
      <c r="AB96" s="55">
        <f>_xll.EQNXTDZ($A$1,$B96,AB$5,$B$1)</f>
        <v>-57.396000000000001</v>
      </c>
      <c r="AC96" s="55">
        <f>_xll.EQNXTDZ($A$1,$B96,AC$5,$B$1)</f>
        <v>0</v>
      </c>
      <c r="AD96" s="55">
        <f>_xll.EQNXTDZ($A$1,$B96,AD$5,$B$1)</f>
        <v>-56.906999999999996</v>
      </c>
      <c r="AE96" s="55">
        <f>_xll.EQNXTDZ($A$1,$B96,AE$5,$B$1)</f>
        <v>0</v>
      </c>
      <c r="AF96" s="55">
        <f>_xll.EQNXTDZ($A$1,$B96,AF$5,$B$1)</f>
        <v>-48.375</v>
      </c>
      <c r="AG96" s="55">
        <f>_xll.EQNXTDZ($A$1,$B96,AG$5,$B$1)</f>
        <v>0</v>
      </c>
      <c r="AH96" s="55">
        <f>_xll.EQNXTDZ($A$1,$B96,AH$5,$B$1)</f>
        <v>-48.14</v>
      </c>
      <c r="AI96" s="55">
        <f>_xll.EQNXTDZ($A$1,$B96,AI$5,$B$1)</f>
        <v>0</v>
      </c>
      <c r="AJ96" s="55">
        <f>_xll.EQNXTDZ($A$1,$B96,AJ$5,$B$1)</f>
        <v>-47.075000000000003</v>
      </c>
      <c r="AK96" s="55">
        <f>_xll.EQNXTDZ($A$1,$B96,AK$5,$B$1)</f>
        <v>0</v>
      </c>
      <c r="AL96" s="55">
        <f>_xll.EQNXTDZ($A$1,$B96,AL$5,$B$1)</f>
        <v>-49.823999999999998</v>
      </c>
      <c r="AM96" s="55">
        <f>_xll.EQNXTDZ($A$1,$B96,AM$5,$B$1)</f>
        <v>0</v>
      </c>
      <c r="AN96" s="55">
        <f>_xll.EQNXTDZ($A$1,$B96,AN$5,$B$1)</f>
        <v>-52.113</v>
      </c>
      <c r="AO96" s="55">
        <f>_xll.EQNXTDZ($A$1,$B96,AO$5,$B$1)</f>
        <v>0</v>
      </c>
      <c r="AP96" s="55">
        <f>_xll.EQNXTDZ($A$1,$B96,AP$5,$B$1)</f>
        <v>-41.13</v>
      </c>
      <c r="AQ96" s="55">
        <f>_xll.EQNXTDZ($A$1,$B96,AQ$5,$B$1)</f>
        <v>0</v>
      </c>
      <c r="AR96" s="55">
        <f>_xll.EQNXTDZ($A$1,$B96,AR$5,$B$1)</f>
        <v>-60.32</v>
      </c>
      <c r="AS96" s="55">
        <f>_xll.EQNXTDZ($A$1,$B96,AS$5,$B$1)</f>
        <v>0</v>
      </c>
      <c r="AT96" s="55">
        <f>_xll.EQNXTDZ($A$1,$B96,AT$5,$B$1)</f>
        <v>-96.31</v>
      </c>
      <c r="AU96" s="55">
        <f>_xll.EQNXTDZ($A$1,$B96,AU$5,$B$1)</f>
        <v>0</v>
      </c>
      <c r="AV96" s="55">
        <f>_xll.EQNXTDZ($A$1,$B96,AV$5,$B$1)</f>
        <v>-122</v>
      </c>
      <c r="AW96" s="55">
        <f>_xll.EQNXTDZ($A$1,$B96,AW$5,$B$1)</f>
        <v>0</v>
      </c>
      <c r="AX96" s="55">
        <f>_xll.EQNXTDZ($A$1,$B96,AX$5,$B$1)</f>
        <v>-143.32</v>
      </c>
      <c r="AY96" s="55">
        <f>_xll.EQNXTDZ($A$1,$B96,AY$5,$B$1)</f>
        <v>0</v>
      </c>
      <c r="AZ96" s="55">
        <f>_xll.EQNXTDZ($A$1,$B96,AZ$5,$B$1)</f>
        <v>-158.9</v>
      </c>
      <c r="BA96" s="55">
        <f>_xll.EQNXTDZ($A$1,$B96,BA$5,$B$1)</f>
        <v>0</v>
      </c>
      <c r="BB96" s="55">
        <f>_xll.EQNXTDZ($A$1,$B96,BB$5,$B$1)</f>
        <v>-168.92</v>
      </c>
      <c r="BC96" s="55">
        <f>_xll.EQNXTDZ($A$1,$B96,BC$5,$B$1)</f>
        <v>0</v>
      </c>
      <c r="BD96" s="55">
        <f>_xll.EQNXTDZ($A$1,$B96,BD$5,$B$1)</f>
        <v>-175.73</v>
      </c>
      <c r="BE96" s="55">
        <f>_xll.EQNXTDZ($A$1,$B96,BE$5,$B$1)</f>
        <v>0</v>
      </c>
      <c r="BF96" s="55">
        <f>_xll.EQNXTDZ($A$1,$B96,BF$5,$B$1)</f>
        <v>-177.31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1014.854</v>
      </c>
      <c r="E97" s="55">
        <f>_xll.EQNXTDZ($A$1,$B97,E$5,$B$1)</f>
        <v>0</v>
      </c>
      <c r="F97" s="55">
        <f>_xll.EQNXTDZ($A$1,$B97,F$5,$B$1)</f>
        <v>1035.7429999999999</v>
      </c>
      <c r="G97" s="55">
        <f>_xll.EQNXTDZ($A$1,$B97,G$5,$B$1)</f>
        <v>0</v>
      </c>
      <c r="H97" s="55">
        <f>_xll.EQNXTDZ($A$1,$B97,H$5,$B$1)</f>
        <v>1077.9870000000001</v>
      </c>
      <c r="I97" s="55">
        <f>_xll.EQNXTDZ($A$1,$B97,I$5,$B$1)</f>
        <v>0</v>
      </c>
      <c r="J97" s="55">
        <f>_xll.EQNXTDZ($A$1,$B97,J$5,$B$1)</f>
        <v>1055.4870000000001</v>
      </c>
      <c r="K97" s="55">
        <f>_xll.EQNXTDZ($A$1,$B97,K$5,$B$1)</f>
        <v>0</v>
      </c>
      <c r="L97" s="55">
        <f>_xll.EQNXTDZ($A$1,$B97,L$5,$B$1)</f>
        <v>1122.3720000000001</v>
      </c>
      <c r="M97" s="55">
        <f>_xll.EQNXTDZ($A$1,$B97,M$5,$B$1)</f>
        <v>0</v>
      </c>
      <c r="N97" s="55">
        <f>_xll.EQNXTDZ($A$1,$B97,N$5,$B$1)</f>
        <v>1007.298</v>
      </c>
      <c r="O97" s="55">
        <f>_xll.EQNXTDZ($A$1,$B97,O$5,$B$1)</f>
        <v>0</v>
      </c>
      <c r="P97" s="55">
        <f>_xll.EQNXTDZ($A$1,$B97,P$5,$B$1)</f>
        <v>1113.087</v>
      </c>
      <c r="Q97" s="55">
        <f>_xll.EQNXTDZ($A$1,$B97,Q$5,$B$1)</f>
        <v>0</v>
      </c>
      <c r="R97" s="55">
        <f>_xll.EQNXTDZ($A$1,$B97,R$5,$B$1)</f>
        <v>1199.742</v>
      </c>
      <c r="S97" s="55">
        <f>_xll.EQNXTDZ($A$1,$B97,S$5,$B$1)</f>
        <v>0</v>
      </c>
      <c r="T97" s="55">
        <f>_xll.EQNXTDZ($A$1,$B97,T$5,$B$1)</f>
        <v>1323.886</v>
      </c>
      <c r="U97" s="55">
        <f>_xll.EQNXTDZ($A$1,$B97,U$5,$B$1)</f>
        <v>0</v>
      </c>
      <c r="V97" s="55">
        <f>_xll.EQNXTDZ($A$1,$B97,V$5,$B$1)</f>
        <v>1382.348</v>
      </c>
      <c r="W97" s="55">
        <f>_xll.EQNXTDZ($A$1,$B97,W$5,$B$1)</f>
        <v>0</v>
      </c>
      <c r="X97" s="55">
        <f>_xll.EQNXTDZ($A$1,$B97,X$5,$B$1)</f>
        <v>1412.271</v>
      </c>
      <c r="Y97" s="55">
        <f>_xll.EQNXTDZ($A$1,$B97,Y$5,$B$1)</f>
        <v>0</v>
      </c>
      <c r="Z97" s="55">
        <f>_xll.EQNXTDZ($A$1,$B97,Z$5,$B$1)</f>
        <v>1457.6030000000001</v>
      </c>
      <c r="AA97" s="55">
        <f>_xll.EQNXTDZ($A$1,$B97,AA$5,$B$1)</f>
        <v>0</v>
      </c>
      <c r="AB97" s="55">
        <f>_xll.EQNXTDZ($A$1,$B97,AB$5,$B$1)</f>
        <v>1539.0440000000001</v>
      </c>
      <c r="AC97" s="55">
        <f>_xll.EQNXTDZ($A$1,$B97,AC$5,$B$1)</f>
        <v>0</v>
      </c>
      <c r="AD97" s="55">
        <f>_xll.EQNXTDZ($A$1,$B97,AD$5,$B$1)</f>
        <v>1490.857</v>
      </c>
      <c r="AE97" s="55">
        <f>_xll.EQNXTDZ($A$1,$B97,AE$5,$B$1)</f>
        <v>0</v>
      </c>
      <c r="AF97" s="55">
        <f>_xll.EQNXTDZ($A$1,$B97,AF$5,$B$1)</f>
        <v>1596.982</v>
      </c>
      <c r="AG97" s="55">
        <f>_xll.EQNXTDZ($A$1,$B97,AG$5,$B$1)</f>
        <v>0</v>
      </c>
      <c r="AH97" s="55">
        <f>_xll.EQNXTDZ($A$1,$B97,AH$5,$B$1)</f>
        <v>1452.575</v>
      </c>
      <c r="AI97" s="55">
        <f>_xll.EQNXTDZ($A$1,$B97,AI$5,$B$1)</f>
        <v>0</v>
      </c>
      <c r="AJ97" s="55">
        <f>_xll.EQNXTDZ($A$1,$B97,AJ$5,$B$1)</f>
        <v>1660.864</v>
      </c>
      <c r="AK97" s="55">
        <f>_xll.EQNXTDZ($A$1,$B97,AK$5,$B$1)</f>
        <v>0</v>
      </c>
      <c r="AL97" s="55">
        <f>_xll.EQNXTDZ($A$1,$B97,AL$5,$B$1)</f>
        <v>1836.0730000000001</v>
      </c>
      <c r="AM97" s="55">
        <f>_xll.EQNXTDZ($A$1,$B97,AM$5,$B$1)</f>
        <v>0</v>
      </c>
      <c r="AN97" s="55">
        <f>_xll.EQNXTDZ($A$1,$B97,AN$5,$B$1)</f>
        <v>2030.7370000000001</v>
      </c>
      <c r="AO97" s="55">
        <f>_xll.EQNXTDZ($A$1,$B97,AO$5,$B$1)</f>
        <v>0</v>
      </c>
      <c r="AP97" s="55">
        <f>_xll.EQNXTDZ($A$1,$B97,AP$5,$B$1)</f>
        <v>2176.12</v>
      </c>
      <c r="AQ97" s="55">
        <f>_xll.EQNXTDZ($A$1,$B97,AQ$5,$B$1)</f>
        <v>0</v>
      </c>
      <c r="AR97" s="55">
        <f>_xll.EQNXTDZ($A$1,$B97,AR$5,$B$1)</f>
        <v>2581.86</v>
      </c>
      <c r="AS97" s="55">
        <f>_xll.EQNXTDZ($A$1,$B97,AS$5,$B$1)</f>
        <v>0</v>
      </c>
      <c r="AT97" s="55">
        <f>_xll.EQNXTDZ($A$1,$B97,AT$5,$B$1)</f>
        <v>2896.6</v>
      </c>
      <c r="AU97" s="55">
        <f>_xll.EQNXTDZ($A$1,$B97,AU$5,$B$1)</f>
        <v>0</v>
      </c>
      <c r="AV97" s="55">
        <f>_xll.EQNXTDZ($A$1,$B97,AV$5,$B$1)</f>
        <v>3029.08</v>
      </c>
      <c r="AW97" s="55">
        <f>_xll.EQNXTDZ($A$1,$B97,AW$5,$B$1)</f>
        <v>0</v>
      </c>
      <c r="AX97" s="55">
        <f>_xll.EQNXTDZ($A$1,$B97,AX$5,$B$1)</f>
        <v>2976.7</v>
      </c>
      <c r="AY97" s="55">
        <f>_xll.EQNXTDZ($A$1,$B97,AY$5,$B$1)</f>
        <v>0</v>
      </c>
      <c r="AZ97" s="55">
        <f>_xll.EQNXTDZ($A$1,$B97,AZ$5,$B$1)</f>
        <v>3243.37</v>
      </c>
      <c r="BA97" s="55">
        <f>_xll.EQNXTDZ($A$1,$B97,BA$5,$B$1)</f>
        <v>0</v>
      </c>
      <c r="BB97" s="55">
        <f>_xll.EQNXTDZ($A$1,$B97,BB$5,$B$1)</f>
        <v>3464.11</v>
      </c>
      <c r="BC97" s="55">
        <f>_xll.EQNXTDZ($A$1,$B97,BC$5,$B$1)</f>
        <v>0</v>
      </c>
      <c r="BD97" s="55">
        <f>_xll.EQNXTDZ($A$1,$B97,BD$5,$B$1)</f>
        <v>3854.95</v>
      </c>
      <c r="BE97" s="55">
        <f>_xll.EQNXTDZ($A$1,$B97,BE$5,$B$1)</f>
        <v>0</v>
      </c>
      <c r="BF97" s="55">
        <f>_xll.EQNXTDZ($A$1,$B97,BF$5,$B$1)</f>
        <v>4193.29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106943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JB Chemicals &amp; Pharmaceuticals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237.53200000000001</v>
      </c>
      <c r="D6" s="100">
        <f>_xll.EQNXTDZ($A$1,$B6,D$1,$B$1)</f>
        <v>276.04360000000003</v>
      </c>
      <c r="E6" s="100">
        <f>_xll.EQNXTDZ($A$1,$B6,E$1,$B$1)</f>
        <v>292.798</v>
      </c>
      <c r="F6" s="100">
        <f>_xll.EQNXTDZ($A$1,$B6,F$1,$B$1)</f>
        <v>319.1696</v>
      </c>
      <c r="G6" s="100">
        <f>_xll.EQNXTDZ($A$1,$B6,G$1,$B$1)</f>
        <v>373.47359999999998</v>
      </c>
      <c r="H6" s="100">
        <f>_xll.EQNXTDZ($A$1,$B6,H$1,$B$1)</f>
        <v>482.36720000000003</v>
      </c>
      <c r="I6" s="100">
        <f>_xll.EQNXTDZ($A$1,$B6,I$1,$B$1)</f>
        <v>543.15260000000001</v>
      </c>
      <c r="J6" s="100">
        <f>_xll.EQNXTDZ($A$1,$B6,J$1,$B$1)</f>
        <v>584.02570000000003</v>
      </c>
      <c r="K6" s="100">
        <f>_xll.EQNXTDZ($A$1,$B6,K$1,$B$1)</f>
        <v>725.20579999999995</v>
      </c>
      <c r="L6" s="100">
        <f>_xll.EQNXTDZ($A$1,$B6,L$1,$B$1)</f>
        <v>762.73180000000002</v>
      </c>
      <c r="M6" s="100">
        <f>_xll.EQNXTDZ($A$1,$B6,M$1,$B$1)</f>
        <v>896.94899999999996</v>
      </c>
      <c r="N6" s="100">
        <f>_xll.EQNXTDZ($A$1,$B6,N$1,$B$1)</f>
        <v>809.25340000000006</v>
      </c>
      <c r="O6" s="100">
        <f>_xll.EQNXTDZ($A$1,$B6,O$1,$B$1)</f>
        <v>876.46770000000004</v>
      </c>
      <c r="P6" s="100">
        <f>_xll.EQNXTDZ($A$1,$B6,P$1,$B$1)</f>
        <v>1034.3891000000001</v>
      </c>
      <c r="Q6" s="100">
        <f>_xll.EQNXTDZ($A$1,$B6,Q$1,$B$1)</f>
        <v>1158.7817</v>
      </c>
      <c r="R6" s="100">
        <f>_xll.EQNXTDZ($A$1,$B6,R$1,$B$1)</f>
        <v>1231.5831000000001</v>
      </c>
      <c r="S6" s="100">
        <f>_xll.EQNXTDZ($A$1,$B6,S$1,$B$1)</f>
        <v>1368.317</v>
      </c>
      <c r="T6" s="100">
        <f>_xll.EQNXTDZ($A$1,$B6,T$1,$B$1)</f>
        <v>1413.7678000000001</v>
      </c>
      <c r="U6" s="100">
        <f>_xll.EQNXTDZ($A$1,$B6,U$1,$B$1)</f>
        <v>1643.2003999999999</v>
      </c>
      <c r="V6" s="100">
        <f>_xll.EQNXTDZ($A$1,$B6,V$1,$B$1)</f>
        <v>1774.7291</v>
      </c>
      <c r="W6" s="100">
        <f>_xll.EQNXTDZ($A$1,$B6,W$1,$B$1)</f>
        <v>2042.5215000000001</v>
      </c>
      <c r="X6" s="100">
        <f>_xll.EQNXTDZ($A$1,$B6,X$1,$B$1)</f>
        <v>2488.1925999999999</v>
      </c>
      <c r="Y6" s="100">
        <f>_xll.EQNXTDZ($A$1,$B6,Y$1,$B$1)</f>
        <v>3269.4513999999999</v>
      </c>
      <c r="Z6" s="100">
        <f>_xll.EQNXTDZ($A$1,$B6,Z$1,$B$1)</f>
        <v>3604.6023</v>
      </c>
      <c r="AA6" s="100">
        <f>_xll.EQNXTDZ($A$1,$B6,AA$1,$B$1)</f>
        <v>3776.4245999999998</v>
      </c>
      <c r="AB6" s="100">
        <f>_xll.EQNXTDZ($A$1,$B6,AB$1,$B$1)</f>
        <v>4006.2278000000001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63.948799999999999</v>
      </c>
      <c r="Y8" s="100">
        <f>_xll.EQNXTDZ($A$1,$B8,Y$1,$B$1)</f>
        <v>120.1686</v>
      </c>
      <c r="Z8" s="100">
        <f>_xll.EQNXTDZ($A$1,$B8,Z$1,$B$1)</f>
        <v>120.41849999999999</v>
      </c>
      <c r="AA8" s="100">
        <f>_xll.EQNXTDZ($A$1,$B8,AA$1,$B$1)</f>
        <v>-141.56399999999999</v>
      </c>
      <c r="AB8" s="100">
        <f>_xll.EQNXTDZ($A$1,$B8,AB$1,$B$1)</f>
        <v>-141.5641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12.8672</v>
      </c>
      <c r="D9" s="100">
        <f>_xll.EQNXTDZ($A$1,$B9,D$1,$B$1)</f>
        <v>15.5306</v>
      </c>
      <c r="E9" s="100">
        <f>_xll.EQNXTDZ($A$1,$B9,E$1,$B$1)</f>
        <v>18.021799999999999</v>
      </c>
      <c r="F9" s="100">
        <f>_xll.EQNXTDZ($A$1,$B9,F$1,$B$1)</f>
        <v>16.310199999999998</v>
      </c>
      <c r="G9" s="100">
        <f>_xll.EQNXTDZ($A$1,$B9,G$1,$B$1)</f>
        <v>17.9162</v>
      </c>
      <c r="H9" s="100">
        <f>_xll.EQNXTDZ($A$1,$B9,H$1,$B$1)</f>
        <v>20.9556</v>
      </c>
      <c r="I9" s="100">
        <f>_xll.EQNXTDZ($A$1,$B9,I$1,$B$1)</f>
        <v>25.175000000000001</v>
      </c>
      <c r="J9" s="100">
        <f>_xll.EQNXTDZ($A$1,$B9,J$1,$B$1)</f>
        <v>19.371400000000001</v>
      </c>
      <c r="K9" s="100">
        <f>_xll.EQNXTDZ($A$1,$B9,K$1,$B$1)</f>
        <v>8.1146999999999991</v>
      </c>
      <c r="L9" s="100">
        <f>_xll.EQNXTDZ($A$1,$B9,L$1,$B$1)</f>
        <v>5.8479000000000001</v>
      </c>
      <c r="M9" s="100">
        <f>_xll.EQNXTDZ($A$1,$B9,M$1,$B$1)</f>
        <v>6.1585000000000001</v>
      </c>
      <c r="N9" s="100">
        <f>_xll.EQNXTDZ($A$1,$B9,N$1,$B$1)</f>
        <v>7.3849999999999998</v>
      </c>
      <c r="O9" s="100">
        <f>_xll.EQNXTDZ($A$1,$B9,O$1,$B$1)</f>
        <v>10.3421</v>
      </c>
      <c r="P9" s="100">
        <f>_xll.EQNXTDZ($A$1,$B9,P$1,$B$1)</f>
        <v>12.5244</v>
      </c>
      <c r="Q9" s="100">
        <f>_xll.EQNXTDZ($A$1,$B9,Q$1,$B$1)</f>
        <v>14.5669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224.66480000000001</v>
      </c>
      <c r="D10" s="100">
        <f>_xll.EQNXTDZ($A$1,$B10,D$1,$B$1)</f>
        <v>260.51299999999998</v>
      </c>
      <c r="E10" s="100">
        <f>_xll.EQNXTDZ($A$1,$B10,E$1,$B$1)</f>
        <v>274.77620000000002</v>
      </c>
      <c r="F10" s="100">
        <f>_xll.EQNXTDZ($A$1,$B10,F$1,$B$1)</f>
        <v>302.85939999999999</v>
      </c>
      <c r="G10" s="100">
        <f>_xll.EQNXTDZ($A$1,$B10,G$1,$B$1)</f>
        <v>355.55739999999997</v>
      </c>
      <c r="H10" s="100">
        <f>_xll.EQNXTDZ($A$1,$B10,H$1,$B$1)</f>
        <v>461.41160000000002</v>
      </c>
      <c r="I10" s="100">
        <f>_xll.EQNXTDZ($A$1,$B10,I$1,$B$1)</f>
        <v>517.97760000000005</v>
      </c>
      <c r="J10" s="100">
        <f>_xll.EQNXTDZ($A$1,$B10,J$1,$B$1)</f>
        <v>564.65430000000003</v>
      </c>
      <c r="K10" s="100">
        <f>_xll.EQNXTDZ($A$1,$B10,K$1,$B$1)</f>
        <v>717.09109999999998</v>
      </c>
      <c r="L10" s="100">
        <f>_xll.EQNXTDZ($A$1,$B10,L$1,$B$1)</f>
        <v>756.88390000000004</v>
      </c>
      <c r="M10" s="100">
        <f>_xll.EQNXTDZ($A$1,$B10,M$1,$B$1)</f>
        <v>890.79049999999995</v>
      </c>
      <c r="N10" s="100">
        <f>_xll.EQNXTDZ($A$1,$B10,N$1,$B$1)</f>
        <v>801.86839999999995</v>
      </c>
      <c r="O10" s="100">
        <f>_xll.EQNXTDZ($A$1,$B10,O$1,$B$1)</f>
        <v>866.12559999999996</v>
      </c>
      <c r="P10" s="100">
        <f>_xll.EQNXTDZ($A$1,$B10,P$1,$B$1)</f>
        <v>1021.8647</v>
      </c>
      <c r="Q10" s="100">
        <f>_xll.EQNXTDZ($A$1,$B10,Q$1,$B$1)</f>
        <v>1144.2148</v>
      </c>
      <c r="R10" s="100">
        <f>_xll.EQNXTDZ($A$1,$B10,R$1,$B$1)</f>
        <v>1231.5831000000001</v>
      </c>
      <c r="S10" s="100">
        <f>_xll.EQNXTDZ($A$1,$B10,S$1,$B$1)</f>
        <v>1368.317</v>
      </c>
      <c r="T10" s="100">
        <f>_xll.EQNXTDZ($A$1,$B10,T$1,$B$1)</f>
        <v>1413.7678000000001</v>
      </c>
      <c r="U10" s="100">
        <f>_xll.EQNXTDZ($A$1,$B10,U$1,$B$1)</f>
        <v>1643.2003999999999</v>
      </c>
      <c r="V10" s="100">
        <f>_xll.EQNXTDZ($A$1,$B10,V$1,$B$1)</f>
        <v>1774.7291</v>
      </c>
      <c r="W10" s="100">
        <f>_xll.EQNXTDZ($A$1,$B10,W$1,$B$1)</f>
        <v>2042.5215000000001</v>
      </c>
      <c r="X10" s="100">
        <f>_xll.EQNXTDZ($A$1,$B10,X$1,$B$1)</f>
        <v>2424.2438000000002</v>
      </c>
      <c r="Y10" s="100">
        <f>_xll.EQNXTDZ($A$1,$B10,Y$1,$B$1)</f>
        <v>3149.2828</v>
      </c>
      <c r="Z10" s="100">
        <f>_xll.EQNXTDZ($A$1,$B10,Z$1,$B$1)</f>
        <v>3484.1837999999998</v>
      </c>
      <c r="AA10" s="100">
        <f>_xll.EQNXTDZ($A$1,$B10,AA$1,$B$1)</f>
        <v>3917.9886000000001</v>
      </c>
      <c r="AB10" s="100">
        <f>_xll.EQNXTDZ($A$1,$B10,AB$1,$B$1)</f>
        <v>4147.7919000000002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3.6073</v>
      </c>
      <c r="D11" s="100">
        <f>_xll.EQNXTDZ($A$1,$B11,D$1,$B$1)</f>
        <v>-1.0101</v>
      </c>
      <c r="E11" s="100">
        <f>_xll.EQNXTDZ($A$1,$B11,E$1,$B$1)</f>
        <v>-4.1064999999999996</v>
      </c>
      <c r="F11" s="100">
        <f>_xll.EQNXTDZ($A$1,$B11,F$1,$B$1)</f>
        <v>-6.4619</v>
      </c>
      <c r="G11" s="100">
        <f>_xll.EQNXTDZ($A$1,$B11,G$1,$B$1)</f>
        <v>-8.7596000000000007</v>
      </c>
      <c r="H11" s="100">
        <f>_xll.EQNXTDZ($A$1,$B11,H$1,$B$1)</f>
        <v>-7.6863999999999999</v>
      </c>
      <c r="I11" s="100">
        <f>_xll.EQNXTDZ($A$1,$B11,I$1,$B$1)</f>
        <v>-10.6137</v>
      </c>
      <c r="J11" s="100">
        <f>_xll.EQNXTDZ($A$1,$B11,J$1,$B$1)</f>
        <v>9.6194000000000006</v>
      </c>
      <c r="K11" s="100">
        <f>_xll.EQNXTDZ($A$1,$B11,K$1,$B$1)</f>
        <v>2.7075</v>
      </c>
      <c r="L11" s="100">
        <f>_xll.EQNXTDZ($A$1,$B11,L$1,$B$1)</f>
        <v>11.7179</v>
      </c>
      <c r="M11" s="100">
        <f>_xll.EQNXTDZ($A$1,$B11,M$1,$B$1)</f>
        <v>-15.6936</v>
      </c>
      <c r="N11" s="100">
        <f>_xll.EQNXTDZ($A$1,$B11,N$1,$B$1)</f>
        <v>16.901700000000002</v>
      </c>
      <c r="O11" s="100">
        <f>_xll.EQNXTDZ($A$1,$B11,O$1,$B$1)</f>
        <v>2.7441</v>
      </c>
      <c r="P11" s="100">
        <f>_xll.EQNXTDZ($A$1,$B11,P$1,$B$1)</f>
        <v>-14.9343</v>
      </c>
      <c r="Q11" s="100">
        <f>_xll.EQNXTDZ($A$1,$B11,Q$1,$B$1)</f>
        <v>-12.249599999999999</v>
      </c>
      <c r="R11" s="100">
        <f>_xll.EQNXTDZ($A$1,$B11,R$1,$B$1)</f>
        <v>7.7012999999999998</v>
      </c>
      <c r="S11" s="100">
        <f>_xll.EQNXTDZ($A$1,$B11,S$1,$B$1)</f>
        <v>32.464399999999998</v>
      </c>
      <c r="T11" s="100">
        <f>_xll.EQNXTDZ($A$1,$B11,T$1,$B$1)</f>
        <v>-1.9966999999999999</v>
      </c>
      <c r="U11" s="100">
        <f>_xll.EQNXTDZ($A$1,$B11,U$1,$B$1)</f>
        <v>-19.299800000000001</v>
      </c>
      <c r="V11" s="100">
        <f>_xll.EQNXTDZ($A$1,$B11,V$1,$B$1)</f>
        <v>-3.9927000000000001</v>
      </c>
      <c r="W11" s="100">
        <f>_xll.EQNXTDZ($A$1,$B11,W$1,$B$1)</f>
        <v>-41.257100000000001</v>
      </c>
      <c r="X11" s="100">
        <f>_xll.EQNXTDZ($A$1,$B11,X$1,$B$1)</f>
        <v>-17.446899999999999</v>
      </c>
      <c r="Y11" s="100">
        <f>_xll.EQNXTDZ($A$1,$B11,Y$1,$B$1)</f>
        <v>-11.000500000000001</v>
      </c>
      <c r="Z11" s="100">
        <f>_xll.EQNXTDZ($A$1,$B11,Z$1,$B$1)</f>
        <v>-46.845999999999997</v>
      </c>
      <c r="AA11" s="100">
        <f>_xll.EQNXTDZ($A$1,$B11,AA$1,$B$1)</f>
        <v>-0.42509999999999998</v>
      </c>
      <c r="AB11" s="100">
        <f>_xll.EQNXTDZ($A$1,$B11,AB$1,$B$1)</f>
        <v>-94.074200000000005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64.748199999999997</v>
      </c>
      <c r="D12" s="100">
        <f>_xll.EQNXTDZ($A$1,$B12,D$1,$B$1)</f>
        <v>66.377600000000001</v>
      </c>
      <c r="E12" s="100">
        <f>_xll.EQNXTDZ($A$1,$B12,E$1,$B$1)</f>
        <v>69.469200000000001</v>
      </c>
      <c r="F12" s="100">
        <f>_xll.EQNXTDZ($A$1,$B12,F$1,$B$1)</f>
        <v>78.0672</v>
      </c>
      <c r="G12" s="100">
        <f>_xll.EQNXTDZ($A$1,$B12,G$1,$B$1)</f>
        <v>83.969099999999997</v>
      </c>
      <c r="H12" s="100">
        <f>_xll.EQNXTDZ($A$1,$B12,H$1,$B$1)</f>
        <v>115.9071</v>
      </c>
      <c r="I12" s="100">
        <f>_xll.EQNXTDZ($A$1,$B12,I$1,$B$1)</f>
        <v>131.8167</v>
      </c>
      <c r="J12" s="100">
        <f>_xll.EQNXTDZ($A$1,$B12,J$1,$B$1)</f>
        <v>131.494</v>
      </c>
      <c r="K12" s="100">
        <f>_xll.EQNXTDZ($A$1,$B12,K$1,$B$1)</f>
        <v>184.90809999999999</v>
      </c>
      <c r="L12" s="100">
        <f>_xll.EQNXTDZ($A$1,$B12,L$1,$B$1)</f>
        <v>166.99539999999999</v>
      </c>
      <c r="M12" s="100">
        <f>_xll.EQNXTDZ($A$1,$B12,M$1,$B$1)</f>
        <v>292.73149999999998</v>
      </c>
      <c r="N12" s="100">
        <f>_xll.EQNXTDZ($A$1,$B12,N$1,$B$1)</f>
        <v>303.16699999999997</v>
      </c>
      <c r="O12" s="100">
        <f>_xll.EQNXTDZ($A$1,$B12,O$1,$B$1)</f>
        <v>368.78179999999998</v>
      </c>
      <c r="P12" s="100">
        <f>_xll.EQNXTDZ($A$1,$B12,P$1,$B$1)</f>
        <v>328.81869999999998</v>
      </c>
      <c r="Q12" s="100">
        <f>_xll.EQNXTDZ($A$1,$B12,Q$1,$B$1)</f>
        <v>353.6499</v>
      </c>
      <c r="R12" s="100">
        <f>_xll.EQNXTDZ($A$1,$B12,R$1,$B$1)</f>
        <v>483.70690000000002</v>
      </c>
      <c r="S12" s="100">
        <f>_xll.EQNXTDZ($A$1,$B12,S$1,$B$1)</f>
        <v>519.53599999999994</v>
      </c>
      <c r="T12" s="100">
        <f>_xll.EQNXTDZ($A$1,$B12,T$1,$B$1)</f>
        <v>544.41240000000005</v>
      </c>
      <c r="U12" s="100">
        <f>_xll.EQNXTDZ($A$1,$B12,U$1,$B$1)</f>
        <v>615.75879999999995</v>
      </c>
      <c r="V12" s="100">
        <f>_xll.EQNXTDZ($A$1,$B12,V$1,$B$1)</f>
        <v>634.78809999999999</v>
      </c>
      <c r="W12" s="100">
        <f>_xll.EQNXTDZ($A$1,$B12,W$1,$B$1)</f>
        <v>742.75609999999995</v>
      </c>
      <c r="X12" s="100">
        <f>_xll.EQNXTDZ($A$1,$B12,X$1,$B$1)</f>
        <v>860.38099999999997</v>
      </c>
      <c r="Y12" s="100">
        <f>_xll.EQNXTDZ($A$1,$B12,Y$1,$B$1)</f>
        <v>1179.2021999999999</v>
      </c>
      <c r="Z12" s="100">
        <f>_xll.EQNXTDZ($A$1,$B12,Z$1,$B$1)</f>
        <v>1228.9023</v>
      </c>
      <c r="AA12" s="100">
        <f>_xll.EQNXTDZ($A$1,$B12,AA$1,$B$1)</f>
        <v>1316.9748</v>
      </c>
      <c r="AB12" s="100">
        <f>_xll.EQNXTDZ($A$1,$B12,AB$1,$B$1)</f>
        <v>1390.3416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8.1624999999999996</v>
      </c>
      <c r="D13" s="100">
        <f>_xll.EQNXTDZ($A$1,$B13,D$1,$B$1)</f>
        <v>8.1155000000000008</v>
      </c>
      <c r="E13" s="100">
        <f>_xll.EQNXTDZ($A$1,$B13,E$1,$B$1)</f>
        <v>8.6542999999999992</v>
      </c>
      <c r="F13" s="100">
        <f>_xll.EQNXTDZ($A$1,$B13,F$1,$B$1)</f>
        <v>9.6753</v>
      </c>
      <c r="G13" s="100">
        <f>_xll.EQNXTDZ($A$1,$B13,G$1,$B$1)</f>
        <v>10.859299999999999</v>
      </c>
      <c r="H13" s="100">
        <f>_xll.EQNXTDZ($A$1,$B13,H$1,$B$1)</f>
        <v>12.4643</v>
      </c>
      <c r="I13" s="100">
        <f>_xll.EQNXTDZ($A$1,$B13,I$1,$B$1)</f>
        <v>13.523999999999999</v>
      </c>
      <c r="J13" s="100">
        <f>_xll.EQNXTDZ($A$1,$B13,J$1,$B$1)</f>
        <v>16.5884</v>
      </c>
      <c r="K13" s="100">
        <f>_xll.EQNXTDZ($A$1,$B13,K$1,$B$1)</f>
        <v>15.9688</v>
      </c>
      <c r="L13" s="100">
        <f>_xll.EQNXTDZ($A$1,$B13,L$1,$B$1)</f>
        <v>18.035</v>
      </c>
      <c r="M13" s="100">
        <f>_xll.EQNXTDZ($A$1,$B13,M$1,$B$1)</f>
        <v>23.341699999999999</v>
      </c>
      <c r="N13" s="100">
        <f>_xll.EQNXTDZ($A$1,$B13,N$1,$B$1)</f>
        <v>29.885000000000002</v>
      </c>
      <c r="O13" s="100">
        <f>_xll.EQNXTDZ($A$1,$B13,O$1,$B$1)</f>
        <v>39.747700000000002</v>
      </c>
      <c r="P13" s="100">
        <f>_xll.EQNXTDZ($A$1,$B13,P$1,$B$1)</f>
        <v>46.6051</v>
      </c>
      <c r="Q13" s="100">
        <f>_xll.EQNXTDZ($A$1,$B13,Q$1,$B$1)</f>
        <v>53.016399999999997</v>
      </c>
      <c r="R13" s="100">
        <f>_xll.EQNXTDZ($A$1,$B13,R$1,$B$1)</f>
        <v>55.2834</v>
      </c>
      <c r="S13" s="100">
        <f>_xll.EQNXTDZ($A$1,$B13,S$1,$B$1)</f>
        <v>54.891399999999997</v>
      </c>
      <c r="T13" s="100">
        <f>_xll.EQNXTDZ($A$1,$B13,T$1,$B$1)</f>
        <v>58.280299999999997</v>
      </c>
      <c r="U13" s="100">
        <f>_xll.EQNXTDZ($A$1,$B13,U$1,$B$1)</f>
        <v>63.286000000000001</v>
      </c>
      <c r="V13" s="100">
        <f>_xll.EQNXTDZ($A$1,$B13,V$1,$B$1)</f>
        <v>61.5396</v>
      </c>
      <c r="W13" s="100">
        <f>_xll.EQNXTDZ($A$1,$B13,W$1,$B$1)</f>
        <v>62.604900000000001</v>
      </c>
      <c r="X13" s="100">
        <f>_xll.EQNXTDZ($A$1,$B13,X$1,$B$1)</f>
        <v>71.472899999999996</v>
      </c>
      <c r="Y13" s="100">
        <f>_xll.EQNXTDZ($A$1,$B13,Y$1,$B$1)</f>
        <v>91.543899999999994</v>
      </c>
      <c r="Z13" s="100">
        <f>_xll.EQNXTDZ($A$1,$B13,Z$1,$B$1)</f>
        <v>88.0839</v>
      </c>
      <c r="AA13" s="100">
        <f>_xll.EQNXTDZ($A$1,$B13,AA$1,$B$1)</f>
        <v>83.950800000000001</v>
      </c>
      <c r="AB13" s="100">
        <f>_xll.EQNXTDZ($A$1,$B13,AB$1,$B$1)</f>
        <v>84.011200000000002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23.301300000000001</v>
      </c>
      <c r="D14" s="100">
        <f>_xll.EQNXTDZ($A$1,$B14,D$1,$B$1)</f>
        <v>24.450600000000001</v>
      </c>
      <c r="E14" s="100">
        <f>_xll.EQNXTDZ($A$1,$B14,E$1,$B$1)</f>
        <v>28.279499999999999</v>
      </c>
      <c r="F14" s="100">
        <f>_xll.EQNXTDZ($A$1,$B14,F$1,$B$1)</f>
        <v>33.0916</v>
      </c>
      <c r="G14" s="100">
        <f>_xll.EQNXTDZ($A$1,$B14,G$1,$B$1)</f>
        <v>43.175400000000003</v>
      </c>
      <c r="H14" s="100">
        <f>_xll.EQNXTDZ($A$1,$B14,H$1,$B$1)</f>
        <v>51.813699999999997</v>
      </c>
      <c r="I14" s="100">
        <f>_xll.EQNXTDZ($A$1,$B14,I$1,$B$1)</f>
        <v>77.326300000000003</v>
      </c>
      <c r="J14" s="100">
        <f>_xll.EQNXTDZ($A$1,$B14,J$1,$B$1)</f>
        <v>85.834699999999998</v>
      </c>
      <c r="K14" s="100">
        <f>_xll.EQNXTDZ($A$1,$B14,K$1,$B$1)</f>
        <v>87.823999999999998</v>
      </c>
      <c r="L14" s="100">
        <f>_xll.EQNXTDZ($A$1,$B14,L$1,$B$1)</f>
        <v>91.709299999999999</v>
      </c>
      <c r="M14" s="100">
        <f>_xll.EQNXTDZ($A$1,$B14,M$1,$B$1)</f>
        <v>124.93300000000001</v>
      </c>
      <c r="N14" s="100">
        <f>_xll.EQNXTDZ($A$1,$B14,N$1,$B$1)</f>
        <v>112.66330000000001</v>
      </c>
      <c r="O14" s="100">
        <f>_xll.EQNXTDZ($A$1,$B14,O$1,$B$1)</f>
        <v>130.0453</v>
      </c>
      <c r="P14" s="100">
        <f>_xll.EQNXTDZ($A$1,$B14,P$1,$B$1)</f>
        <v>143.666</v>
      </c>
      <c r="Q14" s="100">
        <f>_xll.EQNXTDZ($A$1,$B14,Q$1,$B$1)</f>
        <v>159.55629999999999</v>
      </c>
      <c r="R14" s="100">
        <f>_xll.EQNXTDZ($A$1,$B14,R$1,$B$1)</f>
        <v>175.30680000000001</v>
      </c>
      <c r="S14" s="100">
        <f>_xll.EQNXTDZ($A$1,$B14,S$1,$B$1)</f>
        <v>217.3416</v>
      </c>
      <c r="T14" s="100">
        <f>_xll.EQNXTDZ($A$1,$B14,T$1,$B$1)</f>
        <v>251.09870000000001</v>
      </c>
      <c r="U14" s="100">
        <f>_xll.EQNXTDZ($A$1,$B14,U$1,$B$1)</f>
        <v>288.17590000000001</v>
      </c>
      <c r="V14" s="100">
        <f>_xll.EQNXTDZ($A$1,$B14,V$1,$B$1)</f>
        <v>322.91669999999999</v>
      </c>
      <c r="W14" s="100">
        <f>_xll.EQNXTDZ($A$1,$B14,W$1,$B$1)</f>
        <v>340.60090000000002</v>
      </c>
      <c r="X14" s="100">
        <f>_xll.EQNXTDZ($A$1,$B14,X$1,$B$1)</f>
        <v>439.24220000000003</v>
      </c>
      <c r="Y14" s="100">
        <f>_xll.EQNXTDZ($A$1,$B14,Y$1,$B$1)</f>
        <v>543.45100000000002</v>
      </c>
      <c r="Z14" s="100">
        <f>_xll.EQNXTDZ($A$1,$B14,Z$1,$B$1)</f>
        <v>601.41110000000003</v>
      </c>
      <c r="AA14" s="100">
        <f>_xll.EQNXTDZ($A$1,$B14,AA$1,$B$1)</f>
        <v>687.6078</v>
      </c>
      <c r="AB14" s="100">
        <f>_xll.EQNXTDZ($A$1,$B14,AB$1,$B$1)</f>
        <v>772.70249999999999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40.666200000000003</v>
      </c>
      <c r="D15" s="100">
        <f>_xll.EQNXTDZ($A$1,$B15,D$1,$B$1)</f>
        <v>50.709800000000001</v>
      </c>
      <c r="E15" s="100">
        <f>_xll.EQNXTDZ($A$1,$B15,E$1,$B$1)</f>
        <v>51.692500000000003</v>
      </c>
      <c r="F15" s="100">
        <f>_xll.EQNXTDZ($A$1,$B15,F$1,$B$1)</f>
        <v>43.416899999999998</v>
      </c>
      <c r="G15" s="100">
        <f>_xll.EQNXTDZ($A$1,$B15,G$1,$B$1)</f>
        <v>50.185699999999997</v>
      </c>
      <c r="H15" s="100">
        <f>_xll.EQNXTDZ($A$1,$B15,H$1,$B$1)</f>
        <v>66.058700000000002</v>
      </c>
      <c r="I15" s="100">
        <f>_xll.EQNXTDZ($A$1,$B15,I$1,$B$1)</f>
        <v>78.402600000000007</v>
      </c>
      <c r="J15" s="100">
        <f>_xll.EQNXTDZ($A$1,$B15,J$1,$B$1)</f>
        <v>77.488799999999998</v>
      </c>
      <c r="K15" s="100">
        <f>_xll.EQNXTDZ($A$1,$B15,K$1,$B$1)</f>
        <v>107.99509999999999</v>
      </c>
      <c r="L15" s="100">
        <f>_xll.EQNXTDZ($A$1,$B15,L$1,$B$1)</f>
        <v>102.7394</v>
      </c>
      <c r="M15" s="100">
        <f>_xll.EQNXTDZ($A$1,$B15,M$1,$B$1)</f>
        <v>60.847000000000001</v>
      </c>
      <c r="N15" s="100">
        <f>_xll.EQNXTDZ($A$1,$B15,N$1,$B$1)</f>
        <v>52.974699999999999</v>
      </c>
      <c r="O15" s="100">
        <f>_xll.EQNXTDZ($A$1,$B15,O$1,$B$1)</f>
        <v>61.748100000000001</v>
      </c>
      <c r="P15" s="100">
        <f>_xll.EQNXTDZ($A$1,$B15,P$1,$B$1)</f>
        <v>202.50659999999999</v>
      </c>
      <c r="Q15" s="100">
        <f>_xll.EQNXTDZ($A$1,$B15,Q$1,$B$1)</f>
        <v>223.52969999999999</v>
      </c>
      <c r="R15" s="100">
        <f>_xll.EQNXTDZ($A$1,$B15,R$1,$B$1)</f>
        <v>119.35469999999999</v>
      </c>
      <c r="S15" s="100">
        <f>_xll.EQNXTDZ($A$1,$B15,S$1,$B$1)</f>
        <v>131.447</v>
      </c>
      <c r="T15" s="100">
        <f>_xll.EQNXTDZ($A$1,$B15,T$1,$B$1)</f>
        <v>139.82929999999999</v>
      </c>
      <c r="U15" s="100">
        <f>_xll.EQNXTDZ($A$1,$B15,U$1,$B$1)</f>
        <v>150.49100000000001</v>
      </c>
      <c r="V15" s="100">
        <f>_xll.EQNXTDZ($A$1,$B15,V$1,$B$1)</f>
        <v>140.7013</v>
      </c>
      <c r="W15" s="100">
        <f>_xll.EQNXTDZ($A$1,$B15,W$1,$B$1)</f>
        <v>148.68350000000001</v>
      </c>
      <c r="X15" s="100">
        <f>_xll.EQNXTDZ($A$1,$B15,X$1,$B$1)</f>
        <v>194.0034</v>
      </c>
      <c r="Y15" s="100">
        <f>_xll.EQNXTDZ($A$1,$B15,Y$1,$B$1)</f>
        <v>210.91059999999999</v>
      </c>
      <c r="Z15" s="100">
        <f>_xll.EQNXTDZ($A$1,$B15,Z$1,$B$1)</f>
        <v>234.81780000000001</v>
      </c>
      <c r="AA15" s="100">
        <f>_xll.EQNXTDZ($A$1,$B15,AA$1,$B$1)</f>
        <v>286.9486</v>
      </c>
      <c r="AB15" s="100">
        <f>_xll.EQNXTDZ($A$1,$B15,AB$1,$B$1)</f>
        <v>291.35149999999999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11.9254</v>
      </c>
      <c r="D17" s="100">
        <f>_xll.EQNXTDZ($A$1,$B17,D$1,$B$1)</f>
        <v>15.146599999999999</v>
      </c>
      <c r="E17" s="100">
        <f>_xll.EQNXTDZ($A$1,$B17,E$1,$B$1)</f>
        <v>17.2349</v>
      </c>
      <c r="F17" s="100">
        <f>_xll.EQNXTDZ($A$1,$B17,F$1,$B$1)</f>
        <v>19.410499999999999</v>
      </c>
      <c r="G17" s="100">
        <f>_xll.EQNXTDZ($A$1,$B17,G$1,$B$1)</f>
        <v>22.681100000000001</v>
      </c>
      <c r="H17" s="100">
        <f>_xll.EQNXTDZ($A$1,$B17,H$1,$B$1)</f>
        <v>26.651499999999999</v>
      </c>
      <c r="I17" s="100">
        <f>_xll.EQNXTDZ($A$1,$B17,I$1,$B$1)</f>
        <v>24.7089</v>
      </c>
      <c r="J17" s="100">
        <f>_xll.EQNXTDZ($A$1,$B17,J$1,$B$1)</f>
        <v>34.947800000000001</v>
      </c>
      <c r="K17" s="100">
        <f>_xll.EQNXTDZ($A$1,$B17,K$1,$B$1)</f>
        <v>33.676299999999998</v>
      </c>
      <c r="L17" s="100">
        <f>_xll.EQNXTDZ($A$1,$B17,L$1,$B$1)</f>
        <v>41.946100000000001</v>
      </c>
      <c r="M17" s="100">
        <f>_xll.EQNXTDZ($A$1,$B17,M$1,$B$1)</f>
        <v>30.252800000000001</v>
      </c>
      <c r="N17" s="100">
        <f>_xll.EQNXTDZ($A$1,$B17,N$1,$B$1)</f>
        <v>31.305800000000001</v>
      </c>
      <c r="O17" s="100">
        <f>_xll.EQNXTDZ($A$1,$B17,O$1,$B$1)</f>
        <v>27.936299999999999</v>
      </c>
      <c r="P17" s="100">
        <f>_xll.EQNXTDZ($A$1,$B17,P$1,$B$1)</f>
        <v>31.6921</v>
      </c>
      <c r="Q17" s="100">
        <f>_xll.EQNXTDZ($A$1,$B17,Q$1,$B$1)</f>
        <v>32.455399999999997</v>
      </c>
      <c r="R17" s="100">
        <f>_xll.EQNXTDZ($A$1,$B17,R$1,$B$1)</f>
        <v>34.8232</v>
      </c>
      <c r="S17" s="100">
        <f>_xll.EQNXTDZ($A$1,$B17,S$1,$B$1)</f>
        <v>42.258099999999999</v>
      </c>
      <c r="T17" s="100">
        <f>_xll.EQNXTDZ($A$1,$B17,T$1,$B$1)</f>
        <v>53.9634</v>
      </c>
      <c r="U17" s="100">
        <f>_xll.EQNXTDZ($A$1,$B17,U$1,$B$1)</f>
        <v>52.967599999999997</v>
      </c>
      <c r="V17" s="100">
        <f>_xll.EQNXTDZ($A$1,$B17,V$1,$B$1)</f>
        <v>48.137599999999999</v>
      </c>
      <c r="W17" s="100">
        <f>_xll.EQNXTDZ($A$1,$B17,W$1,$B$1)</f>
        <v>56.353499999999997</v>
      </c>
      <c r="X17" s="100">
        <f>_xll.EQNXTDZ($A$1,$B17,X$1,$B$1)</f>
        <v>100.459</v>
      </c>
      <c r="Y17" s="100">
        <f>_xll.EQNXTDZ($A$1,$B17,Y$1,$B$1)</f>
        <v>110.09010000000001</v>
      </c>
      <c r="Z17" s="100">
        <f>_xll.EQNXTDZ($A$1,$B17,Z$1,$B$1)</f>
        <v>119.6922</v>
      </c>
      <c r="AA17" s="100">
        <f>_xll.EQNXTDZ($A$1,$B17,AA$1,$B$1)</f>
        <v>127.18340000000001</v>
      </c>
      <c r="AB17" s="100">
        <f>_xll.EQNXTDZ($A$1,$B17,AB$1,$B$1)</f>
        <v>150.5847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16.214600000000001</v>
      </c>
      <c r="D18" s="100">
        <f>_xll.EQNXTDZ($A$1,$B18,D$1,$B$1)</f>
        <v>22.3245</v>
      </c>
      <c r="E18" s="100">
        <f>_xll.EQNXTDZ($A$1,$B18,E$1,$B$1)</f>
        <v>25.501799999999999</v>
      </c>
      <c r="F18" s="100">
        <f>_xll.EQNXTDZ($A$1,$B18,F$1,$B$1)</f>
        <v>41.7288</v>
      </c>
      <c r="G18" s="100">
        <f>_xll.EQNXTDZ($A$1,$B18,G$1,$B$1)</f>
        <v>66.215999999999994</v>
      </c>
      <c r="H18" s="100">
        <f>_xll.EQNXTDZ($A$1,$B18,H$1,$B$1)</f>
        <v>84.509200000000007</v>
      </c>
      <c r="I18" s="100">
        <f>_xll.EQNXTDZ($A$1,$B18,I$1,$B$1)</f>
        <v>90.107200000000006</v>
      </c>
      <c r="J18" s="100">
        <f>_xll.EQNXTDZ($A$1,$B18,J$1,$B$1)</f>
        <v>102.2924</v>
      </c>
      <c r="K18" s="100">
        <f>_xll.EQNXTDZ($A$1,$B18,K$1,$B$1)</f>
        <v>103.831</v>
      </c>
      <c r="L18" s="100">
        <f>_xll.EQNXTDZ($A$1,$B18,L$1,$B$1)</f>
        <v>110.0274</v>
      </c>
      <c r="M18" s="100">
        <f>_xll.EQNXTDZ($A$1,$B18,M$1,$B$1)</f>
        <v>131.59819999999999</v>
      </c>
      <c r="N18" s="100">
        <f>_xll.EQNXTDZ($A$1,$B18,N$1,$B$1)</f>
        <v>68.648399999999995</v>
      </c>
      <c r="O18" s="100">
        <f>_xll.EQNXTDZ($A$1,$B18,O$1,$B$1)</f>
        <v>56.036799999999999</v>
      </c>
      <c r="P18" s="100">
        <f>_xll.EQNXTDZ($A$1,$B18,P$1,$B$1)</f>
        <v>73.594800000000006</v>
      </c>
      <c r="Q18" s="100">
        <f>_xll.EQNXTDZ($A$1,$B18,Q$1,$B$1)</f>
        <v>75.127300000000005</v>
      </c>
      <c r="R18" s="100">
        <f>_xll.EQNXTDZ($A$1,$B18,R$1,$B$1)</f>
        <v>72.722099999999998</v>
      </c>
      <c r="S18" s="100">
        <f>_xll.EQNXTDZ($A$1,$B18,S$1,$B$1)</f>
        <v>78.272499999999994</v>
      </c>
      <c r="T18" s="100">
        <f>_xll.EQNXTDZ($A$1,$B18,T$1,$B$1)</f>
        <v>87.437100000000001</v>
      </c>
      <c r="U18" s="100">
        <f>_xll.EQNXTDZ($A$1,$B18,U$1,$B$1)</f>
        <v>113.59310000000001</v>
      </c>
      <c r="V18" s="100">
        <f>_xll.EQNXTDZ($A$1,$B18,V$1,$B$1)</f>
        <v>116.9542</v>
      </c>
      <c r="W18" s="100">
        <f>_xll.EQNXTDZ($A$1,$B18,W$1,$B$1)</f>
        <v>113.2248</v>
      </c>
      <c r="X18" s="100">
        <f>_xll.EQNXTDZ($A$1,$B18,X$1,$B$1)</f>
        <v>161.80250000000001</v>
      </c>
      <c r="Y18" s="100">
        <f>_xll.EQNXTDZ($A$1,$B18,Y$1,$B$1)</f>
        <v>233.95779999999999</v>
      </c>
      <c r="Z18" s="100">
        <f>_xll.EQNXTDZ($A$1,$B18,Z$1,$B$1)</f>
        <v>268.39789999999999</v>
      </c>
      <c r="AA18" s="100">
        <f>_xll.EQNXTDZ($A$1,$B18,AA$1,$B$1)</f>
        <v>288.6474</v>
      </c>
      <c r="AB18" s="100">
        <f>_xll.EQNXTDZ($A$1,$B18,AB$1,$B$1)</f>
        <v>324.31240000000003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18.214500000000001</v>
      </c>
      <c r="D19" s="100">
        <f>_xll.EQNXTDZ($A$1,$B19,D$1,$B$1)</f>
        <v>24.398700000000002</v>
      </c>
      <c r="E19" s="100">
        <f>_xll.EQNXTDZ($A$1,$B19,E$1,$B$1)</f>
        <v>16.8003</v>
      </c>
      <c r="F19" s="100">
        <f>_xll.EQNXTDZ($A$1,$B19,F$1,$B$1)</f>
        <v>19.103000000000002</v>
      </c>
      <c r="G19" s="100">
        <f>_xll.EQNXTDZ($A$1,$B19,G$1,$B$1)</f>
        <v>19.936299999999999</v>
      </c>
      <c r="H19" s="100">
        <f>_xll.EQNXTDZ($A$1,$B19,H$1,$B$1)</f>
        <v>24.283100000000001</v>
      </c>
      <c r="I19" s="100">
        <f>_xll.EQNXTDZ($A$1,$B19,I$1,$B$1)</f>
        <v>29.853400000000001</v>
      </c>
      <c r="J19" s="100">
        <f>_xll.EQNXTDZ($A$1,$B19,J$1,$B$1)</f>
        <v>42.782499999999999</v>
      </c>
      <c r="K19" s="100">
        <f>_xll.EQNXTDZ($A$1,$B19,K$1,$B$1)</f>
        <v>123.3271</v>
      </c>
      <c r="L19" s="100">
        <f>_xll.EQNXTDZ($A$1,$B19,L$1,$B$1)</f>
        <v>46.720500000000001</v>
      </c>
      <c r="M19" s="100">
        <f>_xll.EQNXTDZ($A$1,$B19,M$1,$B$1)</f>
        <v>50.420400000000001</v>
      </c>
      <c r="N19" s="100">
        <f>_xll.EQNXTDZ($A$1,$B19,N$1,$B$1)</f>
        <v>86.004499999999993</v>
      </c>
      <c r="O19" s="100">
        <f>_xll.EQNXTDZ($A$1,$B19,O$1,$B$1)</f>
        <v>73.444400000000002</v>
      </c>
      <c r="P19" s="100">
        <f>_xll.EQNXTDZ($A$1,$B19,P$1,$B$1)</f>
        <v>61.721299999999999</v>
      </c>
      <c r="Q19" s="100">
        <f>_xll.EQNXTDZ($A$1,$B19,Q$1,$B$1)</f>
        <v>79.009299999999996</v>
      </c>
      <c r="R19" s="100">
        <f>_xll.EQNXTDZ($A$1,$B19,R$1,$B$1)</f>
        <v>76.653800000000004</v>
      </c>
      <c r="S19" s="100">
        <f>_xll.EQNXTDZ($A$1,$B19,S$1,$B$1)</f>
        <v>63.339399999999998</v>
      </c>
      <c r="T19" s="100">
        <f>_xll.EQNXTDZ($A$1,$B19,T$1,$B$1)</f>
        <v>81.613900000000001</v>
      </c>
      <c r="U19" s="100">
        <f>_xll.EQNXTDZ($A$1,$B19,U$1,$B$1)</f>
        <v>72.384600000000006</v>
      </c>
      <c r="V19" s="100">
        <f>_xll.EQNXTDZ($A$1,$B19,V$1,$B$1)</f>
        <v>76.11</v>
      </c>
      <c r="W19" s="100">
        <f>_xll.EQNXTDZ($A$1,$B19,W$1,$B$1)</f>
        <v>63.3795</v>
      </c>
      <c r="X19" s="100">
        <f>_xll.EQNXTDZ($A$1,$B19,X$1,$B$1)</f>
        <v>71.720699999999994</v>
      </c>
      <c r="Y19" s="100">
        <f>_xll.EQNXTDZ($A$1,$B19,Y$1,$B$1)</f>
        <v>95.375200000000007</v>
      </c>
      <c r="Z19" s="100">
        <f>_xll.EQNXTDZ($A$1,$B19,Z$1,$B$1)</f>
        <v>97.241500000000002</v>
      </c>
      <c r="AA19" s="100">
        <f>_xll.EQNXTDZ($A$1,$B19,AA$1,$B$1)</f>
        <v>95.980800000000002</v>
      </c>
      <c r="AB19" s="100">
        <f>_xll.EQNXTDZ($A$1,$B19,AB$1,$B$1)</f>
        <v>122.8038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186.84</v>
      </c>
      <c r="D21" s="100">
        <f>_xll.EQNXTDZ($A$1,$B21,D$1,$B$1)</f>
        <v>210.51320000000001</v>
      </c>
      <c r="E21" s="100">
        <f>_xll.EQNXTDZ($A$1,$B21,E$1,$B$1)</f>
        <v>213.52600000000001</v>
      </c>
      <c r="F21" s="100">
        <f>_xll.EQNXTDZ($A$1,$B21,F$1,$B$1)</f>
        <v>238.03139999999999</v>
      </c>
      <c r="G21" s="100">
        <f>_xll.EQNXTDZ($A$1,$B21,G$1,$B$1)</f>
        <v>288.26330000000002</v>
      </c>
      <c r="H21" s="100">
        <f>_xll.EQNXTDZ($A$1,$B21,H$1,$B$1)</f>
        <v>374.00119999999998</v>
      </c>
      <c r="I21" s="100">
        <f>_xll.EQNXTDZ($A$1,$B21,I$1,$B$1)</f>
        <v>435.12540000000001</v>
      </c>
      <c r="J21" s="100">
        <f>_xll.EQNXTDZ($A$1,$B21,J$1,$B$1)</f>
        <v>501.048</v>
      </c>
      <c r="K21" s="100">
        <f>_xll.EQNXTDZ($A$1,$B21,K$1,$B$1)</f>
        <v>660.23789999999997</v>
      </c>
      <c r="L21" s="100">
        <f>_xll.EQNXTDZ($A$1,$B21,L$1,$B$1)</f>
        <v>589.89099999999996</v>
      </c>
      <c r="M21" s="100">
        <f>_xll.EQNXTDZ($A$1,$B21,M$1,$B$1)</f>
        <v>698.43100000000004</v>
      </c>
      <c r="N21" s="100">
        <f>_xll.EQNXTDZ($A$1,$B21,N$1,$B$1)</f>
        <v>701.55039999999997</v>
      </c>
      <c r="O21" s="100">
        <f>_xll.EQNXTDZ($A$1,$B21,O$1,$B$1)</f>
        <v>760.48450000000003</v>
      </c>
      <c r="P21" s="100">
        <f>_xll.EQNXTDZ($A$1,$B21,P$1,$B$1)</f>
        <v>873.6703</v>
      </c>
      <c r="Q21" s="100">
        <f>_xll.EQNXTDZ($A$1,$B21,Q$1,$B$1)</f>
        <v>964.09469999999999</v>
      </c>
      <c r="R21" s="100">
        <f>_xll.EQNXTDZ($A$1,$B21,R$1,$B$1)</f>
        <v>1025.5522000000001</v>
      </c>
      <c r="S21" s="100">
        <f>_xll.EQNXTDZ($A$1,$B21,S$1,$B$1)</f>
        <v>1139.5504000000001</v>
      </c>
      <c r="T21" s="100">
        <f>_xll.EQNXTDZ($A$1,$B21,T$1,$B$1)</f>
        <v>1214.6384</v>
      </c>
      <c r="U21" s="100">
        <f>_xll.EQNXTDZ($A$1,$B21,U$1,$B$1)</f>
        <v>1337.3571999999999</v>
      </c>
      <c r="V21" s="100">
        <f>_xll.EQNXTDZ($A$1,$B21,V$1,$B$1)</f>
        <v>1397.1548</v>
      </c>
      <c r="W21" s="100">
        <f>_xll.EQNXTDZ($A$1,$B21,W$1,$B$1)</f>
        <v>1486.3461</v>
      </c>
      <c r="X21" s="100">
        <f>_xll.EQNXTDZ($A$1,$B21,X$1,$B$1)</f>
        <v>1881.6348</v>
      </c>
      <c r="Y21" s="100">
        <f>_xll.EQNXTDZ($A$1,$B21,Y$1,$B$1)</f>
        <v>2453.5302999999999</v>
      </c>
      <c r="Z21" s="100">
        <f>_xll.EQNXTDZ($A$1,$B21,Z$1,$B$1)</f>
        <v>2591.7006999999999</v>
      </c>
      <c r="AA21" s="100">
        <f>_xll.EQNXTDZ($A$1,$B21,AA$1,$B$1)</f>
        <v>2886.8685</v>
      </c>
      <c r="AB21" s="100">
        <f>_xll.EQNXTDZ($A$1,$B21,AB$1,$B$1)</f>
        <v>3042.0335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37.824800000000003</v>
      </c>
      <c r="D22" s="100">
        <f>_xll.EQNXTDZ($A$1,$B22,D$1,$B$1)</f>
        <v>49.9998</v>
      </c>
      <c r="E22" s="100">
        <f>_xll.EQNXTDZ($A$1,$B22,E$1,$B$1)</f>
        <v>61.2502</v>
      </c>
      <c r="F22" s="100">
        <f>_xll.EQNXTDZ($A$1,$B22,F$1,$B$1)</f>
        <v>64.828000000000003</v>
      </c>
      <c r="G22" s="100">
        <f>_xll.EQNXTDZ($A$1,$B22,G$1,$B$1)</f>
        <v>67.2941</v>
      </c>
      <c r="H22" s="100">
        <f>_xll.EQNXTDZ($A$1,$B22,H$1,$B$1)</f>
        <v>87.410399999999996</v>
      </c>
      <c r="I22" s="100">
        <f>_xll.EQNXTDZ($A$1,$B22,I$1,$B$1)</f>
        <v>82.852199999999996</v>
      </c>
      <c r="J22" s="100">
        <f>_xll.EQNXTDZ($A$1,$B22,J$1,$B$1)</f>
        <v>63.606299999999997</v>
      </c>
      <c r="K22" s="100">
        <f>_xll.EQNXTDZ($A$1,$B22,K$1,$B$1)</f>
        <v>56.853200000000101</v>
      </c>
      <c r="L22" s="100">
        <f>_xll.EQNXTDZ($A$1,$B22,L$1,$B$1)</f>
        <v>166.99289999999999</v>
      </c>
      <c r="M22" s="100">
        <f>_xll.EQNXTDZ($A$1,$B22,M$1,$B$1)</f>
        <v>192.3595</v>
      </c>
      <c r="N22" s="100">
        <f>_xll.EQNXTDZ($A$1,$B22,N$1,$B$1)</f>
        <v>100.318</v>
      </c>
      <c r="O22" s="100">
        <f>_xll.EQNXTDZ($A$1,$B22,O$1,$B$1)</f>
        <v>105.64109999999999</v>
      </c>
      <c r="P22" s="100">
        <f>_xll.EQNXTDZ($A$1,$B22,P$1,$B$1)</f>
        <v>148.1944</v>
      </c>
      <c r="Q22" s="100">
        <f>_xll.EQNXTDZ($A$1,$B22,Q$1,$B$1)</f>
        <v>180.12010000000001</v>
      </c>
      <c r="R22" s="100">
        <f>_xll.EQNXTDZ($A$1,$B22,R$1,$B$1)</f>
        <v>206.0309</v>
      </c>
      <c r="S22" s="100">
        <f>_xll.EQNXTDZ($A$1,$B22,S$1,$B$1)</f>
        <v>228.76660000000001</v>
      </c>
      <c r="T22" s="100">
        <f>_xll.EQNXTDZ($A$1,$B22,T$1,$B$1)</f>
        <v>199.1294</v>
      </c>
      <c r="U22" s="100">
        <f>_xll.EQNXTDZ($A$1,$B22,U$1,$B$1)</f>
        <v>305.84320000000002</v>
      </c>
      <c r="V22" s="100">
        <f>_xll.EQNXTDZ($A$1,$B22,V$1,$B$1)</f>
        <v>377.57429999999999</v>
      </c>
      <c r="W22" s="100">
        <f>_xll.EQNXTDZ($A$1,$B22,W$1,$B$1)</f>
        <v>556.17539999999997</v>
      </c>
      <c r="X22" s="100">
        <f>_xll.EQNXTDZ($A$1,$B22,X$1,$B$1)</f>
        <v>542.60900000000004</v>
      </c>
      <c r="Y22" s="100">
        <f>_xll.EQNXTDZ($A$1,$B22,Y$1,$B$1)</f>
        <v>695.75250000000005</v>
      </c>
      <c r="Z22" s="100">
        <f>_xll.EQNXTDZ($A$1,$B22,Z$1,$B$1)</f>
        <v>892.48310000000004</v>
      </c>
      <c r="AA22" s="100">
        <f>_xll.EQNXTDZ($A$1,$B22,AA$1,$B$1)</f>
        <v>1031.1201000000001</v>
      </c>
      <c r="AB22" s="100">
        <f>_xll.EQNXTDZ($A$1,$B22,AB$1,$B$1)</f>
        <v>1105.7583999999999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8.5408000000000008</v>
      </c>
      <c r="D23" s="100">
        <f>_xll.EQNXTDZ($A$1,$B23,D$1,$B$1)</f>
        <v>11.2112</v>
      </c>
      <c r="E23" s="100">
        <f>_xll.EQNXTDZ($A$1,$B23,E$1,$B$1)</f>
        <v>9.4276</v>
      </c>
      <c r="F23" s="100">
        <f>_xll.EQNXTDZ($A$1,$B23,F$1,$B$1)</f>
        <v>11.7537</v>
      </c>
      <c r="G23" s="100">
        <f>_xll.EQNXTDZ($A$1,$B23,G$1,$B$1)</f>
        <v>12.889799999999999</v>
      </c>
      <c r="H23" s="100">
        <f>_xll.EQNXTDZ($A$1,$B23,H$1,$B$1)</f>
        <v>11.418799999999999</v>
      </c>
      <c r="I23" s="100">
        <f>_xll.EQNXTDZ($A$1,$B23,I$1,$B$1)</f>
        <v>10.886799999999999</v>
      </c>
      <c r="J23" s="100">
        <f>_xll.EQNXTDZ($A$1,$B23,J$1,$B$1)</f>
        <v>15.0138</v>
      </c>
      <c r="K23" s="100">
        <f>_xll.EQNXTDZ($A$1,$B23,K$1,$B$1)</f>
        <v>15.797700000000001</v>
      </c>
      <c r="L23" s="100">
        <f>_xll.EQNXTDZ($A$1,$B23,L$1,$B$1)</f>
        <v>14.213800000000001</v>
      </c>
      <c r="M23" s="100">
        <f>_xll.EQNXTDZ($A$1,$B23,M$1,$B$1)</f>
        <v>6.1627999999999998</v>
      </c>
      <c r="N23" s="100">
        <f>_xll.EQNXTDZ($A$1,$B23,N$1,$B$1)</f>
        <v>28.9834</v>
      </c>
      <c r="O23" s="100">
        <f>_xll.EQNXTDZ($A$1,$B23,O$1,$B$1)</f>
        <v>27.872599999999998</v>
      </c>
      <c r="P23" s="100">
        <f>_xll.EQNXTDZ($A$1,$B23,P$1,$B$1)</f>
        <v>37.704099999999997</v>
      </c>
      <c r="Q23" s="100">
        <f>_xll.EQNXTDZ($A$1,$B23,Q$1,$B$1)</f>
        <v>10.8934</v>
      </c>
      <c r="R23" s="100">
        <f>_xll.EQNXTDZ($A$1,$B23,R$1,$B$1)</f>
        <v>56.653599999999997</v>
      </c>
      <c r="S23" s="100">
        <f>_xll.EQNXTDZ($A$1,$B23,S$1,$B$1)</f>
        <v>53.773499999999999</v>
      </c>
      <c r="T23" s="100">
        <f>_xll.EQNXTDZ($A$1,$B23,T$1,$B$1)</f>
        <v>55.286999999999999</v>
      </c>
      <c r="U23" s="100">
        <f>_xll.EQNXTDZ($A$1,$B23,U$1,$B$1)</f>
        <v>41.439900000000002</v>
      </c>
      <c r="V23" s="100">
        <f>_xll.EQNXTDZ($A$1,$B23,V$1,$B$1)</f>
        <v>50.898200000000003</v>
      </c>
      <c r="W23" s="100">
        <f>_xll.EQNXTDZ($A$1,$B23,W$1,$B$1)</f>
        <v>116.61669999999999</v>
      </c>
      <c r="X23" s="100">
        <f>_xll.EQNXTDZ($A$1,$B23,X$1,$B$1)</f>
        <v>40.073399999999999</v>
      </c>
      <c r="Y23" s="100">
        <f>_xll.EQNXTDZ($A$1,$B23,Y$1,$B$1)</f>
        <v>9.9400999999999993</v>
      </c>
      <c r="Z23" s="100">
        <f>_xll.EQNXTDZ($A$1,$B23,Z$1,$B$1)</f>
        <v>41.673200000000001</v>
      </c>
      <c r="AA23" s="100">
        <f>_xll.EQNXTDZ($A$1,$B23,AA$1,$B$1)</f>
        <v>39.037399999999998</v>
      </c>
      <c r="AB23" s="100">
        <f>_xll.EQNXTDZ($A$1,$B23,AB$1,$B$1)</f>
        <v>61.823300000000003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46.365600000000001</v>
      </c>
      <c r="D24" s="100">
        <f>_xll.EQNXTDZ($A$1,$B24,D$1,$B$1)</f>
        <v>61.210999999999999</v>
      </c>
      <c r="E24" s="100">
        <f>_xll.EQNXTDZ($A$1,$B24,E$1,$B$1)</f>
        <v>70.677800000000005</v>
      </c>
      <c r="F24" s="100">
        <f>_xll.EQNXTDZ($A$1,$B24,F$1,$B$1)</f>
        <v>76.581699999999998</v>
      </c>
      <c r="G24" s="100">
        <f>_xll.EQNXTDZ($A$1,$B24,G$1,$B$1)</f>
        <v>80.183899999999994</v>
      </c>
      <c r="H24" s="100">
        <f>_xll.EQNXTDZ($A$1,$B24,H$1,$B$1)</f>
        <v>98.8292</v>
      </c>
      <c r="I24" s="100">
        <f>_xll.EQNXTDZ($A$1,$B24,I$1,$B$1)</f>
        <v>93.739000000000004</v>
      </c>
      <c r="J24" s="100">
        <f>_xll.EQNXTDZ($A$1,$B24,J$1,$B$1)</f>
        <v>78.620099999999994</v>
      </c>
      <c r="K24" s="100">
        <f>_xll.EQNXTDZ($A$1,$B24,K$1,$B$1)</f>
        <v>72.650899999999993</v>
      </c>
      <c r="L24" s="100">
        <f>_xll.EQNXTDZ($A$1,$B24,L$1,$B$1)</f>
        <v>181.20670000000001</v>
      </c>
      <c r="M24" s="100">
        <f>_xll.EQNXTDZ($A$1,$B24,M$1,$B$1)</f>
        <v>198.5223</v>
      </c>
      <c r="N24" s="100">
        <f>_xll.EQNXTDZ($A$1,$B24,N$1,$B$1)</f>
        <v>129.3014</v>
      </c>
      <c r="O24" s="100">
        <f>_xll.EQNXTDZ($A$1,$B24,O$1,$B$1)</f>
        <v>133.5137</v>
      </c>
      <c r="P24" s="100">
        <f>_xll.EQNXTDZ($A$1,$B24,P$1,$B$1)</f>
        <v>185.89850000000001</v>
      </c>
      <c r="Q24" s="100">
        <f>_xll.EQNXTDZ($A$1,$B24,Q$1,$B$1)</f>
        <v>191.01349999999999</v>
      </c>
      <c r="R24" s="100">
        <f>_xll.EQNXTDZ($A$1,$B24,R$1,$B$1)</f>
        <v>262.68450000000001</v>
      </c>
      <c r="S24" s="100">
        <f>_xll.EQNXTDZ($A$1,$B24,S$1,$B$1)</f>
        <v>282.5401</v>
      </c>
      <c r="T24" s="100">
        <f>_xll.EQNXTDZ($A$1,$B24,T$1,$B$1)</f>
        <v>254.41640000000001</v>
      </c>
      <c r="U24" s="100">
        <f>_xll.EQNXTDZ($A$1,$B24,U$1,$B$1)</f>
        <v>347.28309999999999</v>
      </c>
      <c r="V24" s="100">
        <f>_xll.EQNXTDZ($A$1,$B24,V$1,$B$1)</f>
        <v>428.47250000000003</v>
      </c>
      <c r="W24" s="100">
        <f>_xll.EQNXTDZ($A$1,$B24,W$1,$B$1)</f>
        <v>672.7921</v>
      </c>
      <c r="X24" s="100">
        <f>_xll.EQNXTDZ($A$1,$B24,X$1,$B$1)</f>
        <v>582.68240000000003</v>
      </c>
      <c r="Y24" s="100">
        <f>_xll.EQNXTDZ($A$1,$B24,Y$1,$B$1)</f>
        <v>705.69259999999997</v>
      </c>
      <c r="Z24" s="100">
        <f>_xll.EQNXTDZ($A$1,$B24,Z$1,$B$1)</f>
        <v>934.15629999999999</v>
      </c>
      <c r="AA24" s="100">
        <f>_xll.EQNXTDZ($A$1,$B24,AA$1,$B$1)</f>
        <v>1070.1575</v>
      </c>
      <c r="AB24" s="100">
        <f>_xll.EQNXTDZ($A$1,$B24,AB$1,$B$1)</f>
        <v>1167.5817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1.8547</v>
      </c>
      <c r="D25" s="100">
        <f>_xll.EQNXTDZ($A$1,$B25,D$1,$B$1)</f>
        <v>1.4140999999999999</v>
      </c>
      <c r="E25" s="100">
        <f>_xll.EQNXTDZ($A$1,$B25,E$1,$B$1)</f>
        <v>1.5397000000000001</v>
      </c>
      <c r="F25" s="100">
        <f>_xll.EQNXTDZ($A$1,$B25,F$1,$B$1)</f>
        <v>2.1934999999999998</v>
      </c>
      <c r="G25" s="100">
        <f>_xll.EQNXTDZ($A$1,$B25,G$1,$B$1)</f>
        <v>3.4811000000000001</v>
      </c>
      <c r="H25" s="100">
        <f>_xll.EQNXTDZ($A$1,$B25,H$1,$B$1)</f>
        <v>5.3977000000000004</v>
      </c>
      <c r="I25" s="100">
        <f>_xll.EQNXTDZ($A$1,$B25,I$1,$B$1)</f>
        <v>11.248799999999999</v>
      </c>
      <c r="J25" s="100">
        <f>_xll.EQNXTDZ($A$1,$B25,J$1,$B$1)</f>
        <v>18.0321</v>
      </c>
      <c r="K25" s="100">
        <f>_xll.EQNXTDZ($A$1,$B25,K$1,$B$1)</f>
        <v>15.165900000000001</v>
      </c>
      <c r="L25" s="100">
        <f>_xll.EQNXTDZ($A$1,$B25,L$1,$B$1)</f>
        <v>11.5654</v>
      </c>
      <c r="M25" s="100">
        <f>_xll.EQNXTDZ($A$1,$B25,M$1,$B$1)</f>
        <v>10.4946</v>
      </c>
      <c r="N25" s="100">
        <f>_xll.EQNXTDZ($A$1,$B25,N$1,$B$1)</f>
        <v>24.028099999999998</v>
      </c>
      <c r="O25" s="100">
        <f>_xll.EQNXTDZ($A$1,$B25,O$1,$B$1)</f>
        <v>5.2805999999999997</v>
      </c>
      <c r="P25" s="100">
        <f>_xll.EQNXTDZ($A$1,$B25,P$1,$B$1)</f>
        <v>5.9328000000000003</v>
      </c>
      <c r="Q25" s="100">
        <f>_xll.EQNXTDZ($A$1,$B25,Q$1,$B$1)</f>
        <v>6.8242000000000003</v>
      </c>
      <c r="R25" s="100">
        <f>_xll.EQNXTDZ($A$1,$B25,R$1,$B$1)</f>
        <v>10.645899999999999</v>
      </c>
      <c r="S25" s="100">
        <f>_xll.EQNXTDZ($A$1,$B25,S$1,$B$1)</f>
        <v>5.3715999999999999</v>
      </c>
      <c r="T25" s="100">
        <f>_xll.EQNXTDZ($A$1,$B25,T$1,$B$1)</f>
        <v>3.4921000000000002</v>
      </c>
      <c r="U25" s="100">
        <f>_xll.EQNXTDZ($A$1,$B25,U$1,$B$1)</f>
        <v>4.6485000000000003</v>
      </c>
      <c r="V25" s="100">
        <f>_xll.EQNXTDZ($A$1,$B25,V$1,$B$1)</f>
        <v>3.2578999999999998</v>
      </c>
      <c r="W25" s="100">
        <f>_xll.EQNXTDZ($A$1,$B25,W$1,$B$1)</f>
        <v>7.2412000000000001</v>
      </c>
      <c r="X25" s="100">
        <f>_xll.EQNXTDZ($A$1,$B25,X$1,$B$1)</f>
        <v>5.1204999999999998</v>
      </c>
      <c r="Y25" s="100">
        <f>_xll.EQNXTDZ($A$1,$B25,Y$1,$B$1)</f>
        <v>36.053100000000001</v>
      </c>
      <c r="Z25" s="100">
        <f>_xll.EQNXTDZ($A$1,$B25,Z$1,$B$1)</f>
        <v>44.326700000000002</v>
      </c>
      <c r="AA25" s="100">
        <f>_xll.EQNXTDZ($A$1,$B25,AA$1,$B$1)</f>
        <v>11.728999999999999</v>
      </c>
      <c r="AB25" s="100">
        <f>_xll.EQNXTDZ($A$1,$B25,AB$1,$B$1)</f>
        <v>5.5682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44.510899999999999</v>
      </c>
      <c r="D26" s="100">
        <f>_xll.EQNXTDZ($A$1,$B26,D$1,$B$1)</f>
        <v>59.796900000000001</v>
      </c>
      <c r="E26" s="100">
        <f>_xll.EQNXTDZ($A$1,$B26,E$1,$B$1)</f>
        <v>69.138099999999994</v>
      </c>
      <c r="F26" s="100">
        <f>_xll.EQNXTDZ($A$1,$B26,F$1,$B$1)</f>
        <v>74.388199999999998</v>
      </c>
      <c r="G26" s="100">
        <f>_xll.EQNXTDZ($A$1,$B26,G$1,$B$1)</f>
        <v>76.702799999999996</v>
      </c>
      <c r="H26" s="100">
        <f>_xll.EQNXTDZ($A$1,$B26,H$1,$B$1)</f>
        <v>93.4315</v>
      </c>
      <c r="I26" s="100">
        <f>_xll.EQNXTDZ($A$1,$B26,I$1,$B$1)</f>
        <v>82.490200000000002</v>
      </c>
      <c r="J26" s="100">
        <f>_xll.EQNXTDZ($A$1,$B26,J$1,$B$1)</f>
        <v>60.588000000000001</v>
      </c>
      <c r="K26" s="100">
        <f>_xll.EQNXTDZ($A$1,$B26,K$1,$B$1)</f>
        <v>57.484999999999999</v>
      </c>
      <c r="L26" s="100">
        <f>_xll.EQNXTDZ($A$1,$B26,L$1,$B$1)</f>
        <v>169.6413</v>
      </c>
      <c r="M26" s="100">
        <f>_xll.EQNXTDZ($A$1,$B26,M$1,$B$1)</f>
        <v>188.02770000000001</v>
      </c>
      <c r="N26" s="100">
        <f>_xll.EQNXTDZ($A$1,$B26,N$1,$B$1)</f>
        <v>105.27330000000001</v>
      </c>
      <c r="O26" s="100">
        <f>_xll.EQNXTDZ($A$1,$B26,O$1,$B$1)</f>
        <v>128.23310000000001</v>
      </c>
      <c r="P26" s="100">
        <f>_xll.EQNXTDZ($A$1,$B26,P$1,$B$1)</f>
        <v>179.9657</v>
      </c>
      <c r="Q26" s="100">
        <f>_xll.EQNXTDZ($A$1,$B26,Q$1,$B$1)</f>
        <v>184.1893</v>
      </c>
      <c r="R26" s="100">
        <f>_xll.EQNXTDZ($A$1,$B26,R$1,$B$1)</f>
        <v>252.0386</v>
      </c>
      <c r="S26" s="100">
        <f>_xll.EQNXTDZ($A$1,$B26,S$1,$B$1)</f>
        <v>277.16849999999999</v>
      </c>
      <c r="T26" s="100">
        <f>_xll.EQNXTDZ($A$1,$B26,T$1,$B$1)</f>
        <v>250.92429999999999</v>
      </c>
      <c r="U26" s="100">
        <f>_xll.EQNXTDZ($A$1,$B26,U$1,$B$1)</f>
        <v>342.63459999999998</v>
      </c>
      <c r="V26" s="100">
        <f>_xll.EQNXTDZ($A$1,$B26,V$1,$B$1)</f>
        <v>425.21460000000002</v>
      </c>
      <c r="W26" s="100">
        <f>_xll.EQNXTDZ($A$1,$B26,W$1,$B$1)</f>
        <v>665.55089999999996</v>
      </c>
      <c r="X26" s="100">
        <f>_xll.EQNXTDZ($A$1,$B26,X$1,$B$1)</f>
        <v>577.56190000000004</v>
      </c>
      <c r="Y26" s="100">
        <f>_xll.EQNXTDZ($A$1,$B26,Y$1,$B$1)</f>
        <v>669.6395</v>
      </c>
      <c r="Z26" s="100">
        <f>_xll.EQNXTDZ($A$1,$B26,Z$1,$B$1)</f>
        <v>889.82960000000003</v>
      </c>
      <c r="AA26" s="100">
        <f>_xll.EQNXTDZ($A$1,$B26,AA$1,$B$1)</f>
        <v>1058.4285</v>
      </c>
      <c r="AB26" s="100">
        <f>_xll.EQNXTDZ($A$1,$B26,AB$1,$B$1)</f>
        <v>1162.0135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5.0183</v>
      </c>
      <c r="D27" s="100">
        <f>_xll.EQNXTDZ($A$1,$B27,D$1,$B$1)</f>
        <v>5.9066999999999998</v>
      </c>
      <c r="E27" s="100">
        <f>_xll.EQNXTDZ($A$1,$B27,E$1,$B$1)</f>
        <v>7.3320999999999996</v>
      </c>
      <c r="F27" s="100">
        <f>_xll.EQNXTDZ($A$1,$B27,F$1,$B$1)</f>
        <v>9.4491999999999994</v>
      </c>
      <c r="G27" s="100">
        <f>_xll.EQNXTDZ($A$1,$B27,G$1,$B$1)</f>
        <v>10.4892</v>
      </c>
      <c r="H27" s="100">
        <f>_xll.EQNXTDZ($A$1,$B27,H$1,$B$1)</f>
        <v>10.730700000000001</v>
      </c>
      <c r="I27" s="100">
        <f>_xll.EQNXTDZ($A$1,$B27,I$1,$B$1)</f>
        <v>11.336399999999999</v>
      </c>
      <c r="J27" s="100">
        <f>_xll.EQNXTDZ($A$1,$B27,J$1,$B$1)</f>
        <v>16.900200000000002</v>
      </c>
      <c r="K27" s="100">
        <f>_xll.EQNXTDZ($A$1,$B27,K$1,$B$1)</f>
        <v>20.428699999999999</v>
      </c>
      <c r="L27" s="100">
        <f>_xll.EQNXTDZ($A$1,$B27,L$1,$B$1)</f>
        <v>21.5686</v>
      </c>
      <c r="M27" s="100">
        <f>_xll.EQNXTDZ($A$1,$B27,M$1,$B$1)</f>
        <v>22.787800000000001</v>
      </c>
      <c r="N27" s="100">
        <f>_xll.EQNXTDZ($A$1,$B27,N$1,$B$1)</f>
        <v>22.424600000000002</v>
      </c>
      <c r="O27" s="100">
        <f>_xll.EQNXTDZ($A$1,$B27,O$1,$B$1)</f>
        <v>24.658200000000001</v>
      </c>
      <c r="P27" s="100">
        <f>_xll.EQNXTDZ($A$1,$B27,P$1,$B$1)</f>
        <v>28.020700000000001</v>
      </c>
      <c r="Q27" s="100">
        <f>_xll.EQNXTDZ($A$1,$B27,Q$1,$B$1)</f>
        <v>38.641199999999998</v>
      </c>
      <c r="R27" s="100">
        <f>_xll.EQNXTDZ($A$1,$B27,R$1,$B$1)</f>
        <v>41.222299999999997</v>
      </c>
      <c r="S27" s="100">
        <f>_xll.EQNXTDZ($A$1,$B27,S$1,$B$1)</f>
        <v>47.224400000000003</v>
      </c>
      <c r="T27" s="100">
        <f>_xll.EQNXTDZ($A$1,$B27,T$1,$B$1)</f>
        <v>56.973700000000001</v>
      </c>
      <c r="U27" s="100">
        <f>_xll.EQNXTDZ($A$1,$B27,U$1,$B$1)</f>
        <v>55.642000000000003</v>
      </c>
      <c r="V27" s="100">
        <f>_xll.EQNXTDZ($A$1,$B27,V$1,$B$1)</f>
        <v>66.322299999999998</v>
      </c>
      <c r="W27" s="100">
        <f>_xll.EQNXTDZ($A$1,$B27,W$1,$B$1)</f>
        <v>68.665499999999994</v>
      </c>
      <c r="X27" s="100">
        <f>_xll.EQNXTDZ($A$1,$B27,X$1,$B$1)</f>
        <v>72.659899999999993</v>
      </c>
      <c r="Y27" s="100">
        <f>_xll.EQNXTDZ($A$1,$B27,Y$1,$B$1)</f>
        <v>114.40689999999999</v>
      </c>
      <c r="Z27" s="100">
        <f>_xll.EQNXTDZ($A$1,$B27,Z$1,$B$1)</f>
        <v>138.32040000000001</v>
      </c>
      <c r="AA27" s="100">
        <f>_xll.EQNXTDZ($A$1,$B27,AA$1,$B$1)</f>
        <v>171.0369</v>
      </c>
      <c r="AB27" s="100">
        <f>_xll.EQNXTDZ($A$1,$B27,AB$1,$B$1)</f>
        <v>182.4991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1.4147000000000001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760.59339999999997</v>
      </c>
      <c r="O29" s="100">
        <f>_xll.EQNXTDZ($A$1,$B29,O$1,$B$1)</f>
        <v>0</v>
      </c>
      <c r="P29" s="100">
        <f>_xll.EQNXTDZ($A$1,$B29,P$1,$B$1)</f>
        <v>-64.5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-10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-27.1782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8.2622999999999998</v>
      </c>
      <c r="D30" s="100">
        <f>_xll.EQNXTDZ($A$1,$B30,D$1,$B$1)</f>
        <v>11.519</v>
      </c>
      <c r="E30" s="100">
        <f>_xll.EQNXTDZ($A$1,$B30,E$1,$B$1)</f>
        <v>13.837899999999999</v>
      </c>
      <c r="F30" s="100">
        <f>_xll.EQNXTDZ($A$1,$B30,F$1,$B$1)</f>
        <v>14.1524</v>
      </c>
      <c r="G30" s="100">
        <f>_xll.EQNXTDZ($A$1,$B30,G$1,$B$1)</f>
        <v>7.8688000000000002</v>
      </c>
      <c r="H30" s="100">
        <f>_xll.EQNXTDZ($A$1,$B30,H$1,$B$1)</f>
        <v>12.463699999999999</v>
      </c>
      <c r="I30" s="100">
        <f>_xll.EQNXTDZ($A$1,$B30,I$1,$B$1)</f>
        <v>8.9765999999999995</v>
      </c>
      <c r="J30" s="100">
        <f>_xll.EQNXTDZ($A$1,$B30,J$1,$B$1)</f>
        <v>-1.6326000000000001</v>
      </c>
      <c r="K30" s="100">
        <f>_xll.EQNXTDZ($A$1,$B30,K$1,$B$1)</f>
        <v>11.3466</v>
      </c>
      <c r="L30" s="100">
        <f>_xll.EQNXTDZ($A$1,$B30,L$1,$B$1)</f>
        <v>29.3201</v>
      </c>
      <c r="M30" s="100">
        <f>_xll.EQNXTDZ($A$1,$B30,M$1,$B$1)</f>
        <v>25.9162</v>
      </c>
      <c r="N30" s="100">
        <f>_xll.EQNXTDZ($A$1,$B30,N$1,$B$1)</f>
        <v>165.53319999999999</v>
      </c>
      <c r="O30" s="100">
        <f>_xll.EQNXTDZ($A$1,$B30,O$1,$B$1)</f>
        <v>24.130800000000001</v>
      </c>
      <c r="P30" s="100">
        <f>_xll.EQNXTDZ($A$1,$B30,P$1,$B$1)</f>
        <v>25.949200000000001</v>
      </c>
      <c r="Q30" s="100">
        <f>_xll.EQNXTDZ($A$1,$B30,Q$1,$B$1)</f>
        <v>45.143000000000001</v>
      </c>
      <c r="R30" s="100">
        <f>_xll.EQNXTDZ($A$1,$B30,R$1,$B$1)</f>
        <v>49.580500000000001</v>
      </c>
      <c r="S30" s="100">
        <f>_xll.EQNXTDZ($A$1,$B30,S$1,$B$1)</f>
        <v>45.545900000000003</v>
      </c>
      <c r="T30" s="100">
        <f>_xll.EQNXTDZ($A$1,$B30,T$1,$B$1)</f>
        <v>55.231200000000001</v>
      </c>
      <c r="U30" s="100">
        <f>_xll.EQNXTDZ($A$1,$B30,U$1,$B$1)</f>
        <v>93.022900000000007</v>
      </c>
      <c r="V30" s="100">
        <f>_xll.EQNXTDZ($A$1,$B30,V$1,$B$1)</f>
        <v>76.500200000000007</v>
      </c>
      <c r="W30" s="100">
        <f>_xll.EQNXTDZ($A$1,$B30,W$1,$B$1)</f>
        <v>148.36240000000001</v>
      </c>
      <c r="X30" s="100">
        <f>_xll.EQNXTDZ($A$1,$B30,X$1,$B$1)</f>
        <v>118.8631</v>
      </c>
      <c r="Y30" s="100">
        <f>_xll.EQNXTDZ($A$1,$B30,Y$1,$B$1)</f>
        <v>145.22730000000001</v>
      </c>
      <c r="Z30" s="100">
        <f>_xll.EQNXTDZ($A$1,$B30,Z$1,$B$1)</f>
        <v>198.88140000000001</v>
      </c>
      <c r="AA30" s="100">
        <f>_xll.EQNXTDZ($A$1,$B30,AA$1,$B$1)</f>
        <v>227.8098</v>
      </c>
      <c r="AB30" s="100">
        <f>_xll.EQNXTDZ($A$1,$B30,AB$1,$B$1)</f>
        <v>242.86150000000001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-8.8700000000000001E-2</v>
      </c>
      <c r="E32" s="100">
        <f>_xll.EQNXTDZ($A$1,$B32,E$1,$B$1)</f>
        <v>0</v>
      </c>
      <c r="F32" s="100">
        <f>_xll.EQNXTDZ($A$1,$B32,F$1,$B$1)</f>
        <v>3.3999999999999998E-3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-0.104</v>
      </c>
      <c r="S32" s="100">
        <f>_xll.EQNXTDZ($A$1,$B32,S$1,$B$1)</f>
        <v>-0.33550000000000002</v>
      </c>
      <c r="T32" s="100">
        <f>_xll.EQNXTDZ($A$1,$B32,T$1,$B$1)</f>
        <v>-0.3785</v>
      </c>
      <c r="U32" s="100">
        <f>_xll.EQNXTDZ($A$1,$B32,U$1,$B$1)</f>
        <v>-0.50339999999999996</v>
      </c>
      <c r="V32" s="100">
        <f>_xll.EQNXTDZ($A$1,$B32,V$1,$B$1)</f>
        <v>-0.34499999999999997</v>
      </c>
      <c r="W32" s="100">
        <f>_xll.EQNXTDZ($A$1,$B32,W$1,$B$1)</f>
        <v>-0.55940000000000001</v>
      </c>
      <c r="X32" s="100">
        <f>_xll.EQNXTDZ($A$1,$B32,X$1,$B$1)</f>
        <v>-0.68149999999999999</v>
      </c>
      <c r="Y32" s="100">
        <f>_xll.EQNXTDZ($A$1,$B32,Y$1,$B$1)</f>
        <v>-0.16980000000000001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31.2303</v>
      </c>
      <c r="D35" s="100">
        <f>_xll.EQNXTDZ($A$1,$B35,D$1,$B$1)</f>
        <v>42.282499999999999</v>
      </c>
      <c r="E35" s="100">
        <f>_xll.EQNXTDZ($A$1,$B35,E$1,$B$1)</f>
        <v>47.9681</v>
      </c>
      <c r="F35" s="100">
        <f>_xll.EQNXTDZ($A$1,$B35,F$1,$B$1)</f>
        <v>50.79</v>
      </c>
      <c r="G35" s="100">
        <f>_xll.EQNXTDZ($A$1,$B35,G$1,$B$1)</f>
        <v>58.344799999999999</v>
      </c>
      <c r="H35" s="100">
        <f>_xll.EQNXTDZ($A$1,$B35,H$1,$B$1)</f>
        <v>70.237099999999998</v>
      </c>
      <c r="I35" s="100">
        <f>_xll.EQNXTDZ($A$1,$B35,I$1,$B$1)</f>
        <v>62.177199999999999</v>
      </c>
      <c r="J35" s="100">
        <f>_xll.EQNXTDZ($A$1,$B35,J$1,$B$1)</f>
        <v>45.320399999999999</v>
      </c>
      <c r="K35" s="100">
        <f>_xll.EQNXTDZ($A$1,$B35,K$1,$B$1)</f>
        <v>25.709700000000002</v>
      </c>
      <c r="L35" s="100">
        <f>_xll.EQNXTDZ($A$1,$B35,L$1,$B$1)</f>
        <v>118.7526</v>
      </c>
      <c r="M35" s="100">
        <f>_xll.EQNXTDZ($A$1,$B35,M$1,$B$1)</f>
        <v>139.3237</v>
      </c>
      <c r="N35" s="100">
        <f>_xll.EQNXTDZ($A$1,$B35,N$1,$B$1)</f>
        <v>677.90890000000002</v>
      </c>
      <c r="O35" s="100">
        <f>_xll.EQNXTDZ($A$1,$B35,O$1,$B$1)</f>
        <v>79.444100000000006</v>
      </c>
      <c r="P35" s="100">
        <f>_xll.EQNXTDZ($A$1,$B35,P$1,$B$1)</f>
        <v>61.495800000000003</v>
      </c>
      <c r="Q35" s="100">
        <f>_xll.EQNXTDZ($A$1,$B35,Q$1,$B$1)</f>
        <v>100.4051</v>
      </c>
      <c r="R35" s="100">
        <f>_xll.EQNXTDZ($A$1,$B35,R$1,$B$1)</f>
        <v>162.54650000000001</v>
      </c>
      <c r="S35" s="100">
        <f>_xll.EQNXTDZ($A$1,$B35,S$1,$B$1)</f>
        <v>184.06270000000001</v>
      </c>
      <c r="T35" s="100">
        <f>_xll.EQNXTDZ($A$1,$B35,T$1,$B$1)</f>
        <v>138.3409</v>
      </c>
      <c r="U35" s="100">
        <f>_xll.EQNXTDZ($A$1,$B35,U$1,$B$1)</f>
        <v>193.46629999999999</v>
      </c>
      <c r="V35" s="100">
        <f>_xll.EQNXTDZ($A$1,$B35,V$1,$B$1)</f>
        <v>272.0471</v>
      </c>
      <c r="W35" s="100">
        <f>_xll.EQNXTDZ($A$1,$B35,W$1,$B$1)</f>
        <v>447.96359999999999</v>
      </c>
      <c r="X35" s="100">
        <f>_xll.EQNXTDZ($A$1,$B35,X$1,$B$1)</f>
        <v>385.35739999999998</v>
      </c>
      <c r="Y35" s="100">
        <f>_xll.EQNXTDZ($A$1,$B35,Y$1,$B$1)</f>
        <v>409.83550000000002</v>
      </c>
      <c r="Z35" s="100">
        <f>_xll.EQNXTDZ($A$1,$B35,Z$1,$B$1)</f>
        <v>552.62779999999998</v>
      </c>
      <c r="AA35" s="100">
        <f>_xll.EQNXTDZ($A$1,$B35,AA$1,$B$1)</f>
        <v>659.58180000000004</v>
      </c>
      <c r="AB35" s="100">
        <f>_xll.EQNXTDZ($A$1,$B35,AB$1,$B$1)</f>
        <v>709.47469999999998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16.059000000000001</v>
      </c>
      <c r="D41" s="55">
        <f>_xll.EQNXTDZ($A$1,$B41,D$1,$B$1)</f>
        <v>16.059000000000001</v>
      </c>
      <c r="E41" s="55">
        <f>_xll.EQNXTDZ($A$1,$B41,E$1,$B$1)</f>
        <v>16.059000000000001</v>
      </c>
      <c r="F41" s="55">
        <f>_xll.EQNXTDZ($A$1,$B41,F$1,$B$1)</f>
        <v>16.059000000000001</v>
      </c>
      <c r="G41" s="55">
        <f>_xll.EQNXTDZ($A$1,$B41,G$1,$B$1)</f>
        <v>16.059000000000001</v>
      </c>
      <c r="H41" s="55">
        <f>_xll.EQNXTDZ($A$1,$B41,H$1,$B$1)</f>
        <v>16.073599999999999</v>
      </c>
      <c r="I41" s="55">
        <f>_xll.EQNXTDZ($A$1,$B41,I$1,$B$1)</f>
        <v>16.865300000000001</v>
      </c>
      <c r="J41" s="55">
        <f>_xll.EQNXTDZ($A$1,$B41,J$1,$B$1)</f>
        <v>16.865300000000001</v>
      </c>
      <c r="K41" s="55">
        <f>_xll.EQNXTDZ($A$1,$B41,K$1,$B$1)</f>
        <v>16.865300000000001</v>
      </c>
      <c r="L41" s="55">
        <f>_xll.EQNXTDZ($A$1,$B41,L$1,$B$1)</f>
        <v>16.865300000000001</v>
      </c>
      <c r="M41" s="55">
        <f>_xll.EQNXTDZ($A$1,$B41,M$1,$B$1)</f>
        <v>16.903400000000001</v>
      </c>
      <c r="N41" s="55">
        <f>_xll.EQNXTDZ($A$1,$B41,N$1,$B$1)</f>
        <v>16.941500000000001</v>
      </c>
      <c r="O41" s="55">
        <f>_xll.EQNXTDZ($A$1,$B41,O$1,$B$1)</f>
        <v>16.941500000000001</v>
      </c>
      <c r="P41" s="55">
        <f>_xll.EQNXTDZ($A$1,$B41,P$1,$B$1)</f>
        <v>16.946300000000001</v>
      </c>
      <c r="Q41" s="55">
        <f>_xll.EQNXTDZ($A$1,$B41,Q$1,$B$1)</f>
        <v>16.961600000000001</v>
      </c>
      <c r="R41" s="55">
        <f>_xll.EQNXTDZ($A$1,$B41,R$1,$B$1)</f>
        <v>16.963999999999999</v>
      </c>
      <c r="S41" s="55">
        <f>_xll.EQNXTDZ($A$1,$B41,S$1,$B$1)</f>
        <v>16.963999999999999</v>
      </c>
      <c r="T41" s="55">
        <f>_xll.EQNXTDZ($A$1,$B41,T$1,$B$1)</f>
        <v>16.713999999999999</v>
      </c>
      <c r="U41" s="55">
        <f>_xll.EQNXTDZ($A$1,$B41,U$1,$B$1)</f>
        <v>16.0473</v>
      </c>
      <c r="V41" s="55">
        <f>_xll.EQNXTDZ($A$1,$B41,V$1,$B$1)</f>
        <v>15.4564</v>
      </c>
      <c r="W41" s="55">
        <f>_xll.EQNXTDZ($A$1,$B41,W$1,$B$1)</f>
        <v>15.4564</v>
      </c>
      <c r="X41" s="55">
        <f>_xll.EQNXTDZ($A$1,$B41,X$1,$B$1)</f>
        <v>15.4564</v>
      </c>
      <c r="Y41" s="55">
        <f>_xll.EQNXTDZ($A$1,$B41,Y$1,$B$1)</f>
        <v>15.4755</v>
      </c>
      <c r="Z41" s="55">
        <f>_xll.EQNXTDZ($A$1,$B41,Z$1,$B$1)</f>
        <v>15.519500000000001</v>
      </c>
      <c r="AA41" s="55">
        <f>_xll.EQNXTDZ($A$1,$B41,AA$1,$B$1)</f>
        <v>15.5677</v>
      </c>
      <c r="AB41" s="55">
        <f>_xll.EQNXTDZ($A$1,$B41,AB$1,$B$1)</f>
        <v>16.055900000000001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0.39040000000000002</v>
      </c>
      <c r="J42" s="55">
        <f>_xll.EQNXTDZ($A$1,$B42,J$1,$B$1)</f>
        <v>0.44479999999999997</v>
      </c>
      <c r="K42" s="55">
        <f>_xll.EQNXTDZ($A$1,$B42,K$1,$B$1)</f>
        <v>0.443</v>
      </c>
      <c r="L42" s="55">
        <f>_xll.EQNXTDZ($A$1,$B42,L$1,$B$1)</f>
        <v>0.43880000000000002</v>
      </c>
      <c r="M42" s="55">
        <f>_xll.EQNXTDZ($A$1,$B42,M$1,$B$1)</f>
        <v>0.32829999999999998</v>
      </c>
      <c r="N42" s="55">
        <f>_xll.EQNXTDZ($A$1,$B42,N$1,$B$1)</f>
        <v>0.17960000000000001</v>
      </c>
      <c r="O42" s="55">
        <f>_xll.EQNXTDZ($A$1,$B42,O$1,$B$1)</f>
        <v>0.11070000000000001</v>
      </c>
      <c r="P42" s="55">
        <f>_xll.EQNXTDZ($A$1,$B42,P$1,$B$1)</f>
        <v>4.4400000000000002E-2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62.653500000000001</v>
      </c>
      <c r="Y42" s="55">
        <f>_xll.EQNXTDZ($A$1,$B42,Y$1,$B$1)</f>
        <v>121.621</v>
      </c>
      <c r="Z42" s="55">
        <f>_xll.EQNXTDZ($A$1,$B42,Z$1,$B$1)</f>
        <v>139.83869999999999</v>
      </c>
      <c r="AA42" s="55">
        <f>_xll.EQNXTDZ($A$1,$B42,AA$1,$B$1)</f>
        <v>168.02850000000001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143.85069999999999</v>
      </c>
      <c r="D43" s="55">
        <f>_xll.EQNXTDZ($A$1,$B43,D$1,$B$1)</f>
        <v>173.56270000000001</v>
      </c>
      <c r="E43" s="55">
        <f>_xll.EQNXTDZ($A$1,$B43,E$1,$B$1)</f>
        <v>209.14590000000001</v>
      </c>
      <c r="F43" s="55">
        <f>_xll.EQNXTDZ($A$1,$B43,F$1,$B$1)</f>
        <v>231.73609999999999</v>
      </c>
      <c r="G43" s="55">
        <f>_xll.EQNXTDZ($A$1,$B43,G$1,$B$1)</f>
        <v>268.1078</v>
      </c>
      <c r="H43" s="55">
        <f>_xll.EQNXTDZ($A$1,$B43,H$1,$B$1)</f>
        <v>314.3032</v>
      </c>
      <c r="I43" s="55">
        <f>_xll.EQNXTDZ($A$1,$B43,I$1,$B$1)</f>
        <v>401.2063</v>
      </c>
      <c r="J43" s="55">
        <f>_xll.EQNXTDZ($A$1,$B43,J$1,$B$1)</f>
        <v>435.71449999999999</v>
      </c>
      <c r="K43" s="55">
        <f>_xll.EQNXTDZ($A$1,$B43,K$1,$B$1)</f>
        <v>451.58319999999998</v>
      </c>
      <c r="L43" s="55">
        <f>_xll.EQNXTDZ($A$1,$B43,L$1,$B$1)</f>
        <v>550.8134</v>
      </c>
      <c r="M43" s="55">
        <f>_xll.EQNXTDZ($A$1,$B43,M$1,$B$1)</f>
        <v>674.31079999999997</v>
      </c>
      <c r="N43" s="55">
        <f>_xll.EQNXTDZ($A$1,$B43,N$1,$B$1)</f>
        <v>952.83180000000004</v>
      </c>
      <c r="O43" s="55">
        <f>_xll.EQNXTDZ($A$1,$B43,O$1,$B$1)</f>
        <v>1003.2190000000001</v>
      </c>
      <c r="P43" s="55">
        <f>_xll.EQNXTDZ($A$1,$B43,P$1,$B$1)</f>
        <v>1025.8217</v>
      </c>
      <c r="Q43" s="55">
        <f>_xll.EQNXTDZ($A$1,$B43,Q$1,$B$1)</f>
        <v>977.9126</v>
      </c>
      <c r="R43" s="55">
        <f>_xll.EQNXTDZ($A$1,$B43,R$1,$B$1)</f>
        <v>1166.8742999999999</v>
      </c>
      <c r="S43" s="55">
        <f>_xll.EQNXTDZ($A$1,$B43,S$1,$B$1)</f>
        <v>1346.7049999999999</v>
      </c>
      <c r="T43" s="55">
        <f>_xll.EQNXTDZ($A$1,$B43,T$1,$B$1)</f>
        <v>1424.8440000000001</v>
      </c>
      <c r="U43" s="55">
        <f>_xll.EQNXTDZ($A$1,$B43,U$1,$B$1)</f>
        <v>1464.0751</v>
      </c>
      <c r="V43" s="55">
        <f>_xll.EQNXTDZ($A$1,$B43,V$1,$B$1)</f>
        <v>1420.0328999999999</v>
      </c>
      <c r="W43" s="55">
        <f>_xll.EQNXTDZ($A$1,$B43,W$1,$B$1)</f>
        <v>1794.2683999999999</v>
      </c>
      <c r="X43" s="55">
        <f>_xll.EQNXTDZ($A$1,$B43,X$1,$B$1)</f>
        <v>2056.0131000000001</v>
      </c>
      <c r="Y43" s="55">
        <f>_xll.EQNXTDZ($A$1,$B43,Y$1,$B$1)</f>
        <v>2343.2557000000002</v>
      </c>
      <c r="Z43" s="55">
        <f>_xll.EQNXTDZ($A$1,$B43,Z$1,$B$1)</f>
        <v>2767.9711000000002</v>
      </c>
      <c r="AA43" s="55">
        <f>_xll.EQNXTDZ($A$1,$B43,AA$1,$B$1)</f>
        <v>3249.7188999999998</v>
      </c>
      <c r="AB43" s="55">
        <f>_xll.EQNXTDZ($A$1,$B43,AB$1,$B$1)</f>
        <v>4143.1638999999996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159.90969999999999</v>
      </c>
      <c r="D44" s="55">
        <f>_xll.EQNXTDZ($A$1,$B44,D$1,$B$1)</f>
        <v>189.6217</v>
      </c>
      <c r="E44" s="55">
        <f>_xll.EQNXTDZ($A$1,$B44,E$1,$B$1)</f>
        <v>225.20490000000001</v>
      </c>
      <c r="F44" s="55">
        <f>_xll.EQNXTDZ($A$1,$B44,F$1,$B$1)</f>
        <v>247.79509999999999</v>
      </c>
      <c r="G44" s="55">
        <f>_xll.EQNXTDZ($A$1,$B44,G$1,$B$1)</f>
        <v>284.16680000000002</v>
      </c>
      <c r="H44" s="55">
        <f>_xll.EQNXTDZ($A$1,$B44,H$1,$B$1)</f>
        <v>330.3768</v>
      </c>
      <c r="I44" s="55">
        <f>_xll.EQNXTDZ($A$1,$B44,I$1,$B$1)</f>
        <v>418.46199999999999</v>
      </c>
      <c r="J44" s="55">
        <f>_xll.EQNXTDZ($A$1,$B44,J$1,$B$1)</f>
        <v>453.02460000000002</v>
      </c>
      <c r="K44" s="55">
        <f>_xll.EQNXTDZ($A$1,$B44,K$1,$B$1)</f>
        <v>468.89150000000001</v>
      </c>
      <c r="L44" s="55">
        <f>_xll.EQNXTDZ($A$1,$B44,L$1,$B$1)</f>
        <v>568.11749999999995</v>
      </c>
      <c r="M44" s="55">
        <f>_xll.EQNXTDZ($A$1,$B44,M$1,$B$1)</f>
        <v>691.54250000000002</v>
      </c>
      <c r="N44" s="55">
        <f>_xll.EQNXTDZ($A$1,$B44,N$1,$B$1)</f>
        <v>969.9529</v>
      </c>
      <c r="O44" s="55">
        <f>_xll.EQNXTDZ($A$1,$B44,O$1,$B$1)</f>
        <v>1020.2712</v>
      </c>
      <c r="P44" s="55">
        <f>_xll.EQNXTDZ($A$1,$B44,P$1,$B$1)</f>
        <v>1042.8124</v>
      </c>
      <c r="Q44" s="55">
        <f>_xll.EQNXTDZ($A$1,$B44,Q$1,$B$1)</f>
        <v>994.87419999999997</v>
      </c>
      <c r="R44" s="55">
        <f>_xll.EQNXTDZ($A$1,$B44,R$1,$B$1)</f>
        <v>1183.8382999999999</v>
      </c>
      <c r="S44" s="55">
        <f>_xll.EQNXTDZ($A$1,$B44,S$1,$B$1)</f>
        <v>1363.6690000000001</v>
      </c>
      <c r="T44" s="55">
        <f>_xll.EQNXTDZ($A$1,$B44,T$1,$B$1)</f>
        <v>1441.558</v>
      </c>
      <c r="U44" s="55">
        <f>_xll.EQNXTDZ($A$1,$B44,U$1,$B$1)</f>
        <v>1480.1224</v>
      </c>
      <c r="V44" s="55">
        <f>_xll.EQNXTDZ($A$1,$B44,V$1,$B$1)</f>
        <v>1435.4893</v>
      </c>
      <c r="W44" s="55">
        <f>_xll.EQNXTDZ($A$1,$B44,W$1,$B$1)</f>
        <v>1809.7248</v>
      </c>
      <c r="X44" s="55">
        <f>_xll.EQNXTDZ($A$1,$B44,X$1,$B$1)</f>
        <v>2134.123</v>
      </c>
      <c r="Y44" s="55">
        <f>_xll.EQNXTDZ($A$1,$B44,Y$1,$B$1)</f>
        <v>2480.3521999999998</v>
      </c>
      <c r="Z44" s="55">
        <f>_xll.EQNXTDZ($A$1,$B44,Z$1,$B$1)</f>
        <v>2923.3292999999999</v>
      </c>
      <c r="AA44" s="55">
        <f>_xll.EQNXTDZ($A$1,$B44,AA$1,$B$1)</f>
        <v>3433.3150999999998</v>
      </c>
      <c r="AB44" s="55">
        <f>_xll.EQNXTDZ($A$1,$B44,AB$1,$B$1)</f>
        <v>4159.2197999999999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1.665</v>
      </c>
      <c r="S45" s="55">
        <f>_xll.EQNXTDZ($A$1,$B45,S$1,$B$1)</f>
        <v>2.1804999999999999</v>
      </c>
      <c r="T45" s="55">
        <f>_xll.EQNXTDZ($A$1,$B45,T$1,$B$1)</f>
        <v>2.7717999999999998</v>
      </c>
      <c r="U45" s="55">
        <f>_xll.EQNXTDZ($A$1,$B45,U$1,$B$1)</f>
        <v>2.8033000000000001</v>
      </c>
      <c r="V45" s="55">
        <f>_xll.EQNXTDZ($A$1,$B45,V$1,$B$1)</f>
        <v>2.5009999999999999</v>
      </c>
      <c r="W45" s="55">
        <f>_xll.EQNXTDZ($A$1,$B45,W$1,$B$1)</f>
        <v>3.7050999999999998</v>
      </c>
      <c r="X45" s="55">
        <f>_xll.EQNXTDZ($A$1,$B45,X$1,$B$1)</f>
        <v>4.4898999999999996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3.7235999999999998</v>
      </c>
      <c r="D47" s="55">
        <f>_xll.EQNXTDZ($A$1,$B47,D$1,$B$1)</f>
        <v>9.3788</v>
      </c>
      <c r="E47" s="55">
        <f>_xll.EQNXTDZ($A$1,$B47,E$1,$B$1)</f>
        <v>7.2771999999999997</v>
      </c>
      <c r="F47" s="55">
        <f>_xll.EQNXTDZ($A$1,$B47,F$1,$B$1)</f>
        <v>33.007199999999997</v>
      </c>
      <c r="G47" s="55">
        <f>_xll.EQNXTDZ($A$1,$B47,G$1,$B$1)</f>
        <v>37.961500000000001</v>
      </c>
      <c r="H47" s="55">
        <f>_xll.EQNXTDZ($A$1,$B47,H$1,$B$1)</f>
        <v>62.981200000000001</v>
      </c>
      <c r="I47" s="55">
        <f>_xll.EQNXTDZ($A$1,$B47,I$1,$B$1)</f>
        <v>84.196899999999999</v>
      </c>
      <c r="J47" s="55">
        <f>_xll.EQNXTDZ($A$1,$B47,J$1,$B$1)</f>
        <v>154.4958</v>
      </c>
      <c r="K47" s="55">
        <f>_xll.EQNXTDZ($A$1,$B47,K$1,$B$1)</f>
        <v>134.298</v>
      </c>
      <c r="L47" s="55">
        <f>_xll.EQNXTDZ($A$1,$B47,L$1,$B$1)</f>
        <v>98.491399999999999</v>
      </c>
      <c r="M47" s="55">
        <f>_xll.EQNXTDZ($A$1,$B47,M$1,$B$1)</f>
        <v>0.54039999999999999</v>
      </c>
      <c r="N47" s="55">
        <f>_xll.EQNXTDZ($A$1,$B47,N$1,$B$1)</f>
        <v>0.4027</v>
      </c>
      <c r="O47" s="55">
        <f>_xll.EQNXTDZ($A$1,$B47,O$1,$B$1)</f>
        <v>0.21759999999999999</v>
      </c>
      <c r="P47" s="55">
        <f>_xll.EQNXTDZ($A$1,$B47,P$1,$B$1)</f>
        <v>8.8400000000000006E-2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383.22030000000001</v>
      </c>
      <c r="Z47" s="55">
        <f>_xll.EQNXTDZ($A$1,$B47,Z$1,$B$1)</f>
        <v>23.6387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8.3310999999999993</v>
      </c>
      <c r="D48" s="55">
        <f>_xll.EQNXTDZ($A$1,$B48,D$1,$B$1)</f>
        <v>8.1639999999999997</v>
      </c>
      <c r="E48" s="55">
        <f>_xll.EQNXTDZ($A$1,$B48,E$1,$B$1)</f>
        <v>9.0716000000000001</v>
      </c>
      <c r="F48" s="55">
        <f>_xll.EQNXTDZ($A$1,$B48,F$1,$B$1)</f>
        <v>9.8484999999999996</v>
      </c>
      <c r="G48" s="55">
        <f>_xll.EQNXTDZ($A$1,$B48,G$1,$B$1)</f>
        <v>27.0824</v>
      </c>
      <c r="H48" s="55">
        <f>_xll.EQNXTDZ($A$1,$B48,H$1,$B$1)</f>
        <v>32.644500000000001</v>
      </c>
      <c r="I48" s="55">
        <f>_xll.EQNXTDZ($A$1,$B48,I$1,$B$1)</f>
        <v>90.170400000000001</v>
      </c>
      <c r="J48" s="55">
        <f>_xll.EQNXTDZ($A$1,$B48,J$1,$B$1)</f>
        <v>41.857999999999997</v>
      </c>
      <c r="K48" s="55">
        <f>_xll.EQNXTDZ($A$1,$B48,K$1,$B$1)</f>
        <v>44.468499999999999</v>
      </c>
      <c r="L48" s="55">
        <f>_xll.EQNXTDZ($A$1,$B48,L$1,$B$1)</f>
        <v>38.288200000000003</v>
      </c>
      <c r="M48" s="55">
        <f>_xll.EQNXTDZ($A$1,$B48,M$1,$B$1)</f>
        <v>11.985099999999999</v>
      </c>
      <c r="N48" s="55">
        <f>_xll.EQNXTDZ($A$1,$B48,N$1,$B$1)</f>
        <v>12.142300000000001</v>
      </c>
      <c r="O48" s="55">
        <f>_xll.EQNXTDZ($A$1,$B48,O$1,$B$1)</f>
        <v>7.0250000000000004</v>
      </c>
      <c r="P48" s="55">
        <f>_xll.EQNXTDZ($A$1,$B48,P$1,$B$1)</f>
        <v>0.4</v>
      </c>
      <c r="Q48" s="55">
        <f>_xll.EQNXTDZ($A$1,$B48,Q$1,$B$1)</f>
        <v>0.4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11.2705</v>
      </c>
      <c r="G49" s="55">
        <f>_xll.EQNXTDZ($A$1,$B49,G$1,$B$1)</f>
        <v>14.254799999999999</v>
      </c>
      <c r="H49" s="55">
        <f>_xll.EQNXTDZ($A$1,$B49,H$1,$B$1)</f>
        <v>15.408099999999999</v>
      </c>
      <c r="I49" s="55">
        <f>_xll.EQNXTDZ($A$1,$B49,I$1,$B$1)</f>
        <v>18.4895</v>
      </c>
      <c r="J49" s="55">
        <f>_xll.EQNXTDZ($A$1,$B49,J$1,$B$1)</f>
        <v>15.476599999999999</v>
      </c>
      <c r="K49" s="55">
        <f>_xll.EQNXTDZ($A$1,$B49,K$1,$B$1)</f>
        <v>12.8484</v>
      </c>
      <c r="L49" s="55">
        <f>_xll.EQNXTDZ($A$1,$B49,L$1,$B$1)</f>
        <v>15.8545</v>
      </c>
      <c r="M49" s="55">
        <f>_xll.EQNXTDZ($A$1,$B49,M$1,$B$1)</f>
        <v>16.269100000000002</v>
      </c>
      <c r="N49" s="55">
        <f>_xll.EQNXTDZ($A$1,$B49,N$1,$B$1)</f>
        <v>18.7104</v>
      </c>
      <c r="O49" s="55">
        <f>_xll.EQNXTDZ($A$1,$B49,O$1,$B$1)</f>
        <v>24.9803</v>
      </c>
      <c r="P49" s="55">
        <f>_xll.EQNXTDZ($A$1,$B49,P$1,$B$1)</f>
        <v>19.254999999999999</v>
      </c>
      <c r="Q49" s="55">
        <f>_xll.EQNXTDZ($A$1,$B49,Q$1,$B$1)</f>
        <v>20.197600000000001</v>
      </c>
      <c r="R49" s="55">
        <f>_xll.EQNXTDZ($A$1,$B49,R$1,$B$1)</f>
        <v>16.776299999999999</v>
      </c>
      <c r="S49" s="55">
        <f>_xll.EQNXTDZ($A$1,$B49,S$1,$B$1)</f>
        <v>10.463900000000001</v>
      </c>
      <c r="T49" s="55">
        <f>_xll.EQNXTDZ($A$1,$B49,T$1,$B$1)</f>
        <v>32.385800000000003</v>
      </c>
      <c r="U49" s="55">
        <f>_xll.EQNXTDZ($A$1,$B49,U$1,$B$1)</f>
        <v>56.907299999999999</v>
      </c>
      <c r="V49" s="55">
        <f>_xll.EQNXTDZ($A$1,$B49,V$1,$B$1)</f>
        <v>48.1404</v>
      </c>
      <c r="W49" s="55">
        <f>_xll.EQNXTDZ($A$1,$B49,W$1,$B$1)</f>
        <v>49.823599999999999</v>
      </c>
      <c r="X49" s="55">
        <f>_xll.EQNXTDZ($A$1,$B49,X$1,$B$1)</f>
        <v>41.128100000000003</v>
      </c>
      <c r="Y49" s="55">
        <f>_xll.EQNXTDZ($A$1,$B49,Y$1,$B$1)</f>
        <v>96.313500000000005</v>
      </c>
      <c r="Z49" s="55">
        <f>_xll.EQNXTDZ($A$1,$B49,Z$1,$B$1)</f>
        <v>143.32990000000001</v>
      </c>
      <c r="AA49" s="55">
        <f>_xll.EQNXTDZ($A$1,$B49,AA$1,$B$1)</f>
        <v>168.9228</v>
      </c>
      <c r="AB49" s="55">
        <f>_xll.EQNXTDZ($A$1,$B49,AB$1,$B$1)</f>
        <v>177.31129999999999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3.806</v>
      </c>
      <c r="S50" s="55">
        <f>_xll.EQNXTDZ($A$1,$B50,S$1,$B$1)</f>
        <v>3.9548000000000001</v>
      </c>
      <c r="T50" s="55">
        <f>_xll.EQNXTDZ($A$1,$B50,T$1,$B$1)</f>
        <v>3.6000999999999999</v>
      </c>
      <c r="U50" s="55">
        <f>_xll.EQNXTDZ($A$1,$B50,U$1,$B$1)</f>
        <v>2.2029000000000001</v>
      </c>
      <c r="V50" s="55">
        <f>_xll.EQNXTDZ($A$1,$B50,V$1,$B$1)</f>
        <v>7.1976000000000004</v>
      </c>
      <c r="W50" s="55">
        <f>_xll.EQNXTDZ($A$1,$B50,W$1,$B$1)</f>
        <v>10.073600000000001</v>
      </c>
      <c r="X50" s="55">
        <f>_xll.EQNXTDZ($A$1,$B50,X$1,$B$1)</f>
        <v>23.783999999999999</v>
      </c>
      <c r="Y50" s="55">
        <f>_xll.EQNXTDZ($A$1,$B50,Y$1,$B$1)</f>
        <v>17.813700000000001</v>
      </c>
      <c r="Z50" s="55">
        <f>_xll.EQNXTDZ($A$1,$B50,Z$1,$B$1)</f>
        <v>11.3371</v>
      </c>
      <c r="AA50" s="55">
        <f>_xll.EQNXTDZ($A$1,$B50,AA$1,$B$1)</f>
        <v>8.2543000000000006</v>
      </c>
      <c r="AB50" s="55">
        <f>_xll.EQNXTDZ($A$1,$B50,AB$1,$B$1)</f>
        <v>4.7064000000000004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7.7081</v>
      </c>
      <c r="N52" s="55">
        <f>_xll.EQNXTDZ($A$1,$B52,N$1,$B$1)</f>
        <v>8.2683999999999997</v>
      </c>
      <c r="O52" s="55">
        <f>_xll.EQNXTDZ($A$1,$B52,O$1,$B$1)</f>
        <v>8.2281999999999993</v>
      </c>
      <c r="P52" s="55">
        <f>_xll.EQNXTDZ($A$1,$B52,P$1,$B$1)</f>
        <v>12.186999999999999</v>
      </c>
      <c r="Q52" s="55">
        <f>_xll.EQNXTDZ($A$1,$B52,Q$1,$B$1)</f>
        <v>12.026</v>
      </c>
      <c r="R52" s="55">
        <f>_xll.EQNXTDZ($A$1,$B52,R$1,$B$1)</f>
        <v>10.4329</v>
      </c>
      <c r="S52" s="55">
        <f>_xll.EQNXTDZ($A$1,$B52,S$1,$B$1)</f>
        <v>12.561999999999999</v>
      </c>
      <c r="T52" s="55">
        <f>_xll.EQNXTDZ($A$1,$B52,T$1,$B$1)</f>
        <v>9.6736000000000004</v>
      </c>
      <c r="U52" s="55">
        <f>_xll.EQNXTDZ($A$1,$B52,U$1,$B$1)</f>
        <v>5.7289000000000003</v>
      </c>
      <c r="V52" s="55">
        <f>_xll.EQNXTDZ($A$1,$B52,V$1,$B$1)</f>
        <v>7.3868</v>
      </c>
      <c r="W52" s="55">
        <f>_xll.EQNXTDZ($A$1,$B52,W$1,$B$1)</f>
        <v>12.571400000000001</v>
      </c>
      <c r="X52" s="55">
        <f>_xll.EQNXTDZ($A$1,$B52,X$1,$B$1)</f>
        <v>410.42619999999999</v>
      </c>
      <c r="Y52" s="55">
        <f>_xll.EQNXTDZ($A$1,$B52,Y$1,$B$1)</f>
        <v>494.68349999999998</v>
      </c>
      <c r="Z52" s="55">
        <f>_xll.EQNXTDZ($A$1,$B52,Z$1,$B$1)</f>
        <v>287.65839999999997</v>
      </c>
      <c r="AA52" s="55">
        <f>_xll.EQNXTDZ($A$1,$B52,AA$1,$B$1)</f>
        <v>266.05619999999999</v>
      </c>
      <c r="AB52" s="55">
        <f>_xll.EQNXTDZ($A$1,$B52,AB$1,$B$1)</f>
        <v>497.02120000000002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12.0547</v>
      </c>
      <c r="D53" s="55">
        <f>_xll.EQNXTDZ($A$1,$B53,D$1,$B$1)</f>
        <v>17.5428</v>
      </c>
      <c r="E53" s="55">
        <f>_xll.EQNXTDZ($A$1,$B53,E$1,$B$1)</f>
        <v>16.348800000000001</v>
      </c>
      <c r="F53" s="55">
        <f>_xll.EQNXTDZ($A$1,$B53,F$1,$B$1)</f>
        <v>54.126199999999997</v>
      </c>
      <c r="G53" s="55">
        <f>_xll.EQNXTDZ($A$1,$B53,G$1,$B$1)</f>
        <v>79.298699999999997</v>
      </c>
      <c r="H53" s="55">
        <f>_xll.EQNXTDZ($A$1,$B53,H$1,$B$1)</f>
        <v>111.0338</v>
      </c>
      <c r="I53" s="55">
        <f>_xll.EQNXTDZ($A$1,$B53,I$1,$B$1)</f>
        <v>192.85679999999999</v>
      </c>
      <c r="J53" s="55">
        <f>_xll.EQNXTDZ($A$1,$B53,J$1,$B$1)</f>
        <v>211.8304</v>
      </c>
      <c r="K53" s="55">
        <f>_xll.EQNXTDZ($A$1,$B53,K$1,$B$1)</f>
        <v>191.61490000000001</v>
      </c>
      <c r="L53" s="55">
        <f>_xll.EQNXTDZ($A$1,$B53,L$1,$B$1)</f>
        <v>152.63409999999999</v>
      </c>
      <c r="M53" s="55">
        <f>_xll.EQNXTDZ($A$1,$B53,M$1,$B$1)</f>
        <v>36.502699999999997</v>
      </c>
      <c r="N53" s="55">
        <f>_xll.EQNXTDZ($A$1,$B53,N$1,$B$1)</f>
        <v>39.523800000000001</v>
      </c>
      <c r="O53" s="55">
        <f>_xll.EQNXTDZ($A$1,$B53,O$1,$B$1)</f>
        <v>40.451099999999997</v>
      </c>
      <c r="P53" s="55">
        <f>_xll.EQNXTDZ($A$1,$B53,P$1,$B$1)</f>
        <v>31.930399999999999</v>
      </c>
      <c r="Q53" s="55">
        <f>_xll.EQNXTDZ($A$1,$B53,Q$1,$B$1)</f>
        <v>32.623600000000003</v>
      </c>
      <c r="R53" s="55">
        <f>_xll.EQNXTDZ($A$1,$B53,R$1,$B$1)</f>
        <v>31.0152</v>
      </c>
      <c r="S53" s="55">
        <f>_xll.EQNXTDZ($A$1,$B53,S$1,$B$1)</f>
        <v>26.980699999999999</v>
      </c>
      <c r="T53" s="55">
        <f>_xll.EQNXTDZ($A$1,$B53,T$1,$B$1)</f>
        <v>45.659500000000001</v>
      </c>
      <c r="U53" s="55">
        <f>_xll.EQNXTDZ($A$1,$B53,U$1,$B$1)</f>
        <v>64.839100000000002</v>
      </c>
      <c r="V53" s="55">
        <f>_xll.EQNXTDZ($A$1,$B53,V$1,$B$1)</f>
        <v>62.724800000000002</v>
      </c>
      <c r="W53" s="55">
        <f>_xll.EQNXTDZ($A$1,$B53,W$1,$B$1)</f>
        <v>72.468599999999995</v>
      </c>
      <c r="X53" s="55">
        <f>_xll.EQNXTDZ($A$1,$B53,X$1,$B$1)</f>
        <v>475.3383</v>
      </c>
      <c r="Y53" s="55">
        <f>_xll.EQNXTDZ($A$1,$B53,Y$1,$B$1)</f>
        <v>992.03099999999995</v>
      </c>
      <c r="Z53" s="55">
        <f>_xll.EQNXTDZ($A$1,$B53,Z$1,$B$1)</f>
        <v>465.96409999999997</v>
      </c>
      <c r="AA53" s="55">
        <f>_xll.EQNXTDZ($A$1,$B53,AA$1,$B$1)</f>
        <v>443.23329999999999</v>
      </c>
      <c r="AB53" s="55">
        <f>_xll.EQNXTDZ($A$1,$B53,AB$1,$B$1)</f>
        <v>679.03890000000001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13.2784</v>
      </c>
      <c r="D54" s="55">
        <f>_xll.EQNXTDZ($A$1,$B54,D$1,$B$1)</f>
        <v>17.9147</v>
      </c>
      <c r="E54" s="55">
        <f>_xll.EQNXTDZ($A$1,$B54,E$1,$B$1)</f>
        <v>20.9392</v>
      </c>
      <c r="F54" s="55">
        <f>_xll.EQNXTDZ($A$1,$B54,F$1,$B$1)</f>
        <v>28.027000000000001</v>
      </c>
      <c r="G54" s="55">
        <f>_xll.EQNXTDZ($A$1,$B54,G$1,$B$1)</f>
        <v>20.4177</v>
      </c>
      <c r="H54" s="55">
        <f>_xll.EQNXTDZ($A$1,$B54,H$1,$B$1)</f>
        <v>25.502600000000001</v>
      </c>
      <c r="I54" s="55">
        <f>_xll.EQNXTDZ($A$1,$B54,I$1,$B$1)</f>
        <v>62.712699999999998</v>
      </c>
      <c r="J54" s="55">
        <f>_xll.EQNXTDZ($A$1,$B54,J$1,$B$1)</f>
        <v>43.727800000000002</v>
      </c>
      <c r="K54" s="55">
        <f>_xll.EQNXTDZ($A$1,$B54,K$1,$B$1)</f>
        <v>34.546500000000002</v>
      </c>
      <c r="L54" s="55">
        <f>_xll.EQNXTDZ($A$1,$B54,L$1,$B$1)</f>
        <v>43.280099999999997</v>
      </c>
      <c r="M54" s="55">
        <f>_xll.EQNXTDZ($A$1,$B54,M$1,$B$1)</f>
        <v>50.211399999999998</v>
      </c>
      <c r="N54" s="55">
        <f>_xll.EQNXTDZ($A$1,$B54,N$1,$B$1)</f>
        <v>37.090200000000003</v>
      </c>
      <c r="O54" s="55">
        <f>_xll.EQNXTDZ($A$1,$B54,O$1,$B$1)</f>
        <v>60.507599999999996</v>
      </c>
      <c r="P54" s="55">
        <f>_xll.EQNXTDZ($A$1,$B54,P$1,$B$1)</f>
        <v>60.747799999999998</v>
      </c>
      <c r="Q54" s="55">
        <f>_xll.EQNXTDZ($A$1,$B54,Q$1,$B$1)</f>
        <v>77.513900000000007</v>
      </c>
      <c r="R54" s="55">
        <f>_xll.EQNXTDZ($A$1,$B54,R$1,$B$1)</f>
        <v>90.850899999999996</v>
      </c>
      <c r="S54" s="55">
        <f>_xll.EQNXTDZ($A$1,$B54,S$1,$B$1)</f>
        <v>98.977099999999993</v>
      </c>
      <c r="T54" s="55">
        <f>_xll.EQNXTDZ($A$1,$B54,T$1,$B$1)</f>
        <v>110.395</v>
      </c>
      <c r="U54" s="55">
        <f>_xll.EQNXTDZ($A$1,$B54,U$1,$B$1)</f>
        <v>117.3746</v>
      </c>
      <c r="V54" s="55">
        <f>_xll.EQNXTDZ($A$1,$B54,V$1,$B$1)</f>
        <v>167.96559999999999</v>
      </c>
      <c r="W54" s="55">
        <f>_xll.EQNXTDZ($A$1,$B54,W$1,$B$1)</f>
        <v>186.92339999999999</v>
      </c>
      <c r="X54" s="55">
        <f>_xll.EQNXTDZ($A$1,$B54,X$1,$B$1)</f>
        <v>224.47970000000001</v>
      </c>
      <c r="Y54" s="55">
        <f>_xll.EQNXTDZ($A$1,$B54,Y$1,$B$1)</f>
        <v>238.64760000000001</v>
      </c>
      <c r="Z54" s="55">
        <f>_xll.EQNXTDZ($A$1,$B54,Z$1,$B$1)</f>
        <v>356.31029999999998</v>
      </c>
      <c r="AA54" s="55">
        <f>_xll.EQNXTDZ($A$1,$B54,AA$1,$B$1)</f>
        <v>410.71710000000002</v>
      </c>
      <c r="AB54" s="55">
        <f>_xll.EQNXTDZ($A$1,$B54,AB$1,$B$1)</f>
        <v>390.97879999999998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9.2532999999999994</v>
      </c>
      <c r="D55" s="55">
        <f>_xll.EQNXTDZ($A$1,$B55,D$1,$B$1)</f>
        <v>15.888</v>
      </c>
      <c r="E55" s="55">
        <f>_xll.EQNXTDZ($A$1,$B55,E$1,$B$1)</f>
        <v>16.390599999999999</v>
      </c>
      <c r="F55" s="55">
        <f>_xll.EQNXTDZ($A$1,$B55,F$1,$B$1)</f>
        <v>13.8901</v>
      </c>
      <c r="G55" s="55">
        <f>_xll.EQNXTDZ($A$1,$B55,G$1,$B$1)</f>
        <v>13.193899999999999</v>
      </c>
      <c r="H55" s="55">
        <f>_xll.EQNXTDZ($A$1,$B55,H$1,$B$1)</f>
        <v>22.261399999999998</v>
      </c>
      <c r="I55" s="55">
        <f>_xll.EQNXTDZ($A$1,$B55,I$1,$B$1)</f>
        <v>21.541499999999999</v>
      </c>
      <c r="J55" s="55">
        <f>_xll.EQNXTDZ($A$1,$B55,J$1,$B$1)</f>
        <v>17.676100000000002</v>
      </c>
      <c r="K55" s="55">
        <f>_xll.EQNXTDZ($A$1,$B55,K$1,$B$1)</f>
        <v>30.102399999999999</v>
      </c>
      <c r="L55" s="55">
        <f>_xll.EQNXTDZ($A$1,$B55,L$1,$B$1)</f>
        <v>39.529800000000002</v>
      </c>
      <c r="M55" s="55">
        <f>_xll.EQNXTDZ($A$1,$B55,M$1,$B$1)</f>
        <v>61.218400000000003</v>
      </c>
      <c r="N55" s="55">
        <f>_xll.EQNXTDZ($A$1,$B55,N$1,$B$1)</f>
        <v>78.749600000000001</v>
      </c>
      <c r="O55" s="55">
        <f>_xll.EQNXTDZ($A$1,$B55,O$1,$B$1)</f>
        <v>101.15389999999999</v>
      </c>
      <c r="P55" s="55">
        <f>_xll.EQNXTDZ($A$1,$B55,P$1,$B$1)</f>
        <v>98.057699999999997</v>
      </c>
      <c r="Q55" s="55">
        <f>_xll.EQNXTDZ($A$1,$B55,Q$1,$B$1)</f>
        <v>103.73860000000001</v>
      </c>
      <c r="R55" s="55">
        <f>_xll.EQNXTDZ($A$1,$B55,R$1,$B$1)</f>
        <v>138.7328</v>
      </c>
      <c r="S55" s="55">
        <f>_xll.EQNXTDZ($A$1,$B55,S$1,$B$1)</f>
        <v>122.14700000000001</v>
      </c>
      <c r="T55" s="55">
        <f>_xll.EQNXTDZ($A$1,$B55,T$1,$B$1)</f>
        <v>119.7496</v>
      </c>
      <c r="U55" s="55">
        <f>_xll.EQNXTDZ($A$1,$B55,U$1,$B$1)</f>
        <v>93.0976</v>
      </c>
      <c r="V55" s="55">
        <f>_xll.EQNXTDZ($A$1,$B55,V$1,$B$1)</f>
        <v>102.675</v>
      </c>
      <c r="W55" s="55">
        <f>_xll.EQNXTDZ($A$1,$B55,W$1,$B$1)</f>
        <v>89.824200000000005</v>
      </c>
      <c r="X55" s="55">
        <f>_xll.EQNXTDZ($A$1,$B55,X$1,$B$1)</f>
        <v>81.308400000000006</v>
      </c>
      <c r="Y55" s="55">
        <f>_xll.EQNXTDZ($A$1,$B55,Y$1,$B$1)</f>
        <v>240.3296</v>
      </c>
      <c r="Z55" s="55">
        <f>_xll.EQNXTDZ($A$1,$B55,Z$1,$B$1)</f>
        <v>435.75209999999998</v>
      </c>
      <c r="AA55" s="55">
        <f>_xll.EQNXTDZ($A$1,$B55,AA$1,$B$1)</f>
        <v>137.32579999999999</v>
      </c>
      <c r="AB55" s="55">
        <f>_xll.EQNXTDZ($A$1,$B55,AB$1,$B$1)</f>
        <v>125.7099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133.36369999999999</v>
      </c>
      <c r="N56" s="55">
        <f>_xll.EQNXTDZ($A$1,$B56,N$1,$B$1)</f>
        <v>55.226500000000001</v>
      </c>
      <c r="O56" s="55">
        <f>_xll.EQNXTDZ($A$1,$B56,O$1,$B$1)</f>
        <v>37.277999999999999</v>
      </c>
      <c r="P56" s="55">
        <f>_xll.EQNXTDZ($A$1,$B56,P$1,$B$1)</f>
        <v>81.709599999999995</v>
      </c>
      <c r="Q56" s="55">
        <f>_xll.EQNXTDZ($A$1,$B56,Q$1,$B$1)</f>
        <v>126.87949999999999</v>
      </c>
      <c r="R56" s="55">
        <f>_xll.EQNXTDZ($A$1,$B56,R$1,$B$1)</f>
        <v>193.02369999999999</v>
      </c>
      <c r="S56" s="55">
        <f>_xll.EQNXTDZ($A$1,$B56,S$1,$B$1)</f>
        <v>48.860300000000002</v>
      </c>
      <c r="T56" s="55">
        <f>_xll.EQNXTDZ($A$1,$B56,T$1,$B$1)</f>
        <v>29.2928</v>
      </c>
      <c r="U56" s="55">
        <f>_xll.EQNXTDZ($A$1,$B56,U$1,$B$1)</f>
        <v>25.797699999999999</v>
      </c>
      <c r="V56" s="55">
        <f>_xll.EQNXTDZ($A$1,$B56,V$1,$B$1)</f>
        <v>29.493600000000001</v>
      </c>
      <c r="W56" s="55">
        <f>_xll.EQNXTDZ($A$1,$B56,W$1,$B$1)</f>
        <v>32.644599999999997</v>
      </c>
      <c r="X56" s="55">
        <f>_xll.EQNXTDZ($A$1,$B56,X$1,$B$1)</f>
        <v>26.315000000000001</v>
      </c>
      <c r="Y56" s="55">
        <f>_xll.EQNXTDZ($A$1,$B56,Y$1,$B$1)</f>
        <v>28.018000000000001</v>
      </c>
      <c r="Z56" s="55">
        <f>_xll.EQNXTDZ($A$1,$B56,Z$1,$B$1)</f>
        <v>15.342499999999999</v>
      </c>
      <c r="AA56" s="55">
        <f>_xll.EQNXTDZ($A$1,$B56,AA$1,$B$1)</f>
        <v>13.803800000000001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9.5489999999999995</v>
      </c>
      <c r="D57" s="55">
        <f>_xll.EQNXTDZ($A$1,$B57,D$1,$B$1)</f>
        <v>8.8914000000000009</v>
      </c>
      <c r="E57" s="55">
        <f>_xll.EQNXTDZ($A$1,$B57,E$1,$B$1)</f>
        <v>15.6615</v>
      </c>
      <c r="F57" s="55">
        <f>_xll.EQNXTDZ($A$1,$B57,F$1,$B$1)</f>
        <v>13.0181</v>
      </c>
      <c r="G57" s="55">
        <f>_xll.EQNXTDZ($A$1,$B57,G$1,$B$1)</f>
        <v>14.229100000000001</v>
      </c>
      <c r="H57" s="55">
        <f>_xll.EQNXTDZ($A$1,$B57,H$1,$B$1)</f>
        <v>16.101600000000001</v>
      </c>
      <c r="I57" s="55">
        <f>_xll.EQNXTDZ($A$1,$B57,I$1,$B$1)</f>
        <v>16.493099999999998</v>
      </c>
      <c r="J57" s="55">
        <f>_xll.EQNXTDZ($A$1,$B57,J$1,$B$1)</f>
        <v>15.0482</v>
      </c>
      <c r="K57" s="55">
        <f>_xll.EQNXTDZ($A$1,$B57,K$1,$B$1)</f>
        <v>21.1586</v>
      </c>
      <c r="L57" s="55">
        <f>_xll.EQNXTDZ($A$1,$B57,L$1,$B$1)</f>
        <v>33.740099999999998</v>
      </c>
      <c r="M57" s="55">
        <f>_xll.EQNXTDZ($A$1,$B57,M$1,$B$1)</f>
        <v>26.540900000000001</v>
      </c>
      <c r="N57" s="55">
        <f>_xll.EQNXTDZ($A$1,$B57,N$1,$B$1)</f>
        <v>17.2559</v>
      </c>
      <c r="O57" s="55">
        <f>_xll.EQNXTDZ($A$1,$B57,O$1,$B$1)</f>
        <v>40.538200000000003</v>
      </c>
      <c r="P57" s="55">
        <f>_xll.EQNXTDZ($A$1,$B57,P$1,$B$1)</f>
        <v>35.755299999999998</v>
      </c>
      <c r="Q57" s="55">
        <f>_xll.EQNXTDZ($A$1,$B57,Q$1,$B$1)</f>
        <v>151.6172</v>
      </c>
      <c r="R57" s="55">
        <f>_xll.EQNXTDZ($A$1,$B57,R$1,$B$1)</f>
        <v>374.61450000000002</v>
      </c>
      <c r="S57" s="55">
        <f>_xll.EQNXTDZ($A$1,$B57,S$1,$B$1)</f>
        <v>423.47370000000001</v>
      </c>
      <c r="T57" s="55">
        <f>_xll.EQNXTDZ($A$1,$B57,T$1,$B$1)</f>
        <v>477.05869999999999</v>
      </c>
      <c r="U57" s="55">
        <f>_xll.EQNXTDZ($A$1,$B57,U$1,$B$1)</f>
        <v>545.26900000000001</v>
      </c>
      <c r="V57" s="55">
        <f>_xll.EQNXTDZ($A$1,$B57,V$1,$B$1)</f>
        <v>216.06</v>
      </c>
      <c r="W57" s="55">
        <f>_xll.EQNXTDZ($A$1,$B57,W$1,$B$1)</f>
        <v>377.173</v>
      </c>
      <c r="X57" s="55">
        <f>_xll.EQNXTDZ($A$1,$B57,X$1,$B$1)</f>
        <v>123.06010000000001</v>
      </c>
      <c r="Y57" s="55">
        <f>_xll.EQNXTDZ($A$1,$B57,Y$1,$B$1)</f>
        <v>118.7064</v>
      </c>
      <c r="Z57" s="55">
        <f>_xll.EQNXTDZ($A$1,$B57,Z$1,$B$1)</f>
        <v>480.35059999999999</v>
      </c>
      <c r="AA57" s="55">
        <f>_xll.EQNXTDZ($A$1,$B57,AA$1,$B$1)</f>
        <v>595.08079999999995</v>
      </c>
      <c r="AB57" s="55">
        <f>_xll.EQNXTDZ($A$1,$B57,AB$1,$B$1)</f>
        <v>520.66340000000002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32.0807</v>
      </c>
      <c r="D59" s="55">
        <f>_xll.EQNXTDZ($A$1,$B59,D$1,$B$1)</f>
        <v>42.694099999999999</v>
      </c>
      <c r="E59" s="55">
        <f>_xll.EQNXTDZ($A$1,$B59,E$1,$B$1)</f>
        <v>52.991300000000003</v>
      </c>
      <c r="F59" s="55">
        <f>_xll.EQNXTDZ($A$1,$B59,F$1,$B$1)</f>
        <v>54.935200000000002</v>
      </c>
      <c r="G59" s="55">
        <f>_xll.EQNXTDZ($A$1,$B59,G$1,$B$1)</f>
        <v>47.840699999999998</v>
      </c>
      <c r="H59" s="55">
        <f>_xll.EQNXTDZ($A$1,$B59,H$1,$B$1)</f>
        <v>63.865600000000001</v>
      </c>
      <c r="I59" s="55">
        <f>_xll.EQNXTDZ($A$1,$B59,I$1,$B$1)</f>
        <v>100.7473</v>
      </c>
      <c r="J59" s="55">
        <f>_xll.EQNXTDZ($A$1,$B59,J$1,$B$1)</f>
        <v>76.452100000000002</v>
      </c>
      <c r="K59" s="55">
        <f>_xll.EQNXTDZ($A$1,$B59,K$1,$B$1)</f>
        <v>85.807500000000005</v>
      </c>
      <c r="L59" s="55">
        <f>_xll.EQNXTDZ($A$1,$B59,L$1,$B$1)</f>
        <v>116.55</v>
      </c>
      <c r="M59" s="55">
        <f>_xll.EQNXTDZ($A$1,$B59,M$1,$B$1)</f>
        <v>271.33440000000002</v>
      </c>
      <c r="N59" s="55">
        <f>_xll.EQNXTDZ($A$1,$B59,N$1,$B$1)</f>
        <v>188.32220000000001</v>
      </c>
      <c r="O59" s="55">
        <f>_xll.EQNXTDZ($A$1,$B59,O$1,$B$1)</f>
        <v>239.4777</v>
      </c>
      <c r="P59" s="55">
        <f>_xll.EQNXTDZ($A$1,$B59,P$1,$B$1)</f>
        <v>276.2704</v>
      </c>
      <c r="Q59" s="55">
        <f>_xll.EQNXTDZ($A$1,$B59,Q$1,$B$1)</f>
        <v>459.74919999999997</v>
      </c>
      <c r="R59" s="55">
        <f>_xll.EQNXTDZ($A$1,$B59,R$1,$B$1)</f>
        <v>797.22190000000001</v>
      </c>
      <c r="S59" s="55">
        <f>_xll.EQNXTDZ($A$1,$B59,S$1,$B$1)</f>
        <v>693.45809999999994</v>
      </c>
      <c r="T59" s="55">
        <f>_xll.EQNXTDZ($A$1,$B59,T$1,$B$1)</f>
        <v>736.49609999999996</v>
      </c>
      <c r="U59" s="55">
        <f>_xll.EQNXTDZ($A$1,$B59,U$1,$B$1)</f>
        <v>781.53890000000001</v>
      </c>
      <c r="V59" s="55">
        <f>_xll.EQNXTDZ($A$1,$B59,V$1,$B$1)</f>
        <v>516.19420000000002</v>
      </c>
      <c r="W59" s="55">
        <f>_xll.EQNXTDZ($A$1,$B59,W$1,$B$1)</f>
        <v>686.5652</v>
      </c>
      <c r="X59" s="55">
        <f>_xll.EQNXTDZ($A$1,$B59,X$1,$B$1)</f>
        <v>455.16320000000002</v>
      </c>
      <c r="Y59" s="55">
        <f>_xll.EQNXTDZ($A$1,$B59,Y$1,$B$1)</f>
        <v>625.70159999999998</v>
      </c>
      <c r="Z59" s="55">
        <f>_xll.EQNXTDZ($A$1,$B59,Z$1,$B$1)</f>
        <v>1287.7555</v>
      </c>
      <c r="AA59" s="55">
        <f>_xll.EQNXTDZ($A$1,$B59,AA$1,$B$1)</f>
        <v>1156.9275</v>
      </c>
      <c r="AB59" s="55">
        <f>_xll.EQNXTDZ($A$1,$B59,AB$1,$B$1)</f>
        <v>1037.3521000000001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204.04509999999999</v>
      </c>
      <c r="D60" s="55">
        <f>_xll.EQNXTDZ($A$1,$B60,D$1,$B$1)</f>
        <v>249.8586</v>
      </c>
      <c r="E60" s="55">
        <f>_xll.EQNXTDZ($A$1,$B60,E$1,$B$1)</f>
        <v>294.54500000000002</v>
      </c>
      <c r="F60" s="55">
        <f>_xll.EQNXTDZ($A$1,$B60,F$1,$B$1)</f>
        <v>356.85649999999998</v>
      </c>
      <c r="G60" s="55">
        <f>_xll.EQNXTDZ($A$1,$B60,G$1,$B$1)</f>
        <v>411.30619999999999</v>
      </c>
      <c r="H60" s="55">
        <f>_xll.EQNXTDZ($A$1,$B60,H$1,$B$1)</f>
        <v>505.27620000000002</v>
      </c>
      <c r="I60" s="55">
        <f>_xll.EQNXTDZ($A$1,$B60,I$1,$B$1)</f>
        <v>712.06610000000001</v>
      </c>
      <c r="J60" s="55">
        <f>_xll.EQNXTDZ($A$1,$B60,J$1,$B$1)</f>
        <v>741.30709999999999</v>
      </c>
      <c r="K60" s="55">
        <f>_xll.EQNXTDZ($A$1,$B60,K$1,$B$1)</f>
        <v>746.31389999999999</v>
      </c>
      <c r="L60" s="55">
        <f>_xll.EQNXTDZ($A$1,$B60,L$1,$B$1)</f>
        <v>837.30160000000001</v>
      </c>
      <c r="M60" s="55">
        <f>_xll.EQNXTDZ($A$1,$B60,M$1,$B$1)</f>
        <v>999.37959999999998</v>
      </c>
      <c r="N60" s="55">
        <f>_xll.EQNXTDZ($A$1,$B60,N$1,$B$1)</f>
        <v>1197.7989</v>
      </c>
      <c r="O60" s="55">
        <f>_xll.EQNXTDZ($A$1,$B60,O$1,$B$1)</f>
        <v>1300.2</v>
      </c>
      <c r="P60" s="55">
        <f>_xll.EQNXTDZ($A$1,$B60,P$1,$B$1)</f>
        <v>1351.0132000000001</v>
      </c>
      <c r="Q60" s="55">
        <f>_xll.EQNXTDZ($A$1,$B60,Q$1,$B$1)</f>
        <v>1487.2470000000001</v>
      </c>
      <c r="R60" s="55">
        <f>_xll.EQNXTDZ($A$1,$B60,R$1,$B$1)</f>
        <v>2013.7403999999999</v>
      </c>
      <c r="S60" s="55">
        <f>_xll.EQNXTDZ($A$1,$B60,S$1,$B$1)</f>
        <v>2086.2883000000002</v>
      </c>
      <c r="T60" s="55">
        <f>_xll.EQNXTDZ($A$1,$B60,T$1,$B$1)</f>
        <v>2226.4854</v>
      </c>
      <c r="U60" s="55">
        <f>_xll.EQNXTDZ($A$1,$B60,U$1,$B$1)</f>
        <v>2329.3036999999999</v>
      </c>
      <c r="V60" s="55">
        <f>_xll.EQNXTDZ($A$1,$B60,V$1,$B$1)</f>
        <v>2016.9093</v>
      </c>
      <c r="W60" s="55">
        <f>_xll.EQNXTDZ($A$1,$B60,W$1,$B$1)</f>
        <v>2572.4636999999998</v>
      </c>
      <c r="X60" s="55">
        <f>_xll.EQNXTDZ($A$1,$B60,X$1,$B$1)</f>
        <v>3069.1143999999999</v>
      </c>
      <c r="Y60" s="55">
        <f>_xll.EQNXTDZ($A$1,$B60,Y$1,$B$1)</f>
        <v>4098.0847999999996</v>
      </c>
      <c r="Z60" s="55">
        <f>_xll.EQNXTDZ($A$1,$B60,Z$1,$B$1)</f>
        <v>4677.0488999999998</v>
      </c>
      <c r="AA60" s="55">
        <f>_xll.EQNXTDZ($A$1,$B60,AA$1,$B$1)</f>
        <v>5033.4759000000004</v>
      </c>
      <c r="AB60" s="55">
        <f>_xll.EQNXTDZ($A$1,$B60,AB$1,$B$1)</f>
        <v>5875.6108000000004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91.495000000000005</v>
      </c>
      <c r="D62" s="55">
        <f>_xll.EQNXTDZ($A$1,$B62,D$1,$B$1)</f>
        <v>118.87139999999999</v>
      </c>
      <c r="E62" s="55">
        <f>_xll.EQNXTDZ($A$1,$B62,E$1,$B$1)</f>
        <v>137.6207</v>
      </c>
      <c r="F62" s="55">
        <f>_xll.EQNXTDZ($A$1,$B62,F$1,$B$1)</f>
        <v>184.8974</v>
      </c>
      <c r="G62" s="55">
        <f>_xll.EQNXTDZ($A$1,$B62,G$1,$B$1)</f>
        <v>197.16460000000001</v>
      </c>
      <c r="H62" s="55">
        <f>_xll.EQNXTDZ($A$1,$B62,H$1,$B$1)</f>
        <v>206.79769999999999</v>
      </c>
      <c r="I62" s="55">
        <f>_xll.EQNXTDZ($A$1,$B62,I$1,$B$1)</f>
        <v>311.89069999999998</v>
      </c>
      <c r="J62" s="55">
        <f>_xll.EQNXTDZ($A$1,$B62,J$1,$B$1)</f>
        <v>359.91680000000002</v>
      </c>
      <c r="K62" s="55">
        <f>_xll.EQNXTDZ($A$1,$B62,K$1,$B$1)</f>
        <v>366.56799999999998</v>
      </c>
      <c r="L62" s="55">
        <f>_xll.EQNXTDZ($A$1,$B62,L$1,$B$1)</f>
        <v>386.66820000000001</v>
      </c>
      <c r="M62" s="55">
        <f>_xll.EQNXTDZ($A$1,$B62,M$1,$B$1)</f>
        <v>420.24630000000002</v>
      </c>
      <c r="N62" s="55">
        <f>_xll.EQNXTDZ($A$1,$B62,N$1,$B$1)</f>
        <v>456.50650000000002</v>
      </c>
      <c r="O62" s="55">
        <f>_xll.EQNXTDZ($A$1,$B62,O$1,$B$1)</f>
        <v>537.46379999999999</v>
      </c>
      <c r="P62" s="55">
        <f>_xll.EQNXTDZ($A$1,$B62,P$1,$B$1)</f>
        <v>540.53869999999995</v>
      </c>
      <c r="Q62" s="55">
        <f>_xll.EQNXTDZ($A$1,$B62,Q$1,$B$1)</f>
        <v>601.66920000000005</v>
      </c>
      <c r="R62" s="55">
        <f>_xll.EQNXTDZ($A$1,$B62,R$1,$B$1)</f>
        <v>753.7527</v>
      </c>
      <c r="S62" s="55">
        <f>_xll.EQNXTDZ($A$1,$B62,S$1,$B$1)</f>
        <v>1038.5467000000001</v>
      </c>
      <c r="T62" s="55">
        <f>_xll.EQNXTDZ($A$1,$B62,T$1,$B$1)</f>
        <v>1053.7582</v>
      </c>
      <c r="U62" s="55">
        <f>_xll.EQNXTDZ($A$1,$B62,U$1,$B$1)</f>
        <v>1084.8277</v>
      </c>
      <c r="V62" s="55">
        <f>_xll.EQNXTDZ($A$1,$B62,V$1,$B$1)</f>
        <v>1177.4345000000001</v>
      </c>
      <c r="W62" s="55">
        <f>_xll.EQNXTDZ($A$1,$B62,W$1,$B$1)</f>
        <v>1182.5547999999999</v>
      </c>
      <c r="X62" s="55">
        <f>_xll.EQNXTDZ($A$1,$B62,X$1,$B$1)</f>
        <v>1876.2014999999999</v>
      </c>
      <c r="Y62" s="55">
        <f>_xll.EQNXTDZ($A$1,$B62,Y$1,$B$1)</f>
        <v>2607.7669000000001</v>
      </c>
      <c r="Z62" s="55">
        <f>_xll.EQNXTDZ($A$1,$B62,Z$1,$B$1)</f>
        <v>2835.2307999999998</v>
      </c>
      <c r="AA62" s="55">
        <f>_xll.EQNXTDZ($A$1,$B62,AA$1,$B$1)</f>
        <v>2964.5234</v>
      </c>
      <c r="AB62" s="55">
        <f>_xll.EQNXTDZ($A$1,$B62,AB$1,$B$1)</f>
        <v>3019.8969999999999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35.385199999999998</v>
      </c>
      <c r="D63" s="55">
        <f>_xll.EQNXTDZ($A$1,$B63,D$1,$B$1)</f>
        <v>41.038400000000003</v>
      </c>
      <c r="E63" s="55">
        <f>_xll.EQNXTDZ($A$1,$B63,E$1,$B$1)</f>
        <v>47.8767</v>
      </c>
      <c r="F63" s="55">
        <f>_xll.EQNXTDZ($A$1,$B63,F$1,$B$1)</f>
        <v>56.7241</v>
      </c>
      <c r="G63" s="55">
        <f>_xll.EQNXTDZ($A$1,$B63,G$1,$B$1)</f>
        <v>62.828800000000001</v>
      </c>
      <c r="H63" s="55">
        <f>_xll.EQNXTDZ($A$1,$B63,H$1,$B$1)</f>
        <v>72.294300000000007</v>
      </c>
      <c r="I63" s="55">
        <f>_xll.EQNXTDZ($A$1,$B63,I$1,$B$1)</f>
        <v>83.942099999999996</v>
      </c>
      <c r="J63" s="55">
        <f>_xll.EQNXTDZ($A$1,$B63,J$1,$B$1)</f>
        <v>100.625</v>
      </c>
      <c r="K63" s="55">
        <f>_xll.EQNXTDZ($A$1,$B63,K$1,$B$1)</f>
        <v>119.85680000000001</v>
      </c>
      <c r="L63" s="55">
        <f>_xll.EQNXTDZ($A$1,$B63,L$1,$B$1)</f>
        <v>139.89240000000001</v>
      </c>
      <c r="M63" s="55">
        <f>_xll.EQNXTDZ($A$1,$B63,M$1,$B$1)</f>
        <v>161.85149999999999</v>
      </c>
      <c r="N63" s="55">
        <f>_xll.EQNXTDZ($A$1,$B63,N$1,$B$1)</f>
        <v>180.1919</v>
      </c>
      <c r="O63" s="55">
        <f>_xll.EQNXTDZ($A$1,$B63,O$1,$B$1)</f>
        <v>203.05549999999999</v>
      </c>
      <c r="P63" s="55">
        <f>_xll.EQNXTDZ($A$1,$B63,P$1,$B$1)</f>
        <v>229.9881</v>
      </c>
      <c r="Q63" s="55">
        <f>_xll.EQNXTDZ($A$1,$B63,Q$1,$B$1)</f>
        <v>273.1062</v>
      </c>
      <c r="R63" s="55">
        <f>_xll.EQNXTDZ($A$1,$B63,R$1,$B$1)</f>
        <v>313.53289999999998</v>
      </c>
      <c r="S63" s="55">
        <f>_xll.EQNXTDZ($A$1,$B63,S$1,$B$1)</f>
        <v>359.10239999999999</v>
      </c>
      <c r="T63" s="55">
        <f>_xll.EQNXTDZ($A$1,$B63,T$1,$B$1)</f>
        <v>414.25479999999999</v>
      </c>
      <c r="U63" s="55">
        <f>_xll.EQNXTDZ($A$1,$B63,U$1,$B$1)</f>
        <v>463.89350000000002</v>
      </c>
      <c r="V63" s="55">
        <f>_xll.EQNXTDZ($A$1,$B63,V$1,$B$1)</f>
        <v>526.17229999999995</v>
      </c>
      <c r="W63" s="55">
        <f>_xll.EQNXTDZ($A$1,$B63,W$1,$B$1)</f>
        <v>548.90219999999999</v>
      </c>
      <c r="X63" s="55">
        <f>_xll.EQNXTDZ($A$1,$B63,X$1,$B$1)</f>
        <v>599.20709999999997</v>
      </c>
      <c r="Y63" s="55">
        <f>_xll.EQNXTDZ($A$1,$B63,Y$1,$B$1)</f>
        <v>706.75660000000005</v>
      </c>
      <c r="Z63" s="55">
        <f>_xll.EQNXTDZ($A$1,$B63,Z$1,$B$1)</f>
        <v>830.83370000000002</v>
      </c>
      <c r="AA63" s="55">
        <f>_xll.EQNXTDZ($A$1,$B63,AA$1,$B$1)</f>
        <v>996.33280000000002</v>
      </c>
      <c r="AB63" s="55">
        <f>_xll.EQNXTDZ($A$1,$B63,AB$1,$B$1)</f>
        <v>1134.4804999999999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56.1098</v>
      </c>
      <c r="D65" s="55">
        <f>_xll.EQNXTDZ($A$1,$B65,D$1,$B$1)</f>
        <v>77.832999999999998</v>
      </c>
      <c r="E65" s="55">
        <f>_xll.EQNXTDZ($A$1,$B65,E$1,$B$1)</f>
        <v>89.744</v>
      </c>
      <c r="F65" s="55">
        <f>_xll.EQNXTDZ($A$1,$B65,F$1,$B$1)</f>
        <v>128.17330000000001</v>
      </c>
      <c r="G65" s="55">
        <f>_xll.EQNXTDZ($A$1,$B65,G$1,$B$1)</f>
        <v>134.33580000000001</v>
      </c>
      <c r="H65" s="55">
        <f>_xll.EQNXTDZ($A$1,$B65,H$1,$B$1)</f>
        <v>134.5034</v>
      </c>
      <c r="I65" s="55">
        <f>_xll.EQNXTDZ($A$1,$B65,I$1,$B$1)</f>
        <v>227.9486</v>
      </c>
      <c r="J65" s="55">
        <f>_xll.EQNXTDZ($A$1,$B65,J$1,$B$1)</f>
        <v>259.29180000000002</v>
      </c>
      <c r="K65" s="55">
        <f>_xll.EQNXTDZ($A$1,$B65,K$1,$B$1)</f>
        <v>246.71119999999999</v>
      </c>
      <c r="L65" s="55">
        <f>_xll.EQNXTDZ($A$1,$B65,L$1,$B$1)</f>
        <v>246.7758</v>
      </c>
      <c r="M65" s="55">
        <f>_xll.EQNXTDZ($A$1,$B65,M$1,$B$1)</f>
        <v>258.39479999999998</v>
      </c>
      <c r="N65" s="55">
        <f>_xll.EQNXTDZ($A$1,$B65,N$1,$B$1)</f>
        <v>276.31459999999998</v>
      </c>
      <c r="O65" s="55">
        <f>_xll.EQNXTDZ($A$1,$B65,O$1,$B$1)</f>
        <v>334.4083</v>
      </c>
      <c r="P65" s="55">
        <f>_xll.EQNXTDZ($A$1,$B65,P$1,$B$1)</f>
        <v>310.55059999999997</v>
      </c>
      <c r="Q65" s="55">
        <f>_xll.EQNXTDZ($A$1,$B65,Q$1,$B$1)</f>
        <v>328.56299999999999</v>
      </c>
      <c r="R65" s="55">
        <f>_xll.EQNXTDZ($A$1,$B65,R$1,$B$1)</f>
        <v>440.21980000000002</v>
      </c>
      <c r="S65" s="55">
        <f>_xll.EQNXTDZ($A$1,$B65,S$1,$B$1)</f>
        <v>679.4443</v>
      </c>
      <c r="T65" s="55">
        <f>_xll.EQNXTDZ($A$1,$B65,T$1,$B$1)</f>
        <v>639.50340000000006</v>
      </c>
      <c r="U65" s="55">
        <f>_xll.EQNXTDZ($A$1,$B65,U$1,$B$1)</f>
        <v>620.93420000000003</v>
      </c>
      <c r="V65" s="55">
        <f>_xll.EQNXTDZ($A$1,$B65,V$1,$B$1)</f>
        <v>651.26220000000001</v>
      </c>
      <c r="W65" s="55">
        <f>_xll.EQNXTDZ($A$1,$B65,W$1,$B$1)</f>
        <v>633.65260000000001</v>
      </c>
      <c r="X65" s="55">
        <f>_xll.EQNXTDZ($A$1,$B65,X$1,$B$1)</f>
        <v>1276.9944</v>
      </c>
      <c r="Y65" s="55">
        <f>_xll.EQNXTDZ($A$1,$B65,Y$1,$B$1)</f>
        <v>1901.0102999999999</v>
      </c>
      <c r="Z65" s="55">
        <f>_xll.EQNXTDZ($A$1,$B65,Z$1,$B$1)</f>
        <v>2004.3970999999999</v>
      </c>
      <c r="AA65" s="55">
        <f>_xll.EQNXTDZ($A$1,$B65,AA$1,$B$1)</f>
        <v>1968.1905999999999</v>
      </c>
      <c r="AB65" s="55">
        <f>_xll.EQNXTDZ($A$1,$B65,AB$1,$B$1)</f>
        <v>1885.4165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2.8645999999999998</v>
      </c>
      <c r="D67" s="55">
        <f>_xll.EQNXTDZ($A$1,$B67,D$1,$B$1)</f>
        <v>4.4604999999999997</v>
      </c>
      <c r="E67" s="55">
        <f>_xll.EQNXTDZ($A$1,$B67,E$1,$B$1)</f>
        <v>5.9771999999999998</v>
      </c>
      <c r="F67" s="55">
        <f>_xll.EQNXTDZ($A$1,$B67,F$1,$B$1)</f>
        <v>0</v>
      </c>
      <c r="G67" s="55">
        <f>_xll.EQNXTDZ($A$1,$B67,G$1,$B$1)</f>
        <v>0.34820000000000001</v>
      </c>
      <c r="H67" s="55">
        <f>_xll.EQNXTDZ($A$1,$B67,H$1,$B$1)</f>
        <v>12.799899999999999</v>
      </c>
      <c r="I67" s="55">
        <f>_xll.EQNXTDZ($A$1,$B67,I$1,$B$1)</f>
        <v>22.2685</v>
      </c>
      <c r="J67" s="55">
        <f>_xll.EQNXTDZ($A$1,$B67,J$1,$B$1)</f>
        <v>2.2862</v>
      </c>
      <c r="K67" s="55">
        <f>_xll.EQNXTDZ($A$1,$B67,K$1,$B$1)</f>
        <v>6.6948999999999996</v>
      </c>
      <c r="L67" s="55">
        <f>_xll.EQNXTDZ($A$1,$B67,L$1,$B$1)</f>
        <v>8.0199999999999994E-2</v>
      </c>
      <c r="M67" s="55">
        <f>_xll.EQNXTDZ($A$1,$B67,M$1,$B$1)</f>
        <v>3.7490000000000001</v>
      </c>
      <c r="N67" s="55">
        <f>_xll.EQNXTDZ($A$1,$B67,N$1,$B$1)</f>
        <v>38.9955</v>
      </c>
      <c r="O67" s="55">
        <f>_xll.EQNXTDZ($A$1,$B67,O$1,$B$1)</f>
        <v>4.8070000000000004</v>
      </c>
      <c r="P67" s="55">
        <f>_xll.EQNXTDZ($A$1,$B67,P$1,$B$1)</f>
        <v>46.357799999999997</v>
      </c>
      <c r="Q67" s="55">
        <f>_xll.EQNXTDZ($A$1,$B67,Q$1,$B$1)</f>
        <v>54.646900000000002</v>
      </c>
      <c r="R67" s="55">
        <f>_xll.EQNXTDZ($A$1,$B67,R$1,$B$1)</f>
        <v>134.18520000000001</v>
      </c>
      <c r="S67" s="55">
        <f>_xll.EQNXTDZ($A$1,$B67,S$1,$B$1)</f>
        <v>3.7625000000000002</v>
      </c>
      <c r="T67" s="55">
        <f>_xll.EQNXTDZ($A$1,$B67,T$1,$B$1)</f>
        <v>17.4023</v>
      </c>
      <c r="U67" s="55">
        <f>_xll.EQNXTDZ($A$1,$B67,U$1,$B$1)</f>
        <v>15.0899</v>
      </c>
      <c r="V67" s="55">
        <f>_xll.EQNXTDZ($A$1,$B67,V$1,$B$1)</f>
        <v>16.166899999999998</v>
      </c>
      <c r="W67" s="55">
        <f>_xll.EQNXTDZ($A$1,$B67,W$1,$B$1)</f>
        <v>25.566800000000001</v>
      </c>
      <c r="X67" s="55">
        <f>_xll.EQNXTDZ($A$1,$B67,X$1,$B$1)</f>
        <v>13.9057</v>
      </c>
      <c r="Y67" s="55">
        <f>_xll.EQNXTDZ($A$1,$B67,Y$1,$B$1)</f>
        <v>44.409199999999998</v>
      </c>
      <c r="Z67" s="55">
        <f>_xll.EQNXTDZ($A$1,$B67,Z$1,$B$1)</f>
        <v>63.321800000000003</v>
      </c>
      <c r="AA67" s="55">
        <f>_xll.EQNXTDZ($A$1,$B67,AA$1,$B$1)</f>
        <v>46.700099999999999</v>
      </c>
      <c r="AB67" s="55">
        <f>_xll.EQNXTDZ($A$1,$B67,AB$1,$B$1)</f>
        <v>61.163899999999998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0.52439999999999998</v>
      </c>
      <c r="R68" s="55">
        <f>_xll.EQNXTDZ($A$1,$B68,R$1,$B$1)</f>
        <v>0.70479999999999998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4.7694000000000001</v>
      </c>
      <c r="Y68" s="55">
        <f>_xll.EQNXTDZ($A$1,$B68,Y$1,$B$1)</f>
        <v>10.742900000000001</v>
      </c>
      <c r="Z68" s="55">
        <f>_xll.EQNXTDZ($A$1,$B68,Z$1,$B$1)</f>
        <v>13.077199999999999</v>
      </c>
      <c r="AA68" s="55">
        <f>_xll.EQNXTDZ($A$1,$B68,AA$1,$B$1)</f>
        <v>16.352599999999999</v>
      </c>
      <c r="AB68" s="55">
        <f>_xll.EQNXTDZ($A$1,$B68,AB$1,$B$1)</f>
        <v>12.765499999999999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6.5000000000000002E-2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1.9588000000000001</v>
      </c>
      <c r="D71" s="55">
        <f>_xll.EQNXTDZ($A$1,$B71,D$1,$B$1)</f>
        <v>2.5592999999999999</v>
      </c>
      <c r="E71" s="55">
        <f>_xll.EQNXTDZ($A$1,$B71,E$1,$B$1)</f>
        <v>2.5527000000000002</v>
      </c>
      <c r="F71" s="55">
        <f>_xll.EQNXTDZ($A$1,$B71,F$1,$B$1)</f>
        <v>2.7444999999999999</v>
      </c>
      <c r="G71" s="55">
        <f>_xll.EQNXTDZ($A$1,$B71,G$1,$B$1)</f>
        <v>2.9007999999999998</v>
      </c>
      <c r="H71" s="55">
        <f>_xll.EQNXTDZ($A$1,$B71,H$1,$B$1)</f>
        <v>2.9022999999999999</v>
      </c>
      <c r="I71" s="55">
        <f>_xll.EQNXTDZ($A$1,$B71,I$1,$B$1)</f>
        <v>7.4862000000000002</v>
      </c>
      <c r="J71" s="55">
        <f>_xll.EQNXTDZ($A$1,$B71,J$1,$B$1)</f>
        <v>7.5180999999999996</v>
      </c>
      <c r="K71" s="55">
        <f>_xll.EQNXTDZ($A$1,$B71,K$1,$B$1)</f>
        <v>7.4884000000000004</v>
      </c>
      <c r="L71" s="55">
        <f>_xll.EQNXTDZ($A$1,$B71,L$1,$B$1)</f>
        <v>24.2729</v>
      </c>
      <c r="M71" s="55">
        <f>_xll.EQNXTDZ($A$1,$B71,M$1,$B$1)</f>
        <v>3.9363999999999999</v>
      </c>
      <c r="N71" s="55">
        <f>_xll.EQNXTDZ($A$1,$B71,N$1,$B$1)</f>
        <v>2.9961000000000002</v>
      </c>
      <c r="O71" s="55">
        <f>_xll.EQNXTDZ($A$1,$B71,O$1,$B$1)</f>
        <v>2.9931000000000001</v>
      </c>
      <c r="P71" s="55">
        <f>_xll.EQNXTDZ($A$1,$B71,P$1,$B$1)</f>
        <v>2.7530999999999999</v>
      </c>
      <c r="Q71" s="55">
        <f>_xll.EQNXTDZ($A$1,$B71,Q$1,$B$1)</f>
        <v>184.83240000000001</v>
      </c>
      <c r="R71" s="55">
        <f>_xll.EQNXTDZ($A$1,$B71,R$1,$B$1)</f>
        <v>231.41550000000001</v>
      </c>
      <c r="S71" s="55">
        <f>_xll.EQNXTDZ($A$1,$B71,S$1,$B$1)</f>
        <v>185.84200000000001</v>
      </c>
      <c r="T71" s="55">
        <f>_xll.EQNXTDZ($A$1,$B71,T$1,$B$1)</f>
        <v>49.957900000000002</v>
      </c>
      <c r="U71" s="55">
        <f>_xll.EQNXTDZ($A$1,$B71,U$1,$B$1)</f>
        <v>95.875600000000006</v>
      </c>
      <c r="V71" s="55">
        <f>_xll.EQNXTDZ($A$1,$B71,V$1,$B$1)</f>
        <v>69.454499999999996</v>
      </c>
      <c r="W71" s="55">
        <f>_xll.EQNXTDZ($A$1,$B71,W$1,$B$1)</f>
        <v>12.9087</v>
      </c>
      <c r="X71" s="55">
        <f>_xll.EQNXTDZ($A$1,$B71,X$1,$B$1)</f>
        <v>12.722099999999999</v>
      </c>
      <c r="Y71" s="55">
        <f>_xll.EQNXTDZ($A$1,$B71,Y$1,$B$1)</f>
        <v>13.7841</v>
      </c>
      <c r="Z71" s="55">
        <f>_xll.EQNXTDZ($A$1,$B71,Z$1,$B$1)</f>
        <v>23.708200000000001</v>
      </c>
      <c r="AA71" s="55">
        <f>_xll.EQNXTDZ($A$1,$B71,AA$1,$B$1)</f>
        <v>27.979500000000002</v>
      </c>
      <c r="AB71" s="55">
        <f>_xll.EQNXTDZ($A$1,$B71,AB$1,$B$1)</f>
        <v>26.029499999999999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12.6975</v>
      </c>
      <c r="N72" s="55">
        <f>_xll.EQNXTDZ($A$1,$B72,N$1,$B$1)</f>
        <v>13.2737</v>
      </c>
      <c r="O72" s="55">
        <f>_xll.EQNXTDZ($A$1,$B72,O$1,$B$1)</f>
        <v>14.284700000000001</v>
      </c>
      <c r="P72" s="55">
        <f>_xll.EQNXTDZ($A$1,$B72,P$1,$B$1)</f>
        <v>10.7065</v>
      </c>
      <c r="Q72" s="55">
        <f>_xll.EQNXTDZ($A$1,$B72,Q$1,$B$1)</f>
        <v>17.744399999999999</v>
      </c>
      <c r="R72" s="55">
        <f>_xll.EQNXTDZ($A$1,$B72,R$1,$B$1)</f>
        <v>22.630400000000002</v>
      </c>
      <c r="S72" s="55">
        <f>_xll.EQNXTDZ($A$1,$B72,S$1,$B$1)</f>
        <v>9.2233000000000001</v>
      </c>
      <c r="T72" s="55">
        <f>_xll.EQNXTDZ($A$1,$B72,T$1,$B$1)</f>
        <v>9.9962999999999997</v>
      </c>
      <c r="U72" s="55">
        <f>_xll.EQNXTDZ($A$1,$B72,U$1,$B$1)</f>
        <v>8.3086000000000002</v>
      </c>
      <c r="V72" s="55">
        <f>_xll.EQNXTDZ($A$1,$B72,V$1,$B$1)</f>
        <v>3.5889000000000002</v>
      </c>
      <c r="W72" s="55">
        <f>_xll.EQNXTDZ($A$1,$B72,W$1,$B$1)</f>
        <v>5.6218000000000004</v>
      </c>
      <c r="X72" s="55">
        <f>_xll.EQNXTDZ($A$1,$B72,X$1,$B$1)</f>
        <v>435.07440000000003</v>
      </c>
      <c r="Y72" s="55">
        <f>_xll.EQNXTDZ($A$1,$B72,Y$1,$B$1)</f>
        <v>514.34519999999998</v>
      </c>
      <c r="Z72" s="55">
        <f>_xll.EQNXTDZ($A$1,$B72,Z$1,$B$1)</f>
        <v>293.637</v>
      </c>
      <c r="AA72" s="55">
        <f>_xll.EQNXTDZ($A$1,$B72,AA$1,$B$1)</f>
        <v>275.93869999999998</v>
      </c>
      <c r="AB72" s="55">
        <f>_xll.EQNXTDZ($A$1,$B72,AB$1,$B$1)</f>
        <v>513.94439999999997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2.4274</v>
      </c>
      <c r="S73" s="55">
        <f>_xll.EQNXTDZ($A$1,$B73,S$1,$B$1)</f>
        <v>0.87629999999999997</v>
      </c>
      <c r="T73" s="55">
        <f>_xll.EQNXTDZ($A$1,$B73,T$1,$B$1)</f>
        <v>1.0322</v>
      </c>
      <c r="U73" s="55">
        <f>_xll.EQNXTDZ($A$1,$B73,U$1,$B$1)</f>
        <v>0.58809999999999996</v>
      </c>
      <c r="V73" s="55">
        <f>_xll.EQNXTDZ($A$1,$B73,V$1,$B$1)</f>
        <v>0.36020000000000002</v>
      </c>
      <c r="W73" s="55">
        <f>_xll.EQNXTDZ($A$1,$B73,W$1,$B$1)</f>
        <v>0.81989999999999996</v>
      </c>
      <c r="X73" s="55">
        <f>_xll.EQNXTDZ($A$1,$B73,X$1,$B$1)</f>
        <v>1.0391999999999999</v>
      </c>
      <c r="Y73" s="55">
        <f>_xll.EQNXTDZ($A$1,$B73,Y$1,$B$1)</f>
        <v>14.5078</v>
      </c>
      <c r="Z73" s="55">
        <f>_xll.EQNXTDZ($A$1,$B73,Z$1,$B$1)</f>
        <v>6.0328999999999997</v>
      </c>
      <c r="AA73" s="55">
        <f>_xll.EQNXTDZ($A$1,$B73,AA$1,$B$1)</f>
        <v>250.98410000000001</v>
      </c>
      <c r="AB73" s="55">
        <f>_xll.EQNXTDZ($A$1,$B73,AB$1,$B$1)</f>
        <v>20.728200000000001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60.933199999999999</v>
      </c>
      <c r="D74" s="55">
        <f>_xll.EQNXTDZ($A$1,$B74,D$1,$B$1)</f>
        <v>84.852800000000002</v>
      </c>
      <c r="E74" s="55">
        <f>_xll.EQNXTDZ($A$1,$B74,E$1,$B$1)</f>
        <v>98.273899999999998</v>
      </c>
      <c r="F74" s="55">
        <f>_xll.EQNXTDZ($A$1,$B74,F$1,$B$1)</f>
        <v>130.9178</v>
      </c>
      <c r="G74" s="55">
        <f>_xll.EQNXTDZ($A$1,$B74,G$1,$B$1)</f>
        <v>137.6498</v>
      </c>
      <c r="H74" s="55">
        <f>_xll.EQNXTDZ($A$1,$B74,H$1,$B$1)</f>
        <v>150.2056</v>
      </c>
      <c r="I74" s="55">
        <f>_xll.EQNXTDZ($A$1,$B74,I$1,$B$1)</f>
        <v>257.70330000000001</v>
      </c>
      <c r="J74" s="55">
        <f>_xll.EQNXTDZ($A$1,$B74,J$1,$B$1)</f>
        <v>269.09609999999998</v>
      </c>
      <c r="K74" s="55">
        <f>_xll.EQNXTDZ($A$1,$B74,K$1,$B$1)</f>
        <v>260.89449999999999</v>
      </c>
      <c r="L74" s="55">
        <f>_xll.EQNXTDZ($A$1,$B74,L$1,$B$1)</f>
        <v>271.12889999999999</v>
      </c>
      <c r="M74" s="55">
        <f>_xll.EQNXTDZ($A$1,$B74,M$1,$B$1)</f>
        <v>278.77769999999998</v>
      </c>
      <c r="N74" s="55">
        <f>_xll.EQNXTDZ($A$1,$B74,N$1,$B$1)</f>
        <v>331.57990000000001</v>
      </c>
      <c r="O74" s="55">
        <f>_xll.EQNXTDZ($A$1,$B74,O$1,$B$1)</f>
        <v>356.49310000000003</v>
      </c>
      <c r="P74" s="55">
        <f>_xll.EQNXTDZ($A$1,$B74,P$1,$B$1)</f>
        <v>370.36799999999999</v>
      </c>
      <c r="Q74" s="55">
        <f>_xll.EQNXTDZ($A$1,$B74,Q$1,$B$1)</f>
        <v>586.31110000000001</v>
      </c>
      <c r="R74" s="55">
        <f>_xll.EQNXTDZ($A$1,$B74,R$1,$B$1)</f>
        <v>831.58309999999994</v>
      </c>
      <c r="S74" s="55">
        <f>_xll.EQNXTDZ($A$1,$B74,S$1,$B$1)</f>
        <v>879.14840000000004</v>
      </c>
      <c r="T74" s="55">
        <f>_xll.EQNXTDZ($A$1,$B74,T$1,$B$1)</f>
        <v>717.89210000000003</v>
      </c>
      <c r="U74" s="55">
        <f>_xll.EQNXTDZ($A$1,$B74,U$1,$B$1)</f>
        <v>740.79639999999995</v>
      </c>
      <c r="V74" s="55">
        <f>_xll.EQNXTDZ($A$1,$B74,V$1,$B$1)</f>
        <v>740.83270000000005</v>
      </c>
      <c r="W74" s="55">
        <f>_xll.EQNXTDZ($A$1,$B74,W$1,$B$1)</f>
        <v>678.56979999999999</v>
      </c>
      <c r="X74" s="55">
        <f>_xll.EQNXTDZ($A$1,$B74,X$1,$B$1)</f>
        <v>1744.5052000000001</v>
      </c>
      <c r="Y74" s="55">
        <f>_xll.EQNXTDZ($A$1,$B74,Y$1,$B$1)</f>
        <v>2498.7995000000001</v>
      </c>
      <c r="Z74" s="55">
        <f>_xll.EQNXTDZ($A$1,$B74,Z$1,$B$1)</f>
        <v>2404.1741999999999</v>
      </c>
      <c r="AA74" s="55">
        <f>_xll.EQNXTDZ($A$1,$B74,AA$1,$B$1)</f>
        <v>2586.1455999999998</v>
      </c>
      <c r="AB74" s="55">
        <f>_xll.EQNXTDZ($A$1,$B74,AB$1,$B$1)</f>
        <v>2520.0479999999998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81.046300000000002</v>
      </c>
      <c r="N75" s="55">
        <f>_xll.EQNXTDZ($A$1,$B75,N$1,$B$1)</f>
        <v>298.92180000000002</v>
      </c>
      <c r="O75" s="55">
        <f>_xll.EQNXTDZ($A$1,$B75,O$1,$B$1)</f>
        <v>394.678</v>
      </c>
      <c r="P75" s="55">
        <f>_xll.EQNXTDZ($A$1,$B75,P$1,$B$1)</f>
        <v>497.25740000000002</v>
      </c>
      <c r="Q75" s="55">
        <f>_xll.EQNXTDZ($A$1,$B75,Q$1,$B$1)</f>
        <v>366.7817</v>
      </c>
      <c r="R75" s="55">
        <f>_xll.EQNXTDZ($A$1,$B75,R$1,$B$1)</f>
        <v>247.28309999999999</v>
      </c>
      <c r="S75" s="55">
        <f>_xll.EQNXTDZ($A$1,$B75,S$1,$B$1)</f>
        <v>224.9616</v>
      </c>
      <c r="T75" s="55">
        <f>_xll.EQNXTDZ($A$1,$B75,T$1,$B$1)</f>
        <v>383.76600000000002</v>
      </c>
      <c r="U75" s="55">
        <f>_xll.EQNXTDZ($A$1,$B75,U$1,$B$1)</f>
        <v>360.6499</v>
      </c>
      <c r="V75" s="55">
        <f>_xll.EQNXTDZ($A$1,$B75,V$1,$B$1)</f>
        <v>333.81259999999997</v>
      </c>
      <c r="W75" s="55">
        <f>_xll.EQNXTDZ($A$1,$B75,W$1,$B$1)</f>
        <v>664.97479999999996</v>
      </c>
      <c r="X75" s="55">
        <f>_xll.EQNXTDZ($A$1,$B75,X$1,$B$1)</f>
        <v>0</v>
      </c>
      <c r="Y75" s="55">
        <f>_xll.EQNXTDZ($A$1,$B75,Y$1,$B$1)</f>
        <v>192.18450000000001</v>
      </c>
      <c r="Z75" s="55">
        <f>_xll.EQNXTDZ($A$1,$B75,Z$1,$B$1)</f>
        <v>364.65010000000001</v>
      </c>
      <c r="AA75" s="55">
        <f>_xll.EQNXTDZ($A$1,$B75,AA$1,$B$1)</f>
        <v>317.10849999999999</v>
      </c>
      <c r="AB75" s="55">
        <f>_xll.EQNXTDZ($A$1,$B75,AB$1,$B$1)</f>
        <v>738.90480000000002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23.831900000000001</v>
      </c>
      <c r="D76" s="55">
        <f>_xll.EQNXTDZ($A$1,$B76,D$1,$B$1)</f>
        <v>29.477399999999999</v>
      </c>
      <c r="E76" s="55">
        <f>_xll.EQNXTDZ($A$1,$B76,E$1,$B$1)</f>
        <v>33.508899999999997</v>
      </c>
      <c r="F76" s="55">
        <f>_xll.EQNXTDZ($A$1,$B76,F$1,$B$1)</f>
        <v>43.010199999999998</v>
      </c>
      <c r="G76" s="55">
        <f>_xll.EQNXTDZ($A$1,$B76,G$1,$B$1)</f>
        <v>52.783900000000003</v>
      </c>
      <c r="H76" s="55">
        <f>_xll.EQNXTDZ($A$1,$B76,H$1,$B$1)</f>
        <v>64.306100000000001</v>
      </c>
      <c r="I76" s="55">
        <f>_xll.EQNXTDZ($A$1,$B76,I$1,$B$1)</f>
        <v>83.572400000000002</v>
      </c>
      <c r="J76" s="55">
        <f>_xll.EQNXTDZ($A$1,$B76,J$1,$B$1)</f>
        <v>74.691500000000005</v>
      </c>
      <c r="K76" s="55">
        <f>_xll.EQNXTDZ($A$1,$B76,K$1,$B$1)</f>
        <v>80.774100000000004</v>
      </c>
      <c r="L76" s="55">
        <f>_xll.EQNXTDZ($A$1,$B76,L$1,$B$1)</f>
        <v>83.805099999999996</v>
      </c>
      <c r="M76" s="55">
        <f>_xll.EQNXTDZ($A$1,$B76,M$1,$B$1)</f>
        <v>111.67010000000001</v>
      </c>
      <c r="N76" s="55">
        <f>_xll.EQNXTDZ($A$1,$B76,N$1,$B$1)</f>
        <v>101.0324</v>
      </c>
      <c r="O76" s="55">
        <f>_xll.EQNXTDZ($A$1,$B76,O$1,$B$1)</f>
        <v>104.53489999999999</v>
      </c>
      <c r="P76" s="55">
        <f>_xll.EQNXTDZ($A$1,$B76,P$1,$B$1)</f>
        <v>134.40020000000001</v>
      </c>
      <c r="Q76" s="55">
        <f>_xll.EQNXTDZ($A$1,$B76,Q$1,$B$1)</f>
        <v>150.27330000000001</v>
      </c>
      <c r="R76" s="55">
        <f>_xll.EQNXTDZ($A$1,$B76,R$1,$B$1)</f>
        <v>187.98330000000001</v>
      </c>
      <c r="S76" s="55">
        <f>_xll.EQNXTDZ($A$1,$B76,S$1,$B$1)</f>
        <v>200.1686</v>
      </c>
      <c r="T76" s="55">
        <f>_xll.EQNXTDZ($A$1,$B76,T$1,$B$1)</f>
        <v>213.73140000000001</v>
      </c>
      <c r="U76" s="55">
        <f>_xll.EQNXTDZ($A$1,$B76,U$1,$B$1)</f>
        <v>243.7577</v>
      </c>
      <c r="V76" s="55">
        <f>_xll.EQNXTDZ($A$1,$B76,V$1,$B$1)</f>
        <v>274.66969999999998</v>
      </c>
      <c r="W76" s="55">
        <f>_xll.EQNXTDZ($A$1,$B76,W$1,$B$1)</f>
        <v>347.4468</v>
      </c>
      <c r="X76" s="55">
        <f>_xll.EQNXTDZ($A$1,$B76,X$1,$B$1)</f>
        <v>409.96109999999999</v>
      </c>
      <c r="Y76" s="55">
        <f>_xll.EQNXTDZ($A$1,$B76,Y$1,$B$1)</f>
        <v>430.48430000000002</v>
      </c>
      <c r="Z76" s="55">
        <f>_xll.EQNXTDZ($A$1,$B76,Z$1,$B$1)</f>
        <v>502.51280000000003</v>
      </c>
      <c r="AA76" s="55">
        <f>_xll.EQNXTDZ($A$1,$B76,AA$1,$B$1)</f>
        <v>528.95529999999997</v>
      </c>
      <c r="AB76" s="55">
        <f>_xll.EQNXTDZ($A$1,$B76,AB$1,$B$1)</f>
        <v>683.40300000000002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99.193600000000004</v>
      </c>
      <c r="D77" s="55">
        <f>_xll.EQNXTDZ($A$1,$B77,D$1,$B$1)</f>
        <v>115.8758</v>
      </c>
      <c r="E77" s="55">
        <f>_xll.EQNXTDZ($A$1,$B77,E$1,$B$1)</f>
        <v>136.26920000000001</v>
      </c>
      <c r="F77" s="55">
        <f>_xll.EQNXTDZ($A$1,$B77,F$1,$B$1)</f>
        <v>158.22290000000001</v>
      </c>
      <c r="G77" s="55">
        <f>_xll.EQNXTDZ($A$1,$B77,G$1,$B$1)</f>
        <v>188.9836</v>
      </c>
      <c r="H77" s="55">
        <f>_xll.EQNXTDZ($A$1,$B77,H$1,$B$1)</f>
        <v>252.6532</v>
      </c>
      <c r="I77" s="55">
        <f>_xll.EQNXTDZ($A$1,$B77,I$1,$B$1)</f>
        <v>313.31150000000002</v>
      </c>
      <c r="J77" s="55">
        <f>_xll.EQNXTDZ($A$1,$B77,J$1,$B$1)</f>
        <v>322.4221</v>
      </c>
      <c r="K77" s="55">
        <f>_xll.EQNXTDZ($A$1,$B77,K$1,$B$1)</f>
        <v>302.80070000000001</v>
      </c>
      <c r="L77" s="55">
        <f>_xll.EQNXTDZ($A$1,$B77,L$1,$B$1)</f>
        <v>344.82380000000001</v>
      </c>
      <c r="M77" s="55">
        <f>_xll.EQNXTDZ($A$1,$B77,M$1,$B$1)</f>
        <v>345.58249999999998</v>
      </c>
      <c r="N77" s="55">
        <f>_xll.EQNXTDZ($A$1,$B77,N$1,$B$1)</f>
        <v>136.05109999999999</v>
      </c>
      <c r="O77" s="55">
        <f>_xll.EQNXTDZ($A$1,$B77,O$1,$B$1)</f>
        <v>191.2739</v>
      </c>
      <c r="P77" s="55">
        <f>_xll.EQNXTDZ($A$1,$B77,P$1,$B$1)</f>
        <v>235.5078</v>
      </c>
      <c r="Q77" s="55">
        <f>_xll.EQNXTDZ($A$1,$B77,Q$1,$B$1)</f>
        <v>262.34820000000002</v>
      </c>
      <c r="R77" s="55">
        <f>_xll.EQNXTDZ($A$1,$B77,R$1,$B$1)</f>
        <v>272.64170000000001</v>
      </c>
      <c r="S77" s="55">
        <f>_xll.EQNXTDZ($A$1,$B77,S$1,$B$1)</f>
        <v>265.96620000000001</v>
      </c>
      <c r="T77" s="55">
        <f>_xll.EQNXTDZ($A$1,$B77,T$1,$B$1)</f>
        <v>300.7296</v>
      </c>
      <c r="U77" s="55">
        <f>_xll.EQNXTDZ($A$1,$B77,U$1,$B$1)</f>
        <v>308.22359999999998</v>
      </c>
      <c r="V77" s="55">
        <f>_xll.EQNXTDZ($A$1,$B77,V$1,$B$1)</f>
        <v>345.42619999999999</v>
      </c>
      <c r="W77" s="55">
        <f>_xll.EQNXTDZ($A$1,$B77,W$1,$B$1)</f>
        <v>389.01909999999998</v>
      </c>
      <c r="X77" s="55">
        <f>_xll.EQNXTDZ($A$1,$B77,X$1,$B$1)</f>
        <v>555.68679999999995</v>
      </c>
      <c r="Y77" s="55">
        <f>_xll.EQNXTDZ($A$1,$B77,Y$1,$B$1)</f>
        <v>575.80010000000004</v>
      </c>
      <c r="Z77" s="55">
        <f>_xll.EQNXTDZ($A$1,$B77,Z$1,$B$1)</f>
        <v>686.91880000000003</v>
      </c>
      <c r="AA77" s="55">
        <f>_xll.EQNXTDZ($A$1,$B77,AA$1,$B$1)</f>
        <v>815.37879999999996</v>
      </c>
      <c r="AB77" s="55">
        <f>_xll.EQNXTDZ($A$1,$B77,AB$1,$B$1)</f>
        <v>780.9076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6.2237999999999998</v>
      </c>
      <c r="D78" s="55">
        <f>_xll.EQNXTDZ($A$1,$B78,D$1,$B$1)</f>
        <v>7.1627000000000001</v>
      </c>
      <c r="E78" s="55">
        <f>_xll.EQNXTDZ($A$1,$B78,E$1,$B$1)</f>
        <v>9.8881999999999994</v>
      </c>
      <c r="F78" s="55">
        <f>_xll.EQNXTDZ($A$1,$B78,F$1,$B$1)</f>
        <v>5.8106999999999998</v>
      </c>
      <c r="G78" s="55">
        <f>_xll.EQNXTDZ($A$1,$B78,G$1,$B$1)</f>
        <v>9.4913000000000007</v>
      </c>
      <c r="H78" s="55">
        <f>_xll.EQNXTDZ($A$1,$B78,H$1,$B$1)</f>
        <v>11.600300000000001</v>
      </c>
      <c r="I78" s="55">
        <f>_xll.EQNXTDZ($A$1,$B78,I$1,$B$1)</f>
        <v>20.3857</v>
      </c>
      <c r="J78" s="55">
        <f>_xll.EQNXTDZ($A$1,$B78,J$1,$B$1)</f>
        <v>14.960900000000001</v>
      </c>
      <c r="K78" s="55">
        <f>_xll.EQNXTDZ($A$1,$B78,K$1,$B$1)</f>
        <v>43.845399999999998</v>
      </c>
      <c r="L78" s="55">
        <f>_xll.EQNXTDZ($A$1,$B78,L$1,$B$1)</f>
        <v>77.861900000000006</v>
      </c>
      <c r="M78" s="55">
        <f>_xll.EQNXTDZ($A$1,$B78,M$1,$B$1)</f>
        <v>126.8857</v>
      </c>
      <c r="N78" s="55">
        <f>_xll.EQNXTDZ($A$1,$B78,N$1,$B$1)</f>
        <v>219.5325</v>
      </c>
      <c r="O78" s="55">
        <f>_xll.EQNXTDZ($A$1,$B78,O$1,$B$1)</f>
        <v>156.23490000000001</v>
      </c>
      <c r="P78" s="55">
        <f>_xll.EQNXTDZ($A$1,$B78,P$1,$B$1)</f>
        <v>11.8056</v>
      </c>
      <c r="Q78" s="55">
        <f>_xll.EQNXTDZ($A$1,$B78,Q$1,$B$1)</f>
        <v>25.1876</v>
      </c>
      <c r="R78" s="55">
        <f>_xll.EQNXTDZ($A$1,$B78,R$1,$B$1)</f>
        <v>12.902200000000001</v>
      </c>
      <c r="S78" s="55">
        <f>_xll.EQNXTDZ($A$1,$B78,S$1,$B$1)</f>
        <v>13.3865</v>
      </c>
      <c r="T78" s="55">
        <f>_xll.EQNXTDZ($A$1,$B78,T$1,$B$1)</f>
        <v>29.923200000000001</v>
      </c>
      <c r="U78" s="55">
        <f>_xll.EQNXTDZ($A$1,$B78,U$1,$B$1)</f>
        <v>36.7971</v>
      </c>
      <c r="V78" s="55">
        <f>_xll.EQNXTDZ($A$1,$B78,V$1,$B$1)</f>
        <v>30.9481</v>
      </c>
      <c r="W78" s="55">
        <f>_xll.EQNXTDZ($A$1,$B78,W$1,$B$1)</f>
        <v>30.851700000000001</v>
      </c>
      <c r="X78" s="55">
        <f>_xll.EQNXTDZ($A$1,$B78,X$1,$B$1)</f>
        <v>58.527900000000002</v>
      </c>
      <c r="Y78" s="55">
        <f>_xll.EQNXTDZ($A$1,$B78,Y$1,$B$1)</f>
        <v>78.812799999999996</v>
      </c>
      <c r="Z78" s="55">
        <f>_xll.EQNXTDZ($A$1,$B78,Z$1,$B$1)</f>
        <v>95.538399999999996</v>
      </c>
      <c r="AA78" s="55">
        <f>_xll.EQNXTDZ($A$1,$B78,AA$1,$B$1)</f>
        <v>129.44890000000001</v>
      </c>
      <c r="AB78" s="55">
        <f>_xll.EQNXTDZ($A$1,$B78,AB$1,$B$1)</f>
        <v>145.87389999999999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0.1258</v>
      </c>
      <c r="L79" s="55">
        <f>_xll.EQNXTDZ($A$1,$B79,L$1,$B$1)</f>
        <v>0.1017</v>
      </c>
      <c r="M79" s="55">
        <f>_xll.EQNXTDZ($A$1,$B79,M$1,$B$1)</f>
        <v>0.75480000000000003</v>
      </c>
      <c r="N79" s="55">
        <f>_xll.EQNXTDZ($A$1,$B79,N$1,$B$1)</f>
        <v>0.39610000000000001</v>
      </c>
      <c r="O79" s="55">
        <f>_xll.EQNXTDZ($A$1,$B79,O$1,$B$1)</f>
        <v>0.1474</v>
      </c>
      <c r="P79" s="55">
        <f>_xll.EQNXTDZ($A$1,$B79,P$1,$B$1)</f>
        <v>0.19839999999999999</v>
      </c>
      <c r="Q79" s="55">
        <f>_xll.EQNXTDZ($A$1,$B79,Q$1,$B$1)</f>
        <v>0.37909999999999999</v>
      </c>
      <c r="R79" s="55">
        <f>_xll.EQNXTDZ($A$1,$B79,R$1,$B$1)</f>
        <v>2.5143</v>
      </c>
      <c r="S79" s="55">
        <f>_xll.EQNXTDZ($A$1,$B79,S$1,$B$1)</f>
        <v>14.3598</v>
      </c>
      <c r="T79" s="55">
        <f>_xll.EQNXTDZ($A$1,$B79,T$1,$B$1)</f>
        <v>12.938700000000001</v>
      </c>
      <c r="U79" s="55">
        <f>_xll.EQNXTDZ($A$1,$B79,U$1,$B$1)</f>
        <v>33.232900000000001</v>
      </c>
      <c r="V79" s="55">
        <f>_xll.EQNXTDZ($A$1,$B79,V$1,$B$1)</f>
        <v>18.889700000000001</v>
      </c>
      <c r="W79" s="55">
        <f>_xll.EQNXTDZ($A$1,$B79,W$1,$B$1)</f>
        <v>45.945900000000002</v>
      </c>
      <c r="X79" s="55">
        <f>_xll.EQNXTDZ($A$1,$B79,X$1,$B$1)</f>
        <v>57.428800000000003</v>
      </c>
      <c r="Y79" s="55">
        <f>_xll.EQNXTDZ($A$1,$B79,Y$1,$B$1)</f>
        <v>44.911799999999999</v>
      </c>
      <c r="Z79" s="55">
        <f>_xll.EQNXTDZ($A$1,$B79,Z$1,$B$1)</f>
        <v>33.0916</v>
      </c>
      <c r="AA79" s="55">
        <f>_xll.EQNXTDZ($A$1,$B79,AA$1,$B$1)</f>
        <v>29.372900000000001</v>
      </c>
      <c r="AB79" s="55">
        <f>_xll.EQNXTDZ($A$1,$B79,AB$1,$B$1)</f>
        <v>54.7956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13.8626</v>
      </c>
      <c r="D80" s="55">
        <f>_xll.EQNXTDZ($A$1,$B80,D$1,$B$1)</f>
        <v>12.4894</v>
      </c>
      <c r="E80" s="55">
        <f>_xll.EQNXTDZ($A$1,$B80,E$1,$B$1)</f>
        <v>16.593399999999999</v>
      </c>
      <c r="F80" s="55">
        <f>_xll.EQNXTDZ($A$1,$B80,F$1,$B$1)</f>
        <v>18.884899999999998</v>
      </c>
      <c r="G80" s="55">
        <f>_xll.EQNXTDZ($A$1,$B80,G$1,$B$1)</f>
        <v>22.388999999999999</v>
      </c>
      <c r="H80" s="55">
        <f>_xll.EQNXTDZ($A$1,$B80,H$1,$B$1)</f>
        <v>26.503599999999999</v>
      </c>
      <c r="I80" s="55">
        <f>_xll.EQNXTDZ($A$1,$B80,I$1,$B$1)</f>
        <v>37.087000000000003</v>
      </c>
      <c r="J80" s="55">
        <f>_xll.EQNXTDZ($A$1,$B80,J$1,$B$1)</f>
        <v>60.131599999999999</v>
      </c>
      <c r="K80" s="55">
        <f>_xll.EQNXTDZ($A$1,$B80,K$1,$B$1)</f>
        <v>57.873399999999997</v>
      </c>
      <c r="L80" s="55">
        <f>_xll.EQNXTDZ($A$1,$B80,L$1,$B$1)</f>
        <v>59.580199999999998</v>
      </c>
      <c r="M80" s="55">
        <f>_xll.EQNXTDZ($A$1,$B80,M$1,$B$1)</f>
        <v>54.662500000000001</v>
      </c>
      <c r="N80" s="55">
        <f>_xll.EQNXTDZ($A$1,$B80,N$1,$B$1)</f>
        <v>110.2851</v>
      </c>
      <c r="O80" s="55">
        <f>_xll.EQNXTDZ($A$1,$B80,O$1,$B$1)</f>
        <v>96.837800000000001</v>
      </c>
      <c r="P80" s="55">
        <f>_xll.EQNXTDZ($A$1,$B80,P$1,$B$1)</f>
        <v>101.47580000000001</v>
      </c>
      <c r="Q80" s="55">
        <f>_xll.EQNXTDZ($A$1,$B80,Q$1,$B$1)</f>
        <v>95.965999999999994</v>
      </c>
      <c r="R80" s="55">
        <f>_xll.EQNXTDZ($A$1,$B80,R$1,$B$1)</f>
        <v>458.83269999999999</v>
      </c>
      <c r="S80" s="55">
        <f>_xll.EQNXTDZ($A$1,$B80,S$1,$B$1)</f>
        <v>488.29719999999998</v>
      </c>
      <c r="T80" s="55">
        <f>_xll.EQNXTDZ($A$1,$B80,T$1,$B$1)</f>
        <v>567.50440000000003</v>
      </c>
      <c r="U80" s="55">
        <f>_xll.EQNXTDZ($A$1,$B80,U$1,$B$1)</f>
        <v>605.84609999999998</v>
      </c>
      <c r="V80" s="55">
        <f>_xll.EQNXTDZ($A$1,$B80,V$1,$B$1)</f>
        <v>272.33030000000002</v>
      </c>
      <c r="W80" s="55">
        <f>_xll.EQNXTDZ($A$1,$B80,W$1,$B$1)</f>
        <v>415.65559999999999</v>
      </c>
      <c r="X80" s="55">
        <f>_xll.EQNXTDZ($A$1,$B80,X$1,$B$1)</f>
        <v>243.00460000000001</v>
      </c>
      <c r="Y80" s="55">
        <f>_xll.EQNXTDZ($A$1,$B80,Y$1,$B$1)</f>
        <v>277.09179999999998</v>
      </c>
      <c r="Z80" s="55">
        <f>_xll.EQNXTDZ($A$1,$B80,Z$1,$B$1)</f>
        <v>590.16300000000001</v>
      </c>
      <c r="AA80" s="55">
        <f>_xll.EQNXTDZ($A$1,$B80,AA$1,$B$1)</f>
        <v>627.06590000000006</v>
      </c>
      <c r="AB80" s="55">
        <f>_xll.EQNXTDZ($A$1,$B80,AB$1,$B$1)</f>
        <v>951.67790000000002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143.11189999999999</v>
      </c>
      <c r="D82" s="55">
        <f>_xll.EQNXTDZ($A$1,$B82,D$1,$B$1)</f>
        <v>165.00530000000001</v>
      </c>
      <c r="E82" s="55">
        <f>_xll.EQNXTDZ($A$1,$B82,E$1,$B$1)</f>
        <v>196.25970000000001</v>
      </c>
      <c r="F82" s="55">
        <f>_xll.EQNXTDZ($A$1,$B82,F$1,$B$1)</f>
        <v>225.92869999999999</v>
      </c>
      <c r="G82" s="55">
        <f>_xll.EQNXTDZ($A$1,$B82,G$1,$B$1)</f>
        <v>273.64780000000002</v>
      </c>
      <c r="H82" s="55">
        <f>_xll.EQNXTDZ($A$1,$B82,H$1,$B$1)</f>
        <v>355.06319999999999</v>
      </c>
      <c r="I82" s="55">
        <f>_xll.EQNXTDZ($A$1,$B82,I$1,$B$1)</f>
        <v>454.35660000000001</v>
      </c>
      <c r="J82" s="55">
        <f>_xll.EQNXTDZ($A$1,$B82,J$1,$B$1)</f>
        <v>472.20609999999999</v>
      </c>
      <c r="K82" s="55">
        <f>_xll.EQNXTDZ($A$1,$B82,K$1,$B$1)</f>
        <v>485.4194</v>
      </c>
      <c r="L82" s="55">
        <f>_xll.EQNXTDZ($A$1,$B82,L$1,$B$1)</f>
        <v>566.17269999999996</v>
      </c>
      <c r="M82" s="55">
        <f>_xll.EQNXTDZ($A$1,$B82,M$1,$B$1)</f>
        <v>720.6019</v>
      </c>
      <c r="N82" s="55">
        <f>_xll.EQNXTDZ($A$1,$B82,N$1,$B$1)</f>
        <v>866.21900000000005</v>
      </c>
      <c r="O82" s="55">
        <f>_xll.EQNXTDZ($A$1,$B82,O$1,$B$1)</f>
        <v>943.70690000000002</v>
      </c>
      <c r="P82" s="55">
        <f>_xll.EQNXTDZ($A$1,$B82,P$1,$B$1)</f>
        <v>980.64520000000005</v>
      </c>
      <c r="Q82" s="55">
        <f>_xll.EQNXTDZ($A$1,$B82,Q$1,$B$1)</f>
        <v>900.93589999999995</v>
      </c>
      <c r="R82" s="55">
        <f>_xll.EQNXTDZ($A$1,$B82,R$1,$B$1)</f>
        <v>1182.1573000000001</v>
      </c>
      <c r="S82" s="55">
        <f>_xll.EQNXTDZ($A$1,$B82,S$1,$B$1)</f>
        <v>1207.1398999999999</v>
      </c>
      <c r="T82" s="55">
        <f>_xll.EQNXTDZ($A$1,$B82,T$1,$B$1)</f>
        <v>1508.5933</v>
      </c>
      <c r="U82" s="55">
        <f>_xll.EQNXTDZ($A$1,$B82,U$1,$B$1)</f>
        <v>1588.5073</v>
      </c>
      <c r="V82" s="55">
        <f>_xll.EQNXTDZ($A$1,$B82,V$1,$B$1)</f>
        <v>1276.0766000000001</v>
      </c>
      <c r="W82" s="55">
        <f>_xll.EQNXTDZ($A$1,$B82,W$1,$B$1)</f>
        <v>1893.8939</v>
      </c>
      <c r="X82" s="55">
        <f>_xll.EQNXTDZ($A$1,$B82,X$1,$B$1)</f>
        <v>1324.6092000000001</v>
      </c>
      <c r="Y82" s="55">
        <f>_xll.EQNXTDZ($A$1,$B82,Y$1,$B$1)</f>
        <v>1599.2853</v>
      </c>
      <c r="Z82" s="55">
        <f>_xll.EQNXTDZ($A$1,$B82,Z$1,$B$1)</f>
        <v>2272.8746999999998</v>
      </c>
      <c r="AA82" s="55">
        <f>_xll.EQNXTDZ($A$1,$B82,AA$1,$B$1)</f>
        <v>2447.3303000000001</v>
      </c>
      <c r="AB82" s="55">
        <f>_xll.EQNXTDZ($A$1,$B82,AB$1,$B$1)</f>
        <v>3355.5628000000002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5.0000000000000001E-4</v>
      </c>
      <c r="E83" s="55">
        <f>_xll.EQNXTDZ($A$1,$B83,E$1,$B$1)</f>
        <v>1.14E-2</v>
      </c>
      <c r="F83" s="55">
        <f>_xll.EQNXTDZ($A$1,$B83,F$1,$B$1)</f>
        <v>0.01</v>
      </c>
      <c r="G83" s="55">
        <f>_xll.EQNXTDZ($A$1,$B83,G$1,$B$1)</f>
        <v>8.6E-3</v>
      </c>
      <c r="H83" s="55">
        <f>_xll.EQNXTDZ($A$1,$B83,H$1,$B$1)</f>
        <v>7.4000000000000003E-3</v>
      </c>
      <c r="I83" s="55">
        <f>_xll.EQNXTDZ($A$1,$B83,I$1,$B$1)</f>
        <v>6.1999999999999998E-3</v>
      </c>
      <c r="J83" s="55">
        <f>_xll.EQNXTDZ($A$1,$B83,J$1,$B$1)</f>
        <v>4.8999999999999998E-3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204.04509999999999</v>
      </c>
      <c r="D84" s="55">
        <f>_xll.EQNXTDZ($A$1,$B84,D$1,$B$1)</f>
        <v>249.8586</v>
      </c>
      <c r="E84" s="55">
        <f>_xll.EQNXTDZ($A$1,$B84,E$1,$B$1)</f>
        <v>294.54500000000002</v>
      </c>
      <c r="F84" s="55">
        <f>_xll.EQNXTDZ($A$1,$B84,F$1,$B$1)</f>
        <v>356.85649999999998</v>
      </c>
      <c r="G84" s="55">
        <f>_xll.EQNXTDZ($A$1,$B84,G$1,$B$1)</f>
        <v>411.30619999999999</v>
      </c>
      <c r="H84" s="55">
        <f>_xll.EQNXTDZ($A$1,$B84,H$1,$B$1)</f>
        <v>505.27620000000002</v>
      </c>
      <c r="I84" s="55">
        <f>_xll.EQNXTDZ($A$1,$B84,I$1,$B$1)</f>
        <v>712.06610000000001</v>
      </c>
      <c r="J84" s="55">
        <f>_xll.EQNXTDZ($A$1,$B84,J$1,$B$1)</f>
        <v>741.30709999999999</v>
      </c>
      <c r="K84" s="55">
        <f>_xll.EQNXTDZ($A$1,$B84,K$1,$B$1)</f>
        <v>746.31389999999999</v>
      </c>
      <c r="L84" s="55">
        <f>_xll.EQNXTDZ($A$1,$B84,L$1,$B$1)</f>
        <v>837.30160000000001</v>
      </c>
      <c r="M84" s="55">
        <f>_xll.EQNXTDZ($A$1,$B84,M$1,$B$1)</f>
        <v>999.37959999999998</v>
      </c>
      <c r="N84" s="55">
        <f>_xll.EQNXTDZ($A$1,$B84,N$1,$B$1)</f>
        <v>1197.7989</v>
      </c>
      <c r="O84" s="55">
        <f>_xll.EQNXTDZ($A$1,$B84,O$1,$B$1)</f>
        <v>1300.2</v>
      </c>
      <c r="P84" s="55">
        <f>_xll.EQNXTDZ($A$1,$B84,P$1,$B$1)</f>
        <v>1351.0132000000001</v>
      </c>
      <c r="Q84" s="55">
        <f>_xll.EQNXTDZ($A$1,$B84,Q$1,$B$1)</f>
        <v>1487.2470000000001</v>
      </c>
      <c r="R84" s="55">
        <f>_xll.EQNXTDZ($A$1,$B84,R$1,$B$1)</f>
        <v>2013.7403999999999</v>
      </c>
      <c r="S84" s="55">
        <f>_xll.EQNXTDZ($A$1,$B84,S$1,$B$1)</f>
        <v>2086.2883000000002</v>
      </c>
      <c r="T84" s="55">
        <f>_xll.EQNXTDZ($A$1,$B84,T$1,$B$1)</f>
        <v>2226.4854</v>
      </c>
      <c r="U84" s="55">
        <f>_xll.EQNXTDZ($A$1,$B84,U$1,$B$1)</f>
        <v>2329.3036999999999</v>
      </c>
      <c r="V84" s="55">
        <f>_xll.EQNXTDZ($A$1,$B84,V$1,$B$1)</f>
        <v>2016.9093</v>
      </c>
      <c r="W84" s="55">
        <f>_xll.EQNXTDZ($A$1,$B84,W$1,$B$1)</f>
        <v>2572.4636999999998</v>
      </c>
      <c r="X84" s="55">
        <f>_xll.EQNXTDZ($A$1,$B84,X$1,$B$1)</f>
        <v>3069.1143999999999</v>
      </c>
      <c r="Y84" s="55">
        <f>_xll.EQNXTDZ($A$1,$B84,Y$1,$B$1)</f>
        <v>4098.0847999999996</v>
      </c>
      <c r="Z84" s="55">
        <f>_xll.EQNXTDZ($A$1,$B84,Z$1,$B$1)</f>
        <v>4677.0488999999998</v>
      </c>
      <c r="AA84" s="55">
        <f>_xll.EQNXTDZ($A$1,$B84,AA$1,$B$1)</f>
        <v>5033.4759000000004</v>
      </c>
      <c r="AB84" s="55">
        <f>_xll.EQNXTDZ($A$1,$B84,AB$1,$B$1)</f>
        <v>5875.6108000000004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11.262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22.511800000000001</v>
      </c>
      <c r="J85" s="55">
        <f>_xll.EQNXTDZ($A$1,$B85,J$1,$B$1)</f>
        <v>23.357399999999998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77.271799999999999</v>
      </c>
      <c r="R85" s="55">
        <f>_xll.EQNXTDZ($A$1,$B85,R$1,$B$1)</f>
        <v>63.783499999999997</v>
      </c>
      <c r="S85" s="55">
        <f>_xll.EQNXTDZ($A$1,$B85,S$1,$B$1)</f>
        <v>64.37</v>
      </c>
      <c r="T85" s="55">
        <f>_xll.EQNXTDZ($A$1,$B85,T$1,$B$1)</f>
        <v>76.522800000000004</v>
      </c>
      <c r="U85" s="55">
        <f>_xll.EQNXTDZ($A$1,$B85,U$1,$B$1)</f>
        <v>47.986400000000003</v>
      </c>
      <c r="V85" s="55">
        <f>_xll.EQNXTDZ($A$1,$B85,V$1,$B$1)</f>
        <v>74.345500000000001</v>
      </c>
      <c r="W85" s="55">
        <f>_xll.EQNXTDZ($A$1,$B85,W$1,$B$1)</f>
        <v>53.6235</v>
      </c>
      <c r="X85" s="55">
        <f>_xll.EQNXTDZ($A$1,$B85,X$1,$B$1)</f>
        <v>49.133800000000001</v>
      </c>
      <c r="Y85" s="55">
        <f>_xll.EQNXTDZ($A$1,$B85,Y$1,$B$1)</f>
        <v>104.7341</v>
      </c>
      <c r="Z85" s="55">
        <f>_xll.EQNXTDZ($A$1,$B85,Z$1,$B$1)</f>
        <v>131.63499999999999</v>
      </c>
      <c r="AA85" s="55">
        <f>_xll.EQNXTDZ($A$1,$B85,AA$1,$B$1)</f>
        <v>131.9427</v>
      </c>
      <c r="AB85" s="55">
        <f>_xll.EQNXTDZ($A$1,$B85,AB$1,$B$1)</f>
        <v>106.9756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5.9999999999999995E-4</v>
      </c>
      <c r="E86" s="55">
        <f>_xll.EQNXTDZ($A$1,$B86,E$1,$B$1)</f>
        <v>4.9200000000000001E-2</v>
      </c>
      <c r="F86" s="55">
        <f>_xll.EQNXTDZ($A$1,$B86,F$1,$B$1)</f>
        <v>4.9200000000000001E-2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16.9023</v>
      </c>
      <c r="J86" s="55">
        <f>_xll.EQNXTDZ($A$1,$B86,J$1,$B$1)</f>
        <v>16.9023</v>
      </c>
      <c r="K86" s="55">
        <f>_xll.EQNXTDZ($A$1,$B86,K$1,$B$1)</f>
        <v>16.9023</v>
      </c>
      <c r="L86" s="55">
        <f>_xll.EQNXTDZ($A$1,$B86,L$1,$B$1)</f>
        <v>16.9023</v>
      </c>
      <c r="M86" s="55">
        <f>_xll.EQNXTDZ($A$1,$B86,M$1,$B$1)</f>
        <v>16.9023</v>
      </c>
      <c r="N86" s="55">
        <f>_xll.EQNXTDZ($A$1,$B86,N$1,$B$1)</f>
        <v>16.9023</v>
      </c>
      <c r="O86" s="55">
        <f>_xll.EQNXTDZ($A$1,$B86,O$1,$B$1)</f>
        <v>16.9023</v>
      </c>
      <c r="P86" s="55">
        <f>_xll.EQNXTDZ($A$1,$B86,P$1,$B$1)</f>
        <v>16.9023</v>
      </c>
      <c r="Q86" s="55">
        <f>_xll.EQNXTDZ($A$1,$B86,Q$1,$B$1)</f>
        <v>16.9023</v>
      </c>
      <c r="R86" s="55">
        <f>_xll.EQNXTDZ($A$1,$B86,R$1,$B$1)</f>
        <v>53.14</v>
      </c>
      <c r="S86" s="55">
        <f>_xll.EQNXTDZ($A$1,$B86,S$1,$B$1)</f>
        <v>53.14</v>
      </c>
      <c r="T86" s="55">
        <f>_xll.EQNXTDZ($A$1,$B86,T$1,$B$1)</f>
        <v>53.14</v>
      </c>
      <c r="U86" s="55">
        <f>_xll.EQNXTDZ($A$1,$B86,U$1,$B$1)</f>
        <v>53.14</v>
      </c>
      <c r="V86" s="55">
        <f>_xll.EQNXTDZ($A$1,$B86,V$1,$B$1)</f>
        <v>53.14</v>
      </c>
      <c r="W86" s="55">
        <f>_xll.EQNXTDZ($A$1,$B86,W$1,$B$1)</f>
        <v>57.459200000000003</v>
      </c>
      <c r="X86" s="55">
        <f>_xll.EQNXTDZ($A$1,$B86,X$1,$B$1)</f>
        <v>57.459200000000003</v>
      </c>
      <c r="Y86" s="55">
        <f>_xll.EQNXTDZ($A$1,$B86,Y$1,$B$1)</f>
        <v>57.459200000000003</v>
      </c>
      <c r="Z86" s="55">
        <f>_xll.EQNXTDZ($A$1,$B86,Z$1,$B$1)</f>
        <v>57.459200000000003</v>
      </c>
      <c r="AA86" s="55">
        <f>_xll.EQNXTDZ($A$1,$B86,AA$1,$B$1)</f>
        <v>57.459200000000003</v>
      </c>
      <c r="AB86" s="55">
        <f>_xll.EQNXTDZ($A$1,$B86,AB$1,$B$1)</f>
        <v>57.459200000000003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23.136900000000001</v>
      </c>
      <c r="N88" s="55">
        <f>_xll.EQNXTDZ($A$1,$B88,N$1,$B$1)</f>
        <v>3.2178</v>
      </c>
      <c r="O88" s="55">
        <f>_xll.EQNXTDZ($A$1,$B88,O$1,$B$1)</f>
        <v>5.5875000000000004</v>
      </c>
      <c r="P88" s="55">
        <f>_xll.EQNXTDZ($A$1,$B88,P$1,$B$1)</f>
        <v>11.0052</v>
      </c>
      <c r="Q88" s="55">
        <f>_xll.EQNXTDZ($A$1,$B88,Q$1,$B$1)</f>
        <v>8.8300000000000003E-2</v>
      </c>
      <c r="R88" s="55">
        <f>_xll.EQNXTDZ($A$1,$B88,R$1,$B$1)</f>
        <v>0.4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137</v>
      </c>
      <c r="Z88" s="55">
        <f>_xll.EQNXTDZ($A$1,$B88,Z$1,$B$1)</f>
        <v>318.15980000000002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5.9999999999999995E-4</v>
      </c>
      <c r="E91" s="55">
        <f>_xll.EQNXTDZ($A$1,$B91,E$1,$B$1)</f>
        <v>4.9200000000000001E-2</v>
      </c>
      <c r="F91" s="55">
        <f>_xll.EQNXTDZ($A$1,$B91,F$1,$B$1)</f>
        <v>4.9200000000000001E-2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16.9023</v>
      </c>
      <c r="J91" s="55">
        <f>_xll.EQNXTDZ($A$1,$B91,J$1,$B$1)</f>
        <v>16.9023</v>
      </c>
      <c r="K91" s="55">
        <f>_xll.EQNXTDZ($A$1,$B91,K$1,$B$1)</f>
        <v>16.9023</v>
      </c>
      <c r="L91" s="55">
        <f>_xll.EQNXTDZ($A$1,$B91,L$1,$B$1)</f>
        <v>16.9023</v>
      </c>
      <c r="M91" s="55">
        <f>_xll.EQNXTDZ($A$1,$B91,M$1,$B$1)</f>
        <v>16.9023</v>
      </c>
      <c r="N91" s="55">
        <f>_xll.EQNXTDZ($A$1,$B91,N$1,$B$1)</f>
        <v>16.9023</v>
      </c>
      <c r="O91" s="55">
        <f>_xll.EQNXTDZ($A$1,$B91,O$1,$B$1)</f>
        <v>16.9023</v>
      </c>
      <c r="P91" s="55">
        <f>_xll.EQNXTDZ($A$1,$B91,P$1,$B$1)</f>
        <v>16.9023</v>
      </c>
      <c r="Q91" s="55">
        <f>_xll.EQNXTDZ($A$1,$B91,Q$1,$B$1)</f>
        <v>16.9023</v>
      </c>
      <c r="R91" s="55">
        <f>_xll.EQNXTDZ($A$1,$B91,R$1,$B$1)</f>
        <v>53.14</v>
      </c>
      <c r="S91" s="55">
        <f>_xll.EQNXTDZ($A$1,$B91,S$1,$B$1)</f>
        <v>53.14</v>
      </c>
      <c r="T91" s="55">
        <f>_xll.EQNXTDZ($A$1,$B91,T$1,$B$1)</f>
        <v>53.14</v>
      </c>
      <c r="U91" s="55">
        <f>_xll.EQNXTDZ($A$1,$B91,U$1,$B$1)</f>
        <v>53.14</v>
      </c>
      <c r="V91" s="55">
        <f>_xll.EQNXTDZ($A$1,$B91,V$1,$B$1)</f>
        <v>53.14</v>
      </c>
      <c r="W91" s="55">
        <f>_xll.EQNXTDZ($A$1,$B91,W$1,$B$1)</f>
        <v>57.459200000000003</v>
      </c>
      <c r="X91" s="55">
        <f>_xll.EQNXTDZ($A$1,$B91,X$1,$B$1)</f>
        <v>57.459200000000003</v>
      </c>
      <c r="Y91" s="55">
        <f>_xll.EQNXTDZ($A$1,$B91,Y$1,$B$1)</f>
        <v>57.459200000000003</v>
      </c>
      <c r="Z91" s="55">
        <f>_xll.EQNXTDZ($A$1,$B91,Z$1,$B$1)</f>
        <v>57.459200000000003</v>
      </c>
      <c r="AA91" s="55">
        <f>_xll.EQNXTDZ($A$1,$B91,AA$1,$B$1)</f>
        <v>57.459200000000003</v>
      </c>
      <c r="AB91" s="55">
        <f>_xll.EQNXTDZ($A$1,$B91,AB$1,$B$1)</f>
        <v>57.459200000000003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1.7181999999999999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10.3245</v>
      </c>
      <c r="J93" s="55">
        <f>_xll.EQNXTDZ($A$1,$B93,J$1,$B$1)</f>
        <v>10.3062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5.8684000000000003</v>
      </c>
      <c r="R93" s="55">
        <f>_xll.EQNXTDZ($A$1,$B93,R$1,$B$1)</f>
        <v>6.0541999999999998</v>
      </c>
      <c r="S93" s="55">
        <f>_xll.EQNXTDZ($A$1,$B93,S$1,$B$1)</f>
        <v>9.1196999999999999</v>
      </c>
      <c r="T93" s="55">
        <f>_xll.EQNXTDZ($A$1,$B93,T$1,$B$1)</f>
        <v>9.3287999999999993</v>
      </c>
      <c r="U93" s="55">
        <f>_xll.EQNXTDZ($A$1,$B93,U$1,$B$1)</f>
        <v>8.9140999999999995</v>
      </c>
      <c r="V93" s="55">
        <f>_xll.EQNXTDZ($A$1,$B93,V$1,$B$1)</f>
        <v>26.435700000000001</v>
      </c>
      <c r="W93" s="55">
        <f>_xll.EQNXTDZ($A$1,$B93,W$1,$B$1)</f>
        <v>28.9758</v>
      </c>
      <c r="X93" s="55">
        <f>_xll.EQNXTDZ($A$1,$B93,X$1,$B$1)</f>
        <v>27.0246</v>
      </c>
      <c r="Y93" s="55">
        <f>_xll.EQNXTDZ($A$1,$B93,Y$1,$B$1)</f>
        <v>28.2302</v>
      </c>
      <c r="Z93" s="55">
        <f>_xll.EQNXTDZ($A$1,$B93,Z$1,$B$1)</f>
        <v>38.500300000000003</v>
      </c>
      <c r="AA93" s="55">
        <f>_xll.EQNXTDZ($A$1,$B93,AA$1,$B$1)</f>
        <v>42.572099999999999</v>
      </c>
      <c r="AB93" s="55">
        <f>_xll.EQNXTDZ($A$1,$B93,AB$1,$B$1)</f>
        <v>43.912599999999998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9.5437999999999992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12.1873</v>
      </c>
      <c r="J95" s="55">
        <f>_xll.EQNXTDZ($A$1,$B95,J$1,$B$1)</f>
        <v>13.0512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71.403400000000005</v>
      </c>
      <c r="R95" s="55">
        <f>_xll.EQNXTDZ($A$1,$B95,R$1,$B$1)</f>
        <v>55.949399999999997</v>
      </c>
      <c r="S95" s="55">
        <f>_xll.EQNXTDZ($A$1,$B95,S$1,$B$1)</f>
        <v>55.250300000000003</v>
      </c>
      <c r="T95" s="55">
        <f>_xll.EQNXTDZ($A$1,$B95,T$1,$B$1)</f>
        <v>67.194000000000003</v>
      </c>
      <c r="U95" s="55">
        <f>_xll.EQNXTDZ($A$1,$B95,U$1,$B$1)</f>
        <v>39.072299999999998</v>
      </c>
      <c r="V95" s="55">
        <f>_xll.EQNXTDZ($A$1,$B95,V$1,$B$1)</f>
        <v>47.909799999999997</v>
      </c>
      <c r="W95" s="55">
        <f>_xll.EQNXTDZ($A$1,$B95,W$1,$B$1)</f>
        <v>24.6477</v>
      </c>
      <c r="X95" s="55">
        <f>_xll.EQNXTDZ($A$1,$B95,X$1,$B$1)</f>
        <v>22.109200000000001</v>
      </c>
      <c r="Y95" s="55">
        <f>_xll.EQNXTDZ($A$1,$B95,Y$1,$B$1)</f>
        <v>76.503900000000002</v>
      </c>
      <c r="Z95" s="55">
        <f>_xll.EQNXTDZ($A$1,$B95,Z$1,$B$1)</f>
        <v>93.134699999999995</v>
      </c>
      <c r="AA95" s="55">
        <f>_xll.EQNXTDZ($A$1,$B95,AA$1,$B$1)</f>
        <v>89.370599999999996</v>
      </c>
      <c r="AB95" s="55">
        <f>_xll.EQNXTDZ($A$1,$B95,AB$1,$B$1)</f>
        <v>63.063000000000002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1.7799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16.059000000000001</v>
      </c>
      <c r="D104" s="55">
        <f>_xll.EQNXTDZ($A$1,$B104,D$1,$B$1)</f>
        <v>16.059000000000001</v>
      </c>
      <c r="E104" s="55">
        <f>_xll.EQNXTDZ($A$1,$B104,E$1,$B$1)</f>
        <v>16.059000000000001</v>
      </c>
      <c r="F104" s="55">
        <f>_xll.EQNXTDZ($A$1,$B104,F$1,$B$1)</f>
        <v>16.059000000000001</v>
      </c>
      <c r="G104" s="55">
        <f>_xll.EQNXTDZ($A$1,$B104,G$1,$B$1)</f>
        <v>16.059000000000001</v>
      </c>
      <c r="H104" s="55">
        <f>_xll.EQNXTDZ($A$1,$B104,H$1,$B$1)</f>
        <v>16.073599999999999</v>
      </c>
      <c r="I104" s="55">
        <f>_xll.EQNXTDZ($A$1,$B104,I$1,$B$1)</f>
        <v>16.865300000000001</v>
      </c>
      <c r="J104" s="55">
        <f>_xll.EQNXTDZ($A$1,$B104,J$1,$B$1)</f>
        <v>16.865300000000001</v>
      </c>
      <c r="K104" s="55">
        <f>_xll.EQNXTDZ($A$1,$B104,K$1,$B$1)</f>
        <v>16.865300000000001</v>
      </c>
      <c r="L104" s="55">
        <f>_xll.EQNXTDZ($A$1,$B104,L$1,$B$1)</f>
        <v>16.865300000000001</v>
      </c>
      <c r="M104" s="55">
        <f>_xll.EQNXTDZ($A$1,$B104,M$1,$B$1)</f>
        <v>16.903400000000001</v>
      </c>
      <c r="N104" s="55">
        <f>_xll.EQNXTDZ($A$1,$B104,N$1,$B$1)</f>
        <v>16.941500000000001</v>
      </c>
      <c r="O104" s="55">
        <f>_xll.EQNXTDZ($A$1,$B104,O$1,$B$1)</f>
        <v>16.941500000000001</v>
      </c>
      <c r="P104" s="55">
        <f>_xll.EQNXTDZ($A$1,$B104,P$1,$B$1)</f>
        <v>16.946300000000001</v>
      </c>
      <c r="Q104" s="55">
        <f>_xll.EQNXTDZ($A$1,$B104,Q$1,$B$1)</f>
        <v>16.961600000000001</v>
      </c>
      <c r="R104" s="55">
        <f>_xll.EQNXTDZ($A$1,$B104,R$1,$B$1)</f>
        <v>16.963999999999999</v>
      </c>
      <c r="S104" s="55">
        <f>_xll.EQNXTDZ($A$1,$B104,S$1,$B$1)</f>
        <v>16.963999999999999</v>
      </c>
      <c r="T104" s="55">
        <f>_xll.EQNXTDZ($A$1,$B104,T$1,$B$1)</f>
        <v>16.713999999999999</v>
      </c>
      <c r="U104" s="55">
        <f>_xll.EQNXTDZ($A$1,$B104,U$1,$B$1)</f>
        <v>16.0473</v>
      </c>
      <c r="V104" s="55">
        <f>_xll.EQNXTDZ($A$1,$B104,V$1,$B$1)</f>
        <v>15.4564</v>
      </c>
      <c r="W104" s="55">
        <f>_xll.EQNXTDZ($A$1,$B104,W$1,$B$1)</f>
        <v>15.4564</v>
      </c>
      <c r="X104" s="55">
        <f>_xll.EQNXTDZ($A$1,$B104,X$1,$B$1)</f>
        <v>15.4564</v>
      </c>
      <c r="Y104" s="55">
        <f>_xll.EQNXTDZ($A$1,$B104,Y$1,$B$1)</f>
        <v>15.4755</v>
      </c>
      <c r="Z104" s="55">
        <f>_xll.EQNXTDZ($A$1,$B104,Z$1,$B$1)</f>
        <v>15.519500000000001</v>
      </c>
      <c r="AA104" s="55">
        <f>_xll.EQNXTDZ($A$1,$B104,AA$1,$B$1)</f>
        <v>15.5677</v>
      </c>
      <c r="AB104" s="55">
        <f>_xll.EQNXTDZ($A$1,$B104,AB$1,$B$1)</f>
        <v>16.055900000000001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2</v>
      </c>
      <c r="I105" s="55">
        <f>_xll.EQNXTDZ($A$1,$B105,I$1,$B$1)</f>
        <v>2</v>
      </c>
      <c r="J105" s="55">
        <f>_xll.EQNXTDZ($A$1,$B105,J$1,$B$1)</f>
        <v>2</v>
      </c>
      <c r="K105" s="55">
        <f>_xll.EQNXTDZ($A$1,$B105,K$1,$B$1)</f>
        <v>2</v>
      </c>
      <c r="L105" s="55">
        <f>_xll.EQNXTDZ($A$1,$B105,L$1,$B$1)</f>
        <v>2</v>
      </c>
      <c r="M105" s="55">
        <f>_xll.EQNXTDZ($A$1,$B105,M$1,$B$1)</f>
        <v>2</v>
      </c>
      <c r="N105" s="55">
        <f>_xll.EQNXTDZ($A$1,$B105,N$1,$B$1)</f>
        <v>2</v>
      </c>
      <c r="O105" s="55">
        <f>_xll.EQNXTDZ($A$1,$B105,O$1,$B$1)</f>
        <v>2</v>
      </c>
      <c r="P105" s="55">
        <f>_xll.EQNXTDZ($A$1,$B105,P$1,$B$1)</f>
        <v>2</v>
      </c>
      <c r="Q105" s="55">
        <f>_xll.EQNXTDZ($A$1,$B105,Q$1,$B$1)</f>
        <v>2</v>
      </c>
      <c r="R105" s="55">
        <f>_xll.EQNXTDZ($A$1,$B105,R$1,$B$1)</f>
        <v>2</v>
      </c>
      <c r="S105" s="55">
        <f>_xll.EQNXTDZ($A$1,$B105,S$1,$B$1)</f>
        <v>2</v>
      </c>
      <c r="T105" s="55">
        <f>_xll.EQNXTDZ($A$1,$B105,T$1,$B$1)</f>
        <v>2</v>
      </c>
      <c r="U105" s="55">
        <f>_xll.EQNXTDZ($A$1,$B105,U$1,$B$1)</f>
        <v>2</v>
      </c>
      <c r="V105" s="55">
        <f>_xll.EQNXTDZ($A$1,$B105,V$1,$B$1)</f>
        <v>2</v>
      </c>
      <c r="W105" s="55">
        <f>_xll.EQNXTDZ($A$1,$B105,W$1,$B$1)</f>
        <v>2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1</v>
      </c>
      <c r="AA105" s="55">
        <f>_xll.EQNXTDZ($A$1,$B105,AA$1,$B$1)</f>
        <v>1</v>
      </c>
      <c r="AB105" s="55">
        <f>_xll.EQNXTDZ($A$1,$B105,AB$1,$B$1)</f>
        <v>1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8.2249999999999996</v>
      </c>
      <c r="D106" s="55">
        <f>_xll.EQNXTDZ($A$1,$B106,D$1,$B$1)</f>
        <v>15.4</v>
      </c>
      <c r="E106" s="55">
        <f>_xll.EQNXTDZ($A$1,$B106,E$1,$B$1)</f>
        <v>14.98</v>
      </c>
      <c r="F106" s="55">
        <f>_xll.EQNXTDZ($A$1,$B106,F$1,$B$1)</f>
        <v>31.135000000000002</v>
      </c>
      <c r="G106" s="55">
        <f>_xll.EQNXTDZ($A$1,$B106,G$1,$B$1)</f>
        <v>41.35</v>
      </c>
      <c r="H106" s="55">
        <f>_xll.EQNXTDZ($A$1,$B106,H$1,$B$1)</f>
        <v>58.25</v>
      </c>
      <c r="I106" s="55">
        <f>_xll.EQNXTDZ($A$1,$B106,I$1,$B$1)</f>
        <v>39.35</v>
      </c>
      <c r="J106" s="55">
        <f>_xll.EQNXTDZ($A$1,$B106,J$1,$B$1)</f>
        <v>24.95</v>
      </c>
      <c r="K106" s="55">
        <f>_xll.EQNXTDZ($A$1,$B106,K$1,$B$1)</f>
        <v>18.375</v>
      </c>
      <c r="L106" s="55">
        <f>_xll.EQNXTDZ($A$1,$B106,L$1,$B$1)</f>
        <v>35.4</v>
      </c>
      <c r="M106" s="55">
        <f>_xll.EQNXTDZ($A$1,$B106,M$1,$B$1)</f>
        <v>66.400000000000006</v>
      </c>
      <c r="N106" s="55">
        <f>_xll.EQNXTDZ($A$1,$B106,N$1,$B$1)</f>
        <v>30.55</v>
      </c>
      <c r="O106" s="55">
        <f>_xll.EQNXTDZ($A$1,$B106,O$1,$B$1)</f>
        <v>36.774999999999999</v>
      </c>
      <c r="P106" s="55">
        <f>_xll.EQNXTDZ($A$1,$B106,P$1,$B$1)</f>
        <v>64.174999999999997</v>
      </c>
      <c r="Q106" s="55">
        <f>_xll.EQNXTDZ($A$1,$B106,Q$1,$B$1)</f>
        <v>100.05</v>
      </c>
      <c r="R106" s="55">
        <f>_xll.EQNXTDZ($A$1,$B106,R$1,$B$1)</f>
        <v>124.7</v>
      </c>
      <c r="S106" s="55">
        <f>_xll.EQNXTDZ($A$1,$B106,S$1,$B$1)</f>
        <v>173.5</v>
      </c>
      <c r="T106" s="55">
        <f>_xll.EQNXTDZ($A$1,$B106,T$1,$B$1)</f>
        <v>154.6</v>
      </c>
      <c r="U106" s="55">
        <f>_xll.EQNXTDZ($A$1,$B106,U$1,$B$1)</f>
        <v>179.8</v>
      </c>
      <c r="V106" s="55">
        <f>_xll.EQNXTDZ($A$1,$B106,V$1,$B$1)</f>
        <v>254.17500000000001</v>
      </c>
      <c r="W106" s="55">
        <f>_xll.EQNXTDZ($A$1,$B106,W$1,$B$1)</f>
        <v>626.79999999999995</v>
      </c>
      <c r="X106" s="55">
        <f>_xll.EQNXTDZ($A$1,$B106,X$1,$B$1)</f>
        <v>787.6</v>
      </c>
      <c r="Y106" s="55">
        <f>_xll.EQNXTDZ($A$1,$B106,Y$1,$B$1)</f>
        <v>985.45</v>
      </c>
      <c r="Z106" s="55">
        <f>_xll.EQNXTDZ($A$1,$B106,Z$1,$B$1)</f>
        <v>1649.45</v>
      </c>
      <c r="AA106" s="55">
        <f>_xll.EQNXTDZ($A$1,$B106,AA$1,$B$1)</f>
        <v>1622.2</v>
      </c>
      <c r="AB106" s="55">
        <f>_xll.EQNXTDZ($A$1,$B106,AB$1,$B$1)</f>
        <v>2063.1999999999998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13.85</v>
      </c>
      <c r="D107" s="55">
        <f>_xll.EQNXTDZ($A$1,$B107,D$1,$B$1)</f>
        <v>16.795000000000002</v>
      </c>
      <c r="E107" s="55">
        <f>_xll.EQNXTDZ($A$1,$B107,E$1,$B$1)</f>
        <v>24.8</v>
      </c>
      <c r="F107" s="55">
        <f>_xll.EQNXTDZ($A$1,$B107,F$1,$B$1)</f>
        <v>40.9</v>
      </c>
      <c r="G107" s="55">
        <f>_xll.EQNXTDZ($A$1,$B107,G$1,$B$1)</f>
        <v>51.8</v>
      </c>
      <c r="H107" s="55">
        <f>_xll.EQNXTDZ($A$1,$B107,H$1,$B$1)</f>
        <v>69.75</v>
      </c>
      <c r="I107" s="55">
        <f>_xll.EQNXTDZ($A$1,$B107,I$1,$B$1)</f>
        <v>63.95</v>
      </c>
      <c r="J107" s="55">
        <f>_xll.EQNXTDZ($A$1,$B107,J$1,$B$1)</f>
        <v>50.85</v>
      </c>
      <c r="K107" s="55">
        <f>_xll.EQNXTDZ($A$1,$B107,K$1,$B$1)</f>
        <v>29.1</v>
      </c>
      <c r="L107" s="55">
        <f>_xll.EQNXTDZ($A$1,$B107,L$1,$B$1)</f>
        <v>39.85</v>
      </c>
      <c r="M107" s="55">
        <f>_xll.EQNXTDZ($A$1,$B107,M$1,$B$1)</f>
        <v>74.224999999999994</v>
      </c>
      <c r="N107" s="55">
        <f>_xll.EQNXTDZ($A$1,$B107,N$1,$B$1)</f>
        <v>92.5</v>
      </c>
      <c r="O107" s="55">
        <f>_xll.EQNXTDZ($A$1,$B107,O$1,$B$1)</f>
        <v>48.2</v>
      </c>
      <c r="P107" s="55">
        <f>_xll.EQNXTDZ($A$1,$B107,P$1,$B$1)</f>
        <v>70.75</v>
      </c>
      <c r="Q107" s="55">
        <f>_xll.EQNXTDZ($A$1,$B107,Q$1,$B$1)</f>
        <v>128.72499999999999</v>
      </c>
      <c r="R107" s="55">
        <f>_xll.EQNXTDZ($A$1,$B107,R$1,$B$1)</f>
        <v>159.02500000000001</v>
      </c>
      <c r="S107" s="55">
        <f>_xll.EQNXTDZ($A$1,$B107,S$1,$B$1)</f>
        <v>201.8</v>
      </c>
      <c r="T107" s="55">
        <f>_xll.EQNXTDZ($A$1,$B107,T$1,$B$1)</f>
        <v>181.52500000000001</v>
      </c>
      <c r="U107" s="55">
        <f>_xll.EQNXTDZ($A$1,$B107,U$1,$B$1)</f>
        <v>181.57499999999999</v>
      </c>
      <c r="V107" s="55">
        <f>_xll.EQNXTDZ($A$1,$B107,V$1,$B$1)</f>
        <v>299.5</v>
      </c>
      <c r="W107" s="55">
        <f>_xll.EQNXTDZ($A$1,$B107,W$1,$B$1)</f>
        <v>658.95</v>
      </c>
      <c r="X107" s="55">
        <f>_xll.EQNXTDZ($A$1,$B107,X$1,$B$1)</f>
        <v>992.375</v>
      </c>
      <c r="Y107" s="55">
        <f>_xll.EQNXTDZ($A$1,$B107,Y$1,$B$1)</f>
        <v>1074.95</v>
      </c>
      <c r="Z107" s="55">
        <f>_xll.EQNXTDZ($A$1,$B107,Z$1,$B$1)</f>
        <v>1935</v>
      </c>
      <c r="AA107" s="55">
        <f>_xll.EQNXTDZ($A$1,$B107,AA$1,$B$1)</f>
        <v>2029</v>
      </c>
      <c r="AB107" s="55">
        <f>_xll.EQNXTDZ($A$1,$B107,AB$1,$B$1)</f>
        <v>2195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8.18</v>
      </c>
      <c r="D108" s="55">
        <f>_xll.EQNXTDZ($A$1,$B108,D$1,$B$1)</f>
        <v>7.5</v>
      </c>
      <c r="E108" s="55">
        <f>_xll.EQNXTDZ($A$1,$B108,E$1,$B$1)</f>
        <v>14.824999999999999</v>
      </c>
      <c r="F108" s="55">
        <f>_xll.EQNXTDZ($A$1,$B108,F$1,$B$1)</f>
        <v>14.815</v>
      </c>
      <c r="G108" s="55">
        <f>_xll.EQNXTDZ($A$1,$B108,G$1,$B$1)</f>
        <v>25</v>
      </c>
      <c r="H108" s="55">
        <f>_xll.EQNXTDZ($A$1,$B108,H$1,$B$1)</f>
        <v>35.200000000000003</v>
      </c>
      <c r="I108" s="55">
        <f>_xll.EQNXTDZ($A$1,$B108,I$1,$B$1)</f>
        <v>37.1</v>
      </c>
      <c r="J108" s="55">
        <f>_xll.EQNXTDZ($A$1,$B108,J$1,$B$1)</f>
        <v>15.9</v>
      </c>
      <c r="K108" s="55">
        <f>_xll.EQNXTDZ($A$1,$B108,K$1,$B$1)</f>
        <v>13.55</v>
      </c>
      <c r="L108" s="55">
        <f>_xll.EQNXTDZ($A$1,$B108,L$1,$B$1)</f>
        <v>18.25</v>
      </c>
      <c r="M108" s="55">
        <f>_xll.EQNXTDZ($A$1,$B108,M$1,$B$1)</f>
        <v>35.950000000000003</v>
      </c>
      <c r="N108" s="55">
        <f>_xll.EQNXTDZ($A$1,$B108,N$1,$B$1)</f>
        <v>29</v>
      </c>
      <c r="O108" s="55">
        <f>_xll.EQNXTDZ($A$1,$B108,O$1,$B$1)</f>
        <v>29.5</v>
      </c>
      <c r="P108" s="55">
        <f>_xll.EQNXTDZ($A$1,$B108,P$1,$B$1)</f>
        <v>36.4</v>
      </c>
      <c r="Q108" s="55">
        <f>_xll.EQNXTDZ($A$1,$B108,Q$1,$B$1)</f>
        <v>64.375</v>
      </c>
      <c r="R108" s="55">
        <f>_xll.EQNXTDZ($A$1,$B108,R$1,$B$1)</f>
        <v>99.75</v>
      </c>
      <c r="S108" s="55">
        <f>_xll.EQNXTDZ($A$1,$B108,S$1,$B$1)</f>
        <v>115.5</v>
      </c>
      <c r="T108" s="55">
        <f>_xll.EQNXTDZ($A$1,$B108,T$1,$B$1)</f>
        <v>127.5</v>
      </c>
      <c r="U108" s="55">
        <f>_xll.EQNXTDZ($A$1,$B108,U$1,$B$1)</f>
        <v>118</v>
      </c>
      <c r="V108" s="55">
        <f>_xll.EQNXTDZ($A$1,$B108,V$1,$B$1)</f>
        <v>153.5</v>
      </c>
      <c r="W108" s="55">
        <f>_xll.EQNXTDZ($A$1,$B108,W$1,$B$1)</f>
        <v>221.5</v>
      </c>
      <c r="X108" s="55">
        <f>_xll.EQNXTDZ($A$1,$B108,X$1,$B$1)</f>
        <v>603.17499999999995</v>
      </c>
      <c r="Y108" s="55">
        <f>_xll.EQNXTDZ($A$1,$B108,Y$1,$B$1)</f>
        <v>669.52499999999998</v>
      </c>
      <c r="Z108" s="55">
        <f>_xll.EQNXTDZ($A$1,$B108,Z$1,$B$1)</f>
        <v>914.65</v>
      </c>
      <c r="AA108" s="55">
        <f>_xll.EQNXTDZ($A$1,$B108,AA$1,$B$1)</f>
        <v>1434.85</v>
      </c>
      <c r="AB108" s="55">
        <f>_xll.EQNXTDZ($A$1,$B108,AB$1,$B$1)</f>
        <v>1303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132.085275</v>
      </c>
      <c r="D109" s="55">
        <f>_xll.EQNXTDZ($A$1,$B109,D$1,$B$1)</f>
        <v>247.30860000000001</v>
      </c>
      <c r="E109" s="55">
        <f>_xll.EQNXTDZ($A$1,$B109,E$1,$B$1)</f>
        <v>240.56381999999999</v>
      </c>
      <c r="F109" s="55">
        <f>_xll.EQNXTDZ($A$1,$B109,F$1,$B$1)</f>
        <v>499.99696499999999</v>
      </c>
      <c r="G109" s="55">
        <f>_xll.EQNXTDZ($A$1,$B109,G$1,$B$1)</f>
        <v>664.03965000000005</v>
      </c>
      <c r="H109" s="55">
        <f>_xll.EQNXTDZ($A$1,$B109,H$1,$B$1)</f>
        <v>936.28719999999998</v>
      </c>
      <c r="I109" s="55">
        <f>_xll.EQNXTDZ($A$1,$B109,I$1,$B$1)</f>
        <v>663.64955499999996</v>
      </c>
      <c r="J109" s="55">
        <f>_xll.EQNXTDZ($A$1,$B109,J$1,$B$1)</f>
        <v>420.78923500000002</v>
      </c>
      <c r="K109" s="55">
        <f>_xll.EQNXTDZ($A$1,$B109,K$1,$B$1)</f>
        <v>309.89988749999998</v>
      </c>
      <c r="L109" s="55">
        <f>_xll.EQNXTDZ($A$1,$B109,L$1,$B$1)</f>
        <v>597.03161999999998</v>
      </c>
      <c r="M109" s="55">
        <f>_xll.EQNXTDZ($A$1,$B109,M$1,$B$1)</f>
        <v>1122.3857599999999</v>
      </c>
      <c r="N109" s="55">
        <f>_xll.EQNXTDZ($A$1,$B109,N$1,$B$1)</f>
        <v>517.56282499999998</v>
      </c>
      <c r="O109" s="55">
        <f>_xll.EQNXTDZ($A$1,$B109,O$1,$B$1)</f>
        <v>623.0236625</v>
      </c>
      <c r="P109" s="55">
        <f>_xll.EQNXTDZ($A$1,$B109,P$1,$B$1)</f>
        <v>1087.5288025</v>
      </c>
      <c r="Q109" s="55">
        <f>_xll.EQNXTDZ($A$1,$B109,Q$1,$B$1)</f>
        <v>1697.0080800000001</v>
      </c>
      <c r="R109" s="55">
        <f>_xll.EQNXTDZ($A$1,$B109,R$1,$B$1)</f>
        <v>2115.4108000000001</v>
      </c>
      <c r="S109" s="55">
        <f>_xll.EQNXTDZ($A$1,$B109,S$1,$B$1)</f>
        <v>2943.2539999999999</v>
      </c>
      <c r="T109" s="55">
        <f>_xll.EQNXTDZ($A$1,$B109,T$1,$B$1)</f>
        <v>2583.9843999999998</v>
      </c>
      <c r="U109" s="55">
        <f>_xll.EQNXTDZ($A$1,$B109,U$1,$B$1)</f>
        <v>2885.3045400000001</v>
      </c>
      <c r="V109" s="55">
        <f>_xll.EQNXTDZ($A$1,$B109,V$1,$B$1)</f>
        <v>3928.6304700000001</v>
      </c>
      <c r="W109" s="55">
        <f>_xll.EQNXTDZ($A$1,$B109,W$1,$B$1)</f>
        <v>9688.0715199999995</v>
      </c>
      <c r="X109" s="55">
        <f>_xll.EQNXTDZ($A$1,$B109,X$1,$B$1)</f>
        <v>12173.460639999999</v>
      </c>
      <c r="Y109" s="55">
        <f>_xll.EQNXTDZ($A$1,$B109,Y$1,$B$1)</f>
        <v>15250.331475000001</v>
      </c>
      <c r="Z109" s="55">
        <f>_xll.EQNXTDZ($A$1,$B109,Z$1,$B$1)</f>
        <v>25598.639275000001</v>
      </c>
      <c r="AA109" s="55">
        <f>_xll.EQNXTDZ($A$1,$B109,AA$1,$B$1)</f>
        <v>25253.92294</v>
      </c>
      <c r="AB109" s="55">
        <f>_xll.EQNXTDZ($A$1,$B109,AB$1,$B$1)</f>
        <v>33126.532879999999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0.5</v>
      </c>
      <c r="D110" s="55">
        <f>_xll.EQNXTDZ($A$1,$B110,D$1,$B$1)</f>
        <v>0.75</v>
      </c>
      <c r="E110" s="55">
        <f>_xll.EQNXTDZ($A$1,$B110,E$1,$B$1)</f>
        <v>0.8</v>
      </c>
      <c r="F110" s="55">
        <f>_xll.EQNXTDZ($A$1,$B110,F$1,$B$1)</f>
        <v>1.1000000000000001</v>
      </c>
      <c r="G110" s="55">
        <f>_xll.EQNXTDZ($A$1,$B110,G$1,$B$1)</f>
        <v>1.2</v>
      </c>
      <c r="H110" s="55">
        <f>_xll.EQNXTDZ($A$1,$B110,H$1,$B$1)</f>
        <v>1.3</v>
      </c>
      <c r="I110" s="55">
        <f>_xll.EQNXTDZ($A$1,$B110,I$1,$B$1)</f>
        <v>1.3</v>
      </c>
      <c r="J110" s="55">
        <f>_xll.EQNXTDZ($A$1,$B110,J$1,$B$1)</f>
        <v>0.25</v>
      </c>
      <c r="K110" s="55">
        <f>_xll.EQNXTDZ($A$1,$B110,K$1,$B$1)</f>
        <v>0.5</v>
      </c>
      <c r="L110" s="55">
        <f>_xll.EQNXTDZ($A$1,$B110,L$1,$B$1)</f>
        <v>1</v>
      </c>
      <c r="M110" s="55">
        <f>_xll.EQNXTDZ($A$1,$B110,M$1,$B$1)</f>
        <v>1</v>
      </c>
      <c r="N110" s="55">
        <f>_xll.EQNXTDZ($A$1,$B110,N$1,$B$1)</f>
        <v>20.5</v>
      </c>
      <c r="O110" s="55">
        <f>_xll.EQNXTDZ($A$1,$B110,O$1,$B$1)</f>
        <v>1.5</v>
      </c>
      <c r="P110" s="55">
        <f>_xll.EQNXTDZ($A$1,$B110,P$1,$B$1)</f>
        <v>1.5</v>
      </c>
      <c r="Q110" s="55">
        <f>_xll.EQNXTDZ($A$1,$B110,Q$1,$B$1)</f>
        <v>7</v>
      </c>
      <c r="R110" s="55">
        <f>_xll.EQNXTDZ($A$1,$B110,R$1,$B$1)</f>
        <v>2.5</v>
      </c>
      <c r="S110" s="55">
        <f>_xll.EQNXTDZ($A$1,$B110,S$1,$B$1)</f>
        <v>0.5</v>
      </c>
      <c r="T110" s="55">
        <f>_xll.EQNXTDZ($A$1,$B110,T$1,$B$1)</f>
        <v>1</v>
      </c>
      <c r="U110" s="55">
        <f>_xll.EQNXTDZ($A$1,$B110,U$1,$B$1)</f>
        <v>2.5</v>
      </c>
      <c r="V110" s="55">
        <f>_xll.EQNXTDZ($A$1,$B110,V$1,$B$1)</f>
        <v>5.5</v>
      </c>
      <c r="W110" s="55">
        <f>_xll.EQNXTDZ($A$1,$B110,W$1,$B$1)</f>
        <v>8.25</v>
      </c>
      <c r="X110" s="55">
        <f>_xll.EQNXTDZ($A$1,$B110,X$1,$B$1)</f>
        <v>8.25</v>
      </c>
      <c r="Y110" s="55">
        <f>_xll.EQNXTDZ($A$1,$B110,Y$1,$B$1)</f>
        <v>8.875</v>
      </c>
      <c r="Z110" s="55">
        <f>_xll.EQNXTDZ($A$1,$B110,Z$1,$B$1)</f>
        <v>12.25</v>
      </c>
      <c r="AA110" s="55">
        <f>_xll.EQNXTDZ($A$1,$B110,AA$1,$B$1)</f>
        <v>15.5</v>
      </c>
      <c r="AB110" s="55">
        <f>_xll.EQNXTDZ($A$1,$B110,AB$1,$B$1)</f>
        <v>22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59.52</v>
      </c>
      <c r="D112" s="56">
        <f>_xll.EQNXTDZ($A$1,$B112,D$5)</f>
        <v>59.26</v>
      </c>
      <c r="E112" s="56">
        <f>_xll.EQNXTDZ($A$1,$B112,E$5)</f>
        <v>59.22</v>
      </c>
      <c r="F112" s="56">
        <f>_xll.EQNXTDZ($A$1,$B112,F$5)</f>
        <v>59.1</v>
      </c>
      <c r="G112" s="56">
        <f>_xll.EQNXTDZ($A$1,$B112,G$5)</f>
        <v>59.08</v>
      </c>
      <c r="H112" s="56">
        <f>_xll.EQNXTDZ($A$1,$B112,H$5)</f>
        <v>58.85</v>
      </c>
      <c r="I112" s="56">
        <f>_xll.EQNXTDZ($A$1,$B112,I$5)</f>
        <v>55.47</v>
      </c>
      <c r="J112" s="56">
        <f>_xll.EQNXTDZ($A$1,$B112,J$5)</f>
        <v>55.47</v>
      </c>
      <c r="K112" s="56">
        <f>_xll.EQNXTDZ($A$1,$B112,K$5)</f>
        <v>55.58</v>
      </c>
      <c r="L112" s="56">
        <f>_xll.EQNXTDZ($A$1,$B112,L$5)</f>
        <v>55.56</v>
      </c>
      <c r="M112" s="56">
        <f>_xll.EQNXTDZ($A$1,$B112,M$5)</f>
        <v>55.44</v>
      </c>
      <c r="N112" s="56">
        <f>_xll.EQNXTDZ($A$1,$B112,N$5)</f>
        <v>55.87</v>
      </c>
      <c r="O112" s="56">
        <f>_xll.EQNXTDZ($A$1,$B112,O$5)</f>
        <v>55.87</v>
      </c>
      <c r="P112" s="56">
        <f>_xll.EQNXTDZ($A$1,$B112,P$5)</f>
        <v>55.85</v>
      </c>
      <c r="Q112" s="56">
        <f>_xll.EQNXTDZ($A$1,$B112,Q$5)</f>
        <v>55.78</v>
      </c>
      <c r="R112" s="56">
        <f>_xll.EQNXTDZ($A$1,$B112,R$5)</f>
        <v>55.77</v>
      </c>
      <c r="S112" s="56">
        <f>_xll.EQNXTDZ($A$1,$B112,S$5)</f>
        <v>55.76</v>
      </c>
      <c r="T112" s="56">
        <f>_xll.EQNXTDZ($A$1,$B112,T$5)</f>
        <v>55.84</v>
      </c>
      <c r="U112" s="56">
        <f>_xll.EQNXTDZ($A$1,$B112,U$5)</f>
        <v>56.02</v>
      </c>
      <c r="V112" s="56">
        <f>_xll.EQNXTDZ($A$1,$B112,V$5)</f>
        <v>55.91</v>
      </c>
      <c r="W112" s="56">
        <f>_xll.EQNXTDZ($A$1,$B112,W$5)</f>
        <v>55.91</v>
      </c>
      <c r="X112" s="56">
        <f>_xll.EQNXTDZ($A$1,$B112,X$5)</f>
        <v>54</v>
      </c>
      <c r="Y112" s="56">
        <f>_xll.EQNXTDZ($A$1,$B112,Y$5)</f>
        <v>53.93</v>
      </c>
      <c r="Z112" s="56">
        <f>_xll.EQNXTDZ($A$1,$B112,Z$5)</f>
        <v>53.78</v>
      </c>
      <c r="AA112" s="56">
        <f>_xll.EQNXTDZ($A$1,$B112,AA$5)</f>
        <v>47.84</v>
      </c>
      <c r="AB112" s="56">
        <f>_xll.EQNXTDZ($A$1,$B112,AB$5)</f>
        <v>48.8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106943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30.675000000000001</v>
      </c>
      <c r="D6" cm="1">
        <f t="array" ref="D6">_xll.EQNXTDZ($A$1,$B6,D$1)</f>
        <v>32</v>
      </c>
      <c r="E6" cm="1">
        <f t="array" ref="E6">_xll.EQNXTDZ($A$1,$B6,E$1)</f>
        <v>34.5</v>
      </c>
      <c r="F6" cm="1">
        <f t="array" ref="F6">_xll.EQNXTDZ($A$1,$B6,F$1)</f>
        <v>33</v>
      </c>
      <c r="G6" cm="1">
        <f t="array" ref="G6">_xll.EQNXTDZ($A$1,$B6,G$1)</f>
        <v>37.200000000000003</v>
      </c>
      <c r="H6" cm="1">
        <f t="array" ref="H6">_xll.EQNXTDZ($A$1,$B6,H$1)</f>
        <v>34.9</v>
      </c>
      <c r="I6" cm="1">
        <f t="array" ref="I6">_xll.EQNXTDZ($A$1,$B6,I$1)</f>
        <v>42.5</v>
      </c>
      <c r="J6" cm="1">
        <f t="array" ref="J6">_xll.EQNXTDZ($A$1,$B6,J$1)</f>
        <v>47.25</v>
      </c>
      <c r="K6" cm="1">
        <f t="array" ref="K6">_xll.EQNXTDZ($A$1,$B6,K$1)</f>
        <v>42</v>
      </c>
      <c r="L6" cm="1">
        <f t="array" ref="L6">_xll.EQNXTDZ($A$1,$B6,L$1)</f>
        <v>41</v>
      </c>
      <c r="M6" cm="1">
        <f t="array" ref="M6">_xll.EQNXTDZ($A$1,$B6,M$1)</f>
        <v>37.024999999999999</v>
      </c>
      <c r="N6" cm="1">
        <f t="array" ref="N6">_xll.EQNXTDZ($A$1,$B6,N$1)</f>
        <v>38.85</v>
      </c>
      <c r="O6" cm="1">
        <f t="array" ref="O6">_xll.EQNXTDZ($A$1,$B6,O$1)</f>
        <v>41.075000000000003</v>
      </c>
      <c r="P6" cm="1">
        <f t="array" ref="P6">_xll.EQNXTDZ($A$1,$B6,P$1)</f>
        <v>37.774999999999999</v>
      </c>
      <c r="Q6" cm="1">
        <f t="array" ref="Q6">_xll.EQNXTDZ($A$1,$B6,Q$1)</f>
        <v>38.950000000000003</v>
      </c>
      <c r="R6" cm="1">
        <f t="array" ref="R6">_xll.EQNXTDZ($A$1,$B6,R$1)</f>
        <v>41.024999999999999</v>
      </c>
      <c r="S6" cm="1">
        <f t="array" ref="S6">_xll.EQNXTDZ($A$1,$B6,S$1)</f>
        <v>42.25</v>
      </c>
      <c r="T6" cm="1">
        <f t="array" ref="T6">_xll.EQNXTDZ($A$1,$B6,T$1)</f>
        <v>50.95</v>
      </c>
      <c r="U6" cm="1">
        <f t="array" ref="U6">_xll.EQNXTDZ($A$1,$B6,U$1)</f>
        <v>59.125</v>
      </c>
      <c r="V6" cm="1">
        <f t="array" ref="V6">_xll.EQNXTDZ($A$1,$B6,V$1)</f>
        <v>65.900000000000006</v>
      </c>
      <c r="W6" cm="1">
        <f t="array" ref="W6">_xll.EQNXTDZ($A$1,$B6,W$1)</f>
        <v>61.5</v>
      </c>
      <c r="X6" cm="1">
        <f t="array" ref="X6">_xll.EQNXTDZ($A$1,$B6,X$1)</f>
        <v>65.7</v>
      </c>
      <c r="Y6" cm="1">
        <f t="array" ref="Y6">_xll.EQNXTDZ($A$1,$B6,Y$1)</f>
        <v>64.55</v>
      </c>
      <c r="Z6" cm="1">
        <f t="array" ref="Z6">_xll.EQNXTDZ($A$1,$B6,Z$1)</f>
        <v>77.424999999999997</v>
      </c>
      <c r="AA6" cm="1">
        <f t="array" ref="AA6">_xll.EQNXTDZ($A$1,$B6,AA$1)</f>
        <v>72.95</v>
      </c>
      <c r="AB6" cm="1">
        <f t="array" ref="AB6">_xll.EQNXTDZ($A$1,$B6,AB$1)</f>
        <v>77.275000000000006</v>
      </c>
      <c r="AC6" cm="1">
        <f t="array" ref="AC6">_xll.EQNXTDZ($A$1,$B6,AC$1)</f>
        <v>85.5</v>
      </c>
      <c r="AD6" cm="1">
        <f t="array" ref="AD6">_xll.EQNXTDZ($A$1,$B6,AD$1)</f>
        <v>106.35</v>
      </c>
      <c r="AE6" cm="1">
        <f t="array" ref="AE6">_xll.EQNXTDZ($A$1,$B6,AE$1)</f>
        <v>112.925</v>
      </c>
      <c r="AF6" cm="1">
        <f t="array" ref="AF6">_xll.EQNXTDZ($A$1,$B6,AF$1)</f>
        <v>115.625</v>
      </c>
      <c r="AG6" cm="1">
        <f t="array" ref="AG6">_xll.EQNXTDZ($A$1,$B6,AG$1)</f>
        <v>105.52500000000001</v>
      </c>
      <c r="AH6" cm="1">
        <f t="array" ref="AH6">_xll.EQNXTDZ($A$1,$B6,AH$1)</f>
        <v>99.55</v>
      </c>
      <c r="AI6" cm="1">
        <f t="array" ref="AI6">_xll.EQNXTDZ($A$1,$B6,AI$1)</f>
        <v>95.5</v>
      </c>
      <c r="AJ6" cm="1">
        <f t="array" ref="AJ6">_xll.EQNXTDZ($A$1,$B6,AJ$1)</f>
        <v>94.8</v>
      </c>
      <c r="AK6" cm="1">
        <f t="array" ref="AK6">_xll.EQNXTDZ($A$1,$B6,AK$1)</f>
        <v>99.75</v>
      </c>
      <c r="AL6" cm="1">
        <f t="array" ref="AL6">_xll.EQNXTDZ($A$1,$B6,AL$1)</f>
        <v>108</v>
      </c>
      <c r="AM6" cm="1">
        <f t="array" ref="AM6">_xll.EQNXTDZ($A$1,$B6,AM$1)</f>
        <v>119.75</v>
      </c>
      <c r="AN6" cm="1">
        <f t="array" ref="AN6">_xll.EQNXTDZ($A$1,$B6,AN$1)</f>
        <v>118.97499999999999</v>
      </c>
      <c r="AO6" cm="1">
        <f t="array" ref="AO6">_xll.EQNXTDZ($A$1,$B6,AO$1)</f>
        <v>142.22499999999999</v>
      </c>
      <c r="AP6" cm="1">
        <f t="array" ref="AP6">_xll.EQNXTDZ($A$1,$B6,AP$1)</f>
        <v>134.69999999999999</v>
      </c>
      <c r="AQ6" cm="1">
        <f t="array" ref="AQ6">_xll.EQNXTDZ($A$1,$B6,AQ$1)</f>
        <v>139.5</v>
      </c>
      <c r="AR6" cm="1">
        <f t="array" ref="AR6">_xll.EQNXTDZ($A$1,$B6,AR$1)</f>
        <v>143.15</v>
      </c>
      <c r="AS6" cm="1">
        <f t="array" ref="AS6">_xll.EQNXTDZ($A$1,$B6,AS$1)</f>
        <v>141.92500000000001</v>
      </c>
      <c r="AT6" cm="1">
        <f t="array" ref="AT6">_xll.EQNXTDZ($A$1,$B6,AT$1)</f>
        <v>139.9</v>
      </c>
      <c r="AU6" cm="1">
        <f t="array" ref="AU6">_xll.EQNXTDZ($A$1,$B6,AU$1)</f>
        <v>134.4</v>
      </c>
      <c r="AV6" cm="1">
        <f t="array" ref="AV6">_xll.EQNXTDZ($A$1,$B6,AV$1)</f>
        <v>120.25</v>
      </c>
      <c r="AW6" cm="1">
        <f t="array" ref="AW6">_xll.EQNXTDZ($A$1,$B6,AW$1)</f>
        <v>125.45</v>
      </c>
      <c r="AX6" cm="1">
        <f t="array" ref="AX6">_xll.EQNXTDZ($A$1,$B6,AX$1)</f>
        <v>123.27500000000001</v>
      </c>
      <c r="AY6" cm="1">
        <f t="array" ref="AY6">_xll.EQNXTDZ($A$1,$B6,AY$1)</f>
        <v>127</v>
      </c>
      <c r="AZ6" cm="1">
        <f t="array" ref="AZ6">_xll.EQNXTDZ($A$1,$B6,AZ$1)</f>
        <v>125.52500000000001</v>
      </c>
      <c r="BA6" cm="1">
        <f t="array" ref="BA6">_xll.EQNXTDZ($A$1,$B6,BA$1)</f>
        <v>134.22499999999999</v>
      </c>
      <c r="BB6" cm="1">
        <f t="array" ref="BB6">_xll.EQNXTDZ($A$1,$B6,BB$1)</f>
        <v>163.5</v>
      </c>
      <c r="BC6" cm="1">
        <f t="array" ref="BC6">_xll.EQNXTDZ($A$1,$B6,BC$1)</f>
        <v>182.47499999999999</v>
      </c>
      <c r="BD6" cm="1">
        <f t="array" ref="BD6">_xll.EQNXTDZ($A$1,$B6,BD$1)</f>
        <v>193.5</v>
      </c>
      <c r="BE6" cm="1">
        <f t="array" ref="BE6">_xll.EQNXTDZ($A$1,$B6,BE$1)</f>
        <v>178.4</v>
      </c>
      <c r="BF6" cm="1">
        <f t="array" ref="BF6">_xll.EQNXTDZ($A$1,$B6,BF$1)</f>
        <v>175.97499999999999</v>
      </c>
      <c r="BG6" cm="1">
        <f t="array" ref="BG6">_xll.EQNXTDZ($A$1,$B6,BG$1)</f>
        <v>168.1</v>
      </c>
      <c r="BH6" cm="1">
        <f t="array" ref="BH6">_xll.EQNXTDZ($A$1,$B6,BH$1)</f>
        <v>165.85</v>
      </c>
      <c r="BI6" cm="1">
        <f t="array" ref="BI6">_xll.EQNXTDZ($A$1,$B6,BI$1)</f>
        <v>175.9</v>
      </c>
      <c r="BJ6" cm="1">
        <f t="array" ref="BJ6">_xll.EQNXTDZ($A$1,$B6,BJ$1)</f>
        <v>164.82499999999999</v>
      </c>
      <c r="BK6" cm="1">
        <f t="array" ref="BK6">_xll.EQNXTDZ($A$1,$B6,BK$1)</f>
        <v>165</v>
      </c>
      <c r="BL6" cm="1">
        <f t="array" ref="BL6">_xll.EQNXTDZ($A$1,$B6,BL$1)</f>
        <v>159.5</v>
      </c>
      <c r="BM6" cm="1">
        <f t="array" ref="BM6">_xll.EQNXTDZ($A$1,$B6,BM$1)</f>
        <v>153.75</v>
      </c>
      <c r="BN6" cm="1">
        <f t="array" ref="BN6">_xll.EQNXTDZ($A$1,$B6,BN$1)</f>
        <v>138.375</v>
      </c>
      <c r="BO6" cm="1">
        <f t="array" ref="BO6">_xll.EQNXTDZ($A$1,$B6,BO$1)</f>
        <v>141</v>
      </c>
      <c r="BP6" cm="1">
        <f t="array" ref="BP6">_xll.EQNXTDZ($A$1,$B6,BP$1)</f>
        <v>141.05000000000001</v>
      </c>
      <c r="BQ6" cm="1">
        <f t="array" ref="BQ6">_xll.EQNXTDZ($A$1,$B6,BQ$1)</f>
        <v>144.5</v>
      </c>
      <c r="BR6" cm="1">
        <f t="array" ref="BR6">_xll.EQNXTDZ($A$1,$B6,BR$1)</f>
        <v>169.95</v>
      </c>
      <c r="BS6" cm="1">
        <f t="array" ref="BS6">_xll.EQNXTDZ($A$1,$B6,BS$1)</f>
        <v>152.57499999999999</v>
      </c>
      <c r="BT6" cm="1">
        <f t="array" ref="BT6">_xll.EQNXTDZ($A$1,$B6,BT$1)</f>
        <v>157.5</v>
      </c>
      <c r="BU6" cm="1">
        <f t="array" ref="BU6">_xll.EQNXTDZ($A$1,$B6,BU$1)</f>
        <v>155</v>
      </c>
      <c r="BV6" cm="1">
        <f t="array" ref="BV6">_xll.EQNXTDZ($A$1,$B6,BV$1)</f>
        <v>160.02500000000001</v>
      </c>
      <c r="BW6" cm="1">
        <f t="array" ref="BW6">_xll.EQNXTDZ($A$1,$B6,BW$1)</f>
        <v>140</v>
      </c>
      <c r="BX6" cm="1">
        <f t="array" ref="BX6">_xll.EQNXTDZ($A$1,$B6,BX$1)</f>
        <v>128.97499999999999</v>
      </c>
      <c r="BY6" cm="1">
        <f t="array" ref="BY6">_xll.EQNXTDZ($A$1,$B6,BY$1)</f>
        <v>137.22499999999999</v>
      </c>
      <c r="BZ6" cm="1">
        <f t="array" ref="BZ6">_xll.EQNXTDZ($A$1,$B6,BZ$1)</f>
        <v>171.45</v>
      </c>
      <c r="CA6" cm="1">
        <f t="array" ref="CA6">_xll.EQNXTDZ($A$1,$B6,CA$1)</f>
        <v>146.94999999999999</v>
      </c>
      <c r="CB6" cm="1">
        <f t="array" ref="CB6">_xll.EQNXTDZ($A$1,$B6,CB$1)</f>
        <v>154.75</v>
      </c>
      <c r="CC6" cm="1">
        <f t="array" ref="CC6">_xll.EQNXTDZ($A$1,$B6,CC$1)</f>
        <v>148</v>
      </c>
      <c r="CD6" cm="1">
        <f t="array" ref="CD6">_xll.EQNXTDZ($A$1,$B6,CD$1)</f>
        <v>152.125</v>
      </c>
      <c r="CE6" cm="1">
        <f t="array" ref="CE6">_xll.EQNXTDZ($A$1,$B6,CE$1)</f>
        <v>157.5</v>
      </c>
      <c r="CF6" cm="1">
        <f t="array" ref="CF6">_xll.EQNXTDZ($A$1,$B6,CF$1)</f>
        <v>163.1</v>
      </c>
      <c r="CG6" cm="1">
        <f t="array" ref="CG6">_xll.EQNXTDZ($A$1,$B6,CG$1)</f>
        <v>182.5</v>
      </c>
      <c r="CH6" cm="1">
        <f t="array" ref="CH6">_xll.EQNXTDZ($A$1,$B6,CH$1)</f>
        <v>170</v>
      </c>
      <c r="CI6" cm="1">
        <f t="array" ref="CI6">_xll.EQNXTDZ($A$1,$B6,CI$1)</f>
        <v>189.97499999999999</v>
      </c>
      <c r="CJ6" cm="1">
        <f t="array" ref="CJ6">_xll.EQNXTDZ($A$1,$B6,CJ$1)</f>
        <v>184</v>
      </c>
      <c r="CK6" cm="1">
        <f t="array" ref="CK6">_xll.EQNXTDZ($A$1,$B6,CK$1)</f>
        <v>185.02500000000001</v>
      </c>
      <c r="CL6" cm="1">
        <f t="array" ref="CL6">_xll.EQNXTDZ($A$1,$B6,CL$1)</f>
        <v>191.5</v>
      </c>
      <c r="CM6" cm="1">
        <f t="array" ref="CM6">_xll.EQNXTDZ($A$1,$B6,CM$1)</f>
        <v>186</v>
      </c>
      <c r="CN6" cm="1">
        <f t="array" ref="CN6">_xll.EQNXTDZ($A$1,$B6,CN$1)</f>
        <v>174</v>
      </c>
      <c r="CO6" cm="1">
        <f t="array" ref="CO6">_xll.EQNXTDZ($A$1,$B6,CO$1)</f>
        <v>201.5</v>
      </c>
      <c r="CP6" cm="1">
        <f t="array" ref="CP6">_xll.EQNXTDZ($A$1,$B6,CP$1)</f>
        <v>212.5</v>
      </c>
      <c r="CQ6" cm="1">
        <f t="array" ref="CQ6">_xll.EQNXTDZ($A$1,$B6,CQ$1)</f>
        <v>250.97499999999999</v>
      </c>
      <c r="CR6" cm="1">
        <f t="array" ref="CR6">_xll.EQNXTDZ($A$1,$B6,CR$1)</f>
        <v>284.5</v>
      </c>
      <c r="CS6" cm="1">
        <f t="array" ref="CS6">_xll.EQNXTDZ($A$1,$B6,CS$1)</f>
        <v>262</v>
      </c>
      <c r="CT6" cm="1">
        <f t="array" ref="CT6">_xll.EQNXTDZ($A$1,$B6,CT$1)</f>
        <v>276.95</v>
      </c>
      <c r="CU6" cm="1">
        <f t="array" ref="CU6">_xll.EQNXTDZ($A$1,$B6,CU$1)</f>
        <v>346</v>
      </c>
      <c r="CV6" cm="1">
        <f t="array" ref="CV6">_xll.EQNXTDZ($A$1,$B6,CV$1)</f>
        <v>355</v>
      </c>
      <c r="CW6" cm="1">
        <f t="array" ref="CW6">_xll.EQNXTDZ($A$1,$B6,CW$1)</f>
        <v>371</v>
      </c>
      <c r="CX6" cm="1">
        <f t="array" ref="CX6">_xll.EQNXTDZ($A$1,$B6,CX$1)</f>
        <v>380</v>
      </c>
      <c r="CY6" cm="1">
        <f t="array" ref="CY6">_xll.EQNXTDZ($A$1,$B6,CY$1)</f>
        <v>494.5</v>
      </c>
      <c r="CZ6" cm="1">
        <f t="array" ref="CZ6">_xll.EQNXTDZ($A$1,$B6,CZ$1)</f>
        <v>466.625</v>
      </c>
      <c r="DA6" cm="1">
        <f t="array" ref="DA6">_xll.EQNXTDZ($A$1,$B6,DA$1)</f>
        <v>505</v>
      </c>
      <c r="DB6" cm="1">
        <f t="array" ref="DB6">_xll.EQNXTDZ($A$1,$B6,DB$1)</f>
        <v>509.57499999999999</v>
      </c>
      <c r="DC6" cm="1">
        <f t="array" ref="DC6">_xll.EQNXTDZ($A$1,$B6,DC$1)</f>
        <v>501</v>
      </c>
      <c r="DD6" cm="1">
        <f t="array" ref="DD6">_xll.EQNXTDZ($A$1,$B6,DD$1)</f>
        <v>559.29999999999995</v>
      </c>
      <c r="DE6" cm="1">
        <f t="array" ref="DE6">_xll.EQNXTDZ($A$1,$B6,DE$1)</f>
        <v>634</v>
      </c>
      <c r="DF6" cm="1">
        <f t="array" ref="DF6">_xll.EQNXTDZ($A$1,$B6,DF$1)</f>
        <v>707.35</v>
      </c>
      <c r="DG6" cm="1">
        <f t="array" ref="DG6">_xll.EQNXTDZ($A$1,$B6,DG$1)</f>
        <v>732</v>
      </c>
      <c r="DH6" cm="1">
        <f t="array" ref="DH6">_xll.EQNXTDZ($A$1,$B6,DH$1)</f>
        <v>831</v>
      </c>
      <c r="DI6" cm="1">
        <f t="array" ref="DI6">_xll.EQNXTDZ($A$1,$B6,DI$1)</f>
        <v>910</v>
      </c>
      <c r="DJ6" cm="1">
        <f t="array" ref="DJ6">_xll.EQNXTDZ($A$1,$B6,DJ$1)</f>
        <v>850</v>
      </c>
      <c r="DK6" cm="1">
        <f t="array" ref="DK6">_xll.EQNXTDZ($A$1,$B6,DK$1)</f>
        <v>936.1</v>
      </c>
      <c r="DL6" cm="1">
        <f t="array" ref="DL6">_xll.EQNXTDZ($A$1,$B6,DL$1)</f>
        <v>823.5</v>
      </c>
      <c r="DM6" cm="1">
        <f t="array" ref="DM6">_xll.EQNXTDZ($A$1,$B6,DM$1)</f>
        <v>820</v>
      </c>
      <c r="DN6" cm="1">
        <f t="array" ref="DN6">_xll.EQNXTDZ($A$1,$B6,DN$1)</f>
        <v>896.9</v>
      </c>
      <c r="DO6" cm="1">
        <f t="array" ref="DO6">_xll.EQNXTDZ($A$1,$B6,DO$1)</f>
        <v>872.5</v>
      </c>
      <c r="DP6" cm="1">
        <f t="array" ref="DP6">_xll.EQNXTDZ($A$1,$B6,DP$1)</f>
        <v>802.5</v>
      </c>
      <c r="DQ6" cm="1">
        <f t="array" ref="DQ6">_xll.EQNXTDZ($A$1,$B6,DQ$1)</f>
        <v>787.45</v>
      </c>
      <c r="DR6" cm="1">
        <f t="array" ref="DR6">_xll.EQNXTDZ($A$1,$B6,DR$1)</f>
        <v>859.32500000000005</v>
      </c>
      <c r="DS6" cm="1">
        <f t="array" ref="DS6">_xll.EQNXTDZ($A$1,$B6,DS$1)</f>
        <v>812.82500000000005</v>
      </c>
      <c r="DT6" cm="1">
        <f t="array" ref="DT6">_xll.EQNXTDZ($A$1,$B6,DT$1)</f>
        <v>789</v>
      </c>
      <c r="DU6" cm="1">
        <f t="array" ref="DU6">_xll.EQNXTDZ($A$1,$B6,DU$1)</f>
        <v>890</v>
      </c>
      <c r="DV6" cm="1">
        <f t="array" ref="DV6">_xll.EQNXTDZ($A$1,$B6,DV$1)</f>
        <v>891.3</v>
      </c>
      <c r="DW6" cm="1">
        <f t="array" ref="DW6">_xll.EQNXTDZ($A$1,$B6,DW$1)</f>
        <v>967.5</v>
      </c>
      <c r="DX6" cm="1">
        <f t="array" ref="DX6">_xll.EQNXTDZ($A$1,$B6,DX$1)</f>
        <v>992.5</v>
      </c>
      <c r="DY6" cm="1">
        <f t="array" ref="DY6">_xll.EQNXTDZ($A$1,$B6,DY$1)</f>
        <v>1012.45</v>
      </c>
      <c r="DZ6" cm="1">
        <f t="array" ref="DZ6">_xll.EQNXTDZ($A$1,$B6,DZ$1)</f>
        <v>977</v>
      </c>
      <c r="EA6" cm="1">
        <f t="array" ref="EA6">_xll.EQNXTDZ($A$1,$B6,EA$1)</f>
        <v>1018.95</v>
      </c>
      <c r="EB6" cm="1">
        <f t="array" ref="EB6">_xll.EQNXTDZ($A$1,$B6,EB$1)</f>
        <v>974.2</v>
      </c>
      <c r="EC6" cm="1">
        <f t="array" ref="EC6">_xll.EQNXTDZ($A$1,$B6,EC$1)</f>
        <v>988</v>
      </c>
      <c r="ED6" cm="1">
        <f t="array" ref="ED6">_xll.EQNXTDZ($A$1,$B6,ED$1)</f>
        <v>1069.9749999999999</v>
      </c>
      <c r="EE6" cm="1">
        <f t="array" ref="EE6">_xll.EQNXTDZ($A$1,$B6,EE$1)</f>
        <v>1050</v>
      </c>
      <c r="EF6" cm="1">
        <f t="array" ref="EF6">_xll.EQNXTDZ($A$1,$B6,EF$1)</f>
        <v>1183.4749999999999</v>
      </c>
      <c r="EG6" cm="1">
        <f t="array" ref="EG6">_xll.EQNXTDZ($A$1,$B6,EG$1)</f>
        <v>1258.5</v>
      </c>
      <c r="EH6" cm="1">
        <f t="array" ref="EH6">_xll.EQNXTDZ($A$1,$B6,EH$1)</f>
        <v>1394.5</v>
      </c>
      <c r="EI6" cm="1">
        <f t="array" ref="EI6">_xll.EQNXTDZ($A$1,$B6,EI$1)</f>
        <v>1477.95</v>
      </c>
      <c r="EJ6" cm="1">
        <f t="array" ref="EJ6">_xll.EQNXTDZ($A$1,$B6,EJ$1)</f>
        <v>1398</v>
      </c>
      <c r="EK6" cm="1">
        <f t="array" ref="EK6">_xll.EQNXTDZ($A$1,$B6,EK$1)</f>
        <v>1469.75</v>
      </c>
      <c r="EL6" cm="1">
        <f t="array" ref="EL6">_xll.EQNXTDZ($A$1,$B6,EL$1)</f>
        <v>1625</v>
      </c>
      <c r="EM6" cm="1">
        <f t="array" ref="EM6">_xll.EQNXTDZ($A$1,$B6,EM$1)</f>
        <v>1663.05</v>
      </c>
      <c r="EN6" cm="1">
        <f t="array" ref="EN6">_xll.EQNXTDZ($A$1,$B6,EN$1)</f>
        <v>1548</v>
      </c>
      <c r="EO6" cm="1">
        <f t="array" ref="EO6">_xll.EQNXTDZ($A$1,$B6,EO$1)</f>
        <v>1656</v>
      </c>
      <c r="EP6" cm="1">
        <f t="array" ref="EP6">_xll.EQNXTDZ($A$1,$B6,EP$1)</f>
        <v>1895</v>
      </c>
      <c r="EQ6" cm="1">
        <f t="array" ref="EQ6">_xll.EQNXTDZ($A$1,$B6,EQ$1)</f>
        <v>1782</v>
      </c>
      <c r="ER6" cm="1">
        <f t="array" ref="ER6">_xll.EQNXTDZ($A$1,$B6,ER$1)</f>
        <v>1800.05</v>
      </c>
      <c r="ES6" cm="1">
        <f t="array" ref="ES6">_xll.EQNXTDZ($A$1,$B6,ES$1)</f>
        <v>1920.05</v>
      </c>
      <c r="ET6" cm="1">
        <f t="array" ref="ET6">_xll.EQNXTDZ($A$1,$B6,ET$1)</f>
        <v>1934.05</v>
      </c>
      <c r="EU6" cm="1">
        <f t="array" ref="EU6">_xll.EQNXTDZ($A$1,$B6,EU$1)</f>
        <v>1878.5</v>
      </c>
      <c r="EV6" cm="1">
        <f t="array" ref="EV6">_xll.EQNXTDZ($A$1,$B6,EV$1)</f>
        <v>1961.05</v>
      </c>
      <c r="EW6" cm="1">
        <f t="array" ref="EW6">_xll.EQNXTDZ($A$1,$B6,EW$1)</f>
        <v>1736</v>
      </c>
      <c r="EX6" cm="1">
        <f t="array" ref="EX6">_xll.EQNXTDZ($A$1,$B6,EX$1)</f>
        <v>1840.5</v>
      </c>
      <c r="EY6" cm="1">
        <f t="array" ref="EY6">_xll.EQNXTDZ($A$1,$B6,EY$1)</f>
        <v>1765</v>
      </c>
      <c r="EZ6" cm="1">
        <f t="array" ref="EZ6">_xll.EQNXTDZ($A$1,$B6,EZ$1)</f>
        <v>1640</v>
      </c>
      <c r="FA6" cm="1">
        <f t="array" ref="FA6">_xll.EQNXTDZ($A$1,$B6,FA$1)</f>
        <v>1620</v>
      </c>
      <c r="FB6" cm="1">
        <f t="array" ref="FB6">_xll.EQNXTDZ($A$1,$B6,FB$1)</f>
        <v>1619.9</v>
      </c>
      <c r="FC6" cm="1">
        <f t="array" ref="FC6">_xll.EQNXTDZ($A$1,$B6,FC$1)</f>
        <v>1683.9</v>
      </c>
      <c r="FD6" cm="1">
        <f t="array" ref="FD6">_xll.EQNXTDZ($A$1,$B6,FD$1)</f>
        <v>1680.1</v>
      </c>
      <c r="FE6" cm="1">
        <f t="array" ref="FE6">_xll.EQNXTDZ($A$1,$B6,FE$1)</f>
        <v>1769.3</v>
      </c>
      <c r="FF6" cm="1">
        <f t="array" ref="FF6">_xll.EQNXTDZ($A$1,$B6,FF$1)</f>
        <v>1721.4</v>
      </c>
      <c r="FG6" cm="1">
        <f t="array" ref="FG6">_xll.EQNXTDZ($A$1,$B6,FG$1)</f>
        <v>1695</v>
      </c>
      <c r="FH6" cm="1">
        <f t="array" ref="FH6">_xll.EQNXTDZ($A$1,$B6,FH$1)</f>
        <v>1690.9</v>
      </c>
      <c r="FI6" cm="1">
        <f t="array" ref="FI6">_xll.EQNXTDZ($A$1,$B6,FI$1)</f>
        <v>1771.3</v>
      </c>
      <c r="FJ6" cm="1">
        <f t="array" ref="FJ6">_xll.EQNXTDZ($A$1,$B6,FJ$1)</f>
        <v>1828.6</v>
      </c>
      <c r="FK6" cm="1">
        <f t="array" ref="FK6">_xll.EQNXTDZ($A$1,$B6,FK$1)</f>
        <v>1877.2</v>
      </c>
      <c r="FL6" cm="1">
        <f t="array" ref="FL6">_xll.EQNXTDZ($A$1,$B6,FL$1)</f>
        <v>1976.2</v>
      </c>
      <c r="FM6" cm="1">
        <f t="array" ref="FM6">_xll.EQNXTDZ($A$1,$B6,FM$1)</f>
        <v>2071.9</v>
      </c>
      <c r="FN6" cm="1">
        <f t="array" ref="FN6">_xll.EQNXTDZ($A$1,$B6,FN$1)</f>
        <v>2066.8000000000002</v>
      </c>
      <c r="FO6" cm="1">
        <f t="array" ref="FO6">_xll.EQNXTDZ($A$1,$B6,FO$1)</f>
        <v>2160.6999999999998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32.5</v>
      </c>
      <c r="D7" s="116" cm="1">
        <f t="array" ref="D7">_xll.EQNXTDZ($A$1,$B7,D$1)</f>
        <v>37.4</v>
      </c>
      <c r="E7" s="116" cm="1">
        <f t="array" ref="E7">_xll.EQNXTDZ($A$1,$B7,E$1)</f>
        <v>38.299999999999997</v>
      </c>
      <c r="F7" s="116" cm="1">
        <f t="array" ref="F7">_xll.EQNXTDZ($A$1,$B7,F$1)</f>
        <v>39.375</v>
      </c>
      <c r="G7" s="116" cm="1">
        <f t="array" ref="G7">_xll.EQNXTDZ($A$1,$B7,G$1)</f>
        <v>39.424999999999997</v>
      </c>
      <c r="H7" s="116" cm="1">
        <f t="array" ref="H7">_xll.EQNXTDZ($A$1,$B7,H$1)</f>
        <v>45.45</v>
      </c>
      <c r="I7" s="116" cm="1">
        <f t="array" ref="I7">_xll.EQNXTDZ($A$1,$B7,I$1)</f>
        <v>48.2</v>
      </c>
      <c r="J7" s="116" cm="1">
        <f t="array" ref="J7">_xll.EQNXTDZ($A$1,$B7,J$1)</f>
        <v>47.85</v>
      </c>
      <c r="K7" s="116" cm="1">
        <f t="array" ref="K7">_xll.EQNXTDZ($A$1,$B7,K$1)</f>
        <v>45.5</v>
      </c>
      <c r="L7" s="116" cm="1">
        <f t="array" ref="L7">_xll.EQNXTDZ($A$1,$B7,L$1)</f>
        <v>42</v>
      </c>
      <c r="M7" s="116" cm="1">
        <f t="array" ref="M7">_xll.EQNXTDZ($A$1,$B7,M$1)</f>
        <v>43.35</v>
      </c>
      <c r="N7" s="116" cm="1">
        <f t="array" ref="N7">_xll.EQNXTDZ($A$1,$B7,N$1)</f>
        <v>43.725000000000001</v>
      </c>
      <c r="O7" s="116" cm="1">
        <f t="array" ref="O7">_xll.EQNXTDZ($A$1,$B7,O$1)</f>
        <v>41.674999999999997</v>
      </c>
      <c r="P7" s="116" cm="1">
        <f t="array" ref="P7">_xll.EQNXTDZ($A$1,$B7,P$1)</f>
        <v>41.8</v>
      </c>
      <c r="Q7" s="116" cm="1">
        <f t="array" ref="Q7">_xll.EQNXTDZ($A$1,$B7,Q$1)</f>
        <v>43.5</v>
      </c>
      <c r="R7" s="116" cm="1">
        <f t="array" ref="R7">_xll.EQNXTDZ($A$1,$B7,R$1)</f>
        <v>44.5</v>
      </c>
      <c r="S7" s="116" cm="1">
        <f t="array" ref="S7">_xll.EQNXTDZ($A$1,$B7,S$1)</f>
        <v>52.375</v>
      </c>
      <c r="T7" s="116" cm="1">
        <f t="array" ref="T7">_xll.EQNXTDZ($A$1,$B7,T$1)</f>
        <v>59.2</v>
      </c>
      <c r="U7" s="116" cm="1">
        <f t="array" ref="U7">_xll.EQNXTDZ($A$1,$B7,U$1)</f>
        <v>67.875</v>
      </c>
      <c r="V7" s="116" cm="1">
        <f t="array" ref="V7">_xll.EQNXTDZ($A$1,$B7,V$1)</f>
        <v>69.599999999999994</v>
      </c>
      <c r="W7" s="116" cm="1">
        <f t="array" ref="W7">_xll.EQNXTDZ($A$1,$B7,W$1)</f>
        <v>68.3</v>
      </c>
      <c r="X7" s="116" cm="1">
        <f t="array" ref="X7">_xll.EQNXTDZ($A$1,$B7,X$1)</f>
        <v>70.75</v>
      </c>
      <c r="Y7" s="116" cm="1">
        <f t="array" ref="Y7">_xll.EQNXTDZ($A$1,$B7,Y$1)</f>
        <v>83.3</v>
      </c>
      <c r="Z7" s="116" cm="1">
        <f t="array" ref="Z7">_xll.EQNXTDZ($A$1,$B7,Z$1)</f>
        <v>80.400000000000006</v>
      </c>
      <c r="AA7" s="116" cm="1">
        <f t="array" ref="AA7">_xll.EQNXTDZ($A$1,$B7,AA$1)</f>
        <v>79.325000000000003</v>
      </c>
      <c r="AB7" s="116" cm="1">
        <f t="array" ref="AB7">_xll.EQNXTDZ($A$1,$B7,AB$1)</f>
        <v>91.8</v>
      </c>
      <c r="AC7" s="116" cm="1">
        <f t="array" ref="AC7">_xll.EQNXTDZ($A$1,$B7,AC$1)</f>
        <v>109.2</v>
      </c>
      <c r="AD7" s="116" cm="1">
        <f t="array" ref="AD7">_xll.EQNXTDZ($A$1,$B7,AD$1)</f>
        <v>128.94999999999999</v>
      </c>
      <c r="AE7" s="116" cm="1">
        <f t="array" ref="AE7">_xll.EQNXTDZ($A$1,$B7,AE$1)</f>
        <v>118.35</v>
      </c>
      <c r="AF7" s="116" cm="1">
        <f t="array" ref="AF7">_xll.EQNXTDZ($A$1,$B7,AF$1)</f>
        <v>116.2</v>
      </c>
      <c r="AG7" s="116" cm="1">
        <f t="array" ref="AG7">_xll.EQNXTDZ($A$1,$B7,AG$1)</f>
        <v>114.5</v>
      </c>
      <c r="AH7" s="116" cm="1">
        <f t="array" ref="AH7">_xll.EQNXTDZ($A$1,$B7,AH$1)</f>
        <v>104.625</v>
      </c>
      <c r="AI7" s="116" cm="1">
        <f t="array" ref="AI7">_xll.EQNXTDZ($A$1,$B7,AI$1)</f>
        <v>102.95</v>
      </c>
      <c r="AJ7" s="116" cm="1">
        <f t="array" ref="AJ7">_xll.EQNXTDZ($A$1,$B7,AJ$1)</f>
        <v>112.25</v>
      </c>
      <c r="AK7" s="116" cm="1">
        <f t="array" ref="AK7">_xll.EQNXTDZ($A$1,$B7,AK$1)</f>
        <v>134.25</v>
      </c>
      <c r="AL7" s="116" cm="1">
        <f t="array" ref="AL7">_xll.EQNXTDZ($A$1,$B7,AL$1)</f>
        <v>127.7</v>
      </c>
      <c r="AM7" s="116" cm="1">
        <f t="array" ref="AM7">_xll.EQNXTDZ($A$1,$B7,AM$1)</f>
        <v>128.07499999999999</v>
      </c>
      <c r="AN7" s="116" cm="1">
        <f t="array" ref="AN7">_xll.EQNXTDZ($A$1,$B7,AN$1)</f>
        <v>148</v>
      </c>
      <c r="AO7" s="116" cm="1">
        <f t="array" ref="AO7">_xll.EQNXTDZ($A$1,$B7,AO$1)</f>
        <v>148.69999999999999</v>
      </c>
      <c r="AP7" s="116" cm="1">
        <f t="array" ref="AP7">_xll.EQNXTDZ($A$1,$B7,AP$1)</f>
        <v>145.94999999999999</v>
      </c>
      <c r="AQ7" s="116" cm="1">
        <f t="array" ref="AQ7">_xll.EQNXTDZ($A$1,$B7,AQ$1)</f>
        <v>159.17500000000001</v>
      </c>
      <c r="AR7" s="116" cm="1">
        <f t="array" ref="AR7">_xll.EQNXTDZ($A$1,$B7,AR$1)</f>
        <v>149.5</v>
      </c>
      <c r="AS7" s="116" cm="1">
        <f t="array" ref="AS7">_xll.EQNXTDZ($A$1,$B7,AS$1)</f>
        <v>142.4</v>
      </c>
      <c r="AT7" s="116" cm="1">
        <f t="array" ref="AT7">_xll.EQNXTDZ($A$1,$B7,AT$1)</f>
        <v>144</v>
      </c>
      <c r="AU7" s="116" cm="1">
        <f t="array" ref="AU7">_xll.EQNXTDZ($A$1,$B7,AU$1)</f>
        <v>137.5</v>
      </c>
      <c r="AV7" s="116" cm="1">
        <f t="array" ref="AV7">_xll.EQNXTDZ($A$1,$B7,AV$1)</f>
        <v>140.19999999999999</v>
      </c>
      <c r="AW7" s="116" cm="1">
        <f t="array" ref="AW7">_xll.EQNXTDZ($A$1,$B7,AW$1)</f>
        <v>128</v>
      </c>
      <c r="AX7" s="116" cm="1">
        <f t="array" ref="AX7">_xll.EQNXTDZ($A$1,$B7,AX$1)</f>
        <v>133.17500000000001</v>
      </c>
      <c r="AY7" s="116" cm="1">
        <f t="array" ref="AY7">_xll.EQNXTDZ($A$1,$B7,AY$1)</f>
        <v>130.5</v>
      </c>
      <c r="AZ7" s="116" cm="1">
        <f t="array" ref="AZ7">_xll.EQNXTDZ($A$1,$B7,AZ$1)</f>
        <v>138.25</v>
      </c>
      <c r="BA7" s="116" cm="1">
        <f t="array" ref="BA7">_xll.EQNXTDZ($A$1,$B7,BA$1)</f>
        <v>178</v>
      </c>
      <c r="BB7" s="116" cm="1">
        <f t="array" ref="BB7">_xll.EQNXTDZ($A$1,$B7,BB$1)</f>
        <v>198.1</v>
      </c>
      <c r="BC7" s="116" cm="1">
        <f t="array" ref="BC7">_xll.EQNXTDZ($A$1,$B7,BC$1)</f>
        <v>201.95</v>
      </c>
      <c r="BD7" s="116" cm="1">
        <f t="array" ref="BD7">_xll.EQNXTDZ($A$1,$B7,BD$1)</f>
        <v>199.5</v>
      </c>
      <c r="BE7" s="116" cm="1">
        <f t="array" ref="BE7">_xll.EQNXTDZ($A$1,$B7,BE$1)</f>
        <v>178.8</v>
      </c>
      <c r="BF7" s="116" cm="1">
        <f t="array" ref="BF7">_xll.EQNXTDZ($A$1,$B7,BF$1)</f>
        <v>180.47499999999999</v>
      </c>
      <c r="BG7" s="116" cm="1">
        <f t="array" ref="BG7">_xll.EQNXTDZ($A$1,$B7,BG$1)</f>
        <v>183.97499999999999</v>
      </c>
      <c r="BH7" s="116" cm="1">
        <f t="array" ref="BH7">_xll.EQNXTDZ($A$1,$B7,BH$1)</f>
        <v>176.97499999999999</v>
      </c>
      <c r="BI7" s="116" cm="1">
        <f t="array" ref="BI7">_xll.EQNXTDZ($A$1,$B7,BI$1)</f>
        <v>183.75</v>
      </c>
      <c r="BJ7" s="116" cm="1">
        <f t="array" ref="BJ7">_xll.EQNXTDZ($A$1,$B7,BJ$1)</f>
        <v>181.4</v>
      </c>
      <c r="BK7" s="116" cm="1">
        <f t="array" ref="BK7">_xll.EQNXTDZ($A$1,$B7,BK$1)</f>
        <v>173.5</v>
      </c>
      <c r="BL7" s="116" cm="1">
        <f t="array" ref="BL7">_xll.EQNXTDZ($A$1,$B7,BL$1)</f>
        <v>168.75</v>
      </c>
      <c r="BM7" s="116" cm="1">
        <f t="array" ref="BM7">_xll.EQNXTDZ($A$1,$B7,BM$1)</f>
        <v>159.85</v>
      </c>
      <c r="BN7" s="116" cm="1">
        <f t="array" ref="BN7">_xll.EQNXTDZ($A$1,$B7,BN$1)</f>
        <v>147.42500000000001</v>
      </c>
      <c r="BO7" s="116" cm="1">
        <f t="array" ref="BO7">_xll.EQNXTDZ($A$1,$B7,BO$1)</f>
        <v>146</v>
      </c>
      <c r="BP7" s="116" cm="1">
        <f t="array" ref="BP7">_xll.EQNXTDZ($A$1,$B7,BP$1)</f>
        <v>154.5</v>
      </c>
      <c r="BQ7" s="116" cm="1">
        <f t="array" ref="BQ7">_xll.EQNXTDZ($A$1,$B7,BQ$1)</f>
        <v>170.5</v>
      </c>
      <c r="BR7" s="116" cm="1">
        <f t="array" ref="BR7">_xll.EQNXTDZ($A$1,$B7,BR$1)</f>
        <v>172</v>
      </c>
      <c r="BS7" s="116" cm="1">
        <f t="array" ref="BS7">_xll.EQNXTDZ($A$1,$B7,BS$1)</f>
        <v>170</v>
      </c>
      <c r="BT7" s="116" cm="1">
        <f t="array" ref="BT7">_xll.EQNXTDZ($A$1,$B7,BT$1)</f>
        <v>160.47499999999999</v>
      </c>
      <c r="BU7" s="116" cm="1">
        <f t="array" ref="BU7">_xll.EQNXTDZ($A$1,$B7,BU$1)</f>
        <v>163.97499999999999</v>
      </c>
      <c r="BV7" s="116" cm="1">
        <f t="array" ref="BV7">_xll.EQNXTDZ($A$1,$B7,BV$1)</f>
        <v>168.32499999999999</v>
      </c>
      <c r="BW7" s="116" cm="1">
        <f t="array" ref="BW7">_xll.EQNXTDZ($A$1,$B7,BW$1)</f>
        <v>144.65</v>
      </c>
      <c r="BX7" s="116" cm="1">
        <f t="array" ref="BX7">_xll.EQNXTDZ($A$1,$B7,BX$1)</f>
        <v>140</v>
      </c>
      <c r="BY7" s="116" cm="1">
        <f t="array" ref="BY7">_xll.EQNXTDZ($A$1,$B7,BY$1)</f>
        <v>175.5</v>
      </c>
      <c r="BZ7" s="116" cm="1">
        <f t="array" ref="BZ7">_xll.EQNXTDZ($A$1,$B7,BZ$1)</f>
        <v>176.15</v>
      </c>
      <c r="CA7" s="116" cm="1">
        <f t="array" ref="CA7">_xll.EQNXTDZ($A$1,$B7,CA$1)</f>
        <v>156.5</v>
      </c>
      <c r="CB7" s="116" cm="1">
        <f t="array" ref="CB7">_xll.EQNXTDZ($A$1,$B7,CB$1)</f>
        <v>158.75</v>
      </c>
      <c r="CC7" s="116" cm="1">
        <f t="array" ref="CC7">_xll.EQNXTDZ($A$1,$B7,CC$1)</f>
        <v>160</v>
      </c>
      <c r="CD7" s="116" cm="1">
        <f t="array" ref="CD7">_xll.EQNXTDZ($A$1,$B7,CD$1)</f>
        <v>163.92500000000001</v>
      </c>
      <c r="CE7" s="116" cm="1">
        <f t="array" ref="CE7">_xll.EQNXTDZ($A$1,$B7,CE$1)</f>
        <v>169.4</v>
      </c>
      <c r="CF7" s="116" cm="1">
        <f t="array" ref="CF7">_xll.EQNXTDZ($A$1,$B7,CF$1)</f>
        <v>182.05</v>
      </c>
      <c r="CG7" s="116" cm="1">
        <f t="array" ref="CG7">_xll.EQNXTDZ($A$1,$B7,CG$1)</f>
        <v>186.92500000000001</v>
      </c>
      <c r="CH7" s="116" cm="1">
        <f t="array" ref="CH7">_xll.EQNXTDZ($A$1,$B7,CH$1)</f>
        <v>203.5</v>
      </c>
      <c r="CI7" s="116" cm="1">
        <f t="array" ref="CI7">_xll.EQNXTDZ($A$1,$B7,CI$1)</f>
        <v>196</v>
      </c>
      <c r="CJ7" s="116" cm="1">
        <f t="array" ref="CJ7">_xll.EQNXTDZ($A$1,$B7,CJ$1)</f>
        <v>192.75</v>
      </c>
      <c r="CK7" s="116" cm="1">
        <f t="array" ref="CK7">_xll.EQNXTDZ($A$1,$B7,CK$1)</f>
        <v>195.25</v>
      </c>
      <c r="CL7" s="116" cm="1">
        <f t="array" ref="CL7">_xll.EQNXTDZ($A$1,$B7,CL$1)</f>
        <v>205.5</v>
      </c>
      <c r="CM7" s="116" cm="1">
        <f t="array" ref="CM7">_xll.EQNXTDZ($A$1,$B7,CM$1)</f>
        <v>187.3</v>
      </c>
      <c r="CN7" s="116" cm="1">
        <f t="array" ref="CN7">_xll.EQNXTDZ($A$1,$B7,CN$1)</f>
        <v>204.47499999999999</v>
      </c>
      <c r="CO7" s="116" cm="1">
        <f t="array" ref="CO7">_xll.EQNXTDZ($A$1,$B7,CO$1)</f>
        <v>218.5</v>
      </c>
      <c r="CP7" s="116" cm="1">
        <f t="array" ref="CP7">_xll.EQNXTDZ($A$1,$B7,CP$1)</f>
        <v>259.25</v>
      </c>
      <c r="CQ7" s="116" cm="1">
        <f t="array" ref="CQ7">_xll.EQNXTDZ($A$1,$B7,CQ$1)</f>
        <v>299.95</v>
      </c>
      <c r="CR7" s="116" cm="1">
        <f t="array" ref="CR7">_xll.EQNXTDZ($A$1,$B7,CR$1)</f>
        <v>298.45</v>
      </c>
      <c r="CS7" s="116" cm="1">
        <f t="array" ref="CS7">_xll.EQNXTDZ($A$1,$B7,CS$1)</f>
        <v>294.7</v>
      </c>
      <c r="CT7" s="116" cm="1">
        <f t="array" ref="CT7">_xll.EQNXTDZ($A$1,$B7,CT$1)</f>
        <v>348.45</v>
      </c>
      <c r="CU7" s="116" cm="1">
        <f t="array" ref="CU7">_xll.EQNXTDZ($A$1,$B7,CU$1)</f>
        <v>371.9</v>
      </c>
      <c r="CV7" s="116" cm="1">
        <f t="array" ref="CV7">_xll.EQNXTDZ($A$1,$B7,CV$1)</f>
        <v>375</v>
      </c>
      <c r="CW7" s="116" cm="1">
        <f t="array" ref="CW7">_xll.EQNXTDZ($A$1,$B7,CW$1)</f>
        <v>414.42500000000001</v>
      </c>
      <c r="CX7" s="116" cm="1">
        <f t="array" ref="CX7">_xll.EQNXTDZ($A$1,$B7,CX$1)</f>
        <v>574.95000000000005</v>
      </c>
      <c r="CY7" s="116" cm="1">
        <f t="array" ref="CY7">_xll.EQNXTDZ($A$1,$B7,CY$1)</f>
        <v>538</v>
      </c>
      <c r="CZ7" s="116" cm="1">
        <f t="array" ref="CZ7">_xll.EQNXTDZ($A$1,$B7,CZ$1)</f>
        <v>526.5</v>
      </c>
      <c r="DA7" s="116" cm="1">
        <f t="array" ref="DA7">_xll.EQNXTDZ($A$1,$B7,DA$1)</f>
        <v>547.5</v>
      </c>
      <c r="DB7" s="116" cm="1">
        <f t="array" ref="DB7">_xll.EQNXTDZ($A$1,$B7,DB$1)</f>
        <v>539.4</v>
      </c>
      <c r="DC7" s="116" cm="1">
        <f t="array" ref="DC7">_xll.EQNXTDZ($A$1,$B7,DC$1)</f>
        <v>631.5</v>
      </c>
      <c r="DD7" s="116" cm="1">
        <f t="array" ref="DD7">_xll.EQNXTDZ($A$1,$B7,DD$1)</f>
        <v>659</v>
      </c>
      <c r="DE7" s="116" cm="1">
        <f t="array" ref="DE7">_xll.EQNXTDZ($A$1,$B7,DE$1)</f>
        <v>705</v>
      </c>
      <c r="DF7" s="116" cm="1">
        <f t="array" ref="DF7">_xll.EQNXTDZ($A$1,$B7,DF$1)</f>
        <v>756.77499999999998</v>
      </c>
      <c r="DG7" s="116" cm="1">
        <f t="array" ref="DG7">_xll.EQNXTDZ($A$1,$B7,DG$1)</f>
        <v>842.15</v>
      </c>
      <c r="DH7" s="116" cm="1">
        <f t="array" ref="DH7">_xll.EQNXTDZ($A$1,$B7,DH$1)</f>
        <v>968.85</v>
      </c>
      <c r="DI7" s="116" cm="1">
        <f t="array" ref="DI7">_xll.EQNXTDZ($A$1,$B7,DI$1)</f>
        <v>937.15</v>
      </c>
      <c r="DJ7" s="116" cm="1">
        <f t="array" ref="DJ7">_xll.EQNXTDZ($A$1,$B7,DJ$1)</f>
        <v>992.5</v>
      </c>
      <c r="DK7" s="116" cm="1">
        <f t="array" ref="DK7">_xll.EQNXTDZ($A$1,$B7,DK$1)</f>
        <v>954.85</v>
      </c>
      <c r="DL7" s="116" cm="1">
        <f t="array" ref="DL7">_xll.EQNXTDZ($A$1,$B7,DL$1)</f>
        <v>884.95</v>
      </c>
      <c r="DM7" s="116" cm="1">
        <f t="array" ref="DM7">_xll.EQNXTDZ($A$1,$B7,DM$1)</f>
        <v>903.15</v>
      </c>
      <c r="DN7" s="116" cm="1">
        <f t="array" ref="DN7">_xll.EQNXTDZ($A$1,$B7,DN$1)</f>
        <v>914</v>
      </c>
      <c r="DO7" s="116" cm="1">
        <f t="array" ref="DO7">_xll.EQNXTDZ($A$1,$B7,DO$1)</f>
        <v>937.5</v>
      </c>
      <c r="DP7" s="116" cm="1">
        <f t="array" ref="DP7">_xll.EQNXTDZ($A$1,$B7,DP$1)</f>
        <v>821.57500000000005</v>
      </c>
      <c r="DQ7" s="116" cm="1">
        <f t="array" ref="DQ7">_xll.EQNXTDZ($A$1,$B7,DQ$1)</f>
        <v>893</v>
      </c>
      <c r="DR7" s="116" cm="1">
        <f t="array" ref="DR7">_xll.EQNXTDZ($A$1,$B7,DR$1)</f>
        <v>872.5</v>
      </c>
      <c r="DS7" s="116" cm="1">
        <f t="array" ref="DS7">_xll.EQNXTDZ($A$1,$B7,DS$1)</f>
        <v>821</v>
      </c>
      <c r="DT7" s="116" cm="1">
        <f t="array" ref="DT7">_xll.EQNXTDZ($A$1,$B7,DT$1)</f>
        <v>887.42499999999995</v>
      </c>
      <c r="DU7" s="116" cm="1">
        <f t="array" ref="DU7">_xll.EQNXTDZ($A$1,$B7,DU$1)</f>
        <v>940</v>
      </c>
      <c r="DV7" s="116" cm="1">
        <f t="array" ref="DV7">_xll.EQNXTDZ($A$1,$B7,DV$1)</f>
        <v>1024</v>
      </c>
      <c r="DW7" s="116" cm="1">
        <f t="array" ref="DW7">_xll.EQNXTDZ($A$1,$B7,DW$1)</f>
        <v>1034</v>
      </c>
      <c r="DX7" s="116" cm="1">
        <f t="array" ref="DX7">_xll.EQNXTDZ($A$1,$B7,DX$1)</f>
        <v>1075</v>
      </c>
      <c r="DY7" s="116" cm="1">
        <f t="array" ref="DY7">_xll.EQNXTDZ($A$1,$B7,DY$1)</f>
        <v>1068.925</v>
      </c>
      <c r="DZ7" s="116" cm="1">
        <f t="array" ref="DZ7">_xll.EQNXTDZ($A$1,$B7,DZ$1)</f>
        <v>1024.3499999999999</v>
      </c>
      <c r="EA7" s="116" cm="1">
        <f t="array" ref="EA7">_xll.EQNXTDZ($A$1,$B7,EA$1)</f>
        <v>1042.45</v>
      </c>
      <c r="EB7" s="116" cm="1">
        <f t="array" ref="EB7">_xll.EQNXTDZ($A$1,$B7,EB$1)</f>
        <v>1000.2</v>
      </c>
      <c r="EC7" s="116" cm="1">
        <f t="array" ref="EC7">_xll.EQNXTDZ($A$1,$B7,EC$1)</f>
        <v>1111.95</v>
      </c>
      <c r="ED7" s="116" cm="1">
        <f t="array" ref="ED7">_xll.EQNXTDZ($A$1,$B7,ED$1)</f>
        <v>1074.5</v>
      </c>
      <c r="EE7" s="116" cm="1">
        <f t="array" ref="EE7">_xll.EQNXTDZ($A$1,$B7,EE$1)</f>
        <v>1223.875</v>
      </c>
      <c r="EF7" s="116" cm="1">
        <f t="array" ref="EF7">_xll.EQNXTDZ($A$1,$B7,EF$1)</f>
        <v>1386.9749999999999</v>
      </c>
      <c r="EG7" s="116" cm="1">
        <f t="array" ref="EG7">_xll.EQNXTDZ($A$1,$B7,EG$1)</f>
        <v>1468.5</v>
      </c>
      <c r="EH7" s="116" cm="1">
        <f t="array" ref="EH7">_xll.EQNXTDZ($A$1,$B7,EH$1)</f>
        <v>1524.5</v>
      </c>
      <c r="EI7" s="116" cm="1">
        <f t="array" ref="EI7">_xll.EQNXTDZ($A$1,$B7,EI$1)</f>
        <v>1519.7</v>
      </c>
      <c r="EJ7" s="116" cm="1">
        <f t="array" ref="EJ7">_xll.EQNXTDZ($A$1,$B7,EJ$1)</f>
        <v>1540</v>
      </c>
      <c r="EK7" s="116" cm="1">
        <f t="array" ref="EK7">_xll.EQNXTDZ($A$1,$B7,EK$1)</f>
        <v>1639.85</v>
      </c>
      <c r="EL7" s="116" cm="1">
        <f t="array" ref="EL7">_xll.EQNXTDZ($A$1,$B7,EL$1)</f>
        <v>1741.55</v>
      </c>
      <c r="EM7" s="116" cm="1">
        <f t="array" ref="EM7">_xll.EQNXTDZ($A$1,$B7,EM$1)</f>
        <v>1940</v>
      </c>
      <c r="EN7" s="116" cm="1">
        <f t="array" ref="EN7">_xll.EQNXTDZ($A$1,$B7,EN$1)</f>
        <v>1694.7</v>
      </c>
      <c r="EO7" s="116" cm="1">
        <f t="array" ref="EO7">_xll.EQNXTDZ($A$1,$B7,EO$1)</f>
        <v>1920</v>
      </c>
      <c r="EP7" s="116" cm="1">
        <f t="array" ref="EP7">_xll.EQNXTDZ($A$1,$B7,EP$1)</f>
        <v>1915</v>
      </c>
      <c r="EQ7" s="116" cm="1">
        <f t="array" ref="EQ7">_xll.EQNXTDZ($A$1,$B7,EQ$1)</f>
        <v>1926.85</v>
      </c>
      <c r="ER7" s="116" cm="1">
        <f t="array" ref="ER7">_xll.EQNXTDZ($A$1,$B7,ER$1)</f>
        <v>1963.2</v>
      </c>
      <c r="ES7" s="116" cm="1">
        <f t="array" ref="ES7">_xll.EQNXTDZ($A$1,$B7,ES$1)</f>
        <v>2030</v>
      </c>
      <c r="ET7" s="116" cm="1">
        <f t="array" ref="ET7">_xll.EQNXTDZ($A$1,$B7,ET$1)</f>
        <v>1991.35</v>
      </c>
      <c r="EU7" s="116" cm="1">
        <f t="array" ref="EU7">_xll.EQNXTDZ($A$1,$B7,EU$1)</f>
        <v>1979</v>
      </c>
      <c r="EV7" s="116" cm="1">
        <f t="array" ref="EV7">_xll.EQNXTDZ($A$1,$B7,EV$1)</f>
        <v>1984</v>
      </c>
      <c r="EW7" s="116" cm="1">
        <f t="array" ref="EW7">_xll.EQNXTDZ($A$1,$B7,EW$1)</f>
        <v>1952</v>
      </c>
      <c r="EX7" s="116" cm="1">
        <f t="array" ref="EX7">_xll.EQNXTDZ($A$1,$B7,EX$1)</f>
        <v>1918.5</v>
      </c>
      <c r="EY7" s="116" cm="1">
        <f t="array" ref="EY7">_xll.EQNXTDZ($A$1,$B7,EY$1)</f>
        <v>1797.85</v>
      </c>
      <c r="EZ7" s="116" cm="1">
        <f t="array" ref="EZ7">_xll.EQNXTDZ($A$1,$B7,EZ$1)</f>
        <v>1747.5</v>
      </c>
      <c r="FA7" s="116" cm="1">
        <f t="array" ref="FA7">_xll.EQNXTDZ($A$1,$B7,FA$1)</f>
        <v>1682.1</v>
      </c>
      <c r="FB7" s="116" cm="1">
        <f t="array" ref="FB7">_xll.EQNXTDZ($A$1,$B7,FB$1)</f>
        <v>1725.7</v>
      </c>
      <c r="FC7" s="116" cm="1">
        <f t="array" ref="FC7">_xll.EQNXTDZ($A$1,$B7,FC$1)</f>
        <v>1842.7</v>
      </c>
      <c r="FD7" s="116" cm="1">
        <f t="array" ref="FD7">_xll.EQNXTDZ($A$1,$B7,FD$1)</f>
        <v>1812.7</v>
      </c>
      <c r="FE7" s="116" cm="1">
        <f t="array" ref="FE7">_xll.EQNXTDZ($A$1,$B7,FE$1)</f>
        <v>1769.3</v>
      </c>
      <c r="FF7" s="116" cm="1">
        <f t="array" ref="FF7">_xll.EQNXTDZ($A$1,$B7,FF$1)</f>
        <v>1745</v>
      </c>
      <c r="FG7" s="116" cm="1">
        <f t="array" ref="FG7">_xll.EQNXTDZ($A$1,$B7,FG$1)</f>
        <v>1721.5</v>
      </c>
      <c r="FH7" s="116" cm="1">
        <f t="array" ref="FH7">_xll.EQNXTDZ($A$1,$B7,FH$1)</f>
        <v>1844</v>
      </c>
      <c r="FI7" s="116" cm="1">
        <f t="array" ref="FI7">_xll.EQNXTDZ($A$1,$B7,FI$1)</f>
        <v>1842.5</v>
      </c>
      <c r="FJ7" s="116" cm="1">
        <f t="array" ref="FJ7">_xll.EQNXTDZ($A$1,$B7,FJ$1)</f>
        <v>1939</v>
      </c>
      <c r="FK7" s="116" cm="1">
        <f t="array" ref="FK7">_xll.EQNXTDZ($A$1,$B7,FK$1)</f>
        <v>2114.6999999999998</v>
      </c>
      <c r="FL7" s="116" cm="1">
        <f t="array" ref="FL7">_xll.EQNXTDZ($A$1,$B7,FL$1)</f>
        <v>2195</v>
      </c>
      <c r="FM7" s="116" cm="1">
        <f t="array" ref="FM7">_xll.EQNXTDZ($A$1,$B7,FM$1)</f>
        <v>2103</v>
      </c>
      <c r="FN7" s="116" cm="1">
        <f t="array" ref="FN7">_xll.EQNXTDZ($A$1,$B7,FN$1)</f>
        <v>2285.3000000000002</v>
      </c>
      <c r="FO7" s="116" cm="1">
        <f t="array" ref="FO7">_xll.EQNXTDZ($A$1,$B7,FO$1)</f>
        <v>2300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39.375</v>
      </c>
      <c r="HQ7" s="116">
        <f>+MAX(G7:I7)</f>
        <v>48.2</v>
      </c>
      <c r="HR7" s="116">
        <f>+MAX(J7:L7)</f>
        <v>47.85</v>
      </c>
      <c r="HS7" s="116">
        <f>+MAX(M7:O7)</f>
        <v>43.725000000000001</v>
      </c>
      <c r="HT7" s="116">
        <f>+MAX(P7:R7)</f>
        <v>44.5</v>
      </c>
      <c r="HU7" s="116">
        <f>+MAX(S7:U7)</f>
        <v>67.875</v>
      </c>
      <c r="HV7" s="116">
        <f>+MAX(V7:X7)</f>
        <v>70.75</v>
      </c>
      <c r="HW7" s="116">
        <f>+MAX(Y7:AA7)</f>
        <v>83.3</v>
      </c>
      <c r="HX7" s="116">
        <f>+MAX(AB7:AD7)</f>
        <v>128.94999999999999</v>
      </c>
      <c r="HY7" s="116">
        <f>+MAX(AE7:AG7)</f>
        <v>118.35</v>
      </c>
      <c r="HZ7" s="116">
        <f>+MAX(AH7:AJ7)</f>
        <v>112.25</v>
      </c>
      <c r="IA7" s="116">
        <f>+MAX(AK7:AM7)</f>
        <v>134.25</v>
      </c>
      <c r="IB7" s="116">
        <f>+MAX(AN7:AP7)</f>
        <v>148.69999999999999</v>
      </c>
      <c r="IC7" s="116">
        <f>+MAX(AQ7:AS7)</f>
        <v>159.17500000000001</v>
      </c>
      <c r="ID7" s="116">
        <f>+MAX(AT7:AV7)</f>
        <v>144</v>
      </c>
      <c r="IE7" s="116">
        <f>+MAX(AW7:AY7)</f>
        <v>133.17500000000001</v>
      </c>
      <c r="IF7" s="116">
        <f>+MAX(AZ7:BB7)</f>
        <v>198.1</v>
      </c>
      <c r="IG7" s="116">
        <f>+MAX(BC7:BE7)</f>
        <v>201.95</v>
      </c>
      <c r="IH7" s="116">
        <f>+MAX(BF7:BH7)</f>
        <v>183.97499999999999</v>
      </c>
      <c r="II7" s="116">
        <f>+MAX(BI7:BK7)</f>
        <v>183.75</v>
      </c>
      <c r="IJ7" s="116">
        <f>+MAX(BL7:BN7)</f>
        <v>168.75</v>
      </c>
      <c r="IK7" s="116">
        <f>+MAX(BO7:BQ7)</f>
        <v>170.5</v>
      </c>
      <c r="IL7" s="116">
        <f>+MAX(BR7:BT7)</f>
        <v>172</v>
      </c>
      <c r="IM7" s="116">
        <f>+MAX(BU7:BW7)</f>
        <v>168.32499999999999</v>
      </c>
      <c r="IN7" s="116">
        <f>+MAX(BX7:BZ7)</f>
        <v>176.15</v>
      </c>
      <c r="IO7" s="116">
        <f>+MAX(CA7:CC7)</f>
        <v>160</v>
      </c>
      <c r="IP7" s="116">
        <f>+MAX(CD7:CF7)</f>
        <v>182.05</v>
      </c>
      <c r="IQ7" s="116">
        <f>+MAX(CG7:CI7)</f>
        <v>203.5</v>
      </c>
      <c r="IR7" s="116">
        <f>+MAX(CJ7:CL7)</f>
        <v>205.5</v>
      </c>
      <c r="IS7" s="116">
        <f>+MAX(CM7:CO7)</f>
        <v>218.5</v>
      </c>
      <c r="IT7" s="116">
        <f>+MAX(CP7:CR7)</f>
        <v>299.95</v>
      </c>
      <c r="IU7" s="116">
        <f>+MAX(CS7:CU7)</f>
        <v>371.9</v>
      </c>
      <c r="IV7" s="116">
        <f>+MAX(CV7:CX7)</f>
        <v>574.95000000000005</v>
      </c>
      <c r="IW7" s="116">
        <f>+MAX(CY7:DA7)</f>
        <v>547.5</v>
      </c>
      <c r="IX7" s="116">
        <f>+MAX(DB7:DD7)</f>
        <v>659</v>
      </c>
      <c r="IY7" s="116">
        <f>+MAX(DE7:DG7)</f>
        <v>842.15</v>
      </c>
      <c r="IZ7" s="116">
        <f>+MAX(DH7:DJ7)</f>
        <v>992.5</v>
      </c>
      <c r="JA7" s="116">
        <f>+MAX(DK7:DM7)</f>
        <v>954.85</v>
      </c>
      <c r="JB7" s="116">
        <f>+MAX(DN7:DP7)</f>
        <v>937.5</v>
      </c>
      <c r="JC7" s="116">
        <f>+MAX(DQ7:DS7)</f>
        <v>893</v>
      </c>
      <c r="JD7" s="116">
        <f>+MAX(DT7:DV7)</f>
        <v>1024</v>
      </c>
      <c r="JE7" s="116">
        <f>+MAX(DW7:DY7)</f>
        <v>1075</v>
      </c>
      <c r="JF7" s="116">
        <f>+MAX(DZ7:EB7)</f>
        <v>1042.45</v>
      </c>
      <c r="JG7" s="116">
        <f>+MAX(EC7:EE7)</f>
        <v>1223.875</v>
      </c>
      <c r="JH7" s="116">
        <f>+MAX(EF7:EH7)</f>
        <v>1524.5</v>
      </c>
      <c r="JI7" s="116">
        <f>+MAX(EI7:EK7)</f>
        <v>1639.85</v>
      </c>
      <c r="JJ7" s="116">
        <f>+MAX(EL7:EN7)</f>
        <v>1940</v>
      </c>
      <c r="JK7" s="116">
        <f>MAX(EO7:EQ7)</f>
        <v>1926.85</v>
      </c>
      <c r="JL7" s="116">
        <f>MAX(ER7:ET7)</f>
        <v>2030</v>
      </c>
      <c r="JM7" s="116">
        <f>MAX(EU7:EW7)</f>
        <v>1984</v>
      </c>
      <c r="JN7" s="116">
        <f>MAX(EX7:EZ7)</f>
        <v>1918.5</v>
      </c>
      <c r="JO7" s="116">
        <f>MAX(FA7:FC7)</f>
        <v>1842.7</v>
      </c>
      <c r="JP7" s="116">
        <f>MAX(FD7:FF7)</f>
        <v>1812.7</v>
      </c>
      <c r="JQ7" s="116">
        <f>MAX(FG7:FI7)</f>
        <v>1844</v>
      </c>
      <c r="JR7" s="116">
        <f>MAX(FJ7:FL7)</f>
        <v>2195</v>
      </c>
      <c r="JS7" s="116">
        <f>MAX(FM7:FO7)</f>
        <v>2300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29.7</v>
      </c>
      <c r="D8" s="116" cm="1">
        <f t="array" ref="D8">_xll.EQNXTDZ($A$1,$B8,D$1)</f>
        <v>31.574999999999999</v>
      </c>
      <c r="E8" s="116" cm="1">
        <f t="array" ref="E8">_xll.EQNXTDZ($A$1,$B8,E$1)</f>
        <v>32.5</v>
      </c>
      <c r="F8" s="116" cm="1">
        <f t="array" ref="F8">_xll.EQNXTDZ($A$1,$B8,F$1)</f>
        <v>32.575000000000003</v>
      </c>
      <c r="G8" s="116" cm="1">
        <f t="array" ref="G8">_xll.EQNXTDZ($A$1,$B8,G$1)</f>
        <v>33.75</v>
      </c>
      <c r="H8" s="116" cm="1">
        <f t="array" ref="H8">_xll.EQNXTDZ($A$1,$B8,H$1)</f>
        <v>34.25</v>
      </c>
      <c r="I8" s="116" cm="1">
        <f t="array" ref="I8">_xll.EQNXTDZ($A$1,$B8,I$1)</f>
        <v>41.5</v>
      </c>
      <c r="J8" s="116" cm="1">
        <f t="array" ref="J8">_xll.EQNXTDZ($A$1,$B8,J$1)</f>
        <v>41.75</v>
      </c>
      <c r="K8" s="116" cm="1">
        <f t="array" ref="K8">_xll.EQNXTDZ($A$1,$B8,K$1)</f>
        <v>40</v>
      </c>
      <c r="L8" s="116" cm="1">
        <f t="array" ref="L8">_xll.EQNXTDZ($A$1,$B8,L$1)</f>
        <v>35.5</v>
      </c>
      <c r="M8" s="116" cm="1">
        <f t="array" ref="M8">_xll.EQNXTDZ($A$1,$B8,M$1)</f>
        <v>36.5</v>
      </c>
      <c r="N8" s="116" cm="1">
        <f t="array" ref="N8">_xll.EQNXTDZ($A$1,$B8,N$1)</f>
        <v>38.274999999999999</v>
      </c>
      <c r="O8" s="116" cm="1">
        <f t="array" ref="O8">_xll.EQNXTDZ($A$1,$B8,O$1)</f>
        <v>36.15</v>
      </c>
      <c r="P8" s="116" cm="1">
        <f t="array" ref="P8">_xll.EQNXTDZ($A$1,$B8,P$1)</f>
        <v>36.5</v>
      </c>
      <c r="Q8" s="116" cm="1">
        <f t="array" ref="Q8">_xll.EQNXTDZ($A$1,$B8,Q$1)</f>
        <v>36.5</v>
      </c>
      <c r="R8" s="116" cm="1">
        <f t="array" ref="R8">_xll.EQNXTDZ($A$1,$B8,R$1)</f>
        <v>40.4</v>
      </c>
      <c r="S8" s="116" cm="1">
        <f t="array" ref="S8">_xll.EQNXTDZ($A$1,$B8,S$1)</f>
        <v>42.25</v>
      </c>
      <c r="T8" s="116" cm="1">
        <f t="array" ref="T8">_xll.EQNXTDZ($A$1,$B8,T$1)</f>
        <v>49.5</v>
      </c>
      <c r="U8" s="116" cm="1">
        <f t="array" ref="U8">_xll.EQNXTDZ($A$1,$B8,U$1)</f>
        <v>54.174999999999997</v>
      </c>
      <c r="V8" s="116" cm="1">
        <f t="array" ref="V8">_xll.EQNXTDZ($A$1,$B8,V$1)</f>
        <v>57.55</v>
      </c>
      <c r="W8" s="116" cm="1">
        <f t="array" ref="W8">_xll.EQNXTDZ($A$1,$B8,W$1)</f>
        <v>59.6</v>
      </c>
      <c r="X8" s="116" cm="1">
        <f t="array" ref="X8">_xll.EQNXTDZ($A$1,$B8,X$1)</f>
        <v>61.5</v>
      </c>
      <c r="Y8" s="116" cm="1">
        <f t="array" ref="Y8">_xll.EQNXTDZ($A$1,$B8,Y$1)</f>
        <v>64.125</v>
      </c>
      <c r="Z8" s="116" cm="1">
        <f t="array" ref="Z8">_xll.EQNXTDZ($A$1,$B8,Z$1)</f>
        <v>68.05</v>
      </c>
      <c r="AA8" s="116" cm="1">
        <f t="array" ref="AA8">_xll.EQNXTDZ($A$1,$B8,AA$1)</f>
        <v>70</v>
      </c>
      <c r="AB8" s="116" cm="1">
        <f t="array" ref="AB8">_xll.EQNXTDZ($A$1,$B8,AB$1)</f>
        <v>74.25</v>
      </c>
      <c r="AC8" s="116" cm="1">
        <f t="array" ref="AC8">_xll.EQNXTDZ($A$1,$B8,AC$1)</f>
        <v>83.05</v>
      </c>
      <c r="AD8" s="116" cm="1">
        <f t="array" ref="AD8">_xll.EQNXTDZ($A$1,$B8,AD$1)</f>
        <v>104</v>
      </c>
      <c r="AE8" s="116" cm="1">
        <f t="array" ref="AE8">_xll.EQNXTDZ($A$1,$B8,AE$1)</f>
        <v>106.45</v>
      </c>
      <c r="AF8" s="116" cm="1">
        <f t="array" ref="AF8">_xll.EQNXTDZ($A$1,$B8,AF$1)</f>
        <v>97.55</v>
      </c>
      <c r="AG8" s="116" cm="1">
        <f t="array" ref="AG8">_xll.EQNXTDZ($A$1,$B8,AG$1)</f>
        <v>93.5</v>
      </c>
      <c r="AH8" s="116" cm="1">
        <f t="array" ref="AH8">_xll.EQNXTDZ($A$1,$B8,AH$1)</f>
        <v>89.75</v>
      </c>
      <c r="AI8" s="116" cm="1">
        <f t="array" ref="AI8">_xll.EQNXTDZ($A$1,$B8,AI$1)</f>
        <v>89.775000000000006</v>
      </c>
      <c r="AJ8" s="116" cm="1">
        <f t="array" ref="AJ8">_xll.EQNXTDZ($A$1,$B8,AJ$1)</f>
        <v>91.15</v>
      </c>
      <c r="AK8" s="116" cm="1">
        <f t="array" ref="AK8">_xll.EQNXTDZ($A$1,$B8,AK$1)</f>
        <v>99.5</v>
      </c>
      <c r="AL8" s="116" cm="1">
        <f t="array" ref="AL8">_xll.EQNXTDZ($A$1,$B8,AL$1)</f>
        <v>106.075</v>
      </c>
      <c r="AM8" s="116" cm="1">
        <f t="array" ref="AM8">_xll.EQNXTDZ($A$1,$B8,AM$1)</f>
        <v>111.02500000000001</v>
      </c>
      <c r="AN8" s="116" cm="1">
        <f t="array" ref="AN8">_xll.EQNXTDZ($A$1,$B8,AN$1)</f>
        <v>116.7</v>
      </c>
      <c r="AO8" s="116" cm="1">
        <f t="array" ref="AO8">_xll.EQNXTDZ($A$1,$B8,AO$1)</f>
        <v>119.5</v>
      </c>
      <c r="AP8" s="116" cm="1">
        <f t="array" ref="AP8">_xll.EQNXTDZ($A$1,$B8,AP$1)</f>
        <v>123.2</v>
      </c>
      <c r="AQ8" s="116" cm="1">
        <f t="array" ref="AQ8">_xll.EQNXTDZ($A$1,$B8,AQ$1)</f>
        <v>138.65</v>
      </c>
      <c r="AR8" s="116" cm="1">
        <f t="array" ref="AR8">_xll.EQNXTDZ($A$1,$B8,AR$1)</f>
        <v>127.2</v>
      </c>
      <c r="AS8" s="116" cm="1">
        <f t="array" ref="AS8">_xll.EQNXTDZ($A$1,$B8,AS$1)</f>
        <v>126.425</v>
      </c>
      <c r="AT8" s="116" cm="1">
        <f t="array" ref="AT8">_xll.EQNXTDZ($A$1,$B8,AT$1)</f>
        <v>116.925</v>
      </c>
      <c r="AU8" s="116" cm="1">
        <f t="array" ref="AU8">_xll.EQNXTDZ($A$1,$B8,AU$1)</f>
        <v>114</v>
      </c>
      <c r="AV8" s="116" cm="1">
        <f t="array" ref="AV8">_xll.EQNXTDZ($A$1,$B8,AV$1)</f>
        <v>120.25</v>
      </c>
      <c r="AW8" s="116" cm="1">
        <f t="array" ref="AW8">_xll.EQNXTDZ($A$1,$B8,AW$1)</f>
        <v>118.55</v>
      </c>
      <c r="AX8" s="116" cm="1">
        <f t="array" ref="AX8">_xll.EQNXTDZ($A$1,$B8,AX$1)</f>
        <v>121.375</v>
      </c>
      <c r="AY8" s="116" cm="1">
        <f t="array" ref="AY8">_xll.EQNXTDZ($A$1,$B8,AY$1)</f>
        <v>115.65</v>
      </c>
      <c r="AZ8" s="116" cm="1">
        <f t="array" ref="AZ8">_xll.EQNXTDZ($A$1,$B8,AZ$1)</f>
        <v>124</v>
      </c>
      <c r="BA8" s="116" cm="1">
        <f t="array" ref="BA8">_xll.EQNXTDZ($A$1,$B8,BA$1)</f>
        <v>131.82499999999999</v>
      </c>
      <c r="BB8" s="116" cm="1">
        <f t="array" ref="BB8">_xll.EQNXTDZ($A$1,$B8,BB$1)</f>
        <v>156.5</v>
      </c>
      <c r="BC8" s="116" cm="1">
        <f t="array" ref="BC8">_xll.EQNXTDZ($A$1,$B8,BC$1)</f>
        <v>178</v>
      </c>
      <c r="BD8" s="116" cm="1">
        <f t="array" ref="BD8">_xll.EQNXTDZ($A$1,$B8,BD$1)</f>
        <v>152.5</v>
      </c>
      <c r="BE8" s="116" cm="1">
        <f t="array" ref="BE8">_xll.EQNXTDZ($A$1,$B8,BE$1)</f>
        <v>159.875</v>
      </c>
      <c r="BF8" s="116" cm="1">
        <f t="array" ref="BF8">_xll.EQNXTDZ($A$1,$B8,BF$1)</f>
        <v>168</v>
      </c>
      <c r="BG8" s="116" cm="1">
        <f t="array" ref="BG8">_xll.EQNXTDZ($A$1,$B8,BG$1)</f>
        <v>162</v>
      </c>
      <c r="BH8" s="116" cm="1">
        <f t="array" ref="BH8">_xll.EQNXTDZ($A$1,$B8,BH$1)</f>
        <v>157.1</v>
      </c>
      <c r="BI8" s="116" cm="1">
        <f t="array" ref="BI8">_xll.EQNXTDZ($A$1,$B8,BI$1)</f>
        <v>161.65</v>
      </c>
      <c r="BJ8" s="116" cm="1">
        <f t="array" ref="BJ8">_xll.EQNXTDZ($A$1,$B8,BJ$1)</f>
        <v>161.55000000000001</v>
      </c>
      <c r="BK8" s="116" cm="1">
        <f t="array" ref="BK8">_xll.EQNXTDZ($A$1,$B8,BK$1)</f>
        <v>155.05000000000001</v>
      </c>
      <c r="BL8" s="116" cm="1">
        <f t="array" ref="BL8">_xll.EQNXTDZ($A$1,$B8,BL$1)</f>
        <v>151.05000000000001</v>
      </c>
      <c r="BM8" s="116" cm="1">
        <f t="array" ref="BM8">_xll.EQNXTDZ($A$1,$B8,BM$1)</f>
        <v>137.02500000000001</v>
      </c>
      <c r="BN8" s="116" cm="1">
        <f t="array" ref="BN8">_xll.EQNXTDZ($A$1,$B8,BN$1)</f>
        <v>129.5</v>
      </c>
      <c r="BO8" s="116" cm="1">
        <f t="array" ref="BO8">_xll.EQNXTDZ($A$1,$B8,BO$1)</f>
        <v>136</v>
      </c>
      <c r="BP8" s="116" cm="1">
        <f t="array" ref="BP8">_xll.EQNXTDZ($A$1,$B8,BP$1)</f>
        <v>141.05000000000001</v>
      </c>
      <c r="BQ8" s="116" cm="1">
        <f t="array" ref="BQ8">_xll.EQNXTDZ($A$1,$B8,BQ$1)</f>
        <v>142.6</v>
      </c>
      <c r="BR8" s="116" cm="1">
        <f t="array" ref="BR8">_xll.EQNXTDZ($A$1,$B8,BR$1)</f>
        <v>151.5</v>
      </c>
      <c r="BS8" s="116" cm="1">
        <f t="array" ref="BS8">_xll.EQNXTDZ($A$1,$B8,BS$1)</f>
        <v>140.55000000000001</v>
      </c>
      <c r="BT8" s="116" cm="1">
        <f t="array" ref="BT8">_xll.EQNXTDZ($A$1,$B8,BT$1)</f>
        <v>140.5</v>
      </c>
      <c r="BU8" s="116" cm="1">
        <f t="array" ref="BU8">_xll.EQNXTDZ($A$1,$B8,BU$1)</f>
        <v>149.32499999999999</v>
      </c>
      <c r="BV8" s="116" cm="1">
        <f t="array" ref="BV8">_xll.EQNXTDZ($A$1,$B8,BV$1)</f>
        <v>139.30000000000001</v>
      </c>
      <c r="BW8" s="116" cm="1">
        <f t="array" ref="BW8">_xll.EQNXTDZ($A$1,$B8,BW$1)</f>
        <v>125.05</v>
      </c>
      <c r="BX8" s="116" cm="1">
        <f t="array" ref="BX8">_xll.EQNXTDZ($A$1,$B8,BX$1)</f>
        <v>119.97499999999999</v>
      </c>
      <c r="BY8" s="116" cm="1">
        <f t="array" ref="BY8">_xll.EQNXTDZ($A$1,$B8,BY$1)</f>
        <v>134.05000000000001</v>
      </c>
      <c r="BZ8" s="116" cm="1">
        <f t="array" ref="BZ8">_xll.EQNXTDZ($A$1,$B8,BZ$1)</f>
        <v>141</v>
      </c>
      <c r="CA8" s="116" cm="1">
        <f t="array" ref="CA8">_xll.EQNXTDZ($A$1,$B8,CA$1)</f>
        <v>140.5</v>
      </c>
      <c r="CB8" s="116" cm="1">
        <f t="array" ref="CB8">_xll.EQNXTDZ($A$1,$B8,CB$1)</f>
        <v>136.15</v>
      </c>
      <c r="CC8" s="116" cm="1">
        <f t="array" ref="CC8">_xll.EQNXTDZ($A$1,$B8,CC$1)</f>
        <v>144.44999999999999</v>
      </c>
      <c r="CD8" s="116" cm="1">
        <f t="array" ref="CD8">_xll.EQNXTDZ($A$1,$B8,CD$1)</f>
        <v>148.80000000000001</v>
      </c>
      <c r="CE8" s="116" cm="1">
        <f t="array" ref="CE8">_xll.EQNXTDZ($A$1,$B8,CE$1)</f>
        <v>147.5</v>
      </c>
      <c r="CF8" s="116" cm="1">
        <f t="array" ref="CF8">_xll.EQNXTDZ($A$1,$B8,CF$1)</f>
        <v>161.25</v>
      </c>
      <c r="CG8" s="116" cm="1">
        <f t="array" ref="CG8">_xll.EQNXTDZ($A$1,$B8,CG$1)</f>
        <v>169.5</v>
      </c>
      <c r="CH8" s="116" cm="1">
        <f t="array" ref="CH8">_xll.EQNXTDZ($A$1,$B8,CH$1)</f>
        <v>155.97499999999999</v>
      </c>
      <c r="CI8" s="116" cm="1">
        <f t="array" ref="CI8">_xll.EQNXTDZ($A$1,$B8,CI$1)</f>
        <v>176.55</v>
      </c>
      <c r="CJ8" s="116" cm="1">
        <f t="array" ref="CJ8">_xll.EQNXTDZ($A$1,$B8,CJ$1)</f>
        <v>180</v>
      </c>
      <c r="CK8" s="116" cm="1">
        <f t="array" ref="CK8">_xll.EQNXTDZ($A$1,$B8,CK$1)</f>
        <v>181</v>
      </c>
      <c r="CL8" s="116" cm="1">
        <f t="array" ref="CL8">_xll.EQNXTDZ($A$1,$B8,CL$1)</f>
        <v>174.42500000000001</v>
      </c>
      <c r="CM8" s="116" cm="1">
        <f t="array" ref="CM8">_xll.EQNXTDZ($A$1,$B8,CM$1)</f>
        <v>160.75</v>
      </c>
      <c r="CN8" s="116" cm="1">
        <f t="array" ref="CN8">_xll.EQNXTDZ($A$1,$B8,CN$1)</f>
        <v>157.52500000000001</v>
      </c>
      <c r="CO8" s="116" cm="1">
        <f t="array" ref="CO8">_xll.EQNXTDZ($A$1,$B8,CO$1)</f>
        <v>197.9</v>
      </c>
      <c r="CP8" s="116" cm="1">
        <f t="array" ref="CP8">_xll.EQNXTDZ($A$1,$B8,CP$1)</f>
        <v>212.5</v>
      </c>
      <c r="CQ8" s="116" cm="1">
        <f t="array" ref="CQ8">_xll.EQNXTDZ($A$1,$B8,CQ$1)</f>
        <v>241.75</v>
      </c>
      <c r="CR8" s="116" cm="1">
        <f t="array" ref="CR8">_xll.EQNXTDZ($A$1,$B8,CR$1)</f>
        <v>207.5</v>
      </c>
      <c r="CS8" s="116" cm="1">
        <f t="array" ref="CS8">_xll.EQNXTDZ($A$1,$B8,CS$1)</f>
        <v>220.22499999999999</v>
      </c>
      <c r="CT8" s="116" cm="1">
        <f t="array" ref="CT8">_xll.EQNXTDZ($A$1,$B8,CT$1)</f>
        <v>270.82499999999999</v>
      </c>
      <c r="CU8" s="116" cm="1">
        <f t="array" ref="CU8">_xll.EQNXTDZ($A$1,$B8,CU$1)</f>
        <v>328.42500000000001</v>
      </c>
      <c r="CV8" s="116" cm="1">
        <f t="array" ref="CV8">_xll.EQNXTDZ($A$1,$B8,CV$1)</f>
        <v>348.55</v>
      </c>
      <c r="CW8" s="116" cm="1">
        <f t="array" ref="CW8">_xll.EQNXTDZ($A$1,$B8,CW$1)</f>
        <v>363.05</v>
      </c>
      <c r="CX8" s="116" cm="1">
        <f t="array" ref="CX8">_xll.EQNXTDZ($A$1,$B8,CX$1)</f>
        <v>376.5</v>
      </c>
      <c r="CY8" s="116" cm="1">
        <f t="array" ref="CY8">_xll.EQNXTDZ($A$1,$B8,CY$1)</f>
        <v>471.125</v>
      </c>
      <c r="CZ8" s="116" cm="1">
        <f t="array" ref="CZ8">_xll.EQNXTDZ($A$1,$B8,CZ$1)</f>
        <v>441.65</v>
      </c>
      <c r="DA8" s="116" cm="1">
        <f t="array" ref="DA8">_xll.EQNXTDZ($A$1,$B8,DA$1)</f>
        <v>490.5</v>
      </c>
      <c r="DB8" s="116" cm="1">
        <f t="array" ref="DB8">_xll.EQNXTDZ($A$1,$B8,DB$1)</f>
        <v>489.15</v>
      </c>
      <c r="DC8" s="116" cm="1">
        <f t="array" ref="DC8">_xll.EQNXTDZ($A$1,$B8,DC$1)</f>
        <v>478.02499999999998</v>
      </c>
      <c r="DD8" s="116" cm="1">
        <f t="array" ref="DD8">_xll.EQNXTDZ($A$1,$B8,DD$1)</f>
        <v>554.04999999999995</v>
      </c>
      <c r="DE8" s="116" cm="1">
        <f t="array" ref="DE8">_xll.EQNXTDZ($A$1,$B8,DE$1)</f>
        <v>604</v>
      </c>
      <c r="DF8" s="116" cm="1">
        <f t="array" ref="DF8">_xll.EQNXTDZ($A$1,$B8,DF$1)</f>
        <v>682</v>
      </c>
      <c r="DG8" s="116" cm="1">
        <f t="array" ref="DG8">_xll.EQNXTDZ($A$1,$B8,DG$1)</f>
        <v>718.5</v>
      </c>
      <c r="DH8" s="116" cm="1">
        <f t="array" ref="DH8">_xll.EQNXTDZ($A$1,$B8,DH$1)</f>
        <v>823.07500000000005</v>
      </c>
      <c r="DI8" s="116" cm="1">
        <f t="array" ref="DI8">_xll.EQNXTDZ($A$1,$B8,DI$1)</f>
        <v>816.65</v>
      </c>
      <c r="DJ8" s="116" cm="1">
        <f t="array" ref="DJ8">_xll.EQNXTDZ($A$1,$B8,DJ$1)</f>
        <v>835</v>
      </c>
      <c r="DK8" s="116" cm="1">
        <f t="array" ref="DK8">_xll.EQNXTDZ($A$1,$B8,DK$1)</f>
        <v>804.97500000000002</v>
      </c>
      <c r="DL8" s="116" cm="1">
        <f t="array" ref="DL8">_xll.EQNXTDZ($A$1,$B8,DL$1)</f>
        <v>769</v>
      </c>
      <c r="DM8" s="116" cm="1">
        <f t="array" ref="DM8">_xll.EQNXTDZ($A$1,$B8,DM$1)</f>
        <v>775</v>
      </c>
      <c r="DN8" s="116" cm="1">
        <f t="array" ref="DN8">_xll.EQNXTDZ($A$1,$B8,DN$1)</f>
        <v>820.52499999999998</v>
      </c>
      <c r="DO8" s="116" cm="1">
        <f t="array" ref="DO8">_xll.EQNXTDZ($A$1,$B8,DO$1)</f>
        <v>781.02499999999998</v>
      </c>
      <c r="DP8" s="116" cm="1">
        <f t="array" ref="DP8">_xll.EQNXTDZ($A$1,$B8,DP$1)</f>
        <v>742.5</v>
      </c>
      <c r="DQ8" s="116" cm="1">
        <f t="array" ref="DQ8">_xll.EQNXTDZ($A$1,$B8,DQ$1)</f>
        <v>774.45</v>
      </c>
      <c r="DR8" s="116" cm="1">
        <f t="array" ref="DR8">_xll.EQNXTDZ($A$1,$B8,DR$1)</f>
        <v>774.05</v>
      </c>
      <c r="DS8" s="116" cm="1">
        <f t="array" ref="DS8">_xll.EQNXTDZ($A$1,$B8,DS$1)</f>
        <v>671.1</v>
      </c>
      <c r="DT8" s="116" cm="1">
        <f t="array" ref="DT8">_xll.EQNXTDZ($A$1,$B8,DT$1)</f>
        <v>773.5</v>
      </c>
      <c r="DU8" s="116" cm="1">
        <f t="array" ref="DU8">_xll.EQNXTDZ($A$1,$B8,DU$1)</f>
        <v>852.77499999999998</v>
      </c>
      <c r="DV8" s="116" cm="1">
        <f t="array" ref="DV8">_xll.EQNXTDZ($A$1,$B8,DV$1)</f>
        <v>882.5</v>
      </c>
      <c r="DW8" s="116" cm="1">
        <f t="array" ref="DW8">_xll.EQNXTDZ($A$1,$B8,DW$1)</f>
        <v>937.55</v>
      </c>
      <c r="DX8" s="116" cm="1">
        <f t="array" ref="DX8">_xll.EQNXTDZ($A$1,$B8,DX$1)</f>
        <v>977.65</v>
      </c>
      <c r="DY8" s="116" cm="1">
        <f t="array" ref="DY8">_xll.EQNXTDZ($A$1,$B8,DY$1)</f>
        <v>960.25</v>
      </c>
      <c r="DZ8" s="116" cm="1">
        <f t="array" ref="DZ8">_xll.EQNXTDZ($A$1,$B8,DZ$1)</f>
        <v>949.85</v>
      </c>
      <c r="EA8" s="116" cm="1">
        <f t="array" ref="EA8">_xll.EQNXTDZ($A$1,$B8,EA$1)</f>
        <v>953.27499999999998</v>
      </c>
      <c r="EB8" s="116" cm="1">
        <f t="array" ref="EB8">_xll.EQNXTDZ($A$1,$B8,EB$1)</f>
        <v>905.17499999999995</v>
      </c>
      <c r="EC8" s="116" cm="1">
        <f t="array" ref="EC8">_xll.EQNXTDZ($A$1,$B8,EC$1)</f>
        <v>971.05</v>
      </c>
      <c r="ED8" s="116" cm="1">
        <f t="array" ref="ED8">_xll.EQNXTDZ($A$1,$B8,ED$1)</f>
        <v>875</v>
      </c>
      <c r="EE8" s="116" cm="1">
        <f t="array" ref="EE8">_xll.EQNXTDZ($A$1,$B8,EE$1)</f>
        <v>1041</v>
      </c>
      <c r="EF8" s="116" cm="1">
        <f t="array" ref="EF8">_xll.EQNXTDZ($A$1,$B8,EF$1)</f>
        <v>1137.5</v>
      </c>
      <c r="EG8" s="116" cm="1">
        <f t="array" ref="EG8">_xll.EQNXTDZ($A$1,$B8,EG$1)</f>
        <v>1232.1500000000001</v>
      </c>
      <c r="EH8" s="116" cm="1">
        <f t="array" ref="EH8">_xll.EQNXTDZ($A$1,$B8,EH$1)</f>
        <v>1371.1</v>
      </c>
      <c r="EI8" s="116" cm="1">
        <f t="array" ref="EI8">_xll.EQNXTDZ($A$1,$B8,EI$1)</f>
        <v>1244.45</v>
      </c>
      <c r="EJ8" s="116" cm="1">
        <f t="array" ref="EJ8">_xll.EQNXTDZ($A$1,$B8,EJ$1)</f>
        <v>1371</v>
      </c>
      <c r="EK8" s="116" cm="1">
        <f t="array" ref="EK8">_xll.EQNXTDZ($A$1,$B8,EK$1)</f>
        <v>1412.55</v>
      </c>
      <c r="EL8" s="116" cm="1">
        <f t="array" ref="EL8">_xll.EQNXTDZ($A$1,$B8,EL$1)</f>
        <v>1551.3</v>
      </c>
      <c r="EM8" s="116" cm="1">
        <f t="array" ref="EM8">_xll.EQNXTDZ($A$1,$B8,EM$1)</f>
        <v>1480</v>
      </c>
      <c r="EN8" s="116" cm="1">
        <f t="array" ref="EN8">_xll.EQNXTDZ($A$1,$B8,EN$1)</f>
        <v>1509.05</v>
      </c>
      <c r="EO8" s="116" cm="1">
        <f t="array" ref="EO8">_xll.EQNXTDZ($A$1,$B8,EO$1)</f>
        <v>1651.15</v>
      </c>
      <c r="EP8" s="116" cm="1">
        <f t="array" ref="EP8">_xll.EQNXTDZ($A$1,$B8,EP$1)</f>
        <v>1635.5</v>
      </c>
      <c r="EQ8" s="116" cm="1">
        <f t="array" ref="EQ8">_xll.EQNXTDZ($A$1,$B8,EQ$1)</f>
        <v>1667.05</v>
      </c>
      <c r="ER8" s="116" cm="1">
        <f t="array" ref="ER8">_xll.EQNXTDZ($A$1,$B8,ER$1)</f>
        <v>1690.1</v>
      </c>
      <c r="ES8" s="116" cm="1">
        <f t="array" ref="ES8">_xll.EQNXTDZ($A$1,$B8,ES$1)</f>
        <v>1825</v>
      </c>
      <c r="ET8" s="116" cm="1">
        <f t="array" ref="ET8">_xll.EQNXTDZ($A$1,$B8,ET$1)</f>
        <v>1826.65</v>
      </c>
      <c r="EU8" s="116" cm="1">
        <f t="array" ref="EU8">_xll.EQNXTDZ($A$1,$B8,EU$1)</f>
        <v>1666</v>
      </c>
      <c r="EV8" s="116" cm="1">
        <f t="array" ref="EV8">_xll.EQNXTDZ($A$1,$B8,EV$1)</f>
        <v>1655.25</v>
      </c>
      <c r="EW8" s="116" cm="1">
        <f t="array" ref="EW8">_xll.EQNXTDZ($A$1,$B8,EW$1)</f>
        <v>1734</v>
      </c>
      <c r="EX8" s="116" cm="1">
        <f t="array" ref="EX8">_xll.EQNXTDZ($A$1,$B8,EX$1)</f>
        <v>1690.2</v>
      </c>
      <c r="EY8" s="116" cm="1">
        <f t="array" ref="EY8">_xll.EQNXTDZ($A$1,$B8,EY$1)</f>
        <v>1519.8</v>
      </c>
      <c r="EZ8" s="116" cm="1">
        <f t="array" ref="EZ8">_xll.EQNXTDZ($A$1,$B8,EZ$1)</f>
        <v>1433.6</v>
      </c>
      <c r="FA8" s="116" cm="1">
        <f t="array" ref="FA8">_xll.EQNXTDZ($A$1,$B8,FA$1)</f>
        <v>1385.75</v>
      </c>
      <c r="FB8" s="116" cm="1">
        <f t="array" ref="FB8">_xll.EQNXTDZ($A$1,$B8,FB$1)</f>
        <v>1494.8</v>
      </c>
      <c r="FC8" s="116" cm="1">
        <f t="array" ref="FC8">_xll.EQNXTDZ($A$1,$B8,FC$1)</f>
        <v>1662.6</v>
      </c>
      <c r="FD8" s="116" cm="1">
        <f t="array" ref="FD8">_xll.EQNXTDZ($A$1,$B8,FD$1)</f>
        <v>1603.5</v>
      </c>
      <c r="FE8" s="116" cm="1">
        <f t="array" ref="FE8">_xll.EQNXTDZ($A$1,$B8,FE$1)</f>
        <v>1647.7</v>
      </c>
      <c r="FF8" s="116" cm="1">
        <f t="array" ref="FF8">_xll.EQNXTDZ($A$1,$B8,FF$1)</f>
        <v>1638.5</v>
      </c>
      <c r="FG8" s="116" cm="1">
        <f t="array" ref="FG8">_xll.EQNXTDZ($A$1,$B8,FG$1)</f>
        <v>1644.6</v>
      </c>
      <c r="FH8" s="116" cm="1">
        <f t="array" ref="FH8">_xll.EQNXTDZ($A$1,$B8,FH$1)</f>
        <v>1675</v>
      </c>
      <c r="FI8" s="116" cm="1">
        <f t="array" ref="FI8">_xll.EQNXTDZ($A$1,$B8,FI$1)</f>
        <v>1749.5</v>
      </c>
      <c r="FJ8" s="116" cm="1">
        <f t="array" ref="FJ8">_xll.EQNXTDZ($A$1,$B8,FJ$1)</f>
        <v>1775.8</v>
      </c>
      <c r="FK8" s="116" cm="1">
        <f t="array" ref="FK8">_xll.EQNXTDZ($A$1,$B8,FK$1)</f>
        <v>1824.9</v>
      </c>
      <c r="FL8" s="116" cm="1">
        <f t="array" ref="FL8">_xll.EQNXTDZ($A$1,$B8,FL$1)</f>
        <v>1974</v>
      </c>
      <c r="FM8" s="116" cm="1">
        <f t="array" ref="FM8">_xll.EQNXTDZ($A$1,$B8,FM$1)</f>
        <v>1892.6</v>
      </c>
      <c r="FN8" s="116" cm="1">
        <f t="array" ref="FN8">_xll.EQNXTDZ($A$1,$B8,FN$1)</f>
        <v>2062.3000000000002</v>
      </c>
      <c r="FO8" s="116" cm="1">
        <f t="array" ref="FO8">_xll.EQNXTDZ($A$1,$B8,FO$1)</f>
        <v>2080.9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31.574999999999999</v>
      </c>
      <c r="HQ8" s="116">
        <f>+MIN(G8:I8)</f>
        <v>33.75</v>
      </c>
      <c r="HR8" s="116">
        <f>+MIN(J8:L8)</f>
        <v>35.5</v>
      </c>
      <c r="HS8" s="116">
        <f>+MIN(M8:O8)</f>
        <v>36.15</v>
      </c>
      <c r="HT8" s="116">
        <f>+MIN(P8:R8)</f>
        <v>36.5</v>
      </c>
      <c r="HU8" s="116">
        <f>+MIN(S8:U8)</f>
        <v>42.25</v>
      </c>
      <c r="HV8" s="116">
        <f>+MIN(V8:X8)</f>
        <v>57.55</v>
      </c>
      <c r="HW8" s="116">
        <f>+MIN(Y8:AA8)</f>
        <v>64.125</v>
      </c>
      <c r="HX8" s="116">
        <f>+MIN(AB8:AD8)</f>
        <v>74.25</v>
      </c>
      <c r="HY8" s="116">
        <f>+MIN(AE8:AG8)</f>
        <v>93.5</v>
      </c>
      <c r="HZ8" s="116">
        <f>+MIN(AH8:AJ8)</f>
        <v>89.75</v>
      </c>
      <c r="IA8" s="116">
        <f>+MIN(AK8:AM8)</f>
        <v>99.5</v>
      </c>
      <c r="IB8" s="116">
        <f>+MIN(AN8:AP8)</f>
        <v>116.7</v>
      </c>
      <c r="IC8" s="116">
        <f>+MIN(AQ8:AS8)</f>
        <v>126.425</v>
      </c>
      <c r="ID8" s="116">
        <f>+MIN(AT8:AV8)</f>
        <v>114</v>
      </c>
      <c r="IE8" s="116">
        <f>+MIN(AW8:AY8)</f>
        <v>115.65</v>
      </c>
      <c r="IF8" s="116">
        <f>+MIN(AZ8:BB8)</f>
        <v>124</v>
      </c>
      <c r="IG8" s="116">
        <f>+MIN(BC8:BE8)</f>
        <v>152.5</v>
      </c>
      <c r="IH8" s="116">
        <f>+MIN(BF8:BH8)</f>
        <v>157.1</v>
      </c>
      <c r="II8" s="116">
        <f>+MIN(BI8:BK8)</f>
        <v>155.05000000000001</v>
      </c>
      <c r="IJ8" s="116">
        <f>+MIN(BL8:BN8)</f>
        <v>129.5</v>
      </c>
      <c r="IK8" s="116">
        <f>+MIN(BO8:BQ8)</f>
        <v>136</v>
      </c>
      <c r="IL8" s="116">
        <f>+MIN(BR8:BT8)</f>
        <v>140.5</v>
      </c>
      <c r="IM8" s="116">
        <f>+MIN(BU8:BW8)</f>
        <v>125.05</v>
      </c>
      <c r="IN8" s="116">
        <f>+MIN(BX8:BZ8)</f>
        <v>119.97499999999999</v>
      </c>
      <c r="IO8" s="116">
        <f>+MIN(CA8:CC8)</f>
        <v>136.15</v>
      </c>
      <c r="IP8" s="116">
        <f>+MIN(CD8:CF8)</f>
        <v>147.5</v>
      </c>
      <c r="IQ8" s="116">
        <f>+MIN(CG8:CI8)</f>
        <v>155.97499999999999</v>
      </c>
      <c r="IR8" s="116">
        <f>+MIN(CJ8:CL8)</f>
        <v>174.42500000000001</v>
      </c>
      <c r="IS8" s="116">
        <f>+MIN(CM8:CO8)</f>
        <v>157.52500000000001</v>
      </c>
      <c r="IT8" s="116">
        <f>+MIN(CP8:CR8)</f>
        <v>207.5</v>
      </c>
      <c r="IU8" s="116">
        <f>+MIN(CS8:CU8)</f>
        <v>220.22499999999999</v>
      </c>
      <c r="IV8" s="116">
        <f>+MIN(CV8:CX8)</f>
        <v>348.55</v>
      </c>
      <c r="IW8" s="116">
        <f>+MIN(CY8:DA8)</f>
        <v>441.65</v>
      </c>
      <c r="IX8" s="116">
        <f>+MIN(DB8:DD8)</f>
        <v>478.02499999999998</v>
      </c>
      <c r="IY8" s="116">
        <f>+MIN(DE8:DG8)</f>
        <v>604</v>
      </c>
      <c r="IZ8" s="116">
        <f>+MIN(DH8:DJ8)</f>
        <v>816.65</v>
      </c>
      <c r="JA8" s="116">
        <f>+MIN(DK8:DM8)</f>
        <v>769</v>
      </c>
      <c r="JB8" s="116">
        <f>+MIN(DN8:DP8)</f>
        <v>742.5</v>
      </c>
      <c r="JC8" s="116">
        <f>+MIN(DQ8:DS8)</f>
        <v>671.1</v>
      </c>
      <c r="JD8" s="116">
        <f>+MIN(DT8:DV8)</f>
        <v>773.5</v>
      </c>
      <c r="JE8" s="116">
        <f>+MIN(DW8:DY8)</f>
        <v>937.55</v>
      </c>
      <c r="JF8" s="116">
        <f>+MIN(DZ8:EB8)</f>
        <v>905.17499999999995</v>
      </c>
      <c r="JG8" s="116">
        <f>+MIN(EC8:EE8)</f>
        <v>875</v>
      </c>
      <c r="JH8" s="116">
        <f>+MIN(EF8:EH8)</f>
        <v>1137.5</v>
      </c>
      <c r="JI8" s="116">
        <f>+MIN(EI8:EK8)</f>
        <v>1244.45</v>
      </c>
      <c r="JJ8" s="116">
        <f>+MIN(EL8:EN8)</f>
        <v>1480</v>
      </c>
      <c r="JK8" s="116">
        <f>MIN(EO8:EQ8)</f>
        <v>1635.5</v>
      </c>
      <c r="JL8" s="116">
        <f>MIN(ER8:ET8)</f>
        <v>1690.1</v>
      </c>
      <c r="JM8" s="116">
        <f>MIN(EU8:EW8)</f>
        <v>1655.25</v>
      </c>
      <c r="JN8" s="116">
        <f>MIN(EX8:EZ8)</f>
        <v>1433.6</v>
      </c>
      <c r="JO8" s="116">
        <f>MIN(FA8:FC8)</f>
        <v>1385.75</v>
      </c>
      <c r="JP8" s="116">
        <f>MIN(FD8:FF8)</f>
        <v>1603.5</v>
      </c>
      <c r="JQ8" s="116">
        <f>MIN(FG8:FI8)</f>
        <v>1644.6</v>
      </c>
      <c r="JR8" s="116">
        <f>MIN(FJ8:FL8)</f>
        <v>1775.8</v>
      </c>
      <c r="JS8" s="116">
        <f>MIN(FM8:FO8)</f>
        <v>1892.6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31.75</v>
      </c>
      <c r="D9" s="116" cm="1">
        <f t="array" ref="D9">_xll.EQNXTDZ($A$1,$B9,D$1)</f>
        <v>34.4</v>
      </c>
      <c r="E9" s="116" cm="1">
        <f t="array" ref="E9">_xll.EQNXTDZ($A$1,$B9,E$1)</f>
        <v>33.174999999999997</v>
      </c>
      <c r="F9" s="116" cm="1">
        <f t="array" ref="F9">_xll.EQNXTDZ($A$1,$B9,F$1)</f>
        <v>37</v>
      </c>
      <c r="G9" s="116" cm="1">
        <f t="array" ref="G9">_xll.EQNXTDZ($A$1,$B9,G$1)</f>
        <v>34.375</v>
      </c>
      <c r="H9" s="116" cm="1">
        <f t="array" ref="H9">_xll.EQNXTDZ($A$1,$B9,H$1)</f>
        <v>42.325000000000003</v>
      </c>
      <c r="I9" s="116" cm="1">
        <f t="array" ref="I9">_xll.EQNXTDZ($A$1,$B9,I$1)</f>
        <v>46.85</v>
      </c>
      <c r="J9" s="116" cm="1">
        <f t="array" ref="J9">_xll.EQNXTDZ($A$1,$B9,J$1)</f>
        <v>42.125</v>
      </c>
      <c r="K9" s="116" cm="1">
        <f t="array" ref="K9">_xll.EQNXTDZ($A$1,$B9,K$1)</f>
        <v>40.825000000000003</v>
      </c>
      <c r="L9" s="116" cm="1">
        <f t="array" ref="L9">_xll.EQNXTDZ($A$1,$B9,L$1)</f>
        <v>37.075000000000003</v>
      </c>
      <c r="M9" s="116" cm="1">
        <f t="array" ref="M9">_xll.EQNXTDZ($A$1,$B9,M$1)</f>
        <v>38.825000000000003</v>
      </c>
      <c r="N9" s="116" cm="1">
        <f t="array" ref="N9">_xll.EQNXTDZ($A$1,$B9,N$1)</f>
        <v>41.375</v>
      </c>
      <c r="O9" s="116" cm="1">
        <f t="array" ref="O9">_xll.EQNXTDZ($A$1,$B9,O$1)</f>
        <v>38.15</v>
      </c>
      <c r="P9" s="116" cm="1">
        <f t="array" ref="P9">_xll.EQNXTDZ($A$1,$B9,P$1)</f>
        <v>39.725000000000001</v>
      </c>
      <c r="Q9" s="116" cm="1">
        <f t="array" ref="Q9">_xll.EQNXTDZ($A$1,$B9,Q$1)</f>
        <v>41.45</v>
      </c>
      <c r="R9" s="116" cm="1">
        <f t="array" ref="R9">_xll.EQNXTDZ($A$1,$B9,R$1)</f>
        <v>42.45</v>
      </c>
      <c r="S9" s="116" cm="1">
        <f t="array" ref="S9">_xll.EQNXTDZ($A$1,$B9,S$1)</f>
        <v>50.75</v>
      </c>
      <c r="T9" s="116" cm="1">
        <f t="array" ref="T9">_xll.EQNXTDZ($A$1,$B9,T$1)</f>
        <v>58.65</v>
      </c>
      <c r="U9" s="116" cm="1">
        <f t="array" ref="U9">_xll.EQNXTDZ($A$1,$B9,U$1)</f>
        <v>64.650000000000006</v>
      </c>
      <c r="V9" s="116" cm="1">
        <f t="array" ref="V9">_xll.EQNXTDZ($A$1,$B9,V$1)</f>
        <v>60.9</v>
      </c>
      <c r="W9" s="116" cm="1">
        <f t="array" ref="W9">_xll.EQNXTDZ($A$1,$B9,W$1)</f>
        <v>65.5</v>
      </c>
      <c r="X9" s="116" cm="1">
        <f t="array" ref="X9">_xll.EQNXTDZ($A$1,$B9,X$1)</f>
        <v>64.05</v>
      </c>
      <c r="Y9" s="116" cm="1">
        <f t="array" ref="Y9">_xll.EQNXTDZ($A$1,$B9,Y$1)</f>
        <v>76.724999999999994</v>
      </c>
      <c r="Z9" s="116" cm="1">
        <f t="array" ref="Z9">_xll.EQNXTDZ($A$1,$B9,Z$1)</f>
        <v>72.375</v>
      </c>
      <c r="AA9" s="116" cm="1">
        <f t="array" ref="AA9">_xll.EQNXTDZ($A$1,$B9,AA$1)</f>
        <v>77.8</v>
      </c>
      <c r="AB9" s="116" cm="1">
        <f t="array" ref="AB9">_xll.EQNXTDZ($A$1,$B9,AB$1)</f>
        <v>86.775000000000006</v>
      </c>
      <c r="AC9" s="116" cm="1">
        <f t="array" ref="AC9">_xll.EQNXTDZ($A$1,$B9,AC$1)</f>
        <v>105.125</v>
      </c>
      <c r="AD9" s="116" cm="1">
        <f t="array" ref="AD9">_xll.EQNXTDZ($A$1,$B9,AD$1)</f>
        <v>112.27500000000001</v>
      </c>
      <c r="AE9" s="116" cm="1">
        <f t="array" ref="AE9">_xll.EQNXTDZ($A$1,$B9,AE$1)</f>
        <v>114.9</v>
      </c>
      <c r="AF9" s="116" cm="1">
        <f t="array" ref="AF9">_xll.EQNXTDZ($A$1,$B9,AF$1)</f>
        <v>106.425</v>
      </c>
      <c r="AG9" s="116" cm="1">
        <f t="array" ref="AG9">_xll.EQNXTDZ($A$1,$B9,AG$1)</f>
        <v>100.52500000000001</v>
      </c>
      <c r="AH9" s="116" cm="1">
        <f t="array" ref="AH9">_xll.EQNXTDZ($A$1,$B9,AH$1)</f>
        <v>95.424999999999997</v>
      </c>
      <c r="AI9" s="116" cm="1">
        <f t="array" ref="AI9">_xll.EQNXTDZ($A$1,$B9,AI$1)</f>
        <v>94.174999999999997</v>
      </c>
      <c r="AJ9" s="116" cm="1">
        <f t="array" ref="AJ9">_xll.EQNXTDZ($A$1,$B9,AJ$1)</f>
        <v>99.724999999999994</v>
      </c>
      <c r="AK9" s="116" cm="1">
        <f t="array" ref="AK9">_xll.EQNXTDZ($A$1,$B9,AK$1)</f>
        <v>108.4</v>
      </c>
      <c r="AL9" s="116" cm="1">
        <f t="array" ref="AL9">_xll.EQNXTDZ($A$1,$B9,AL$1)</f>
        <v>119.75</v>
      </c>
      <c r="AM9" s="116" cm="1">
        <f t="array" ref="AM9">_xll.EQNXTDZ($A$1,$B9,AM$1)</f>
        <v>118.625</v>
      </c>
      <c r="AN9" s="116" cm="1">
        <f t="array" ref="AN9">_xll.EQNXTDZ($A$1,$B9,AN$1)</f>
        <v>141.42500000000001</v>
      </c>
      <c r="AO9" s="116" cm="1">
        <f t="array" ref="AO9">_xll.EQNXTDZ($A$1,$B9,AO$1)</f>
        <v>135.1</v>
      </c>
      <c r="AP9" s="116" cm="1">
        <f t="array" ref="AP9">_xll.EQNXTDZ($A$1,$B9,AP$1)</f>
        <v>138.72499999999999</v>
      </c>
      <c r="AQ9" s="116" cm="1">
        <f t="array" ref="AQ9">_xll.EQNXTDZ($A$1,$B9,AQ$1)</f>
        <v>142.625</v>
      </c>
      <c r="AR9" s="116" cm="1">
        <f t="array" ref="AR9">_xll.EQNXTDZ($A$1,$B9,AR$1)</f>
        <v>139.94999999999999</v>
      </c>
      <c r="AS9" s="116" cm="1">
        <f t="array" ref="AS9">_xll.EQNXTDZ($A$1,$B9,AS$1)</f>
        <v>139.32499999999999</v>
      </c>
      <c r="AT9" s="116" cm="1">
        <f t="array" ref="AT9">_xll.EQNXTDZ($A$1,$B9,AT$1)</f>
        <v>132.94999999999999</v>
      </c>
      <c r="AU9" s="116" cm="1">
        <f t="array" ref="AU9">_xll.EQNXTDZ($A$1,$B9,AU$1)</f>
        <v>121.075</v>
      </c>
      <c r="AV9" s="116" cm="1">
        <f t="array" ref="AV9">_xll.EQNXTDZ($A$1,$B9,AV$1)</f>
        <v>124.72499999999999</v>
      </c>
      <c r="AW9" s="116" cm="1">
        <f t="array" ref="AW9">_xll.EQNXTDZ($A$1,$B9,AW$1)</f>
        <v>122.77500000000001</v>
      </c>
      <c r="AX9" s="116" cm="1">
        <f t="array" ref="AX9">_xll.EQNXTDZ($A$1,$B9,AX$1)</f>
        <v>127.325</v>
      </c>
      <c r="AY9" s="116" cm="1">
        <f t="array" ref="AY9">_xll.EQNXTDZ($A$1,$B9,AY$1)</f>
        <v>125.3</v>
      </c>
      <c r="AZ9" s="116" cm="1">
        <f t="array" ref="AZ9">_xll.EQNXTDZ($A$1,$B9,AZ$1)</f>
        <v>134.22499999999999</v>
      </c>
      <c r="BA9" s="116" cm="1">
        <f t="array" ref="BA9">_xll.EQNXTDZ($A$1,$B9,BA$1)</f>
        <v>163.875</v>
      </c>
      <c r="BB9" s="116" cm="1">
        <f t="array" ref="BB9">_xll.EQNXTDZ($A$1,$B9,BB$1)</f>
        <v>177.95</v>
      </c>
      <c r="BC9" s="116" cm="1">
        <f t="array" ref="BC9">_xll.EQNXTDZ($A$1,$B9,BC$1)</f>
        <v>193.47499999999999</v>
      </c>
      <c r="BD9" s="116" cm="1">
        <f t="array" ref="BD9">_xll.EQNXTDZ($A$1,$B9,BD$1)</f>
        <v>176.17500000000001</v>
      </c>
      <c r="BE9" s="116" cm="1">
        <f t="array" ref="BE9">_xll.EQNXTDZ($A$1,$B9,BE$1)</f>
        <v>175.65</v>
      </c>
      <c r="BF9" s="116" cm="1">
        <f t="array" ref="BF9">_xll.EQNXTDZ($A$1,$B9,BF$1)</f>
        <v>168.7</v>
      </c>
      <c r="BG9" s="116" cm="1">
        <f t="array" ref="BG9">_xll.EQNXTDZ($A$1,$B9,BG$1)</f>
        <v>165.17500000000001</v>
      </c>
      <c r="BH9" s="116" cm="1">
        <f t="array" ref="BH9">_xll.EQNXTDZ($A$1,$B9,BH$1)</f>
        <v>173.07499999999999</v>
      </c>
      <c r="BI9" s="116" cm="1">
        <f t="array" ref="BI9">_xll.EQNXTDZ($A$1,$B9,BI$1)</f>
        <v>164.82499999999999</v>
      </c>
      <c r="BJ9" s="116" cm="1">
        <f t="array" ref="BJ9">_xll.EQNXTDZ($A$1,$B9,BJ$1)</f>
        <v>168.77500000000001</v>
      </c>
      <c r="BK9" s="116" cm="1">
        <f t="array" ref="BK9">_xll.EQNXTDZ($A$1,$B9,BK$1)</f>
        <v>156.35</v>
      </c>
      <c r="BL9" s="116" cm="1">
        <f t="array" ref="BL9">_xll.EQNXTDZ($A$1,$B9,BL$1)</f>
        <v>154.94999999999999</v>
      </c>
      <c r="BM9" s="116" cm="1">
        <f t="array" ref="BM9">_xll.EQNXTDZ($A$1,$B9,BM$1)</f>
        <v>137.69999999999999</v>
      </c>
      <c r="BN9" s="116" cm="1">
        <f t="array" ref="BN9">_xll.EQNXTDZ($A$1,$B9,BN$1)</f>
        <v>139.55000000000001</v>
      </c>
      <c r="BO9" s="116" cm="1">
        <f t="array" ref="BO9">_xll.EQNXTDZ($A$1,$B9,BO$1)</f>
        <v>143.05000000000001</v>
      </c>
      <c r="BP9" s="116" cm="1">
        <f t="array" ref="BP9">_xll.EQNXTDZ($A$1,$B9,BP$1)</f>
        <v>143.30000000000001</v>
      </c>
      <c r="BQ9" s="116" cm="1">
        <f t="array" ref="BQ9">_xll.EQNXTDZ($A$1,$B9,BQ$1)</f>
        <v>168.2</v>
      </c>
      <c r="BR9" s="116" cm="1">
        <f t="array" ref="BR9">_xll.EQNXTDZ($A$1,$B9,BR$1)</f>
        <v>153.65</v>
      </c>
      <c r="BS9" s="116" cm="1">
        <f t="array" ref="BS9">_xll.EQNXTDZ($A$1,$B9,BS$1)</f>
        <v>157.57499999999999</v>
      </c>
      <c r="BT9" s="116" cm="1">
        <f t="array" ref="BT9">_xll.EQNXTDZ($A$1,$B9,BT$1)</f>
        <v>155.05000000000001</v>
      </c>
      <c r="BU9" s="116" cm="1">
        <f t="array" ref="BU9">_xll.EQNXTDZ($A$1,$B9,BU$1)</f>
        <v>160.02500000000001</v>
      </c>
      <c r="BV9" s="116" cm="1">
        <f t="array" ref="BV9">_xll.EQNXTDZ($A$1,$B9,BV$1)</f>
        <v>139.92500000000001</v>
      </c>
      <c r="BW9" s="116" cm="1">
        <f t="array" ref="BW9">_xll.EQNXTDZ($A$1,$B9,BW$1)</f>
        <v>128.92500000000001</v>
      </c>
      <c r="BX9" s="116" cm="1">
        <f t="array" ref="BX9">_xll.EQNXTDZ($A$1,$B9,BX$1)</f>
        <v>136.65</v>
      </c>
      <c r="BY9" s="116" cm="1">
        <f t="array" ref="BY9">_xll.EQNXTDZ($A$1,$B9,BY$1)</f>
        <v>170.42500000000001</v>
      </c>
      <c r="BZ9" s="116" cm="1">
        <f t="array" ref="BZ9">_xll.EQNXTDZ($A$1,$B9,BZ$1)</f>
        <v>146.4</v>
      </c>
      <c r="CA9" s="116" cm="1">
        <f t="array" ref="CA9">_xll.EQNXTDZ($A$1,$B9,CA$1)</f>
        <v>154.25</v>
      </c>
      <c r="CB9" s="116" cm="1">
        <f t="array" ref="CB9">_xll.EQNXTDZ($A$1,$B9,CB$1)</f>
        <v>149.27500000000001</v>
      </c>
      <c r="CC9" s="116" cm="1">
        <f t="array" ref="CC9">_xll.EQNXTDZ($A$1,$B9,CC$1)</f>
        <v>152.94999999999999</v>
      </c>
      <c r="CD9" s="116" cm="1">
        <f t="array" ref="CD9">_xll.EQNXTDZ($A$1,$B9,CD$1)</f>
        <v>158.6</v>
      </c>
      <c r="CE9" s="116" cm="1">
        <f t="array" ref="CE9">_xll.EQNXTDZ($A$1,$B9,CE$1)</f>
        <v>163.1</v>
      </c>
      <c r="CF9" s="116" cm="1">
        <f t="array" ref="CF9">_xll.EQNXTDZ($A$1,$B9,CF$1)</f>
        <v>181.2</v>
      </c>
      <c r="CG9" s="116" cm="1">
        <f t="array" ref="CG9">_xll.EQNXTDZ($A$1,$B9,CG$1)</f>
        <v>172.2</v>
      </c>
      <c r="CH9" s="116" cm="1">
        <f t="array" ref="CH9">_xll.EQNXTDZ($A$1,$B9,CH$1)</f>
        <v>187.5</v>
      </c>
      <c r="CI9" s="116" cm="1">
        <f t="array" ref="CI9">_xll.EQNXTDZ($A$1,$B9,CI$1)</f>
        <v>183.4</v>
      </c>
      <c r="CJ9" s="116" cm="1">
        <f t="array" ref="CJ9">_xll.EQNXTDZ($A$1,$B9,CJ$1)</f>
        <v>185.375</v>
      </c>
      <c r="CK9" s="116" cm="1">
        <f t="array" ref="CK9">_xll.EQNXTDZ($A$1,$B9,CK$1)</f>
        <v>191.375</v>
      </c>
      <c r="CL9" s="116" cm="1">
        <f t="array" ref="CL9">_xll.EQNXTDZ($A$1,$B9,CL$1)</f>
        <v>185.3</v>
      </c>
      <c r="CM9" s="116" cm="1">
        <f t="array" ref="CM9">_xll.EQNXTDZ($A$1,$B9,CM$1)</f>
        <v>170.57499999999999</v>
      </c>
      <c r="CN9" s="116" cm="1">
        <f t="array" ref="CN9">_xll.EQNXTDZ($A$1,$B9,CN$1)</f>
        <v>197.85</v>
      </c>
      <c r="CO9" s="116" cm="1">
        <f t="array" ref="CO9">_xll.EQNXTDZ($A$1,$B9,CO$1)</f>
        <v>212.82499999999999</v>
      </c>
      <c r="CP9" s="116" cm="1">
        <f t="array" ref="CP9">_xll.EQNXTDZ($A$1,$B9,CP$1)</f>
        <v>247.65</v>
      </c>
      <c r="CQ9" s="116" cm="1">
        <f t="array" ref="CQ9">_xll.EQNXTDZ($A$1,$B9,CQ$1)</f>
        <v>269.35000000000002</v>
      </c>
      <c r="CR9" s="116" cm="1">
        <f t="array" ref="CR9">_xll.EQNXTDZ($A$1,$B9,CR$1)</f>
        <v>254.5</v>
      </c>
      <c r="CS9" s="116" cm="1">
        <f t="array" ref="CS9">_xll.EQNXTDZ($A$1,$B9,CS$1)</f>
        <v>278.95</v>
      </c>
      <c r="CT9" s="116" cm="1">
        <f t="array" ref="CT9">_xll.EQNXTDZ($A$1,$B9,CT$1)</f>
        <v>341.07499999999999</v>
      </c>
      <c r="CU9" s="116" cm="1">
        <f t="array" ref="CU9">_xll.EQNXTDZ($A$1,$B9,CU$1)</f>
        <v>353.72500000000002</v>
      </c>
      <c r="CV9" s="116" cm="1">
        <f t="array" ref="CV9">_xll.EQNXTDZ($A$1,$B9,CV$1)</f>
        <v>367.1</v>
      </c>
      <c r="CW9" s="116" cm="1">
        <f t="array" ref="CW9">_xll.EQNXTDZ($A$1,$B9,CW$1)</f>
        <v>385.125</v>
      </c>
      <c r="CX9" s="116" cm="1">
        <f t="array" ref="CX9">_xll.EQNXTDZ($A$1,$B9,CX$1)</f>
        <v>494.15</v>
      </c>
      <c r="CY9" s="116" cm="1">
        <f t="array" ref="CY9">_xll.EQNXTDZ($A$1,$B9,CY$1)</f>
        <v>504.35</v>
      </c>
      <c r="CZ9" s="116" cm="1">
        <f t="array" ref="CZ9">_xll.EQNXTDZ($A$1,$B9,CZ$1)</f>
        <v>497.35</v>
      </c>
      <c r="DA9" s="116" cm="1">
        <f t="array" ref="DA9">_xll.EQNXTDZ($A$1,$B9,DA$1)</f>
        <v>508.55</v>
      </c>
      <c r="DB9" s="116" cm="1">
        <f t="array" ref="DB9">_xll.EQNXTDZ($A$1,$B9,DB$1)</f>
        <v>500.57499999999999</v>
      </c>
      <c r="DC9" s="116" cm="1">
        <f t="array" ref="DC9">_xll.EQNXTDZ($A$1,$B9,DC$1)</f>
        <v>559.29999999999995</v>
      </c>
      <c r="DD9" s="116" cm="1">
        <f t="array" ref="DD9">_xll.EQNXTDZ($A$1,$B9,DD$1)</f>
        <v>627.72500000000002</v>
      </c>
      <c r="DE9" s="116" cm="1">
        <f t="array" ref="DE9">_xll.EQNXTDZ($A$1,$B9,DE$1)</f>
        <v>697.67499999999995</v>
      </c>
      <c r="DF9" s="116" cm="1">
        <f t="array" ref="DF9">_xll.EQNXTDZ($A$1,$B9,DF$1)</f>
        <v>725.4</v>
      </c>
      <c r="DG9" s="116" cm="1">
        <f t="array" ref="DG9">_xll.EQNXTDZ($A$1,$B9,DG$1)</f>
        <v>832.6</v>
      </c>
      <c r="DH9" s="116" cm="1">
        <f t="array" ref="DH9">_xll.EQNXTDZ($A$1,$B9,DH$1)</f>
        <v>906.625</v>
      </c>
      <c r="DI9" s="116" cm="1">
        <f t="array" ref="DI9">_xll.EQNXTDZ($A$1,$B9,DI$1)</f>
        <v>851.32500000000005</v>
      </c>
      <c r="DJ9" s="116" cm="1">
        <f t="array" ref="DJ9">_xll.EQNXTDZ($A$1,$B9,DJ$1)</f>
        <v>933.47500000000002</v>
      </c>
      <c r="DK9" s="116" cm="1">
        <f t="array" ref="DK9">_xll.EQNXTDZ($A$1,$B9,DK$1)</f>
        <v>839.07500000000005</v>
      </c>
      <c r="DL9" s="116" cm="1">
        <f t="array" ref="DL9">_xll.EQNXTDZ($A$1,$B9,DL$1)</f>
        <v>819.35</v>
      </c>
      <c r="DM9" s="116" cm="1">
        <f t="array" ref="DM9">_xll.EQNXTDZ($A$1,$B9,DM$1)</f>
        <v>889.85</v>
      </c>
      <c r="DN9" s="116" cm="1">
        <f t="array" ref="DN9">_xll.EQNXTDZ($A$1,$B9,DN$1)</f>
        <v>870.35</v>
      </c>
      <c r="DO9" s="116" cm="1">
        <f t="array" ref="DO9">_xll.EQNXTDZ($A$1,$B9,DO$1)</f>
        <v>807.3</v>
      </c>
      <c r="DP9" s="116" cm="1">
        <f t="array" ref="DP9">_xll.EQNXTDZ($A$1,$B9,DP$1)</f>
        <v>787.45</v>
      </c>
      <c r="DQ9" s="116" cm="1">
        <f t="array" ref="DQ9">_xll.EQNXTDZ($A$1,$B9,DQ$1)</f>
        <v>859.45</v>
      </c>
      <c r="DR9" s="116" cm="1">
        <f t="array" ref="DR9">_xll.EQNXTDZ($A$1,$B9,DR$1)</f>
        <v>812.82500000000005</v>
      </c>
      <c r="DS9" s="116" cm="1">
        <f t="array" ref="DS9">_xll.EQNXTDZ($A$1,$B9,DS$1)</f>
        <v>786.32500000000005</v>
      </c>
      <c r="DT9" s="116" cm="1">
        <f t="array" ref="DT9">_xll.EQNXTDZ($A$1,$B9,DT$1)</f>
        <v>885.05</v>
      </c>
      <c r="DU9" s="116" cm="1">
        <f t="array" ref="DU9">_xll.EQNXTDZ($A$1,$B9,DU$1)</f>
        <v>891.3</v>
      </c>
      <c r="DV9" s="116" cm="1">
        <f t="array" ref="DV9">_xll.EQNXTDZ($A$1,$B9,DV$1)</f>
        <v>959.9</v>
      </c>
      <c r="DW9" s="116" cm="1">
        <f t="array" ref="DW9">_xll.EQNXTDZ($A$1,$B9,DW$1)</f>
        <v>986.75</v>
      </c>
      <c r="DX9" s="116" cm="1">
        <f t="array" ref="DX9">_xll.EQNXTDZ($A$1,$B9,DX$1)</f>
        <v>1009.1</v>
      </c>
      <c r="DY9" s="116" cm="1">
        <f t="array" ref="DY9">_xll.EQNXTDZ($A$1,$B9,DY$1)</f>
        <v>972.25</v>
      </c>
      <c r="DZ9" s="116" cm="1">
        <f t="array" ref="DZ9">_xll.EQNXTDZ($A$1,$B9,DZ$1)</f>
        <v>1021.45</v>
      </c>
      <c r="EA9" s="116" cm="1">
        <f t="array" ref="EA9">_xll.EQNXTDZ($A$1,$B9,EA$1)</f>
        <v>969.35</v>
      </c>
      <c r="EB9" s="116" cm="1">
        <f t="array" ref="EB9">_xll.EQNXTDZ($A$1,$B9,EB$1)</f>
        <v>988.17499999999995</v>
      </c>
      <c r="EC9" s="116" cm="1">
        <f t="array" ref="EC9">_xll.EQNXTDZ($A$1,$B9,EC$1)</f>
        <v>1064.925</v>
      </c>
      <c r="ED9" s="116" cm="1">
        <f t="array" ref="ED9">_xll.EQNXTDZ($A$1,$B9,ED$1)</f>
        <v>1052.25</v>
      </c>
      <c r="EE9" s="116" cm="1">
        <f t="array" ref="EE9">_xll.EQNXTDZ($A$1,$B9,EE$1)</f>
        <v>1183.4749999999999</v>
      </c>
      <c r="EF9" s="116" cm="1">
        <f t="array" ref="EF9">_xll.EQNXTDZ($A$1,$B9,EF$1)</f>
        <v>1250.55</v>
      </c>
      <c r="EG9" s="116" cm="1">
        <f t="array" ref="EG9">_xll.EQNXTDZ($A$1,$B9,EG$1)</f>
        <v>1384.25</v>
      </c>
      <c r="EH9" s="116" cm="1">
        <f t="array" ref="EH9">_xll.EQNXTDZ($A$1,$B9,EH$1)</f>
        <v>1482.1</v>
      </c>
      <c r="EI9" s="116" cm="1">
        <f t="array" ref="EI9">_xll.EQNXTDZ($A$1,$B9,EI$1)</f>
        <v>1398.25</v>
      </c>
      <c r="EJ9" s="116" cm="1">
        <f t="array" ref="EJ9">_xll.EQNXTDZ($A$1,$B9,EJ$1)</f>
        <v>1450.9</v>
      </c>
      <c r="EK9" s="116" cm="1">
        <f t="array" ref="EK9">_xll.EQNXTDZ($A$1,$B9,EK$1)</f>
        <v>1624.65</v>
      </c>
      <c r="EL9" s="116" cm="1">
        <f t="array" ref="EL9">_xll.EQNXTDZ($A$1,$B9,EL$1)</f>
        <v>1683.95</v>
      </c>
      <c r="EM9" s="116" cm="1">
        <f t="array" ref="EM9">_xll.EQNXTDZ($A$1,$B9,EM$1)</f>
        <v>1561.85</v>
      </c>
      <c r="EN9" s="116" cm="1">
        <f t="array" ref="EN9">_xll.EQNXTDZ($A$1,$B9,EN$1)</f>
        <v>1650.4</v>
      </c>
      <c r="EO9" s="116" cm="1">
        <f t="array" ref="EO9">_xll.EQNXTDZ($A$1,$B9,EO$1)</f>
        <v>1905.25</v>
      </c>
      <c r="EP9" s="116" cm="1">
        <f t="array" ref="EP9">_xll.EQNXTDZ($A$1,$B9,EP$1)</f>
        <v>1771.9</v>
      </c>
      <c r="EQ9" s="116" cm="1">
        <f t="array" ref="EQ9">_xll.EQNXTDZ($A$1,$B9,EQ$1)</f>
        <v>1754.65</v>
      </c>
      <c r="ER9" s="116" cm="1">
        <f t="array" ref="ER9">_xll.EQNXTDZ($A$1,$B9,ER$1)</f>
        <v>1924.6</v>
      </c>
      <c r="ES9" s="116" cm="1">
        <f t="array" ref="ES9">_xll.EQNXTDZ($A$1,$B9,ES$1)</f>
        <v>1953.8</v>
      </c>
      <c r="ET9" s="116" cm="1">
        <f t="array" ref="ET9">_xll.EQNXTDZ($A$1,$B9,ET$1)</f>
        <v>1875</v>
      </c>
      <c r="EU9" s="116" cm="1">
        <f t="array" ref="EU9">_xll.EQNXTDZ($A$1,$B9,EU$1)</f>
        <v>1961.05</v>
      </c>
      <c r="EV9" s="116" cm="1">
        <f t="array" ref="EV9">_xll.EQNXTDZ($A$1,$B9,EV$1)</f>
        <v>1735.3</v>
      </c>
      <c r="EW9" s="116" cm="1">
        <f t="array" ref="EW9">_xll.EQNXTDZ($A$1,$B9,EW$1)</f>
        <v>1844.15</v>
      </c>
      <c r="EX9" s="116" cm="1">
        <f t="array" ref="EX9">_xll.EQNXTDZ($A$1,$B9,EX$1)</f>
        <v>1763.9</v>
      </c>
      <c r="EY9" s="116" cm="1">
        <f t="array" ref="EY9">_xll.EQNXTDZ($A$1,$B9,EY$1)</f>
        <v>1644.35</v>
      </c>
      <c r="EZ9" s="116" cm="1">
        <f t="array" ref="EZ9">_xll.EQNXTDZ($A$1,$B9,EZ$1)</f>
        <v>1623.2</v>
      </c>
      <c r="FA9" s="116" cm="1">
        <f t="array" ref="FA9">_xll.EQNXTDZ($A$1,$B9,FA$1)</f>
        <v>1612.4</v>
      </c>
      <c r="FB9" s="116" cm="1">
        <f t="array" ref="FB9">_xll.EQNXTDZ($A$1,$B9,FB$1)</f>
        <v>1676.3</v>
      </c>
      <c r="FC9" s="116" cm="1">
        <f t="array" ref="FC9">_xll.EQNXTDZ($A$1,$B9,FC$1)</f>
        <v>1679.3</v>
      </c>
      <c r="FD9" s="116" cm="1">
        <f t="array" ref="FD9">_xll.EQNXTDZ($A$1,$B9,FD$1)</f>
        <v>1769.3</v>
      </c>
      <c r="FE9" s="116" cm="1">
        <f t="array" ref="FE9">_xll.EQNXTDZ($A$1,$B9,FE$1)</f>
        <v>1724.3</v>
      </c>
      <c r="FF9" s="116" cm="1">
        <f t="array" ref="FF9">_xll.EQNXTDZ($A$1,$B9,FF$1)</f>
        <v>1709.7</v>
      </c>
      <c r="FG9" s="116" cm="1">
        <f t="array" ref="FG9">_xll.EQNXTDZ($A$1,$B9,FG$1)</f>
        <v>1682.3</v>
      </c>
      <c r="FH9" s="116" cm="1">
        <f t="array" ref="FH9">_xll.EQNXTDZ($A$1,$B9,FH$1)</f>
        <v>1771.3</v>
      </c>
      <c r="FI9" s="116" cm="1">
        <f t="array" ref="FI9">_xll.EQNXTDZ($A$1,$B9,FI$1)</f>
        <v>1819.7</v>
      </c>
      <c r="FJ9" s="116" cm="1">
        <f t="array" ref="FJ9">_xll.EQNXTDZ($A$1,$B9,FJ$1)</f>
        <v>1869.5</v>
      </c>
      <c r="FK9" s="116" cm="1">
        <f t="array" ref="FK9">_xll.EQNXTDZ($A$1,$B9,FK$1)</f>
        <v>2053.5</v>
      </c>
      <c r="FL9" s="116" cm="1">
        <f t="array" ref="FL9">_xll.EQNXTDZ($A$1,$B9,FL$1)</f>
        <v>2064.4</v>
      </c>
      <c r="FM9" s="116" cm="1">
        <f t="array" ref="FM9">_xll.EQNXTDZ($A$1,$B9,FM$1)</f>
        <v>2043.4</v>
      </c>
      <c r="FN9" s="116" cm="1">
        <f t="array" ref="FN9">_xll.EQNXTDZ($A$1,$B9,FN$1)</f>
        <v>2167.4</v>
      </c>
      <c r="FO9" s="116" cm="1">
        <f t="array" ref="FO9">_xll.EQNXTDZ($A$1,$B9,FO$1)</f>
        <v>2192.8000000000002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37</v>
      </c>
      <c r="HQ9" s="116">
        <f>+I9</f>
        <v>46.85</v>
      </c>
      <c r="HR9" s="116">
        <f>+L9</f>
        <v>37.075000000000003</v>
      </c>
      <c r="HS9" s="116">
        <f>+O9</f>
        <v>38.15</v>
      </c>
      <c r="HT9" s="116">
        <f>+R9</f>
        <v>42.45</v>
      </c>
      <c r="HU9" s="116">
        <f>+U9</f>
        <v>64.650000000000006</v>
      </c>
      <c r="HV9" s="116">
        <f>+X9</f>
        <v>64.05</v>
      </c>
      <c r="HW9" s="116">
        <f>+AA9</f>
        <v>77.8</v>
      </c>
      <c r="HX9" s="116">
        <f>+AD9</f>
        <v>112.27500000000001</v>
      </c>
      <c r="HY9" s="116">
        <f>+AG9</f>
        <v>100.52500000000001</v>
      </c>
      <c r="HZ9" s="116">
        <f>+AJ9</f>
        <v>99.724999999999994</v>
      </c>
      <c r="IA9" s="116">
        <f>+AM9</f>
        <v>118.625</v>
      </c>
      <c r="IB9" s="116">
        <f>+AP9</f>
        <v>138.72499999999999</v>
      </c>
      <c r="IC9" s="116">
        <f>+AS9</f>
        <v>139.32499999999999</v>
      </c>
      <c r="ID9" s="116">
        <f>+AV9</f>
        <v>124.72499999999999</v>
      </c>
      <c r="IE9" s="116">
        <f>+AY9</f>
        <v>125.3</v>
      </c>
      <c r="IF9" s="116">
        <f>+BB9</f>
        <v>177.95</v>
      </c>
      <c r="IG9" s="116">
        <f>+BE9</f>
        <v>175.65</v>
      </c>
      <c r="IH9" s="116">
        <f>+BH9</f>
        <v>173.07499999999999</v>
      </c>
      <c r="II9" s="116">
        <f>+BK9</f>
        <v>156.35</v>
      </c>
      <c r="IJ9" s="116">
        <f>+BN9</f>
        <v>139.55000000000001</v>
      </c>
      <c r="IK9" s="116">
        <f>+BQ9</f>
        <v>168.2</v>
      </c>
      <c r="IL9" s="116">
        <f>+BT9</f>
        <v>155.05000000000001</v>
      </c>
      <c r="IM9" s="116">
        <f>+BW9</f>
        <v>128.92500000000001</v>
      </c>
      <c r="IN9" s="116">
        <f>+BZ9</f>
        <v>146.4</v>
      </c>
      <c r="IO9" s="116">
        <f>+CC9</f>
        <v>152.94999999999999</v>
      </c>
      <c r="IP9" s="116">
        <f>+CF9</f>
        <v>181.2</v>
      </c>
      <c r="IQ9" s="116">
        <f>+CI9</f>
        <v>183.4</v>
      </c>
      <c r="IR9" s="116">
        <f>+CL9</f>
        <v>185.3</v>
      </c>
      <c r="IS9" s="116">
        <f>+CO9</f>
        <v>212.82499999999999</v>
      </c>
      <c r="IT9" s="116">
        <f>+CR9</f>
        <v>254.5</v>
      </c>
      <c r="IU9" s="116">
        <f>+CU9</f>
        <v>353.72500000000002</v>
      </c>
      <c r="IV9" s="116">
        <f>+CX9</f>
        <v>494.15</v>
      </c>
      <c r="IW9" s="116">
        <f>+DA9</f>
        <v>508.55</v>
      </c>
      <c r="IX9" s="116">
        <f>+DD9</f>
        <v>627.72500000000002</v>
      </c>
      <c r="IY9" s="116">
        <f>+DG9</f>
        <v>832.6</v>
      </c>
      <c r="IZ9" s="116">
        <f>+DJ9</f>
        <v>933.47500000000002</v>
      </c>
      <c r="JA9" s="116">
        <f>+DM9</f>
        <v>889.85</v>
      </c>
      <c r="JB9" s="116">
        <f>+DP9</f>
        <v>787.45</v>
      </c>
      <c r="JC9" s="116">
        <f>+DS9</f>
        <v>786.32500000000005</v>
      </c>
      <c r="JD9" s="116">
        <f>+DV9</f>
        <v>959.9</v>
      </c>
      <c r="JE9" s="116">
        <f>+DY9</f>
        <v>972.25</v>
      </c>
      <c r="JF9" s="116">
        <f>+EB9</f>
        <v>988.17499999999995</v>
      </c>
      <c r="JG9" s="116">
        <f>+EE9</f>
        <v>1183.4749999999999</v>
      </c>
      <c r="JH9" s="116">
        <f>+EH9</f>
        <v>1482.1</v>
      </c>
      <c r="JI9" s="116">
        <f>+EK9</f>
        <v>1624.65</v>
      </c>
      <c r="JJ9" s="116">
        <f>+EN9</f>
        <v>1650.4</v>
      </c>
      <c r="JK9" s="116">
        <f>EQ9</f>
        <v>1754.65</v>
      </c>
      <c r="JL9" s="116">
        <f>ET9</f>
        <v>1875</v>
      </c>
      <c r="JM9" s="116">
        <f>EW9</f>
        <v>1844.15</v>
      </c>
      <c r="JN9" s="116">
        <f>EZ9</f>
        <v>1623.2</v>
      </c>
      <c r="JO9" s="116">
        <f>FC9</f>
        <v>1679.3</v>
      </c>
      <c r="JP9" s="116">
        <f>FF9</f>
        <v>1709.7</v>
      </c>
      <c r="JQ9" s="116">
        <f>FI9</f>
        <v>1819.7</v>
      </c>
      <c r="JR9" s="116">
        <f>FL9</f>
        <v>2064.4</v>
      </c>
      <c r="JS9" s="116">
        <f>FO9</f>
        <v>2192.8000000000002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30.75</v>
      </c>
      <c r="D13" cm="1">
        <f t="array" ref="D13">_xll.EQNXTDZ($A$1,$B13,D$1)</f>
        <v>31.9</v>
      </c>
      <c r="E13" cm="1">
        <f t="array" ref="E13">_xll.EQNXTDZ($A$1,$B13,E$1)</f>
        <v>34.274999999999999</v>
      </c>
      <c r="F13" cm="1">
        <f t="array" ref="F13">_xll.EQNXTDZ($A$1,$B13,F$1)</f>
        <v>33.35</v>
      </c>
      <c r="G13" cm="1">
        <f t="array" ref="G13">_xll.EQNXTDZ($A$1,$B13,G$1)</f>
        <v>37.375</v>
      </c>
      <c r="H13" cm="1">
        <f t="array" ref="H13">_xll.EQNXTDZ($A$1,$B13,H$1)</f>
        <v>34.6</v>
      </c>
      <c r="I13" cm="1">
        <f t="array" ref="I13">_xll.EQNXTDZ($A$1,$B13,I$1)</f>
        <v>42.4</v>
      </c>
      <c r="J13" cm="1">
        <f t="array" ref="J13">_xll.EQNXTDZ($A$1,$B13,J$1)</f>
        <v>47.125</v>
      </c>
      <c r="K13" cm="1">
        <f t="array" ref="K13">_xll.EQNXTDZ($A$1,$B13,K$1)</f>
        <v>42.5</v>
      </c>
      <c r="L13" cm="1">
        <f t="array" ref="L13">_xll.EQNXTDZ($A$1,$B13,L$1)</f>
        <v>41.325000000000003</v>
      </c>
      <c r="M13" cm="1">
        <f t="array" ref="M13">_xll.EQNXTDZ($A$1,$B13,M$1)</f>
        <v>37.5</v>
      </c>
      <c r="N13" cm="1">
        <f t="array" ref="N13">_xll.EQNXTDZ($A$1,$B13,N$1)</f>
        <v>39</v>
      </c>
      <c r="O13" cm="1">
        <f t="array" ref="O13">_xll.EQNXTDZ($A$1,$B13,O$1)</f>
        <v>41.25</v>
      </c>
      <c r="P13" cm="1">
        <f t="array" ref="P13">_xll.EQNXTDZ($A$1,$B13,P$1)</f>
        <v>38</v>
      </c>
      <c r="Q13" cm="1">
        <f t="array" ref="Q13">_xll.EQNXTDZ($A$1,$B13,Q$1)</f>
        <v>39.024999999999999</v>
      </c>
      <c r="R13" cm="1">
        <f t="array" ref="R13">_xll.EQNXTDZ($A$1,$B13,R$1)</f>
        <v>41.2</v>
      </c>
      <c r="S13" cm="1">
        <f t="array" ref="S13">_xll.EQNXTDZ($A$1,$B13,S$1)</f>
        <v>42.35</v>
      </c>
      <c r="T13" cm="1">
        <f t="array" ref="T13">_xll.EQNXTDZ($A$1,$B13,T$1)</f>
        <v>50.95</v>
      </c>
      <c r="U13" cm="1">
        <f t="array" ref="U13">_xll.EQNXTDZ($A$1,$B13,U$1)</f>
        <v>58.975000000000001</v>
      </c>
      <c r="V13" cm="1">
        <f t="array" ref="V13">_xll.EQNXTDZ($A$1,$B13,V$1)</f>
        <v>65.900000000000006</v>
      </c>
      <c r="W13" cm="1">
        <f t="array" ref="W13">_xll.EQNXTDZ($A$1,$B13,W$1)</f>
        <v>60.45</v>
      </c>
      <c r="X13" cm="1">
        <f t="array" ref="X13">_xll.EQNXTDZ($A$1,$B13,X$1)</f>
        <v>65.95</v>
      </c>
      <c r="Y13" cm="1">
        <f t="array" ref="Y13">_xll.EQNXTDZ($A$1,$B13,Y$1)</f>
        <v>64.625</v>
      </c>
      <c r="Z13" cm="1">
        <f t="array" ref="Z13">_xll.EQNXTDZ($A$1,$B13,Z$1)</f>
        <v>77.575000000000003</v>
      </c>
      <c r="AA13" cm="1">
        <f t="array" ref="AA13">_xll.EQNXTDZ($A$1,$B13,AA$1)</f>
        <v>72.674999999999997</v>
      </c>
      <c r="AB13" cm="1">
        <f t="array" ref="AB13">_xll.EQNXTDZ($A$1,$B13,AB$1)</f>
        <v>78.224999999999994</v>
      </c>
      <c r="AC13" cm="1">
        <f t="array" ref="AC13">_xll.EQNXTDZ($A$1,$B13,AC$1)</f>
        <v>85.5</v>
      </c>
      <c r="AD13" cm="1">
        <f t="array" ref="AD13">_xll.EQNXTDZ($A$1,$B13,AD$1)</f>
        <v>105.675</v>
      </c>
      <c r="AE13" cm="1">
        <f t="array" ref="AE13">_xll.EQNXTDZ($A$1,$B13,AE$1)</f>
        <v>113.15</v>
      </c>
      <c r="AF13" cm="1">
        <f t="array" ref="AF13">_xll.EQNXTDZ($A$1,$B13,AF$1)</f>
        <v>115.5</v>
      </c>
      <c r="AG13" cm="1">
        <f t="array" ref="AG13">_xll.EQNXTDZ($A$1,$B13,AG$1)</f>
        <v>106.95</v>
      </c>
      <c r="AH13" cm="1">
        <f t="array" ref="AH13">_xll.EQNXTDZ($A$1,$B13,AH$1)</f>
        <v>100.5</v>
      </c>
      <c r="AI13" cm="1">
        <f t="array" ref="AI13">_xll.EQNXTDZ($A$1,$B13,AI$1)</f>
        <v>94.55</v>
      </c>
      <c r="AJ13" cm="1">
        <f t="array" ref="AJ13">_xll.EQNXTDZ($A$1,$B13,AJ$1)</f>
        <v>94.575000000000003</v>
      </c>
      <c r="AK13" cm="1">
        <f t="array" ref="AK13">_xll.EQNXTDZ($A$1,$B13,AK$1)</f>
        <v>99.75</v>
      </c>
      <c r="AL13" cm="1">
        <f t="array" ref="AL13">_xll.EQNXTDZ($A$1,$B13,AL$1)</f>
        <v>108.02500000000001</v>
      </c>
      <c r="AM13" cm="1">
        <f t="array" ref="AM13">_xll.EQNXTDZ($A$1,$B13,AM$1)</f>
        <v>119.97499999999999</v>
      </c>
      <c r="AN13" cm="1">
        <f t="array" ref="AN13">_xll.EQNXTDZ($A$1,$B13,AN$1)</f>
        <v>118.9</v>
      </c>
      <c r="AO13" cm="1">
        <f t="array" ref="AO13">_xll.EQNXTDZ($A$1,$B13,AO$1)</f>
        <v>142.05000000000001</v>
      </c>
      <c r="AP13" cm="1">
        <f t="array" ref="AP13">_xll.EQNXTDZ($A$1,$B13,AP$1)</f>
        <v>134.52500000000001</v>
      </c>
      <c r="AQ13" cm="1">
        <f t="array" ref="AQ13">_xll.EQNXTDZ($A$1,$B13,AQ$1)</f>
        <v>140</v>
      </c>
      <c r="AR13" cm="1">
        <f t="array" ref="AR13">_xll.EQNXTDZ($A$1,$B13,AR$1)</f>
        <v>143.44999999999999</v>
      </c>
      <c r="AS13" cm="1">
        <f t="array" ref="AS13">_xll.EQNXTDZ($A$1,$B13,AS$1)</f>
        <v>139.875</v>
      </c>
      <c r="AT13" cm="1">
        <f t="array" ref="AT13">_xll.EQNXTDZ($A$1,$B13,AT$1)</f>
        <v>140.32499999999999</v>
      </c>
      <c r="AU13" cm="1">
        <f t="array" ref="AU13">_xll.EQNXTDZ($A$1,$B13,AU$1)</f>
        <v>133.52500000000001</v>
      </c>
      <c r="AV13" cm="1">
        <f t="array" ref="AV13">_xll.EQNXTDZ($A$1,$B13,AV$1)</f>
        <v>121.5</v>
      </c>
      <c r="AW13" cm="1">
        <f t="array" ref="AW13">_xll.EQNXTDZ($A$1,$B13,AW$1)</f>
        <v>125.5</v>
      </c>
      <c r="AX13" cm="1">
        <f t="array" ref="AX13">_xll.EQNXTDZ($A$1,$B13,AX$1)</f>
        <v>124.75</v>
      </c>
      <c r="AY13" cm="1">
        <f t="array" ref="AY13">_xll.EQNXTDZ($A$1,$B13,AY$1)</f>
        <v>126.1</v>
      </c>
      <c r="AZ13" cm="1">
        <f t="array" ref="AZ13">_xll.EQNXTDZ($A$1,$B13,AZ$1)</f>
        <v>125.45</v>
      </c>
      <c r="BA13" cm="1">
        <f t="array" ref="BA13">_xll.EQNXTDZ($A$1,$B13,BA$1)</f>
        <v>136</v>
      </c>
      <c r="BB13" cm="1">
        <f t="array" ref="BB13">_xll.EQNXTDZ($A$1,$B13,BB$1)</f>
        <v>163.4</v>
      </c>
      <c r="BC13" cm="1">
        <f t="array" ref="BC13">_xll.EQNXTDZ($A$1,$B13,BC$1)</f>
        <v>182.5</v>
      </c>
      <c r="BD13" cm="1">
        <f t="array" ref="BD13">_xll.EQNXTDZ($A$1,$B13,BD$1)</f>
        <v>193.07499999999999</v>
      </c>
      <c r="BE13" cm="1">
        <f t="array" ref="BE13">_xll.EQNXTDZ($A$1,$B13,BE$1)</f>
        <v>177.5</v>
      </c>
      <c r="BF13" cm="1">
        <f t="array" ref="BF13">_xll.EQNXTDZ($A$1,$B13,BF$1)</f>
        <v>175</v>
      </c>
      <c r="BG13" cm="1">
        <f t="array" ref="BG13">_xll.EQNXTDZ($A$1,$B13,BG$1)</f>
        <v>168.52500000000001</v>
      </c>
      <c r="BH13" cm="1">
        <f t="array" ref="BH13">_xll.EQNXTDZ($A$1,$B13,BH$1)</f>
        <v>165.07499999999999</v>
      </c>
      <c r="BI13" cm="1">
        <f t="array" ref="BI13">_xll.EQNXTDZ($A$1,$B13,BI$1)</f>
        <v>173.97499999999999</v>
      </c>
      <c r="BJ13" cm="1">
        <f t="array" ref="BJ13">_xll.EQNXTDZ($A$1,$B13,BJ$1)</f>
        <v>163.25</v>
      </c>
      <c r="BK13" cm="1">
        <f t="array" ref="BK13">_xll.EQNXTDZ($A$1,$B13,BK$1)</f>
        <v>166</v>
      </c>
      <c r="BL13" cm="1">
        <f t="array" ref="BL13">_xll.EQNXTDZ($A$1,$B13,BL$1)</f>
        <v>161.875</v>
      </c>
      <c r="BM13" cm="1">
        <f t="array" ref="BM13">_xll.EQNXTDZ($A$1,$B13,BM$1)</f>
        <v>154.25</v>
      </c>
      <c r="BN13" cm="1">
        <f t="array" ref="BN13">_xll.EQNXTDZ($A$1,$B13,BN$1)</f>
        <v>138.5</v>
      </c>
      <c r="BO13" cm="1">
        <f t="array" ref="BO13">_xll.EQNXTDZ($A$1,$B13,BO$1)</f>
        <v>141</v>
      </c>
      <c r="BP13" cm="1">
        <f t="array" ref="BP13">_xll.EQNXTDZ($A$1,$B13,BP$1)</f>
        <v>144.02500000000001</v>
      </c>
      <c r="BQ13" cm="1">
        <f t="array" ref="BQ13">_xll.EQNXTDZ($A$1,$B13,BQ$1)</f>
        <v>145.65</v>
      </c>
      <c r="BR13" cm="1">
        <f t="array" ref="BR13">_xll.EQNXTDZ($A$1,$B13,BR$1)</f>
        <v>169.97499999999999</v>
      </c>
      <c r="BS13" cm="1">
        <f t="array" ref="BS13">_xll.EQNXTDZ($A$1,$B13,BS$1)</f>
        <v>152.75</v>
      </c>
      <c r="BT13" cm="1">
        <f t="array" ref="BT13">_xll.EQNXTDZ($A$1,$B13,BT$1)</f>
        <v>159</v>
      </c>
      <c r="BU13" cm="1">
        <f t="array" ref="BU13">_xll.EQNXTDZ($A$1,$B13,BU$1)</f>
        <v>154.85</v>
      </c>
      <c r="BV13" cm="1">
        <f t="array" ref="BV13">_xll.EQNXTDZ($A$1,$B13,BV$1)</f>
        <v>158.625</v>
      </c>
      <c r="BW13" cm="1">
        <f t="array" ref="BW13">_xll.EQNXTDZ($A$1,$B13,BW$1)</f>
        <v>139.5</v>
      </c>
      <c r="BX13" cm="1">
        <f t="array" ref="BX13">_xll.EQNXTDZ($A$1,$B13,BX$1)</f>
        <v>129</v>
      </c>
      <c r="BY13" cm="1">
        <f t="array" ref="BY13">_xll.EQNXTDZ($A$1,$B13,BY$1)</f>
        <v>136.125</v>
      </c>
      <c r="BZ13" cm="1">
        <f t="array" ref="BZ13">_xll.EQNXTDZ($A$1,$B13,BZ$1)</f>
        <v>172.35</v>
      </c>
      <c r="CA13" cm="1">
        <f t="array" ref="CA13">_xll.EQNXTDZ($A$1,$B13,CA$1)</f>
        <v>144.25</v>
      </c>
      <c r="CB13" cm="1">
        <f t="array" ref="CB13">_xll.EQNXTDZ($A$1,$B13,CB$1)</f>
        <v>154.92500000000001</v>
      </c>
      <c r="CC13" cm="1">
        <f t="array" ref="CC13">_xll.EQNXTDZ($A$1,$B13,CC$1)</f>
        <v>148.9</v>
      </c>
      <c r="CD13" cm="1">
        <f t="array" ref="CD13">_xll.EQNXTDZ($A$1,$B13,CD$1)</f>
        <v>151.125</v>
      </c>
      <c r="CE13" cm="1">
        <f t="array" ref="CE13">_xll.EQNXTDZ($A$1,$B13,CE$1)</f>
        <v>157.9</v>
      </c>
      <c r="CF13" cm="1">
        <f t="array" ref="CF13">_xll.EQNXTDZ($A$1,$B13,CF$1)</f>
        <v>163.5</v>
      </c>
      <c r="CG13" cm="1">
        <f t="array" ref="CG13">_xll.EQNXTDZ($A$1,$B13,CG$1)</f>
        <v>181.97499999999999</v>
      </c>
      <c r="CH13" cm="1">
        <f t="array" ref="CH13">_xll.EQNXTDZ($A$1,$B13,CH$1)</f>
        <v>171</v>
      </c>
      <c r="CI13" cm="1">
        <f t="array" ref="CI13">_xll.EQNXTDZ($A$1,$B13,CI$1)</f>
        <v>187.47499999999999</v>
      </c>
      <c r="CJ13" cm="1">
        <f t="array" ref="CJ13">_xll.EQNXTDZ($A$1,$B13,CJ$1)</f>
        <v>185.95</v>
      </c>
      <c r="CK13" cm="1">
        <f t="array" ref="CK13">_xll.EQNXTDZ($A$1,$B13,CK$1)</f>
        <v>185.82499999999999</v>
      </c>
      <c r="CL13" cm="1">
        <f t="array" ref="CL13">_xll.EQNXTDZ($A$1,$B13,CL$1)</f>
        <v>191</v>
      </c>
      <c r="CM13" cm="1">
        <f t="array" ref="CM13">_xll.EQNXTDZ($A$1,$B13,CM$1)</f>
        <v>187.2</v>
      </c>
      <c r="CN13" cm="1">
        <f t="array" ref="CN13">_xll.EQNXTDZ($A$1,$B13,CN$1)</f>
        <v>171.8</v>
      </c>
      <c r="CO13" cm="1">
        <f t="array" ref="CO13">_xll.EQNXTDZ($A$1,$B13,CO$1)</f>
        <v>198.57499999999999</v>
      </c>
      <c r="CP13" cm="1">
        <f t="array" ref="CP13">_xll.EQNXTDZ($A$1,$B13,CP$1)</f>
        <v>212.3</v>
      </c>
      <c r="CQ13" cm="1">
        <f t="array" ref="CQ13">_xll.EQNXTDZ($A$1,$B13,CQ$1)</f>
        <v>249.45</v>
      </c>
      <c r="CR13" cm="1">
        <f t="array" ref="CR13">_xll.EQNXTDZ($A$1,$B13,CR$1)</f>
        <v>279.5</v>
      </c>
      <c r="CS13" cm="1">
        <f t="array" ref="CS13">_xll.EQNXTDZ($A$1,$B13,CS$1)</f>
        <v>262.5</v>
      </c>
      <c r="CT13" cm="1">
        <f t="array" ref="CT13">_xll.EQNXTDZ($A$1,$B13,CT$1)</f>
        <v>278.5</v>
      </c>
      <c r="CU13" cm="1">
        <f t="array" ref="CU13">_xll.EQNXTDZ($A$1,$B13,CU$1)</f>
        <v>353.5</v>
      </c>
      <c r="CV13" cm="1">
        <f t="array" ref="CV13">_xll.EQNXTDZ($A$1,$B13,CV$1)</f>
        <v>353.4</v>
      </c>
      <c r="CW13" cm="1">
        <f t="array" ref="CW13">_xll.EQNXTDZ($A$1,$B13,CW$1)</f>
        <v>372.22500000000002</v>
      </c>
      <c r="CX13" cm="1">
        <f t="array" ref="CX13">_xll.EQNXTDZ($A$1,$B13,CX$1)</f>
        <v>378.625</v>
      </c>
      <c r="CY13" cm="1">
        <f t="array" ref="CY13">_xll.EQNXTDZ($A$1,$B13,CY$1)</f>
        <v>506.5</v>
      </c>
      <c r="CZ13" cm="1">
        <f t="array" ref="CZ13">_xll.EQNXTDZ($A$1,$B13,CZ$1)</f>
        <v>519.5</v>
      </c>
      <c r="DA13" cm="1">
        <f t="array" ref="DA13">_xll.EQNXTDZ($A$1,$B13,DA$1)</f>
        <v>516</v>
      </c>
      <c r="DB13" cm="1">
        <f t="array" ref="DB13">_xll.EQNXTDZ($A$1,$B13,DB$1)</f>
        <v>507.5</v>
      </c>
      <c r="DC13" cm="1">
        <f t="array" ref="DC13">_xll.EQNXTDZ($A$1,$B13,DC$1)</f>
        <v>518.47500000000002</v>
      </c>
      <c r="DD13" cm="1">
        <f t="array" ref="DD13">_xll.EQNXTDZ($A$1,$B13,DD$1)</f>
        <v>575</v>
      </c>
      <c r="DE13" cm="1">
        <f t="array" ref="DE13">_xll.EQNXTDZ($A$1,$B13,DE$1)</f>
        <v>644.72500000000002</v>
      </c>
      <c r="DF13" cm="1">
        <f t="array" ref="DF13">_xll.EQNXTDZ($A$1,$B13,DF$1)</f>
        <v>705.3</v>
      </c>
      <c r="DG13" cm="1">
        <f t="array" ref="DG13">_xll.EQNXTDZ($A$1,$B13,DG$1)</f>
        <v>732</v>
      </c>
      <c r="DH13" cm="1">
        <f t="array" ref="DH13">_xll.EQNXTDZ($A$1,$B13,DH$1)</f>
        <v>836.85</v>
      </c>
      <c r="DI13" cm="1">
        <f t="array" ref="DI13">_xll.EQNXTDZ($A$1,$B13,DI$1)</f>
        <v>918.75</v>
      </c>
      <c r="DJ13" cm="1">
        <f t="array" ref="DJ13">_xll.EQNXTDZ($A$1,$B13,DJ$1)</f>
        <v>851.3</v>
      </c>
      <c r="DK13" cm="1">
        <f t="array" ref="DK13">_xll.EQNXTDZ($A$1,$B13,DK$1)</f>
        <v>929.17499999999995</v>
      </c>
      <c r="DL13" cm="1">
        <f t="array" ref="DL13">_xll.EQNXTDZ($A$1,$B13,DL$1)</f>
        <v>839.22500000000002</v>
      </c>
      <c r="DM13" cm="1">
        <f t="array" ref="DM13">_xll.EQNXTDZ($A$1,$B13,DM$1)</f>
        <v>800.05</v>
      </c>
      <c r="DN13" cm="1">
        <f t="array" ref="DN13">_xll.EQNXTDZ($A$1,$B13,DN$1)</f>
        <v>890</v>
      </c>
      <c r="DO13" cm="1">
        <f t="array" ref="DO13">_xll.EQNXTDZ($A$1,$B13,DO$1)</f>
        <v>872.55</v>
      </c>
      <c r="DP13" cm="1">
        <f t="array" ref="DP13">_xll.EQNXTDZ($A$1,$B13,DP$1)</f>
        <v>799.07500000000005</v>
      </c>
      <c r="DQ13" cm="1">
        <f t="array" ref="DQ13">_xll.EQNXTDZ($A$1,$B13,DQ$1)</f>
        <v>802.5</v>
      </c>
      <c r="DR13" cm="1">
        <f t="array" ref="DR13">_xll.EQNXTDZ($A$1,$B13,DR$1)</f>
        <v>843</v>
      </c>
      <c r="DS13" cm="1">
        <f t="array" ref="DS13">_xll.EQNXTDZ($A$1,$B13,DS$1)</f>
        <v>813</v>
      </c>
      <c r="DT13" cm="1">
        <f t="array" ref="DT13">_xll.EQNXTDZ($A$1,$B13,DT$1)</f>
        <v>791.2</v>
      </c>
      <c r="DU13" cm="1">
        <f t="array" ref="DU13">_xll.EQNXTDZ($A$1,$B13,DU$1)</f>
        <v>885.05</v>
      </c>
      <c r="DV13" cm="1">
        <f t="array" ref="DV13">_xll.EQNXTDZ($A$1,$B13,DV$1)</f>
        <v>891</v>
      </c>
      <c r="DW13" cm="1">
        <f t="array" ref="DW13">_xll.EQNXTDZ($A$1,$B13,DW$1)</f>
        <v>969.17499999999995</v>
      </c>
      <c r="DX13" cm="1">
        <f t="array" ref="DX13">_xll.EQNXTDZ($A$1,$B13,DX$1)</f>
        <v>989.45</v>
      </c>
      <c r="DY13" cm="1">
        <f t="array" ref="DY13">_xll.EQNXTDZ($A$1,$B13,DY$1)</f>
        <v>1006.325</v>
      </c>
      <c r="DZ13" cm="1">
        <f t="array" ref="DZ13">_xll.EQNXTDZ($A$1,$B13,DZ$1)</f>
        <v>971.5</v>
      </c>
      <c r="EA13" cm="1">
        <f t="array" ref="EA13">_xll.EQNXTDZ($A$1,$B13,EA$1)</f>
        <v>1020.525</v>
      </c>
      <c r="EB13" cm="1">
        <f t="array" ref="EB13">_xll.EQNXTDZ($A$1,$B13,EB$1)</f>
        <v>968.125</v>
      </c>
      <c r="EC13" cm="1">
        <f t="array" ref="EC13">_xll.EQNXTDZ($A$1,$B13,EC$1)</f>
        <v>985.125</v>
      </c>
      <c r="ED13" cm="1">
        <f t="array" ref="ED13">_xll.EQNXTDZ($A$1,$B13,ED$1)</f>
        <v>1066.0250000000001</v>
      </c>
      <c r="EE13" cm="1">
        <f t="array" ref="EE13">_xll.EQNXTDZ($A$1,$B13,EE$1)</f>
        <v>1050.8</v>
      </c>
      <c r="EF13" cm="1">
        <f t="array" ref="EF13">_xll.EQNXTDZ($A$1,$B13,EF$1)</f>
        <v>1188.0250000000001</v>
      </c>
      <c r="EG13" cm="1">
        <f t="array" ref="EG13">_xll.EQNXTDZ($A$1,$B13,EG$1)</f>
        <v>1237.5250000000001</v>
      </c>
      <c r="EH13" cm="1">
        <f t="array" ref="EH13">_xll.EQNXTDZ($A$1,$B13,EH$1)</f>
        <v>1394.9749999999999</v>
      </c>
      <c r="EI13" cm="1">
        <f t="array" ref="EI13">_xll.EQNXTDZ($A$1,$B13,EI$1)</f>
        <v>1454</v>
      </c>
      <c r="EJ13" cm="1">
        <f t="array" ref="EJ13">_xll.EQNXTDZ($A$1,$B13,EJ$1)</f>
        <v>1412.7</v>
      </c>
      <c r="EK13" cm="1">
        <f t="array" ref="EK13">_xll.EQNXTDZ($A$1,$B13,EK$1)</f>
        <v>1489.9</v>
      </c>
      <c r="EL13" cm="1">
        <f t="array" ref="EL13">_xll.EQNXTDZ($A$1,$B13,EL$1)</f>
        <v>1643.45</v>
      </c>
      <c r="EM13" cm="1">
        <f t="array" ref="EM13">_xll.EQNXTDZ($A$1,$B13,EM$1)</f>
        <v>1658.1</v>
      </c>
      <c r="EN13" cm="1">
        <f t="array" ref="EN13">_xll.EQNXTDZ($A$1,$B13,EN$1)</f>
        <v>1550</v>
      </c>
      <c r="EO13" cm="1">
        <f t="array" ref="EO13">_xll.EQNXTDZ($A$1,$B13,EO$1)</f>
        <v>1654.3</v>
      </c>
      <c r="EP13" cm="1">
        <f t="array" ref="EP13">_xll.EQNXTDZ($A$1,$B13,EP$1)</f>
        <v>1896.95</v>
      </c>
      <c r="EQ13" cm="1">
        <f t="array" ref="EQ13">_xll.EQNXTDZ($A$1,$B13,EQ$1)</f>
        <v>1800</v>
      </c>
      <c r="ER13" cm="1">
        <f t="array" ref="ER13">_xll.EQNXTDZ($A$1,$B13,ER$1)</f>
        <v>1791.25</v>
      </c>
      <c r="ES13" cm="1">
        <f t="array" ref="ES13">_xll.EQNXTDZ($A$1,$B13,ES$1)</f>
        <v>1929.4</v>
      </c>
      <c r="ET13" cm="1">
        <f t="array" ref="ET13">_xll.EQNXTDZ($A$1,$B13,ET$1)</f>
        <v>1935</v>
      </c>
      <c r="EU13" cm="1">
        <f t="array" ref="EU13">_xll.EQNXTDZ($A$1,$B13,EU$1)</f>
        <v>1869</v>
      </c>
      <c r="EV13" cm="1">
        <f t="array" ref="EV13">_xll.EQNXTDZ($A$1,$B13,EV$1)</f>
        <v>1998</v>
      </c>
      <c r="EW13" cm="1">
        <f t="array" ref="EW13">_xll.EQNXTDZ($A$1,$B13,EW$1)</f>
        <v>1725.05</v>
      </c>
      <c r="EX13" cm="1">
        <f t="array" ref="EX13">_xll.EQNXTDZ($A$1,$B13,EX$1)</f>
        <v>1844</v>
      </c>
      <c r="EY13" cm="1">
        <f t="array" ref="EY13">_xll.EQNXTDZ($A$1,$B13,EY$1)</f>
        <v>1765.3</v>
      </c>
      <c r="EZ13" cm="1">
        <f t="array" ref="EZ13">_xll.EQNXTDZ($A$1,$B13,EZ$1)</f>
        <v>1580.5</v>
      </c>
      <c r="FA13" cm="1">
        <f t="array" ref="FA13">_xll.EQNXTDZ($A$1,$B13,FA$1)</f>
        <v>1622.9</v>
      </c>
      <c r="FB13" cm="1">
        <f t="array" ref="FB13">_xll.EQNXTDZ($A$1,$B13,FB$1)</f>
        <v>1627.95</v>
      </c>
      <c r="FC13" cm="1">
        <f t="array" ref="FC13">_xll.EQNXTDZ($A$1,$B13,FC$1)</f>
        <v>1684.5</v>
      </c>
      <c r="FD13" cm="1">
        <f t="array" ref="FD13">_xll.EQNXTDZ($A$1,$B13,FD$1)</f>
        <v>1684.35</v>
      </c>
      <c r="FE13" cm="1">
        <f t="array" ref="FE13">_xll.EQNXTDZ($A$1,$B13,FE$1)</f>
        <v>1750.85</v>
      </c>
      <c r="FF13" cm="1">
        <f t="array" ref="FF13">_xll.EQNXTDZ($A$1,$B13,FF$1)</f>
        <v>1711.6</v>
      </c>
      <c r="FG13" cm="1">
        <f t="array" ref="FG13">_xll.EQNXTDZ($A$1,$B13,FG$1)</f>
        <v>1698.05</v>
      </c>
      <c r="FH13" cm="1">
        <f t="array" ref="FH13">_xll.EQNXTDZ($A$1,$B13,FH$1)</f>
        <v>1672.35</v>
      </c>
      <c r="FI13" cm="1">
        <f t="array" ref="FI13">_xll.EQNXTDZ($A$1,$B13,FI$1)</f>
        <v>1770.65</v>
      </c>
      <c r="FJ13" cm="1">
        <f t="array" ref="FJ13">_xll.EQNXTDZ($A$1,$B13,FJ$1)</f>
        <v>1830.45</v>
      </c>
      <c r="FK13" cm="1">
        <f t="array" ref="FK13">_xll.EQNXTDZ($A$1,$B13,FK$1)</f>
        <v>1838.65</v>
      </c>
      <c r="FL13" cm="1">
        <f t="array" ref="FL13">_xll.EQNXTDZ($A$1,$B13,FL$1)</f>
        <v>1959.7</v>
      </c>
      <c r="FM13" cm="1">
        <f t="array" ref="FM13">_xll.EQNXTDZ($A$1,$B13,FM$1)</f>
        <v>2070</v>
      </c>
      <c r="FN13" cm="1">
        <f t="array" ref="FN13">_xll.EQNXTDZ($A$1,$B13,FN$1)</f>
        <v>2036</v>
      </c>
      <c r="FO13" cm="1">
        <f t="array" ref="FO13">_xll.EQNXTDZ($A$1,$B13,FO$1)</f>
        <v>2146.1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32.4</v>
      </c>
      <c r="D14" s="116" cm="1">
        <f t="array" ref="D14">_xll.EQNXTDZ($A$1,$B14,D$1)</f>
        <v>37.424999999999997</v>
      </c>
      <c r="E14" s="116" cm="1">
        <f t="array" ref="E14">_xll.EQNXTDZ($A$1,$B14,E$1)</f>
        <v>38.25</v>
      </c>
      <c r="F14" s="116" cm="1">
        <f t="array" ref="F14">_xll.EQNXTDZ($A$1,$B14,F$1)</f>
        <v>38.975000000000001</v>
      </c>
      <c r="G14" s="116" cm="1">
        <f t="array" ref="G14">_xll.EQNXTDZ($A$1,$B14,G$1)</f>
        <v>39.424999999999997</v>
      </c>
      <c r="H14" s="116" cm="1">
        <f t="array" ref="H14">_xll.EQNXTDZ($A$1,$B14,H$1)</f>
        <v>45.45</v>
      </c>
      <c r="I14" s="116" cm="1">
        <f t="array" ref="I14">_xll.EQNXTDZ($A$1,$B14,I$1)</f>
        <v>48.2</v>
      </c>
      <c r="J14" s="116" cm="1">
        <f t="array" ref="J14">_xll.EQNXTDZ($A$1,$B14,J$1)</f>
        <v>48</v>
      </c>
      <c r="K14" s="116" cm="1">
        <f t="array" ref="K14">_xll.EQNXTDZ($A$1,$B14,K$1)</f>
        <v>45.5</v>
      </c>
      <c r="L14" s="116" cm="1">
        <f t="array" ref="L14">_xll.EQNXTDZ($A$1,$B14,L$1)</f>
        <v>41.875</v>
      </c>
      <c r="M14" s="116" cm="1">
        <f t="array" ref="M14">_xll.EQNXTDZ($A$1,$B14,M$1)</f>
        <v>43.325000000000003</v>
      </c>
      <c r="N14" s="116" cm="1">
        <f t="array" ref="N14">_xll.EQNXTDZ($A$1,$B14,N$1)</f>
        <v>43.674999999999997</v>
      </c>
      <c r="O14" s="116" cm="1">
        <f t="array" ref="O14">_xll.EQNXTDZ($A$1,$B14,O$1)</f>
        <v>41.7</v>
      </c>
      <c r="P14" s="116" cm="1">
        <f t="array" ref="P14">_xll.EQNXTDZ($A$1,$B14,P$1)</f>
        <v>41.7</v>
      </c>
      <c r="Q14" s="116" cm="1">
        <f t="array" ref="Q14">_xll.EQNXTDZ($A$1,$B14,Q$1)</f>
        <v>43.5</v>
      </c>
      <c r="R14" s="116" cm="1">
        <f t="array" ref="R14">_xll.EQNXTDZ($A$1,$B14,R$1)</f>
        <v>44.5</v>
      </c>
      <c r="S14" s="116" cm="1">
        <f t="array" ref="S14">_xll.EQNXTDZ($A$1,$B14,S$1)</f>
        <v>52.25</v>
      </c>
      <c r="T14" s="116" cm="1">
        <f t="array" ref="T14">_xll.EQNXTDZ($A$1,$B14,T$1)</f>
        <v>59.125</v>
      </c>
      <c r="U14" s="116" cm="1">
        <f t="array" ref="U14">_xll.EQNXTDZ($A$1,$B14,U$1)</f>
        <v>67.900000000000006</v>
      </c>
      <c r="V14" s="116" cm="1">
        <f t="array" ref="V14">_xll.EQNXTDZ($A$1,$B14,V$1)</f>
        <v>69.625</v>
      </c>
      <c r="W14" s="116" cm="1">
        <f t="array" ref="W14">_xll.EQNXTDZ($A$1,$B14,W$1)</f>
        <v>68.075000000000003</v>
      </c>
      <c r="X14" s="116" cm="1">
        <f t="array" ref="X14">_xll.EQNXTDZ($A$1,$B14,X$1)</f>
        <v>70.75</v>
      </c>
      <c r="Y14" s="116" cm="1">
        <f t="array" ref="Y14">_xll.EQNXTDZ($A$1,$B14,Y$1)</f>
        <v>83.3</v>
      </c>
      <c r="Z14" s="116" cm="1">
        <f t="array" ref="Z14">_xll.EQNXTDZ($A$1,$B14,Z$1)</f>
        <v>80.45</v>
      </c>
      <c r="AA14" s="116" cm="1">
        <f t="array" ref="AA14">_xll.EQNXTDZ($A$1,$B14,AA$1)</f>
        <v>79.2</v>
      </c>
      <c r="AB14" s="116" cm="1">
        <f t="array" ref="AB14">_xll.EQNXTDZ($A$1,$B14,AB$1)</f>
        <v>91.825000000000003</v>
      </c>
      <c r="AC14" s="116" cm="1">
        <f t="array" ref="AC14">_xll.EQNXTDZ($A$1,$B14,AC$1)</f>
        <v>109.25</v>
      </c>
      <c r="AD14" s="116" cm="1">
        <f t="array" ref="AD14">_xll.EQNXTDZ($A$1,$B14,AD$1)</f>
        <v>128.72499999999999</v>
      </c>
      <c r="AE14" s="116" cm="1">
        <f t="array" ref="AE14">_xll.EQNXTDZ($A$1,$B14,AE$1)</f>
        <v>118.5</v>
      </c>
      <c r="AF14" s="116" cm="1">
        <f t="array" ref="AF14">_xll.EQNXTDZ($A$1,$B14,AF$1)</f>
        <v>116.25</v>
      </c>
      <c r="AG14" s="116" cm="1">
        <f t="array" ref="AG14">_xll.EQNXTDZ($A$1,$B14,AG$1)</f>
        <v>114.2</v>
      </c>
      <c r="AH14" s="116" cm="1">
        <f t="array" ref="AH14">_xll.EQNXTDZ($A$1,$B14,AH$1)</f>
        <v>104.7</v>
      </c>
      <c r="AI14" s="116" cm="1">
        <f t="array" ref="AI14">_xll.EQNXTDZ($A$1,$B14,AI$1)</f>
        <v>102.875</v>
      </c>
      <c r="AJ14" s="116" cm="1">
        <f t="array" ref="AJ14">_xll.EQNXTDZ($A$1,$B14,AJ$1)</f>
        <v>112.2</v>
      </c>
      <c r="AK14" s="116" cm="1">
        <f t="array" ref="AK14">_xll.EQNXTDZ($A$1,$B14,AK$1)</f>
        <v>134</v>
      </c>
      <c r="AL14" s="116" cm="1">
        <f t="array" ref="AL14">_xll.EQNXTDZ($A$1,$B14,AL$1)</f>
        <v>127.7</v>
      </c>
      <c r="AM14" s="116" cm="1">
        <f t="array" ref="AM14">_xll.EQNXTDZ($A$1,$B14,AM$1)</f>
        <v>128.19999999999999</v>
      </c>
      <c r="AN14" s="116" cm="1">
        <f t="array" ref="AN14">_xll.EQNXTDZ($A$1,$B14,AN$1)</f>
        <v>148.5</v>
      </c>
      <c r="AO14" s="116" cm="1">
        <f t="array" ref="AO14">_xll.EQNXTDZ($A$1,$B14,AO$1)</f>
        <v>148.69999999999999</v>
      </c>
      <c r="AP14" s="116" cm="1">
        <f t="array" ref="AP14">_xll.EQNXTDZ($A$1,$B14,AP$1)</f>
        <v>146.15</v>
      </c>
      <c r="AQ14" s="116" cm="1">
        <f t="array" ref="AQ14">_xll.EQNXTDZ($A$1,$B14,AQ$1)</f>
        <v>159.02500000000001</v>
      </c>
      <c r="AR14" s="116" cm="1">
        <f t="array" ref="AR14">_xll.EQNXTDZ($A$1,$B14,AR$1)</f>
        <v>149.02500000000001</v>
      </c>
      <c r="AS14" s="116" cm="1">
        <f t="array" ref="AS14">_xll.EQNXTDZ($A$1,$B14,AS$1)</f>
        <v>142.4</v>
      </c>
      <c r="AT14" s="116" cm="1">
        <f t="array" ref="AT14">_xll.EQNXTDZ($A$1,$B14,AT$1)</f>
        <v>144.19999999999999</v>
      </c>
      <c r="AU14" s="116" cm="1">
        <f t="array" ref="AU14">_xll.EQNXTDZ($A$1,$B14,AU$1)</f>
        <v>137.4</v>
      </c>
      <c r="AV14" s="116" cm="1">
        <f t="array" ref="AV14">_xll.EQNXTDZ($A$1,$B14,AV$1)</f>
        <v>140.32499999999999</v>
      </c>
      <c r="AW14" s="116" cm="1">
        <f t="array" ref="AW14">_xll.EQNXTDZ($A$1,$B14,AW$1)</f>
        <v>128.25</v>
      </c>
      <c r="AX14" s="116" cm="1">
        <f t="array" ref="AX14">_xll.EQNXTDZ($A$1,$B14,AX$1)</f>
        <v>133.25</v>
      </c>
      <c r="AY14" s="116" cm="1">
        <f t="array" ref="AY14">_xll.EQNXTDZ($A$1,$B14,AY$1)</f>
        <v>130.4</v>
      </c>
      <c r="AZ14" s="116" cm="1">
        <f t="array" ref="AZ14">_xll.EQNXTDZ($A$1,$B14,AZ$1)</f>
        <v>138.19999999999999</v>
      </c>
      <c r="BA14" s="116" cm="1">
        <f t="array" ref="BA14">_xll.EQNXTDZ($A$1,$B14,BA$1)</f>
        <v>178.42500000000001</v>
      </c>
      <c r="BB14" s="116" cm="1">
        <f t="array" ref="BB14">_xll.EQNXTDZ($A$1,$B14,BB$1)</f>
        <v>198</v>
      </c>
      <c r="BC14" s="116" cm="1">
        <f t="array" ref="BC14">_xll.EQNXTDZ($A$1,$B14,BC$1)</f>
        <v>201.8</v>
      </c>
      <c r="BD14" s="116" cm="1">
        <f t="array" ref="BD14">_xll.EQNXTDZ($A$1,$B14,BD$1)</f>
        <v>198.7</v>
      </c>
      <c r="BE14" s="116" cm="1">
        <f t="array" ref="BE14">_xll.EQNXTDZ($A$1,$B14,BE$1)</f>
        <v>178.05</v>
      </c>
      <c r="BF14" s="116" cm="1">
        <f t="array" ref="BF14">_xll.EQNXTDZ($A$1,$B14,BF$1)</f>
        <v>180.5</v>
      </c>
      <c r="BG14" s="116" cm="1">
        <f t="array" ref="BG14">_xll.EQNXTDZ($A$1,$B14,BG$1)</f>
        <v>183.82499999999999</v>
      </c>
      <c r="BH14" s="116" cm="1">
        <f t="array" ref="BH14">_xll.EQNXTDZ($A$1,$B14,BH$1)</f>
        <v>176.5</v>
      </c>
      <c r="BI14" s="116" cm="1">
        <f t="array" ref="BI14">_xll.EQNXTDZ($A$1,$B14,BI$1)</f>
        <v>181.5</v>
      </c>
      <c r="BJ14" s="116" cm="1">
        <f t="array" ref="BJ14">_xll.EQNXTDZ($A$1,$B14,BJ$1)</f>
        <v>181.52500000000001</v>
      </c>
      <c r="BK14" s="116" cm="1">
        <f t="array" ref="BK14">_xll.EQNXTDZ($A$1,$B14,BK$1)</f>
        <v>172.75</v>
      </c>
      <c r="BL14" s="116" cm="1">
        <f t="array" ref="BL14">_xll.EQNXTDZ($A$1,$B14,BL$1)</f>
        <v>168.5</v>
      </c>
      <c r="BM14" s="116" cm="1">
        <f t="array" ref="BM14">_xll.EQNXTDZ($A$1,$B14,BM$1)</f>
        <v>159.72499999999999</v>
      </c>
      <c r="BN14" s="116" cm="1">
        <f t="array" ref="BN14">_xll.EQNXTDZ($A$1,$B14,BN$1)</f>
        <v>147.5</v>
      </c>
      <c r="BO14" s="116" cm="1">
        <f t="array" ref="BO14">_xll.EQNXTDZ($A$1,$B14,BO$1)</f>
        <v>145.30000000000001</v>
      </c>
      <c r="BP14" s="116" cm="1">
        <f t="array" ref="BP14">_xll.EQNXTDZ($A$1,$B14,BP$1)</f>
        <v>154.67500000000001</v>
      </c>
      <c r="BQ14" s="116" cm="1">
        <f t="array" ref="BQ14">_xll.EQNXTDZ($A$1,$B14,BQ$1)</f>
        <v>170.375</v>
      </c>
      <c r="BR14" s="116" cm="1">
        <f t="array" ref="BR14">_xll.EQNXTDZ($A$1,$B14,BR$1)</f>
        <v>172</v>
      </c>
      <c r="BS14" s="116" cm="1">
        <f t="array" ref="BS14">_xll.EQNXTDZ($A$1,$B14,BS$1)</f>
        <v>169.625</v>
      </c>
      <c r="BT14" s="116" cm="1">
        <f t="array" ref="BT14">_xll.EQNXTDZ($A$1,$B14,BT$1)</f>
        <v>159.94999999999999</v>
      </c>
      <c r="BU14" s="116" cm="1">
        <f t="array" ref="BU14">_xll.EQNXTDZ($A$1,$B14,BU$1)</f>
        <v>162.47499999999999</v>
      </c>
      <c r="BV14" s="116" cm="1">
        <f t="array" ref="BV14">_xll.EQNXTDZ($A$1,$B14,BV$1)</f>
        <v>167.75</v>
      </c>
      <c r="BW14" s="116" cm="1">
        <f t="array" ref="BW14">_xll.EQNXTDZ($A$1,$B14,BW$1)</f>
        <v>144.5</v>
      </c>
      <c r="BX14" s="116" cm="1">
        <f t="array" ref="BX14">_xll.EQNXTDZ($A$1,$B14,BX$1)</f>
        <v>139.9</v>
      </c>
      <c r="BY14" s="116" cm="1">
        <f t="array" ref="BY14">_xll.EQNXTDZ($A$1,$B14,BY$1)</f>
        <v>175</v>
      </c>
      <c r="BZ14" s="116" cm="1">
        <f t="array" ref="BZ14">_xll.EQNXTDZ($A$1,$B14,BZ$1)</f>
        <v>175.5</v>
      </c>
      <c r="CA14" s="116" cm="1">
        <f t="array" ref="CA14">_xll.EQNXTDZ($A$1,$B14,CA$1)</f>
        <v>159.97499999999999</v>
      </c>
      <c r="CB14" s="116" cm="1">
        <f t="array" ref="CB14">_xll.EQNXTDZ($A$1,$B14,CB$1)</f>
        <v>159</v>
      </c>
      <c r="CC14" s="116" cm="1">
        <f t="array" ref="CC14">_xll.EQNXTDZ($A$1,$B14,CC$1)</f>
        <v>154.17500000000001</v>
      </c>
      <c r="CD14" s="116" cm="1">
        <f t="array" ref="CD14">_xll.EQNXTDZ($A$1,$B14,CD$1)</f>
        <v>163.27500000000001</v>
      </c>
      <c r="CE14" s="116" cm="1">
        <f t="array" ref="CE14">_xll.EQNXTDZ($A$1,$B14,CE$1)</f>
        <v>169</v>
      </c>
      <c r="CF14" s="116" cm="1">
        <f t="array" ref="CF14">_xll.EQNXTDZ($A$1,$B14,CF$1)</f>
        <v>181.57499999999999</v>
      </c>
      <c r="CG14" s="116" cm="1">
        <f t="array" ref="CG14">_xll.EQNXTDZ($A$1,$B14,CG$1)</f>
        <v>186.35</v>
      </c>
      <c r="CH14" s="116" cm="1">
        <f t="array" ref="CH14">_xll.EQNXTDZ($A$1,$B14,CH$1)</f>
        <v>203.55</v>
      </c>
      <c r="CI14" s="116" cm="1">
        <f t="array" ref="CI14">_xll.EQNXTDZ($A$1,$B14,CI$1)</f>
        <v>195.9</v>
      </c>
      <c r="CJ14" s="116" cm="1">
        <f t="array" ref="CJ14">_xll.EQNXTDZ($A$1,$B14,CJ$1)</f>
        <v>192.5</v>
      </c>
      <c r="CK14" s="116" cm="1">
        <f t="array" ref="CK14">_xll.EQNXTDZ($A$1,$B14,CK$1)</f>
        <v>194.9</v>
      </c>
      <c r="CL14" s="116" cm="1">
        <f t="array" ref="CL14">_xll.EQNXTDZ($A$1,$B14,CL$1)</f>
        <v>205.5</v>
      </c>
      <c r="CM14" s="116" cm="1">
        <f t="array" ref="CM14">_xll.EQNXTDZ($A$1,$B14,CM$1)</f>
        <v>187.2</v>
      </c>
      <c r="CN14" s="116" cm="1">
        <f t="array" ref="CN14">_xll.EQNXTDZ($A$1,$B14,CN$1)</f>
        <v>204.5</v>
      </c>
      <c r="CO14" s="116" cm="1">
        <f t="array" ref="CO14">_xll.EQNXTDZ($A$1,$B14,CO$1)</f>
        <v>217.5</v>
      </c>
      <c r="CP14" s="116" cm="1">
        <f t="array" ref="CP14">_xll.EQNXTDZ($A$1,$B14,CP$1)</f>
        <v>258.95</v>
      </c>
      <c r="CQ14" s="116" cm="1">
        <f t="array" ref="CQ14">_xll.EQNXTDZ($A$1,$B14,CQ$1)</f>
        <v>299.5</v>
      </c>
      <c r="CR14" s="116" cm="1">
        <f t="array" ref="CR14">_xll.EQNXTDZ($A$1,$B14,CR$1)</f>
        <v>298.95</v>
      </c>
      <c r="CS14" s="116" cm="1">
        <f t="array" ref="CS14">_xll.EQNXTDZ($A$1,$B14,CS$1)</f>
        <v>294.02499999999998</v>
      </c>
      <c r="CT14" s="116" cm="1">
        <f t="array" ref="CT14">_xll.EQNXTDZ($A$1,$B14,CT$1)</f>
        <v>348.72500000000002</v>
      </c>
      <c r="CU14" s="116" cm="1">
        <f t="array" ref="CU14">_xll.EQNXTDZ($A$1,$B14,CU$1)</f>
        <v>371.5</v>
      </c>
      <c r="CV14" s="116" cm="1">
        <f t="array" ref="CV14">_xll.EQNXTDZ($A$1,$B14,CV$1)</f>
        <v>375</v>
      </c>
      <c r="CW14" s="116" cm="1">
        <f t="array" ref="CW14">_xll.EQNXTDZ($A$1,$B14,CW$1)</f>
        <v>414</v>
      </c>
      <c r="CX14" s="116" cm="1">
        <f t="array" ref="CX14">_xll.EQNXTDZ($A$1,$B14,CX$1)</f>
        <v>575</v>
      </c>
      <c r="CY14" s="116" cm="1">
        <f t="array" ref="CY14">_xll.EQNXTDZ($A$1,$B14,CY$1)</f>
        <v>543.5</v>
      </c>
      <c r="CZ14" s="116" cm="1">
        <f t="array" ref="CZ14">_xll.EQNXTDZ($A$1,$B14,CZ$1)</f>
        <v>526.5</v>
      </c>
      <c r="DA14" s="116" cm="1">
        <f t="array" ref="DA14">_xll.EQNXTDZ($A$1,$B14,DA$1)</f>
        <v>546.29999999999995</v>
      </c>
      <c r="DB14" s="116" cm="1">
        <f t="array" ref="DB14">_xll.EQNXTDZ($A$1,$B14,DB$1)</f>
        <v>542.5</v>
      </c>
      <c r="DC14" s="116" cm="1">
        <f t="array" ref="DC14">_xll.EQNXTDZ($A$1,$B14,DC$1)</f>
        <v>631.47500000000002</v>
      </c>
      <c r="DD14" s="116" cm="1">
        <f t="array" ref="DD14">_xll.EQNXTDZ($A$1,$B14,DD$1)</f>
        <v>658.95</v>
      </c>
      <c r="DE14" s="116" cm="1">
        <f t="array" ref="DE14">_xll.EQNXTDZ($A$1,$B14,DE$1)</f>
        <v>704.65</v>
      </c>
      <c r="DF14" s="116" cm="1">
        <f t="array" ref="DF14">_xll.EQNXTDZ($A$1,$B14,DF$1)</f>
        <v>757</v>
      </c>
      <c r="DG14" s="116" cm="1">
        <f t="array" ref="DG14">_xll.EQNXTDZ($A$1,$B14,DG$1)</f>
        <v>841.22500000000002</v>
      </c>
      <c r="DH14" s="116" cm="1">
        <f t="array" ref="DH14">_xll.EQNXTDZ($A$1,$B14,DH$1)</f>
        <v>969.375</v>
      </c>
      <c r="DI14" s="116" cm="1">
        <f t="array" ref="DI14">_xll.EQNXTDZ($A$1,$B14,DI$1)</f>
        <v>937.02499999999998</v>
      </c>
      <c r="DJ14" s="116" cm="1">
        <f t="array" ref="DJ14">_xll.EQNXTDZ($A$1,$B14,DJ$1)</f>
        <v>992.375</v>
      </c>
      <c r="DK14" s="116" cm="1">
        <f t="array" ref="DK14">_xll.EQNXTDZ($A$1,$B14,DK$1)</f>
        <v>954.4</v>
      </c>
      <c r="DL14" s="116" cm="1">
        <f t="array" ref="DL14">_xll.EQNXTDZ($A$1,$B14,DL$1)</f>
        <v>884.95</v>
      </c>
      <c r="DM14" s="116" cm="1">
        <f t="array" ref="DM14">_xll.EQNXTDZ($A$1,$B14,DM$1)</f>
        <v>903.82500000000005</v>
      </c>
      <c r="DN14" s="116" cm="1">
        <f t="array" ref="DN14">_xll.EQNXTDZ($A$1,$B14,DN$1)</f>
        <v>913.1</v>
      </c>
      <c r="DO14" s="116" cm="1">
        <f t="array" ref="DO14">_xll.EQNXTDZ($A$1,$B14,DO$1)</f>
        <v>936.5</v>
      </c>
      <c r="DP14" s="116" cm="1">
        <f t="array" ref="DP14">_xll.EQNXTDZ($A$1,$B14,DP$1)</f>
        <v>814.97500000000002</v>
      </c>
      <c r="DQ14" s="116" cm="1">
        <f t="array" ref="DQ14">_xll.EQNXTDZ($A$1,$B14,DQ$1)</f>
        <v>893.9</v>
      </c>
      <c r="DR14" s="116" cm="1">
        <f t="array" ref="DR14">_xll.EQNXTDZ($A$1,$B14,DR$1)</f>
        <v>872.9</v>
      </c>
      <c r="DS14" s="116" cm="1">
        <f t="array" ref="DS14">_xll.EQNXTDZ($A$1,$B14,DS$1)</f>
        <v>817.42499999999995</v>
      </c>
      <c r="DT14" s="116" cm="1">
        <f t="array" ref="DT14">_xll.EQNXTDZ($A$1,$B14,DT$1)</f>
        <v>887.52499999999998</v>
      </c>
      <c r="DU14" s="116" cm="1">
        <f t="array" ref="DU14">_xll.EQNXTDZ($A$1,$B14,DU$1)</f>
        <v>939.8</v>
      </c>
      <c r="DV14" s="116" cm="1">
        <f t="array" ref="DV14">_xll.EQNXTDZ($A$1,$B14,DV$1)</f>
        <v>1022.9</v>
      </c>
      <c r="DW14" s="116" cm="1">
        <f t="array" ref="DW14">_xll.EQNXTDZ($A$1,$B14,DW$1)</f>
        <v>1032.5</v>
      </c>
      <c r="DX14" s="116" cm="1">
        <f t="array" ref="DX14">_xll.EQNXTDZ($A$1,$B14,DX$1)</f>
        <v>1074.95</v>
      </c>
      <c r="DY14" s="116" cm="1">
        <f t="array" ref="DY14">_xll.EQNXTDZ($A$1,$B14,DY$1)</f>
        <v>1072.2249999999999</v>
      </c>
      <c r="DZ14" s="116" cm="1">
        <f t="array" ref="DZ14">_xll.EQNXTDZ($A$1,$B14,DZ$1)</f>
        <v>1029.9749999999999</v>
      </c>
      <c r="EA14" s="116" cm="1">
        <f t="array" ref="EA14">_xll.EQNXTDZ($A$1,$B14,EA$1)</f>
        <v>1042.075</v>
      </c>
      <c r="EB14" s="116" cm="1">
        <f t="array" ref="EB14">_xll.EQNXTDZ($A$1,$B14,EB$1)</f>
        <v>1005.975</v>
      </c>
      <c r="EC14" s="116" cm="1">
        <f t="array" ref="EC14">_xll.EQNXTDZ($A$1,$B14,EC$1)</f>
        <v>1111.9749999999999</v>
      </c>
      <c r="ED14" s="116" cm="1">
        <f t="array" ref="ED14">_xll.EQNXTDZ($A$1,$B14,ED$1)</f>
        <v>1073.75</v>
      </c>
      <c r="EE14" s="116" cm="1">
        <f t="array" ref="EE14">_xll.EQNXTDZ($A$1,$B14,EE$1)</f>
        <v>1220.0250000000001</v>
      </c>
      <c r="EF14" s="116" cm="1">
        <f t="array" ref="EF14">_xll.EQNXTDZ($A$1,$B14,EF$1)</f>
        <v>1385</v>
      </c>
      <c r="EG14" s="116" cm="1">
        <f t="array" ref="EG14">_xll.EQNXTDZ($A$1,$B14,EG$1)</f>
        <v>1467.5</v>
      </c>
      <c r="EH14" s="116" cm="1">
        <f t="array" ref="EH14">_xll.EQNXTDZ($A$1,$B14,EH$1)</f>
        <v>1524.575</v>
      </c>
      <c r="EI14" s="116" cm="1">
        <f t="array" ref="EI14">_xll.EQNXTDZ($A$1,$B14,EI$1)</f>
        <v>1520</v>
      </c>
      <c r="EJ14" s="116" cm="1">
        <f t="array" ref="EJ14">_xll.EQNXTDZ($A$1,$B14,EJ$1)</f>
        <v>1539.9</v>
      </c>
      <c r="EK14" s="116" cm="1">
        <f t="array" ref="EK14">_xll.EQNXTDZ($A$1,$B14,EK$1)</f>
        <v>1639.8</v>
      </c>
      <c r="EL14" s="116" cm="1">
        <f t="array" ref="EL14">_xll.EQNXTDZ($A$1,$B14,EL$1)</f>
        <v>1737.65</v>
      </c>
      <c r="EM14" s="116" cm="1">
        <f t="array" ref="EM14">_xll.EQNXTDZ($A$1,$B14,EM$1)</f>
        <v>1935</v>
      </c>
      <c r="EN14" s="116" cm="1">
        <f t="array" ref="EN14">_xll.EQNXTDZ($A$1,$B14,EN$1)</f>
        <v>1690</v>
      </c>
      <c r="EO14" s="116" cm="1">
        <f t="array" ref="EO14">_xll.EQNXTDZ($A$1,$B14,EO$1)</f>
        <v>1919.1</v>
      </c>
      <c r="EP14" s="116" cm="1">
        <f t="array" ref="EP14">_xll.EQNXTDZ($A$1,$B14,EP$1)</f>
        <v>1910</v>
      </c>
      <c r="EQ14" s="116" cm="1">
        <f t="array" ref="EQ14">_xll.EQNXTDZ($A$1,$B14,EQ$1)</f>
        <v>1925</v>
      </c>
      <c r="ER14" s="116" cm="1">
        <f t="array" ref="ER14">_xll.EQNXTDZ($A$1,$B14,ER$1)</f>
        <v>1963.8</v>
      </c>
      <c r="ES14" s="116" cm="1">
        <f t="array" ref="ES14">_xll.EQNXTDZ($A$1,$B14,ES$1)</f>
        <v>2029</v>
      </c>
      <c r="ET14" s="116" cm="1">
        <f t="array" ref="ET14">_xll.EQNXTDZ($A$1,$B14,ET$1)</f>
        <v>1989.95</v>
      </c>
      <c r="EU14" s="116" cm="1">
        <f t="array" ref="EU14">_xll.EQNXTDZ($A$1,$B14,EU$1)</f>
        <v>1976</v>
      </c>
      <c r="EV14" s="116" cm="1">
        <f t="array" ref="EV14">_xll.EQNXTDZ($A$1,$B14,EV$1)</f>
        <v>1998</v>
      </c>
      <c r="EW14" s="116" cm="1">
        <f t="array" ref="EW14">_xll.EQNXTDZ($A$1,$B14,EW$1)</f>
        <v>1950.3</v>
      </c>
      <c r="EX14" s="116" cm="1">
        <f t="array" ref="EX14">_xll.EQNXTDZ($A$1,$B14,EX$1)</f>
        <v>1916.85</v>
      </c>
      <c r="EY14" s="116" cm="1">
        <f t="array" ref="EY14">_xll.EQNXTDZ($A$1,$B14,EY$1)</f>
        <v>1808.8</v>
      </c>
      <c r="EZ14" s="116" cm="1">
        <f t="array" ref="EZ14">_xll.EQNXTDZ($A$1,$B14,EZ$1)</f>
        <v>1748.95</v>
      </c>
      <c r="FA14" s="116" cm="1">
        <f t="array" ref="FA14">_xll.EQNXTDZ($A$1,$B14,FA$1)</f>
        <v>1680</v>
      </c>
      <c r="FB14" s="116" cm="1">
        <f t="array" ref="FB14">_xll.EQNXTDZ($A$1,$B14,FB$1)</f>
        <v>1722</v>
      </c>
      <c r="FC14" s="116" cm="1">
        <f t="array" ref="FC14">_xll.EQNXTDZ($A$1,$B14,FC$1)</f>
        <v>1849.95</v>
      </c>
      <c r="FD14" s="116" cm="1">
        <f t="array" ref="FD14">_xll.EQNXTDZ($A$1,$B14,FD$1)</f>
        <v>1812.65</v>
      </c>
      <c r="FE14" s="116" cm="1">
        <f t="array" ref="FE14">_xll.EQNXTDZ($A$1,$B14,FE$1)</f>
        <v>1771.5</v>
      </c>
      <c r="FF14" s="116" cm="1">
        <f t="array" ref="FF14">_xll.EQNXTDZ($A$1,$B14,FF$1)</f>
        <v>1742.95</v>
      </c>
      <c r="FG14" s="116" cm="1">
        <f t="array" ref="FG14">_xll.EQNXTDZ($A$1,$B14,FG$1)</f>
        <v>1760</v>
      </c>
      <c r="FH14" s="116" cm="1">
        <f t="array" ref="FH14">_xll.EQNXTDZ($A$1,$B14,FH$1)</f>
        <v>1844.45</v>
      </c>
      <c r="FI14" s="116" cm="1">
        <f t="array" ref="FI14">_xll.EQNXTDZ($A$1,$B14,FI$1)</f>
        <v>1842.95</v>
      </c>
      <c r="FJ14" s="116" cm="1">
        <f t="array" ref="FJ14">_xll.EQNXTDZ($A$1,$B14,FJ$1)</f>
        <v>1939.3</v>
      </c>
      <c r="FK14" s="116" cm="1">
        <f t="array" ref="FK14">_xll.EQNXTDZ($A$1,$B14,FK$1)</f>
        <v>2112.5500000000002</v>
      </c>
      <c r="FL14" s="116" cm="1">
        <f t="array" ref="FL14">_xll.EQNXTDZ($A$1,$B14,FL$1)</f>
        <v>2195</v>
      </c>
      <c r="FM14" s="116" cm="1">
        <f t="array" ref="FM14">_xll.EQNXTDZ($A$1,$B14,FM$1)</f>
        <v>2100.3000000000002</v>
      </c>
      <c r="FN14" s="116" cm="1">
        <f t="array" ref="FN14">_xll.EQNXTDZ($A$1,$B14,FN$1)</f>
        <v>2284.9499999999998</v>
      </c>
      <c r="FO14" s="116" cm="1">
        <f t="array" ref="FO14">_xll.EQNXTDZ($A$1,$B14,FO$1)</f>
        <v>2299.9499999999998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38.975000000000001</v>
      </c>
      <c r="HQ14" s="116">
        <f>+MAX(G14:I14)</f>
        <v>48.2</v>
      </c>
      <c r="HR14" s="116">
        <f>+MAX(J14:L14)</f>
        <v>48</v>
      </c>
      <c r="HS14" s="116">
        <f>+MAX(M14:O14)</f>
        <v>43.674999999999997</v>
      </c>
      <c r="HT14" s="116">
        <f>+MAX(P14:R14)</f>
        <v>44.5</v>
      </c>
      <c r="HU14" s="116">
        <f>+MAX(S14:U14)</f>
        <v>67.900000000000006</v>
      </c>
      <c r="HV14" s="116">
        <f>+MAX(V14:X14)</f>
        <v>70.75</v>
      </c>
      <c r="HW14" s="116">
        <f>+MAX(Y14:AA14)</f>
        <v>83.3</v>
      </c>
      <c r="HX14" s="116">
        <f>+MAX(AB14:AD14)</f>
        <v>128.72499999999999</v>
      </c>
      <c r="HY14" s="116">
        <f>+MAX(AE14:AG14)</f>
        <v>118.5</v>
      </c>
      <c r="HZ14" s="116">
        <f>+MAX(AH14:AJ14)</f>
        <v>112.2</v>
      </c>
      <c r="IA14" s="116">
        <f>+MAX(AK14:AM14)</f>
        <v>134</v>
      </c>
      <c r="IB14" s="116">
        <f>+MAX(AN14:AP14)</f>
        <v>148.69999999999999</v>
      </c>
      <c r="IC14" s="116">
        <f>+MAX(AQ14:AS14)</f>
        <v>159.02500000000001</v>
      </c>
      <c r="ID14" s="116">
        <f>+MAX(AT14:AV14)</f>
        <v>144.19999999999999</v>
      </c>
      <c r="IE14" s="116">
        <f>+MAX(AW14:AY14)</f>
        <v>133.25</v>
      </c>
      <c r="IF14" s="116">
        <f>+MAX(AZ14:BB14)</f>
        <v>198</v>
      </c>
      <c r="IG14" s="116">
        <f>+MAX(BC14:BE14)</f>
        <v>201.8</v>
      </c>
      <c r="IH14" s="116">
        <f>+MAX(BF14:BH14)</f>
        <v>183.82499999999999</v>
      </c>
      <c r="II14" s="116">
        <f>+MAX(BI14:BK14)</f>
        <v>181.52500000000001</v>
      </c>
      <c r="IJ14" s="116">
        <f>+MAX(BL14:BN14)</f>
        <v>168.5</v>
      </c>
      <c r="IK14" s="116">
        <f>+MAX(BO14:BQ14)</f>
        <v>170.375</v>
      </c>
      <c r="IL14" s="116">
        <f>+MAX(BR14:BT14)</f>
        <v>172</v>
      </c>
      <c r="IM14" s="116">
        <f>+MAX(BU14:BW14)</f>
        <v>167.75</v>
      </c>
      <c r="IN14" s="116">
        <f>+MAX(BX14:BZ14)</f>
        <v>175.5</v>
      </c>
      <c r="IO14" s="116">
        <f>+MAX(CA14:CC14)</f>
        <v>159.97499999999999</v>
      </c>
      <c r="IP14" s="116">
        <f>+MAX(CD14:CF14)</f>
        <v>181.57499999999999</v>
      </c>
      <c r="IQ14" s="116">
        <f>+MAX(CG14:CI14)</f>
        <v>203.55</v>
      </c>
      <c r="IR14" s="116">
        <f>+MAX(CJ14:CL14)</f>
        <v>205.5</v>
      </c>
      <c r="IS14" s="116">
        <f>+MAX(CM14:CO14)</f>
        <v>217.5</v>
      </c>
      <c r="IT14" s="116">
        <f>+MAX(CP14:CR14)</f>
        <v>299.5</v>
      </c>
      <c r="IU14" s="116">
        <f>+MAX(CS14:CU14)</f>
        <v>371.5</v>
      </c>
      <c r="IV14" s="116">
        <f>+MAX(CV14:CX14)</f>
        <v>575</v>
      </c>
      <c r="IW14" s="116">
        <f>+MAX(CY14:DA14)</f>
        <v>546.29999999999995</v>
      </c>
      <c r="IX14" s="116">
        <f>+MAX(DB14:DD14)</f>
        <v>658.95</v>
      </c>
      <c r="IY14" s="116">
        <f>+MAX(DE14:DG14)</f>
        <v>841.22500000000002</v>
      </c>
      <c r="IZ14" s="116">
        <f>+MAX(DH14:DJ14)</f>
        <v>992.375</v>
      </c>
      <c r="JA14" s="116">
        <f>+MAX(DK14:DM14)</f>
        <v>954.4</v>
      </c>
      <c r="JB14" s="116">
        <f>+MAX(DN14:DP14)</f>
        <v>936.5</v>
      </c>
      <c r="JC14" s="116">
        <f>+MAX(DQ14:DS14)</f>
        <v>893.9</v>
      </c>
      <c r="JD14" s="116">
        <f>+MAX(DT14:DV14)</f>
        <v>1022.9</v>
      </c>
      <c r="JE14" s="116">
        <f>+MAX(DW14:DY14)</f>
        <v>1074.95</v>
      </c>
      <c r="JF14" s="116">
        <f>+MAX(DZ14:EB14)</f>
        <v>1042.075</v>
      </c>
      <c r="JG14" s="116">
        <f>+MAX(EC14:EE14)</f>
        <v>1220.0250000000001</v>
      </c>
      <c r="JH14" s="116">
        <f>+MAX(EF14:EH14)</f>
        <v>1524.575</v>
      </c>
      <c r="JI14" s="116">
        <f>+MAX(EI14:EK14)</f>
        <v>1639.8</v>
      </c>
      <c r="JJ14" s="116">
        <f>+MAX(EL14:EN14)</f>
        <v>1935</v>
      </c>
      <c r="JK14" s="116">
        <f>MAX(EO14:EQ14)</f>
        <v>1925</v>
      </c>
      <c r="JL14" s="116">
        <f>MAX(ER14:ET14)</f>
        <v>2029</v>
      </c>
      <c r="JM14" s="116">
        <f>MAX(EU14:EW14)</f>
        <v>1998</v>
      </c>
      <c r="JN14" s="116">
        <f>MAX(EX14:EZ14)</f>
        <v>1916.85</v>
      </c>
      <c r="JO14" s="116">
        <f>MAX(FA14:FC14)</f>
        <v>1849.95</v>
      </c>
      <c r="JP14" s="116">
        <f>MAX(FD14:FF14)</f>
        <v>1812.65</v>
      </c>
      <c r="JQ14" s="116">
        <f>MAX(FG14:FI14)</f>
        <v>1844.45</v>
      </c>
      <c r="JR14" s="116">
        <f>MAX(FJ14:FL14)</f>
        <v>2195</v>
      </c>
      <c r="JS14" s="116">
        <f>MAX(FM14:FO14)</f>
        <v>2299.9499999999998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30.024999999999999</v>
      </c>
      <c r="D15" s="116" cm="1">
        <f t="array" ref="D15">_xll.EQNXTDZ($A$1,$B15,D$1)</f>
        <v>31.5</v>
      </c>
      <c r="E15" s="116" cm="1">
        <f t="array" ref="E15">_xll.EQNXTDZ($A$1,$B15,E$1)</f>
        <v>32.049999999999997</v>
      </c>
      <c r="F15" s="116" cm="1">
        <f t="array" ref="F15">_xll.EQNXTDZ($A$1,$B15,F$1)</f>
        <v>32.15</v>
      </c>
      <c r="G15" s="116" cm="1">
        <f t="array" ref="G15">_xll.EQNXTDZ($A$1,$B15,G$1)</f>
        <v>33.6</v>
      </c>
      <c r="H15" s="116" cm="1">
        <f t="array" ref="H15">_xll.EQNXTDZ($A$1,$B15,H$1)</f>
        <v>34.524999999999999</v>
      </c>
      <c r="I15" s="116" cm="1">
        <f t="array" ref="I15">_xll.EQNXTDZ($A$1,$B15,I$1)</f>
        <v>35.475000000000001</v>
      </c>
      <c r="J15" s="116" cm="1">
        <f t="array" ref="J15">_xll.EQNXTDZ($A$1,$B15,J$1)</f>
        <v>41.5</v>
      </c>
      <c r="K15" s="116" cm="1">
        <f t="array" ref="K15">_xll.EQNXTDZ($A$1,$B15,K$1)</f>
        <v>39.774999999999999</v>
      </c>
      <c r="L15" s="116" cm="1">
        <f t="array" ref="L15">_xll.EQNXTDZ($A$1,$B15,L$1)</f>
        <v>35.15</v>
      </c>
      <c r="M15" s="116" cm="1">
        <f t="array" ref="M15">_xll.EQNXTDZ($A$1,$B15,M$1)</f>
        <v>37</v>
      </c>
      <c r="N15" s="116" cm="1">
        <f t="array" ref="N15">_xll.EQNXTDZ($A$1,$B15,N$1)</f>
        <v>38.450000000000003</v>
      </c>
      <c r="O15" s="116" cm="1">
        <f t="array" ref="O15">_xll.EQNXTDZ($A$1,$B15,O$1)</f>
        <v>36.5</v>
      </c>
      <c r="P15" s="116" cm="1">
        <f t="array" ref="P15">_xll.EQNXTDZ($A$1,$B15,P$1)</f>
        <v>36.700000000000003</v>
      </c>
      <c r="Q15" s="116" cm="1">
        <f t="array" ref="Q15">_xll.EQNXTDZ($A$1,$B15,Q$1)</f>
        <v>36.4</v>
      </c>
      <c r="R15" s="116" cm="1">
        <f t="array" ref="R15">_xll.EQNXTDZ($A$1,$B15,R$1)</f>
        <v>40.4</v>
      </c>
      <c r="S15" s="116" cm="1">
        <f t="array" ref="S15">_xll.EQNXTDZ($A$1,$B15,S$1)</f>
        <v>42.325000000000003</v>
      </c>
      <c r="T15" s="116" cm="1">
        <f t="array" ref="T15">_xll.EQNXTDZ($A$1,$B15,T$1)</f>
        <v>49.325000000000003</v>
      </c>
      <c r="U15" s="116" cm="1">
        <f t="array" ref="U15">_xll.EQNXTDZ($A$1,$B15,U$1)</f>
        <v>54.05</v>
      </c>
      <c r="V15" s="116" cm="1">
        <f t="array" ref="V15">_xll.EQNXTDZ($A$1,$B15,V$1)</f>
        <v>57.55</v>
      </c>
      <c r="W15" s="116" cm="1">
        <f t="array" ref="W15">_xll.EQNXTDZ($A$1,$B15,W$1)</f>
        <v>59.575000000000003</v>
      </c>
      <c r="X15" s="116" cm="1">
        <f t="array" ref="X15">_xll.EQNXTDZ($A$1,$B15,X$1)</f>
        <v>61.55</v>
      </c>
      <c r="Y15" s="116" cm="1">
        <f t="array" ref="Y15">_xll.EQNXTDZ($A$1,$B15,Y$1)</f>
        <v>64.375</v>
      </c>
      <c r="Z15" s="116" cm="1">
        <f t="array" ref="Z15">_xll.EQNXTDZ($A$1,$B15,Z$1)</f>
        <v>68.325000000000003</v>
      </c>
      <c r="AA15" s="116" cm="1">
        <f t="array" ref="AA15">_xll.EQNXTDZ($A$1,$B15,AA$1)</f>
        <v>70.2</v>
      </c>
      <c r="AB15" s="116" cm="1">
        <f t="array" ref="AB15">_xll.EQNXTDZ($A$1,$B15,AB$1)</f>
        <v>74.2</v>
      </c>
      <c r="AC15" s="116" cm="1">
        <f t="array" ref="AC15">_xll.EQNXTDZ($A$1,$B15,AC$1)</f>
        <v>83.55</v>
      </c>
      <c r="AD15" s="116" cm="1">
        <f t="array" ref="AD15">_xll.EQNXTDZ($A$1,$B15,AD$1)</f>
        <v>104.52500000000001</v>
      </c>
      <c r="AE15" s="116" cm="1">
        <f t="array" ref="AE15">_xll.EQNXTDZ($A$1,$B15,AE$1)</f>
        <v>106.35</v>
      </c>
      <c r="AF15" s="116" cm="1">
        <f t="array" ref="AF15">_xll.EQNXTDZ($A$1,$B15,AF$1)</f>
        <v>97.775000000000006</v>
      </c>
      <c r="AG15" s="116" cm="1">
        <f t="array" ref="AG15">_xll.EQNXTDZ($A$1,$B15,AG$1)</f>
        <v>93.5</v>
      </c>
      <c r="AH15" s="116" cm="1">
        <f t="array" ref="AH15">_xll.EQNXTDZ($A$1,$B15,AH$1)</f>
        <v>90</v>
      </c>
      <c r="AI15" s="116" cm="1">
        <f t="array" ref="AI15">_xll.EQNXTDZ($A$1,$B15,AI$1)</f>
        <v>90</v>
      </c>
      <c r="AJ15" s="116" cm="1">
        <f t="array" ref="AJ15">_xll.EQNXTDZ($A$1,$B15,AJ$1)</f>
        <v>91.3</v>
      </c>
      <c r="AK15" s="116" cm="1">
        <f t="array" ref="AK15">_xll.EQNXTDZ($A$1,$B15,AK$1)</f>
        <v>99.75</v>
      </c>
      <c r="AL15" s="116" cm="1">
        <f t="array" ref="AL15">_xll.EQNXTDZ($A$1,$B15,AL$1)</f>
        <v>106.125</v>
      </c>
      <c r="AM15" s="116" cm="1">
        <f t="array" ref="AM15">_xll.EQNXTDZ($A$1,$B15,AM$1)</f>
        <v>110.825</v>
      </c>
      <c r="AN15" s="116" cm="1">
        <f t="array" ref="AN15">_xll.EQNXTDZ($A$1,$B15,AN$1)</f>
        <v>117</v>
      </c>
      <c r="AO15" s="116" cm="1">
        <f t="array" ref="AO15">_xll.EQNXTDZ($A$1,$B15,AO$1)</f>
        <v>119.5</v>
      </c>
      <c r="AP15" s="116" cm="1">
        <f t="array" ref="AP15">_xll.EQNXTDZ($A$1,$B15,AP$1)</f>
        <v>123.325</v>
      </c>
      <c r="AQ15" s="116" cm="1">
        <f t="array" ref="AQ15">_xll.EQNXTDZ($A$1,$B15,AQ$1)</f>
        <v>138.52500000000001</v>
      </c>
      <c r="AR15" s="116" cm="1">
        <f t="array" ref="AR15">_xll.EQNXTDZ($A$1,$B15,AR$1)</f>
        <v>131.30000000000001</v>
      </c>
      <c r="AS15" s="116" cm="1">
        <f t="array" ref="AS15">_xll.EQNXTDZ($A$1,$B15,AS$1)</f>
        <v>126</v>
      </c>
      <c r="AT15" s="116" cm="1">
        <f t="array" ref="AT15">_xll.EQNXTDZ($A$1,$B15,AT$1)</f>
        <v>116.675</v>
      </c>
      <c r="AU15" s="116" cm="1">
        <f t="array" ref="AU15">_xll.EQNXTDZ($A$1,$B15,AU$1)</f>
        <v>114.15</v>
      </c>
      <c r="AV15" s="116" cm="1">
        <f t="array" ref="AV15">_xll.EQNXTDZ($A$1,$B15,AV$1)</f>
        <v>121.5</v>
      </c>
      <c r="AW15" s="116" cm="1">
        <f t="array" ref="AW15">_xll.EQNXTDZ($A$1,$B15,AW$1)</f>
        <v>120.9</v>
      </c>
      <c r="AX15" s="116" cm="1">
        <f t="array" ref="AX15">_xll.EQNXTDZ($A$1,$B15,AX$1)</f>
        <v>121.4</v>
      </c>
      <c r="AY15" s="116" cm="1">
        <f t="array" ref="AY15">_xll.EQNXTDZ($A$1,$B15,AY$1)</f>
        <v>115.5</v>
      </c>
      <c r="AZ15" s="116" cm="1">
        <f t="array" ref="AZ15">_xll.EQNXTDZ($A$1,$B15,AZ$1)</f>
        <v>124.05</v>
      </c>
      <c r="BA15" s="116" cm="1">
        <f t="array" ref="BA15">_xll.EQNXTDZ($A$1,$B15,BA$1)</f>
        <v>132</v>
      </c>
      <c r="BB15" s="116" cm="1">
        <f t="array" ref="BB15">_xll.EQNXTDZ($A$1,$B15,BB$1)</f>
        <v>156.5</v>
      </c>
      <c r="BC15" s="116" cm="1">
        <f t="array" ref="BC15">_xll.EQNXTDZ($A$1,$B15,BC$1)</f>
        <v>177</v>
      </c>
      <c r="BD15" s="116" cm="1">
        <f t="array" ref="BD15">_xll.EQNXTDZ($A$1,$B15,BD$1)</f>
        <v>154</v>
      </c>
      <c r="BE15" s="116" cm="1">
        <f t="array" ref="BE15">_xll.EQNXTDZ($A$1,$B15,BE$1)</f>
        <v>159.5</v>
      </c>
      <c r="BF15" s="116" cm="1">
        <f t="array" ref="BF15">_xll.EQNXTDZ($A$1,$B15,BF$1)</f>
        <v>168.5</v>
      </c>
      <c r="BG15" s="116" cm="1">
        <f t="array" ref="BG15">_xll.EQNXTDZ($A$1,$B15,BG$1)</f>
        <v>162.5</v>
      </c>
      <c r="BH15" s="116" cm="1">
        <f t="array" ref="BH15">_xll.EQNXTDZ($A$1,$B15,BH$1)</f>
        <v>157.55000000000001</v>
      </c>
      <c r="BI15" s="116" cm="1">
        <f t="array" ref="BI15">_xll.EQNXTDZ($A$1,$B15,BI$1)</f>
        <v>161.1</v>
      </c>
      <c r="BJ15" s="116" cm="1">
        <f t="array" ref="BJ15">_xll.EQNXTDZ($A$1,$B15,BJ$1)</f>
        <v>161.97499999999999</v>
      </c>
      <c r="BK15" s="116" cm="1">
        <f t="array" ref="BK15">_xll.EQNXTDZ($A$1,$B15,BK$1)</f>
        <v>156</v>
      </c>
      <c r="BL15" s="116" cm="1">
        <f t="array" ref="BL15">_xll.EQNXTDZ($A$1,$B15,BL$1)</f>
        <v>150.5</v>
      </c>
      <c r="BM15" s="116" cm="1">
        <f t="array" ref="BM15">_xll.EQNXTDZ($A$1,$B15,BM$1)</f>
        <v>137.5</v>
      </c>
      <c r="BN15" s="116" cm="1">
        <f t="array" ref="BN15">_xll.EQNXTDZ($A$1,$B15,BN$1)</f>
        <v>127.5</v>
      </c>
      <c r="BO15" s="116" cm="1">
        <f t="array" ref="BO15">_xll.EQNXTDZ($A$1,$B15,BO$1)</f>
        <v>133.875</v>
      </c>
      <c r="BP15" s="116" cm="1">
        <f t="array" ref="BP15">_xll.EQNXTDZ($A$1,$B15,BP$1)</f>
        <v>140.75</v>
      </c>
      <c r="BQ15" s="116" cm="1">
        <f t="array" ref="BQ15">_xll.EQNXTDZ($A$1,$B15,BQ$1)</f>
        <v>142.5</v>
      </c>
      <c r="BR15" s="116" cm="1">
        <f t="array" ref="BR15">_xll.EQNXTDZ($A$1,$B15,BR$1)</f>
        <v>152</v>
      </c>
      <c r="BS15" s="116" cm="1">
        <f t="array" ref="BS15">_xll.EQNXTDZ($A$1,$B15,BS$1)</f>
        <v>143</v>
      </c>
      <c r="BT15" s="116" cm="1">
        <f t="array" ref="BT15">_xll.EQNXTDZ($A$1,$B15,BT$1)</f>
        <v>140.32499999999999</v>
      </c>
      <c r="BU15" s="116" cm="1">
        <f t="array" ref="BU15">_xll.EQNXTDZ($A$1,$B15,BU$1)</f>
        <v>149.1</v>
      </c>
      <c r="BV15" s="116" cm="1">
        <f t="array" ref="BV15">_xll.EQNXTDZ($A$1,$B15,BV$1)</f>
        <v>139</v>
      </c>
      <c r="BW15" s="116" cm="1">
        <f t="array" ref="BW15">_xll.EQNXTDZ($A$1,$B15,BW$1)</f>
        <v>126</v>
      </c>
      <c r="BX15" s="116" cm="1">
        <f t="array" ref="BX15">_xll.EQNXTDZ($A$1,$B15,BX$1)</f>
        <v>118</v>
      </c>
      <c r="BY15" s="116" cm="1">
        <f t="array" ref="BY15">_xll.EQNXTDZ($A$1,$B15,BY$1)</f>
        <v>134</v>
      </c>
      <c r="BZ15" s="116" cm="1">
        <f t="array" ref="BZ15">_xll.EQNXTDZ($A$1,$B15,BZ$1)</f>
        <v>141.85</v>
      </c>
      <c r="CA15" s="116" cm="1">
        <f t="array" ref="CA15">_xll.EQNXTDZ($A$1,$B15,CA$1)</f>
        <v>140.25</v>
      </c>
      <c r="CB15" s="116" cm="1">
        <f t="array" ref="CB15">_xll.EQNXTDZ($A$1,$B15,CB$1)</f>
        <v>144.6</v>
      </c>
      <c r="CC15" s="116" cm="1">
        <f t="array" ref="CC15">_xll.EQNXTDZ($A$1,$B15,CC$1)</f>
        <v>145</v>
      </c>
      <c r="CD15" s="116" cm="1">
        <f t="array" ref="CD15">_xll.EQNXTDZ($A$1,$B15,CD$1)</f>
        <v>148.4</v>
      </c>
      <c r="CE15" s="116" cm="1">
        <f t="array" ref="CE15">_xll.EQNXTDZ($A$1,$B15,CE$1)</f>
        <v>151.4</v>
      </c>
      <c r="CF15" s="116" cm="1">
        <f t="array" ref="CF15">_xll.EQNXTDZ($A$1,$B15,CF$1)</f>
        <v>161</v>
      </c>
      <c r="CG15" s="116" cm="1">
        <f t="array" ref="CG15">_xll.EQNXTDZ($A$1,$B15,CG$1)</f>
        <v>169.97499999999999</v>
      </c>
      <c r="CH15" s="116" cm="1">
        <f t="array" ref="CH15">_xll.EQNXTDZ($A$1,$B15,CH$1)</f>
        <v>153.5</v>
      </c>
      <c r="CI15" s="116" cm="1">
        <f t="array" ref="CI15">_xll.EQNXTDZ($A$1,$B15,CI$1)</f>
        <v>177.5</v>
      </c>
      <c r="CJ15" s="116" cm="1">
        <f t="array" ref="CJ15">_xll.EQNXTDZ($A$1,$B15,CJ$1)</f>
        <v>180.6</v>
      </c>
      <c r="CK15" s="116" cm="1">
        <f t="array" ref="CK15">_xll.EQNXTDZ($A$1,$B15,CK$1)</f>
        <v>181.2</v>
      </c>
      <c r="CL15" s="116" cm="1">
        <f t="array" ref="CL15">_xll.EQNXTDZ($A$1,$B15,CL$1)</f>
        <v>175</v>
      </c>
      <c r="CM15" s="116" cm="1">
        <f t="array" ref="CM15">_xll.EQNXTDZ($A$1,$B15,CM$1)</f>
        <v>160.85</v>
      </c>
      <c r="CN15" s="116" cm="1">
        <f t="array" ref="CN15">_xll.EQNXTDZ($A$1,$B15,CN$1)</f>
        <v>171.15</v>
      </c>
      <c r="CO15" s="116" cm="1">
        <f t="array" ref="CO15">_xll.EQNXTDZ($A$1,$B15,CO$1)</f>
        <v>198.1</v>
      </c>
      <c r="CP15" s="116" cm="1">
        <f t="array" ref="CP15">_xll.EQNXTDZ($A$1,$B15,CP$1)</f>
        <v>212.27500000000001</v>
      </c>
      <c r="CQ15" s="116" cm="1">
        <f t="array" ref="CQ15">_xll.EQNXTDZ($A$1,$B15,CQ$1)</f>
        <v>242.92500000000001</v>
      </c>
      <c r="CR15" s="116" cm="1">
        <f t="array" ref="CR15">_xll.EQNXTDZ($A$1,$B15,CR$1)</f>
        <v>217.45</v>
      </c>
      <c r="CS15" s="116" cm="1">
        <f t="array" ref="CS15">_xll.EQNXTDZ($A$1,$B15,CS$1)</f>
        <v>221.5</v>
      </c>
      <c r="CT15" s="116" cm="1">
        <f t="array" ref="CT15">_xll.EQNXTDZ($A$1,$B15,CT$1)</f>
        <v>269.77499999999998</v>
      </c>
      <c r="CU15" s="116" cm="1">
        <f t="array" ref="CU15">_xll.EQNXTDZ($A$1,$B15,CU$1)</f>
        <v>329.05</v>
      </c>
      <c r="CV15" s="116" cm="1">
        <f t="array" ref="CV15">_xll.EQNXTDZ($A$1,$B15,CV$1)</f>
        <v>348.67500000000001</v>
      </c>
      <c r="CW15" s="116" cm="1">
        <f t="array" ref="CW15">_xll.EQNXTDZ($A$1,$B15,CW$1)</f>
        <v>362.97500000000002</v>
      </c>
      <c r="CX15" s="116" cm="1">
        <f t="array" ref="CX15">_xll.EQNXTDZ($A$1,$B15,CX$1)</f>
        <v>376.5</v>
      </c>
      <c r="CY15" s="116" cm="1">
        <f t="array" ref="CY15">_xll.EQNXTDZ($A$1,$B15,CY$1)</f>
        <v>471.3</v>
      </c>
      <c r="CZ15" s="116" cm="1">
        <f t="array" ref="CZ15">_xll.EQNXTDZ($A$1,$B15,CZ$1)</f>
        <v>446.3</v>
      </c>
      <c r="DA15" s="116" cm="1">
        <f t="array" ref="DA15">_xll.EQNXTDZ($A$1,$B15,DA$1)</f>
        <v>490.95</v>
      </c>
      <c r="DB15" s="116" cm="1">
        <f t="array" ref="DB15">_xll.EQNXTDZ($A$1,$B15,DB$1)</f>
        <v>489.02499999999998</v>
      </c>
      <c r="DC15" s="116" cm="1">
        <f t="array" ref="DC15">_xll.EQNXTDZ($A$1,$B15,DC$1)</f>
        <v>478.5</v>
      </c>
      <c r="DD15" s="116" cm="1">
        <f t="array" ref="DD15">_xll.EQNXTDZ($A$1,$B15,DD$1)</f>
        <v>554</v>
      </c>
      <c r="DE15" s="116" cm="1">
        <f t="array" ref="DE15">_xll.EQNXTDZ($A$1,$B15,DE$1)</f>
        <v>603.17499999999995</v>
      </c>
      <c r="DF15" s="116" cm="1">
        <f t="array" ref="DF15">_xll.EQNXTDZ($A$1,$B15,DF$1)</f>
        <v>681.75</v>
      </c>
      <c r="DG15" s="116" cm="1">
        <f t="array" ref="DG15">_xll.EQNXTDZ($A$1,$B15,DG$1)</f>
        <v>718.8</v>
      </c>
      <c r="DH15" s="116" cm="1">
        <f t="array" ref="DH15">_xll.EQNXTDZ($A$1,$B15,DH$1)</f>
        <v>823.72500000000002</v>
      </c>
      <c r="DI15" s="116" cm="1">
        <f t="array" ref="DI15">_xll.EQNXTDZ($A$1,$B15,DI$1)</f>
        <v>817.05</v>
      </c>
      <c r="DJ15" s="116" cm="1">
        <f t="array" ref="DJ15">_xll.EQNXTDZ($A$1,$B15,DJ$1)</f>
        <v>835.5</v>
      </c>
      <c r="DK15" s="116" cm="1">
        <f t="array" ref="DK15">_xll.EQNXTDZ($A$1,$B15,DK$1)</f>
        <v>716</v>
      </c>
      <c r="DL15" s="116" cm="1">
        <f t="array" ref="DL15">_xll.EQNXTDZ($A$1,$B15,DL$1)</f>
        <v>771.17499999999995</v>
      </c>
      <c r="DM15" s="116" cm="1">
        <f t="array" ref="DM15">_xll.EQNXTDZ($A$1,$B15,DM$1)</f>
        <v>775</v>
      </c>
      <c r="DN15" s="116" cm="1">
        <f t="array" ref="DN15">_xll.EQNXTDZ($A$1,$B15,DN$1)</f>
        <v>819.5</v>
      </c>
      <c r="DO15" s="116" cm="1">
        <f t="array" ref="DO15">_xll.EQNXTDZ($A$1,$B15,DO$1)</f>
        <v>767.5</v>
      </c>
      <c r="DP15" s="116" cm="1">
        <f t="array" ref="DP15">_xll.EQNXTDZ($A$1,$B15,DP$1)</f>
        <v>742.5</v>
      </c>
      <c r="DQ15" s="116" cm="1">
        <f t="array" ref="DQ15">_xll.EQNXTDZ($A$1,$B15,DQ$1)</f>
        <v>774.92499999999995</v>
      </c>
      <c r="DR15" s="116" cm="1">
        <f t="array" ref="DR15">_xll.EQNXTDZ($A$1,$B15,DR$1)</f>
        <v>774.17499999999995</v>
      </c>
      <c r="DS15" s="116" cm="1">
        <f t="array" ref="DS15">_xll.EQNXTDZ($A$1,$B15,DS$1)</f>
        <v>669.52499999999998</v>
      </c>
      <c r="DT15" s="116" cm="1">
        <f t="array" ref="DT15">_xll.EQNXTDZ($A$1,$B15,DT$1)</f>
        <v>773.625</v>
      </c>
      <c r="DU15" s="116" cm="1">
        <f t="array" ref="DU15">_xll.EQNXTDZ($A$1,$B15,DU$1)</f>
        <v>802.17499999999995</v>
      </c>
      <c r="DV15" s="116" cm="1">
        <f t="array" ref="DV15">_xll.EQNXTDZ($A$1,$B15,DV$1)</f>
        <v>886.52499999999998</v>
      </c>
      <c r="DW15" s="116" cm="1">
        <f t="array" ref="DW15">_xll.EQNXTDZ($A$1,$B15,DW$1)</f>
        <v>936.77499999999998</v>
      </c>
      <c r="DX15" s="116" cm="1">
        <f t="array" ref="DX15">_xll.EQNXTDZ($A$1,$B15,DX$1)</f>
        <v>978.22500000000002</v>
      </c>
      <c r="DY15" s="116" cm="1">
        <f t="array" ref="DY15">_xll.EQNXTDZ($A$1,$B15,DY$1)</f>
        <v>958.02499999999998</v>
      </c>
      <c r="DZ15" s="116" cm="1">
        <f t="array" ref="DZ15">_xll.EQNXTDZ($A$1,$B15,DZ$1)</f>
        <v>951.4</v>
      </c>
      <c r="EA15" s="116" cm="1">
        <f t="array" ref="EA15">_xll.EQNXTDZ($A$1,$B15,EA$1)</f>
        <v>948.75</v>
      </c>
      <c r="EB15" s="116" cm="1">
        <f t="array" ref="EB15">_xll.EQNXTDZ($A$1,$B15,EB$1)</f>
        <v>960.22500000000002</v>
      </c>
      <c r="EC15" s="116" cm="1">
        <f t="array" ref="EC15">_xll.EQNXTDZ($A$1,$B15,EC$1)</f>
        <v>958.02499999999998</v>
      </c>
      <c r="ED15" s="116" cm="1">
        <f t="array" ref="ED15">_xll.EQNXTDZ($A$1,$B15,ED$1)</f>
        <v>914.65</v>
      </c>
      <c r="EE15" s="116" cm="1">
        <f t="array" ref="EE15">_xll.EQNXTDZ($A$1,$B15,EE$1)</f>
        <v>1037.325</v>
      </c>
      <c r="EF15" s="116" cm="1">
        <f t="array" ref="EF15">_xll.EQNXTDZ($A$1,$B15,EF$1)</f>
        <v>1132.4000000000001</v>
      </c>
      <c r="EG15" s="116" cm="1">
        <f t="array" ref="EG15">_xll.EQNXTDZ($A$1,$B15,EG$1)</f>
        <v>1232.425</v>
      </c>
      <c r="EH15" s="116" cm="1">
        <f t="array" ref="EH15">_xll.EQNXTDZ($A$1,$B15,EH$1)</f>
        <v>1371.05</v>
      </c>
      <c r="EI15" s="116" cm="1">
        <f t="array" ref="EI15">_xll.EQNXTDZ($A$1,$B15,EI$1)</f>
        <v>1246.05</v>
      </c>
      <c r="EJ15" s="116" cm="1">
        <f t="array" ref="EJ15">_xll.EQNXTDZ($A$1,$B15,EJ$1)</f>
        <v>1376.95</v>
      </c>
      <c r="EK15" s="116" cm="1">
        <f t="array" ref="EK15">_xll.EQNXTDZ($A$1,$B15,EK$1)</f>
        <v>1399.95</v>
      </c>
      <c r="EL15" s="116" cm="1">
        <f t="array" ref="EL15">_xll.EQNXTDZ($A$1,$B15,EL$1)</f>
        <v>1555.25</v>
      </c>
      <c r="EM15" s="116" cm="1">
        <f t="array" ref="EM15">_xll.EQNXTDZ($A$1,$B15,EM$1)</f>
        <v>1473.95</v>
      </c>
      <c r="EN15" s="116" cm="1">
        <f t="array" ref="EN15">_xll.EQNXTDZ($A$1,$B15,EN$1)</f>
        <v>1509</v>
      </c>
      <c r="EO15" s="116" cm="1">
        <f t="array" ref="EO15">_xll.EQNXTDZ($A$1,$B15,EO$1)</f>
        <v>1652.55</v>
      </c>
      <c r="EP15" s="116" cm="1">
        <f t="array" ref="EP15">_xll.EQNXTDZ($A$1,$B15,EP$1)</f>
        <v>1646.8</v>
      </c>
      <c r="EQ15" s="116" cm="1">
        <f t="array" ref="EQ15">_xll.EQNXTDZ($A$1,$B15,EQ$1)</f>
        <v>1670</v>
      </c>
      <c r="ER15" s="116" cm="1">
        <f t="array" ref="ER15">_xll.EQNXTDZ($A$1,$B15,ER$1)</f>
        <v>1693.75</v>
      </c>
      <c r="ES15" s="116" cm="1">
        <f t="array" ref="ES15">_xll.EQNXTDZ($A$1,$B15,ES$1)</f>
        <v>1812</v>
      </c>
      <c r="ET15" s="116" cm="1">
        <f t="array" ref="ET15">_xll.EQNXTDZ($A$1,$B15,ET$1)</f>
        <v>1825.35</v>
      </c>
      <c r="EU15" s="116" cm="1">
        <f t="array" ref="EU15">_xll.EQNXTDZ($A$1,$B15,EU$1)</f>
        <v>1666.6</v>
      </c>
      <c r="EV15" s="116" cm="1">
        <f t="array" ref="EV15">_xll.EQNXTDZ($A$1,$B15,EV$1)</f>
        <v>1655.1</v>
      </c>
      <c r="EW15" s="116" cm="1">
        <f t="array" ref="EW15">_xll.EQNXTDZ($A$1,$B15,EW$1)</f>
        <v>1725.05</v>
      </c>
      <c r="EX15" s="116" cm="1">
        <f t="array" ref="EX15">_xll.EQNXTDZ($A$1,$B15,EX$1)</f>
        <v>1680.25</v>
      </c>
      <c r="EY15" s="116" cm="1">
        <f t="array" ref="EY15">_xll.EQNXTDZ($A$1,$B15,EY$1)</f>
        <v>1520</v>
      </c>
      <c r="EZ15" s="116" cm="1">
        <f t="array" ref="EZ15">_xll.EQNXTDZ($A$1,$B15,EZ$1)</f>
        <v>1434.85</v>
      </c>
      <c r="FA15" s="116" cm="1">
        <f t="array" ref="FA15">_xll.EQNXTDZ($A$1,$B15,FA$1)</f>
        <v>1303</v>
      </c>
      <c r="FB15" s="116" cm="1">
        <f t="array" ref="FB15">_xll.EQNXTDZ($A$1,$B15,FB$1)</f>
        <v>1495</v>
      </c>
      <c r="FC15" s="116" cm="1">
        <f t="array" ref="FC15">_xll.EQNXTDZ($A$1,$B15,FC$1)</f>
        <v>1663.6</v>
      </c>
      <c r="FD15" s="116" cm="1">
        <f t="array" ref="FD15">_xll.EQNXTDZ($A$1,$B15,FD$1)</f>
        <v>1604</v>
      </c>
      <c r="FE15" s="116" cm="1">
        <f t="array" ref="FE15">_xll.EQNXTDZ($A$1,$B15,FE$1)</f>
        <v>1653.9</v>
      </c>
      <c r="FF15" s="116" cm="1">
        <f t="array" ref="FF15">_xll.EQNXTDZ($A$1,$B15,FF$1)</f>
        <v>1640</v>
      </c>
      <c r="FG15" s="116" cm="1">
        <f t="array" ref="FG15">_xll.EQNXTDZ($A$1,$B15,FG$1)</f>
        <v>1603.05</v>
      </c>
      <c r="FH15" s="116" cm="1">
        <f t="array" ref="FH15">_xll.EQNXTDZ($A$1,$B15,FH$1)</f>
        <v>1672.35</v>
      </c>
      <c r="FI15" s="116" cm="1">
        <f t="array" ref="FI15">_xll.EQNXTDZ($A$1,$B15,FI$1)</f>
        <v>1701.15</v>
      </c>
      <c r="FJ15" s="116" cm="1">
        <f t="array" ref="FJ15">_xll.EQNXTDZ($A$1,$B15,FJ$1)</f>
        <v>1777.05</v>
      </c>
      <c r="FK15" s="116" cm="1">
        <f t="array" ref="FK15">_xll.EQNXTDZ($A$1,$B15,FK$1)</f>
        <v>1825.35</v>
      </c>
      <c r="FL15" s="116" cm="1">
        <f t="array" ref="FL15">_xll.EQNXTDZ($A$1,$B15,FL$1)</f>
        <v>1959.7</v>
      </c>
      <c r="FM15" s="116" cm="1">
        <f t="array" ref="FM15">_xll.EQNXTDZ($A$1,$B15,FM$1)</f>
        <v>1866.55</v>
      </c>
      <c r="FN15" s="116" cm="1">
        <f t="array" ref="FN15">_xll.EQNXTDZ($A$1,$B15,FN$1)</f>
        <v>2036</v>
      </c>
      <c r="FO15" s="116" cm="1">
        <f t="array" ref="FO15">_xll.EQNXTDZ($A$1,$B15,FO$1)</f>
        <v>2080.6999999999998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31.5</v>
      </c>
      <c r="HQ15" s="116">
        <f>+MIN(G15:I15)</f>
        <v>33.6</v>
      </c>
      <c r="HR15" s="116">
        <f>+MIN(J15:L15)</f>
        <v>35.15</v>
      </c>
      <c r="HS15" s="116">
        <f>+MIN(M15:O15)</f>
        <v>36.5</v>
      </c>
      <c r="HT15" s="116">
        <f>+MIN(P15:R15)</f>
        <v>36.4</v>
      </c>
      <c r="HU15" s="116">
        <f>+MIN(S15:U15)</f>
        <v>42.325000000000003</v>
      </c>
      <c r="HV15" s="116">
        <f>+MIN(V15:X15)</f>
        <v>57.55</v>
      </c>
      <c r="HW15" s="116">
        <f>+MIN(Y15:AA15)</f>
        <v>64.375</v>
      </c>
      <c r="HX15" s="116">
        <f>+MIN(AB15:AD15)</f>
        <v>74.2</v>
      </c>
      <c r="HY15" s="116">
        <f>+MIN(AE15:AG15)</f>
        <v>93.5</v>
      </c>
      <c r="HZ15" s="116">
        <f>+MIN(AH15:AJ15)</f>
        <v>90</v>
      </c>
      <c r="IA15" s="116">
        <f>+MIN(AK15:AM15)</f>
        <v>99.75</v>
      </c>
      <c r="IB15" s="116">
        <f>+MIN(AN15:AP15)</f>
        <v>117</v>
      </c>
      <c r="IC15" s="116">
        <f>+MIN(AQ15:AS15)</f>
        <v>126</v>
      </c>
      <c r="ID15" s="116">
        <f>+MIN(AT15:AV15)</f>
        <v>114.15</v>
      </c>
      <c r="IE15" s="116">
        <f>+MIN(AW15:AY15)</f>
        <v>115.5</v>
      </c>
      <c r="IF15" s="116">
        <f>+MIN(AZ15:BB15)</f>
        <v>124.05</v>
      </c>
      <c r="IG15" s="116">
        <f>+MIN(BC15:BE15)</f>
        <v>154</v>
      </c>
      <c r="IH15" s="116">
        <f>+MIN(BF15:BH15)</f>
        <v>157.55000000000001</v>
      </c>
      <c r="II15" s="116">
        <f>+MIN(BI15:BK15)</f>
        <v>156</v>
      </c>
      <c r="IJ15" s="116">
        <f>+MIN(BL15:BN15)</f>
        <v>127.5</v>
      </c>
      <c r="IK15" s="116">
        <f>+MIN(BO15:BQ15)</f>
        <v>133.875</v>
      </c>
      <c r="IL15" s="116">
        <f>+MIN(BR15:BT15)</f>
        <v>140.32499999999999</v>
      </c>
      <c r="IM15" s="116">
        <f>+MIN(BU15:BW15)</f>
        <v>126</v>
      </c>
      <c r="IN15" s="116">
        <f>+MIN(BX15:BZ15)</f>
        <v>118</v>
      </c>
      <c r="IO15" s="116">
        <f>+MIN(CA15:CC15)</f>
        <v>140.25</v>
      </c>
      <c r="IP15" s="116">
        <f>+MIN(CD15:CF15)</f>
        <v>148.4</v>
      </c>
      <c r="IQ15" s="116">
        <f>+MIN(CG15:CI15)</f>
        <v>153.5</v>
      </c>
      <c r="IR15" s="116">
        <f>+MIN(CJ15:CL15)</f>
        <v>175</v>
      </c>
      <c r="IS15" s="116">
        <f>+MIN(CM15:CO15)</f>
        <v>160.85</v>
      </c>
      <c r="IT15" s="116">
        <f>+MIN(CP15:CR15)</f>
        <v>212.27500000000001</v>
      </c>
      <c r="IU15" s="116">
        <f>+MIN(CS15:CU15)</f>
        <v>221.5</v>
      </c>
      <c r="IV15" s="116">
        <f>+MIN(CV15:CX15)</f>
        <v>348.67500000000001</v>
      </c>
      <c r="IW15" s="116">
        <f>+MIN(CY15:DA15)</f>
        <v>446.3</v>
      </c>
      <c r="IX15" s="116">
        <f>+MIN(DB15:DD15)</f>
        <v>478.5</v>
      </c>
      <c r="IY15" s="116">
        <f>+MIN(DE15:DG15)</f>
        <v>603.17499999999995</v>
      </c>
      <c r="IZ15" s="116">
        <f>+MIN(DH15:DJ15)</f>
        <v>817.05</v>
      </c>
      <c r="JA15" s="116">
        <f>+MIN(DK15:DM15)</f>
        <v>716</v>
      </c>
      <c r="JB15" s="116">
        <f>+MIN(DN15:DP15)</f>
        <v>742.5</v>
      </c>
      <c r="JC15" s="116">
        <f>+MIN(DQ15:DS15)</f>
        <v>669.52499999999998</v>
      </c>
      <c r="JD15" s="116">
        <f>+MIN(DT15:DV15)</f>
        <v>773.625</v>
      </c>
      <c r="JE15" s="116">
        <f>+MIN(DW15:DY15)</f>
        <v>936.77499999999998</v>
      </c>
      <c r="JF15" s="116">
        <f>+MIN(DZ15:EB15)</f>
        <v>948.75</v>
      </c>
      <c r="JG15" s="116">
        <f>+MIN(EC15:EE15)</f>
        <v>914.65</v>
      </c>
      <c r="JH15" s="116">
        <f>+MIN(EF15:EH15)</f>
        <v>1132.4000000000001</v>
      </c>
      <c r="JI15" s="116">
        <f>+MIN(EI15:EK15)</f>
        <v>1246.05</v>
      </c>
      <c r="JJ15" s="116">
        <f>+MIN(EL15:EN15)</f>
        <v>1473.95</v>
      </c>
      <c r="JK15" s="116">
        <f>MIN(EO15:EQ15)</f>
        <v>1646.8</v>
      </c>
      <c r="JL15" s="116">
        <f>MIN(ER15:ET15)</f>
        <v>1693.75</v>
      </c>
      <c r="JM15" s="116">
        <f>MIN(EU15:EW15)</f>
        <v>1655.1</v>
      </c>
      <c r="JN15" s="116">
        <f>MIN(EX15:EZ15)</f>
        <v>1434.85</v>
      </c>
      <c r="JO15" s="116">
        <f>MIN(FA15:FC15)</f>
        <v>1303</v>
      </c>
      <c r="JP15" s="116">
        <f>MIN(FD15:FF15)</f>
        <v>1604</v>
      </c>
      <c r="JQ15" s="116">
        <f>MIN(FG15:FI15)</f>
        <v>1603.05</v>
      </c>
      <c r="JR15" s="116">
        <f>MIN(FJ15:FL15)</f>
        <v>1777.05</v>
      </c>
      <c r="JS15" s="116">
        <f>MIN(FM15:FO15)</f>
        <v>1866.55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31.8</v>
      </c>
      <c r="D16" s="116" cm="1">
        <f t="array" ref="D16">_xll.EQNXTDZ($A$1,$B16,D$1)</f>
        <v>34.4</v>
      </c>
      <c r="E16" s="116" cm="1">
        <f t="array" ref="E16">_xll.EQNXTDZ($A$1,$B16,E$1)</f>
        <v>33.274999999999999</v>
      </c>
      <c r="F16" s="116" cm="1">
        <f t="array" ref="F16">_xll.EQNXTDZ($A$1,$B16,F$1)</f>
        <v>36.9</v>
      </c>
      <c r="G16" s="116" cm="1">
        <f t="array" ref="G16">_xll.EQNXTDZ($A$1,$B16,G$1)</f>
        <v>34.5</v>
      </c>
      <c r="H16" s="116" cm="1">
        <f t="array" ref="H16">_xll.EQNXTDZ($A$1,$B16,H$1)</f>
        <v>42.375</v>
      </c>
      <c r="I16" s="116" cm="1">
        <f t="array" ref="I16">_xll.EQNXTDZ($A$1,$B16,I$1)</f>
        <v>46.7</v>
      </c>
      <c r="J16" s="116" cm="1">
        <f t="array" ref="J16">_xll.EQNXTDZ($A$1,$B16,J$1)</f>
        <v>42.1</v>
      </c>
      <c r="K16" s="116" cm="1">
        <f t="array" ref="K16">_xll.EQNXTDZ($A$1,$B16,K$1)</f>
        <v>40.85</v>
      </c>
      <c r="L16" s="116" cm="1">
        <f t="array" ref="L16">_xll.EQNXTDZ($A$1,$B16,L$1)</f>
        <v>36.774999999999999</v>
      </c>
      <c r="M16" s="116" cm="1">
        <f t="array" ref="M16">_xll.EQNXTDZ($A$1,$B16,M$1)</f>
        <v>38.924999999999997</v>
      </c>
      <c r="N16" s="116" cm="1">
        <f t="array" ref="N16">_xll.EQNXTDZ($A$1,$B16,N$1)</f>
        <v>41.375</v>
      </c>
      <c r="O16" s="116" cm="1">
        <f t="array" ref="O16">_xll.EQNXTDZ($A$1,$B16,O$1)</f>
        <v>38.325000000000003</v>
      </c>
      <c r="P16" s="116" cm="1">
        <f t="array" ref="P16">_xll.EQNXTDZ($A$1,$B16,P$1)</f>
        <v>39.85</v>
      </c>
      <c r="Q16" s="116" cm="1">
        <f t="array" ref="Q16">_xll.EQNXTDZ($A$1,$B16,Q$1)</f>
        <v>41.325000000000003</v>
      </c>
      <c r="R16" s="116" cm="1">
        <f t="array" ref="R16">_xll.EQNXTDZ($A$1,$B16,R$1)</f>
        <v>42.5</v>
      </c>
      <c r="S16" s="116" cm="1">
        <f t="array" ref="S16">_xll.EQNXTDZ($A$1,$B16,S$1)</f>
        <v>50.7</v>
      </c>
      <c r="T16" s="116" cm="1">
        <f t="array" ref="T16">_xll.EQNXTDZ($A$1,$B16,T$1)</f>
        <v>58.575000000000003</v>
      </c>
      <c r="U16" s="116" cm="1">
        <f t="array" ref="U16">_xll.EQNXTDZ($A$1,$B16,U$1)</f>
        <v>64.625</v>
      </c>
      <c r="V16" s="116" cm="1">
        <f t="array" ref="V16">_xll.EQNXTDZ($A$1,$B16,V$1)</f>
        <v>61</v>
      </c>
      <c r="W16" s="116" cm="1">
        <f t="array" ref="W16">_xll.EQNXTDZ($A$1,$B16,W$1)</f>
        <v>65.525000000000006</v>
      </c>
      <c r="X16" s="116" cm="1">
        <f t="array" ref="X16">_xll.EQNXTDZ($A$1,$B16,X$1)</f>
        <v>64.174999999999997</v>
      </c>
      <c r="Y16" s="116" cm="1">
        <f t="array" ref="Y16">_xll.EQNXTDZ($A$1,$B16,Y$1)</f>
        <v>76.525000000000006</v>
      </c>
      <c r="Z16" s="116" cm="1">
        <f t="array" ref="Z16">_xll.EQNXTDZ($A$1,$B16,Z$1)</f>
        <v>72.2</v>
      </c>
      <c r="AA16" s="116" cm="1">
        <f t="array" ref="AA16">_xll.EQNXTDZ($A$1,$B16,AA$1)</f>
        <v>78.075000000000003</v>
      </c>
      <c r="AB16" s="116" cm="1">
        <f t="array" ref="AB16">_xll.EQNXTDZ($A$1,$B16,AB$1)</f>
        <v>86.974999999999994</v>
      </c>
      <c r="AC16" s="116" cm="1">
        <f t="array" ref="AC16">_xll.EQNXTDZ($A$1,$B16,AC$1)</f>
        <v>104.97499999999999</v>
      </c>
      <c r="AD16" s="116" cm="1">
        <f t="array" ref="AD16">_xll.EQNXTDZ($A$1,$B16,AD$1)</f>
        <v>111.925</v>
      </c>
      <c r="AE16" s="116" cm="1">
        <f t="array" ref="AE16">_xll.EQNXTDZ($A$1,$B16,AE$1)</f>
        <v>114.97499999999999</v>
      </c>
      <c r="AF16" s="116" cm="1">
        <f t="array" ref="AF16">_xll.EQNXTDZ($A$1,$B16,AF$1)</f>
        <v>106.4</v>
      </c>
      <c r="AG16" s="116" cm="1">
        <f t="array" ref="AG16">_xll.EQNXTDZ($A$1,$B16,AG$1)</f>
        <v>100.72499999999999</v>
      </c>
      <c r="AH16" s="116" cm="1">
        <f t="array" ref="AH16">_xll.EQNXTDZ($A$1,$B16,AH$1)</f>
        <v>94.95</v>
      </c>
      <c r="AI16" s="116" cm="1">
        <f t="array" ref="AI16">_xll.EQNXTDZ($A$1,$B16,AI$1)</f>
        <v>94.3</v>
      </c>
      <c r="AJ16" s="116" cm="1">
        <f t="array" ref="AJ16">_xll.EQNXTDZ($A$1,$B16,AJ$1)</f>
        <v>100.05</v>
      </c>
      <c r="AK16" s="116" cm="1">
        <f t="array" ref="AK16">_xll.EQNXTDZ($A$1,$B16,AK$1)</f>
        <v>108.575</v>
      </c>
      <c r="AL16" s="116" cm="1">
        <f t="array" ref="AL16">_xll.EQNXTDZ($A$1,$B16,AL$1)</f>
        <v>119.65</v>
      </c>
      <c r="AM16" s="116" cm="1">
        <f t="array" ref="AM16">_xll.EQNXTDZ($A$1,$B16,AM$1)</f>
        <v>118.27500000000001</v>
      </c>
      <c r="AN16" s="116" cm="1">
        <f t="array" ref="AN16">_xll.EQNXTDZ($A$1,$B16,AN$1)</f>
        <v>141.4</v>
      </c>
      <c r="AO16" s="116" cm="1">
        <f t="array" ref="AO16">_xll.EQNXTDZ($A$1,$B16,AO$1)</f>
        <v>135.02500000000001</v>
      </c>
      <c r="AP16" s="116" cm="1">
        <f t="array" ref="AP16">_xll.EQNXTDZ($A$1,$B16,AP$1)</f>
        <v>138.52500000000001</v>
      </c>
      <c r="AQ16" s="116" cm="1">
        <f t="array" ref="AQ16">_xll.EQNXTDZ($A$1,$B16,AQ$1)</f>
        <v>143.15</v>
      </c>
      <c r="AR16" s="116" cm="1">
        <f t="array" ref="AR16">_xll.EQNXTDZ($A$1,$B16,AR$1)</f>
        <v>140.02500000000001</v>
      </c>
      <c r="AS16" s="116" cm="1">
        <f t="array" ref="AS16">_xll.EQNXTDZ($A$1,$B16,AS$1)</f>
        <v>139.52500000000001</v>
      </c>
      <c r="AT16" s="116" cm="1">
        <f t="array" ref="AT16">_xll.EQNXTDZ($A$1,$B16,AT$1)</f>
        <v>132.57499999999999</v>
      </c>
      <c r="AU16" s="116" cm="1">
        <f t="array" ref="AU16">_xll.EQNXTDZ($A$1,$B16,AU$1)</f>
        <v>121.325</v>
      </c>
      <c r="AV16" s="116" cm="1">
        <f t="array" ref="AV16">_xll.EQNXTDZ($A$1,$B16,AV$1)</f>
        <v>124.7</v>
      </c>
      <c r="AW16" s="116" cm="1">
        <f t="array" ref="AW16">_xll.EQNXTDZ($A$1,$B16,AW$1)</f>
        <v>122.575</v>
      </c>
      <c r="AX16" s="116" cm="1">
        <f t="array" ref="AX16">_xll.EQNXTDZ($A$1,$B16,AX$1)</f>
        <v>127.27500000000001</v>
      </c>
      <c r="AY16" s="116" cm="1">
        <f t="array" ref="AY16">_xll.EQNXTDZ($A$1,$B16,AY$1)</f>
        <v>125.22499999999999</v>
      </c>
      <c r="AZ16" s="116" cm="1">
        <f t="array" ref="AZ16">_xll.EQNXTDZ($A$1,$B16,AZ$1)</f>
        <v>133.52500000000001</v>
      </c>
      <c r="BA16" s="116" cm="1">
        <f t="array" ref="BA16">_xll.EQNXTDZ($A$1,$B16,BA$1)</f>
        <v>163.42500000000001</v>
      </c>
      <c r="BB16" s="116" cm="1">
        <f t="array" ref="BB16">_xll.EQNXTDZ($A$1,$B16,BB$1)</f>
        <v>178.05</v>
      </c>
      <c r="BC16" s="116" cm="1">
        <f t="array" ref="BC16">_xll.EQNXTDZ($A$1,$B16,BC$1)</f>
        <v>193.77500000000001</v>
      </c>
      <c r="BD16" s="116" cm="1">
        <f t="array" ref="BD16">_xll.EQNXTDZ($A$1,$B16,BD$1)</f>
        <v>176.27500000000001</v>
      </c>
      <c r="BE16" s="116" cm="1">
        <f t="array" ref="BE16">_xll.EQNXTDZ($A$1,$B16,BE$1)</f>
        <v>175.27500000000001</v>
      </c>
      <c r="BF16" s="116" cm="1">
        <f t="array" ref="BF16">_xll.EQNXTDZ($A$1,$B16,BF$1)</f>
        <v>168.92500000000001</v>
      </c>
      <c r="BG16" s="116" cm="1">
        <f t="array" ref="BG16">_xll.EQNXTDZ($A$1,$B16,BG$1)</f>
        <v>165.2</v>
      </c>
      <c r="BH16" s="116" cm="1">
        <f t="array" ref="BH16">_xll.EQNXTDZ($A$1,$B16,BH$1)</f>
        <v>173.5</v>
      </c>
      <c r="BI16" s="116" cm="1">
        <f t="array" ref="BI16">_xll.EQNXTDZ($A$1,$B16,BI$1)</f>
        <v>164.35</v>
      </c>
      <c r="BJ16" s="116" cm="1">
        <f t="array" ref="BJ16">_xll.EQNXTDZ($A$1,$B16,BJ$1)</f>
        <v>168.67500000000001</v>
      </c>
      <c r="BK16" s="116" cm="1">
        <f t="array" ref="BK16">_xll.EQNXTDZ($A$1,$B16,BK$1)</f>
        <v>156.57499999999999</v>
      </c>
      <c r="BL16" s="116" cm="1">
        <f t="array" ref="BL16">_xll.EQNXTDZ($A$1,$B16,BL$1)</f>
        <v>154.65</v>
      </c>
      <c r="BM16" s="116" cm="1">
        <f t="array" ref="BM16">_xll.EQNXTDZ($A$1,$B16,BM$1)</f>
        <v>138.17500000000001</v>
      </c>
      <c r="BN16" s="116" cm="1">
        <f t="array" ref="BN16">_xll.EQNXTDZ($A$1,$B16,BN$1)</f>
        <v>139.94999999999999</v>
      </c>
      <c r="BO16" s="116" cm="1">
        <f t="array" ref="BO16">_xll.EQNXTDZ($A$1,$B16,BO$1)</f>
        <v>142.57499999999999</v>
      </c>
      <c r="BP16" s="116" cm="1">
        <f t="array" ref="BP16">_xll.EQNXTDZ($A$1,$B16,BP$1)</f>
        <v>144.85</v>
      </c>
      <c r="BQ16" s="116" cm="1">
        <f t="array" ref="BQ16">_xll.EQNXTDZ($A$1,$B16,BQ$1)</f>
        <v>166.95</v>
      </c>
      <c r="BR16" s="116" cm="1">
        <f t="array" ref="BR16">_xll.EQNXTDZ($A$1,$B16,BR$1)</f>
        <v>153.625</v>
      </c>
      <c r="BS16" s="116" cm="1">
        <f t="array" ref="BS16">_xll.EQNXTDZ($A$1,$B16,BS$1)</f>
        <v>158.32499999999999</v>
      </c>
      <c r="BT16" s="116" cm="1">
        <f t="array" ref="BT16">_xll.EQNXTDZ($A$1,$B16,BT$1)</f>
        <v>154.6</v>
      </c>
      <c r="BU16" s="116" cm="1">
        <f t="array" ref="BU16">_xll.EQNXTDZ($A$1,$B16,BU$1)</f>
        <v>159.625</v>
      </c>
      <c r="BV16" s="116" cm="1">
        <f t="array" ref="BV16">_xll.EQNXTDZ($A$1,$B16,BV$1)</f>
        <v>139.52500000000001</v>
      </c>
      <c r="BW16" s="116" cm="1">
        <f t="array" ref="BW16">_xll.EQNXTDZ($A$1,$B16,BW$1)</f>
        <v>129.05000000000001</v>
      </c>
      <c r="BX16" s="116" cm="1">
        <f t="array" ref="BX16">_xll.EQNXTDZ($A$1,$B16,BX$1)</f>
        <v>136.65</v>
      </c>
      <c r="BY16" s="116" cm="1">
        <f t="array" ref="BY16">_xll.EQNXTDZ($A$1,$B16,BY$1)</f>
        <v>169.92500000000001</v>
      </c>
      <c r="BZ16" s="116" cm="1">
        <f t="array" ref="BZ16">_xll.EQNXTDZ($A$1,$B16,BZ$1)</f>
        <v>146.30000000000001</v>
      </c>
      <c r="CA16" s="116" cm="1">
        <f t="array" ref="CA16">_xll.EQNXTDZ($A$1,$B16,CA$1)</f>
        <v>153.4</v>
      </c>
      <c r="CB16" s="116" cm="1">
        <f t="array" ref="CB16">_xll.EQNXTDZ($A$1,$B16,CB$1)</f>
        <v>148.9</v>
      </c>
      <c r="CC16" s="116" cm="1">
        <f t="array" ref="CC16">_xll.EQNXTDZ($A$1,$B16,CC$1)</f>
        <v>153.125</v>
      </c>
      <c r="CD16" s="116" cm="1">
        <f t="array" ref="CD16">_xll.EQNXTDZ($A$1,$B16,CD$1)</f>
        <v>156.15</v>
      </c>
      <c r="CE16" s="116" cm="1">
        <f t="array" ref="CE16">_xll.EQNXTDZ($A$1,$B16,CE$1)</f>
        <v>163.07499999999999</v>
      </c>
      <c r="CF16" s="116" cm="1">
        <f t="array" ref="CF16">_xll.EQNXTDZ($A$1,$B16,CF$1)</f>
        <v>179.8</v>
      </c>
      <c r="CG16" s="116" cm="1">
        <f t="array" ref="CG16">_xll.EQNXTDZ($A$1,$B16,CG$1)</f>
        <v>172.02500000000001</v>
      </c>
      <c r="CH16" s="116" cm="1">
        <f t="array" ref="CH16">_xll.EQNXTDZ($A$1,$B16,CH$1)</f>
        <v>187</v>
      </c>
      <c r="CI16" s="116" cm="1">
        <f t="array" ref="CI16">_xll.EQNXTDZ($A$1,$B16,CI$1)</f>
        <v>182.07499999999999</v>
      </c>
      <c r="CJ16" s="116" cm="1">
        <f t="array" ref="CJ16">_xll.EQNXTDZ($A$1,$B16,CJ$1)</f>
        <v>185.35</v>
      </c>
      <c r="CK16" s="116" cm="1">
        <f t="array" ref="CK16">_xll.EQNXTDZ($A$1,$B16,CK$1)</f>
        <v>191.07499999999999</v>
      </c>
      <c r="CL16" s="116" cm="1">
        <f t="array" ref="CL16">_xll.EQNXTDZ($A$1,$B16,CL$1)</f>
        <v>185.3</v>
      </c>
      <c r="CM16" s="116" cm="1">
        <f t="array" ref="CM16">_xll.EQNXTDZ($A$1,$B16,CM$1)</f>
        <v>170</v>
      </c>
      <c r="CN16" s="116" cm="1">
        <f t="array" ref="CN16">_xll.EQNXTDZ($A$1,$B16,CN$1)</f>
        <v>198.125</v>
      </c>
      <c r="CO16" s="116" cm="1">
        <f t="array" ref="CO16">_xll.EQNXTDZ($A$1,$B16,CO$1)</f>
        <v>212.9</v>
      </c>
      <c r="CP16" s="116" cm="1">
        <f t="array" ref="CP16">_xll.EQNXTDZ($A$1,$B16,CP$1)</f>
        <v>248.25</v>
      </c>
      <c r="CQ16" s="116" cm="1">
        <f t="array" ref="CQ16">_xll.EQNXTDZ($A$1,$B16,CQ$1)</f>
        <v>268.7</v>
      </c>
      <c r="CR16" s="116" cm="1">
        <f t="array" ref="CR16">_xll.EQNXTDZ($A$1,$B16,CR$1)</f>
        <v>254.17500000000001</v>
      </c>
      <c r="CS16" s="116" cm="1">
        <f t="array" ref="CS16">_xll.EQNXTDZ($A$1,$B16,CS$1)</f>
        <v>278.67500000000001</v>
      </c>
      <c r="CT16" s="116" cm="1">
        <f t="array" ref="CT16">_xll.EQNXTDZ($A$1,$B16,CT$1)</f>
        <v>340.92500000000001</v>
      </c>
      <c r="CU16" s="116" cm="1">
        <f t="array" ref="CU16">_xll.EQNXTDZ($A$1,$B16,CU$1)</f>
        <v>353.6</v>
      </c>
      <c r="CV16" s="116" cm="1">
        <f t="array" ref="CV16">_xll.EQNXTDZ($A$1,$B16,CV$1)</f>
        <v>367.05</v>
      </c>
      <c r="CW16" s="116" cm="1">
        <f t="array" ref="CW16">_xll.EQNXTDZ($A$1,$B16,CW$1)</f>
        <v>384.92500000000001</v>
      </c>
      <c r="CX16" s="116" cm="1">
        <f t="array" ref="CX16">_xll.EQNXTDZ($A$1,$B16,CX$1)</f>
        <v>493.75</v>
      </c>
      <c r="CY16" s="116" cm="1">
        <f t="array" ref="CY16">_xll.EQNXTDZ($A$1,$B16,CY$1)</f>
        <v>504.82499999999999</v>
      </c>
      <c r="CZ16" s="116" cm="1">
        <f t="array" ref="CZ16">_xll.EQNXTDZ($A$1,$B16,CZ$1)</f>
        <v>497.125</v>
      </c>
      <c r="DA16" s="116" cm="1">
        <f t="array" ref="DA16">_xll.EQNXTDZ($A$1,$B16,DA$1)</f>
        <v>508.57499999999999</v>
      </c>
      <c r="DB16" s="116" cm="1">
        <f t="array" ref="DB16">_xll.EQNXTDZ($A$1,$B16,DB$1)</f>
        <v>500.42500000000001</v>
      </c>
      <c r="DC16" s="116" cm="1">
        <f t="array" ref="DC16">_xll.EQNXTDZ($A$1,$B16,DC$1)</f>
        <v>558.625</v>
      </c>
      <c r="DD16" s="116" cm="1">
        <f t="array" ref="DD16">_xll.EQNXTDZ($A$1,$B16,DD$1)</f>
        <v>626.79999999999995</v>
      </c>
      <c r="DE16" s="116" cm="1">
        <f t="array" ref="DE16">_xll.EQNXTDZ($A$1,$B16,DE$1)</f>
        <v>697.52499999999998</v>
      </c>
      <c r="DF16" s="116" cm="1">
        <f t="array" ref="DF16">_xll.EQNXTDZ($A$1,$B16,DF$1)</f>
        <v>726.2</v>
      </c>
      <c r="DG16" s="116" cm="1">
        <f t="array" ref="DG16">_xll.EQNXTDZ($A$1,$B16,DG$1)</f>
        <v>831.5</v>
      </c>
      <c r="DH16" s="116" cm="1">
        <f t="array" ref="DH16">_xll.EQNXTDZ($A$1,$B16,DH$1)</f>
        <v>906.05</v>
      </c>
      <c r="DI16" s="116" cm="1">
        <f t="array" ref="DI16">_xll.EQNXTDZ($A$1,$B16,DI$1)</f>
        <v>851.05</v>
      </c>
      <c r="DJ16" s="116" cm="1">
        <f t="array" ref="DJ16">_xll.EQNXTDZ($A$1,$B16,DJ$1)</f>
        <v>932.55</v>
      </c>
      <c r="DK16" s="116" cm="1">
        <f t="array" ref="DK16">_xll.EQNXTDZ($A$1,$B16,DK$1)</f>
        <v>838.35</v>
      </c>
      <c r="DL16" s="116" cm="1">
        <f t="array" ref="DL16">_xll.EQNXTDZ($A$1,$B16,DL$1)</f>
        <v>819.15</v>
      </c>
      <c r="DM16" s="116" cm="1">
        <f t="array" ref="DM16">_xll.EQNXTDZ($A$1,$B16,DM$1)</f>
        <v>888.8</v>
      </c>
      <c r="DN16" s="116" cm="1">
        <f t="array" ref="DN16">_xll.EQNXTDZ($A$1,$B16,DN$1)</f>
        <v>869.17499999999995</v>
      </c>
      <c r="DO16" s="116" cm="1">
        <f t="array" ref="DO16">_xll.EQNXTDZ($A$1,$B16,DO$1)</f>
        <v>808.35</v>
      </c>
      <c r="DP16" s="116" cm="1">
        <f t="array" ref="DP16">_xll.EQNXTDZ($A$1,$B16,DP$1)</f>
        <v>787.6</v>
      </c>
      <c r="DQ16" s="116" cm="1">
        <f t="array" ref="DQ16">_xll.EQNXTDZ($A$1,$B16,DQ$1)</f>
        <v>863.5</v>
      </c>
      <c r="DR16" s="116" cm="1">
        <f t="array" ref="DR16">_xll.EQNXTDZ($A$1,$B16,DR$1)</f>
        <v>813</v>
      </c>
      <c r="DS16" s="116" cm="1">
        <f t="array" ref="DS16">_xll.EQNXTDZ($A$1,$B16,DS$1)</f>
        <v>784.35</v>
      </c>
      <c r="DT16" s="116" cm="1">
        <f t="array" ref="DT16">_xll.EQNXTDZ($A$1,$B16,DT$1)</f>
        <v>884.625</v>
      </c>
      <c r="DU16" s="116" cm="1">
        <f t="array" ref="DU16">_xll.EQNXTDZ($A$1,$B16,DU$1)</f>
        <v>886.92499999999995</v>
      </c>
      <c r="DV16" s="116" cm="1">
        <f t="array" ref="DV16">_xll.EQNXTDZ($A$1,$B16,DV$1)</f>
        <v>958.65</v>
      </c>
      <c r="DW16" s="116" cm="1">
        <f t="array" ref="DW16">_xll.EQNXTDZ($A$1,$B16,DW$1)</f>
        <v>987</v>
      </c>
      <c r="DX16" s="116" cm="1">
        <f t="array" ref="DX16">_xll.EQNXTDZ($A$1,$B16,DX$1)</f>
        <v>1005.875</v>
      </c>
      <c r="DY16" s="116" cm="1">
        <f t="array" ref="DY16">_xll.EQNXTDZ($A$1,$B16,DY$1)</f>
        <v>971.67499999999995</v>
      </c>
      <c r="DZ16" s="116" cm="1">
        <f t="array" ref="DZ16">_xll.EQNXTDZ($A$1,$B16,DZ$1)</f>
        <v>1021.175</v>
      </c>
      <c r="EA16" s="116" cm="1">
        <f t="array" ref="EA16">_xll.EQNXTDZ($A$1,$B16,EA$1)</f>
        <v>966.97500000000002</v>
      </c>
      <c r="EB16" s="116" cm="1">
        <f t="array" ref="EB16">_xll.EQNXTDZ($A$1,$B16,EB$1)</f>
        <v>985.45</v>
      </c>
      <c r="EC16" s="116" cm="1">
        <f t="array" ref="EC16">_xll.EQNXTDZ($A$1,$B16,EC$1)</f>
        <v>1065.45</v>
      </c>
      <c r="ED16" s="116" cm="1">
        <f t="array" ref="ED16">_xll.EQNXTDZ($A$1,$B16,ED$1)</f>
        <v>1050.8</v>
      </c>
      <c r="EE16" s="116" cm="1">
        <f t="array" ref="EE16">_xll.EQNXTDZ($A$1,$B16,EE$1)</f>
        <v>1183.1500000000001</v>
      </c>
      <c r="EF16" s="116" cm="1">
        <f t="array" ref="EF16">_xll.EQNXTDZ($A$1,$B16,EF$1)</f>
        <v>1248.2750000000001</v>
      </c>
      <c r="EG16" s="116" cm="1">
        <f t="array" ref="EG16">_xll.EQNXTDZ($A$1,$B16,EG$1)</f>
        <v>1382.65</v>
      </c>
      <c r="EH16" s="116" cm="1">
        <f t="array" ref="EH16">_xll.EQNXTDZ($A$1,$B16,EH$1)</f>
        <v>1483.65</v>
      </c>
      <c r="EI16" s="116" cm="1">
        <f t="array" ref="EI16">_xll.EQNXTDZ($A$1,$B16,EI$1)</f>
        <v>1398.65</v>
      </c>
      <c r="EJ16" s="116" cm="1">
        <f t="array" ref="EJ16">_xll.EQNXTDZ($A$1,$B16,EJ$1)</f>
        <v>1456.35</v>
      </c>
      <c r="EK16" s="116" cm="1">
        <f t="array" ref="EK16">_xll.EQNXTDZ($A$1,$B16,EK$1)</f>
        <v>1624.4</v>
      </c>
      <c r="EL16" s="116" cm="1">
        <f t="array" ref="EL16">_xll.EQNXTDZ($A$1,$B16,EL$1)</f>
        <v>1680.55</v>
      </c>
      <c r="EM16" s="116" cm="1">
        <f t="array" ref="EM16">_xll.EQNXTDZ($A$1,$B16,EM$1)</f>
        <v>1556.65</v>
      </c>
      <c r="EN16" s="116" cm="1">
        <f t="array" ref="EN16">_xll.EQNXTDZ($A$1,$B16,EN$1)</f>
        <v>1649.45</v>
      </c>
      <c r="EO16" s="116" cm="1">
        <f t="array" ref="EO16">_xll.EQNXTDZ($A$1,$B16,EO$1)</f>
        <v>1904.1</v>
      </c>
      <c r="EP16" s="116" cm="1">
        <f t="array" ref="EP16">_xll.EQNXTDZ($A$1,$B16,EP$1)</f>
        <v>1764.25</v>
      </c>
      <c r="EQ16" s="116" cm="1">
        <f t="array" ref="EQ16">_xll.EQNXTDZ($A$1,$B16,EQ$1)</f>
        <v>1756.05</v>
      </c>
      <c r="ER16" s="116" cm="1">
        <f t="array" ref="ER16">_xll.EQNXTDZ($A$1,$B16,ER$1)</f>
        <v>1924.95</v>
      </c>
      <c r="ES16" s="116" cm="1">
        <f t="array" ref="ES16">_xll.EQNXTDZ($A$1,$B16,ES$1)</f>
        <v>1949.8</v>
      </c>
      <c r="ET16" s="116" cm="1">
        <f t="array" ref="ET16">_xll.EQNXTDZ($A$1,$B16,ET$1)</f>
        <v>1875.45</v>
      </c>
      <c r="EU16" s="116" cm="1">
        <f t="array" ref="EU16">_xll.EQNXTDZ($A$1,$B16,EU$1)</f>
        <v>1956.75</v>
      </c>
      <c r="EV16" s="116" cm="1">
        <f t="array" ref="EV16">_xll.EQNXTDZ($A$1,$B16,EV$1)</f>
        <v>1735.15</v>
      </c>
      <c r="EW16" s="116" cm="1">
        <f t="array" ref="EW16">_xll.EQNXTDZ($A$1,$B16,EW$1)</f>
        <v>1844.7</v>
      </c>
      <c r="EX16" s="116" cm="1">
        <f t="array" ref="EX16">_xll.EQNXTDZ($A$1,$B16,EX$1)</f>
        <v>1759.45</v>
      </c>
      <c r="EY16" s="116" cm="1">
        <f t="array" ref="EY16">_xll.EQNXTDZ($A$1,$B16,EY$1)</f>
        <v>1646.1</v>
      </c>
      <c r="EZ16" s="116" cm="1">
        <f t="array" ref="EZ16">_xll.EQNXTDZ($A$1,$B16,EZ$1)</f>
        <v>1622.2</v>
      </c>
      <c r="FA16" s="116" cm="1">
        <f t="array" ref="FA16">_xll.EQNXTDZ($A$1,$B16,FA$1)</f>
        <v>1610.25</v>
      </c>
      <c r="FB16" s="116" cm="1">
        <f t="array" ref="FB16">_xll.EQNXTDZ($A$1,$B16,FB$1)</f>
        <v>1680.25</v>
      </c>
      <c r="FC16" s="116" cm="1">
        <f t="array" ref="FC16">_xll.EQNXTDZ($A$1,$B16,FC$1)</f>
        <v>1679.8</v>
      </c>
      <c r="FD16" s="116" cm="1">
        <f t="array" ref="FD16">_xll.EQNXTDZ($A$1,$B16,FD$1)</f>
        <v>1767.45</v>
      </c>
      <c r="FE16" s="116" cm="1">
        <f t="array" ref="FE16">_xll.EQNXTDZ($A$1,$B16,FE$1)</f>
        <v>1725</v>
      </c>
      <c r="FF16" s="116" cm="1">
        <f t="array" ref="FF16">_xll.EQNXTDZ($A$1,$B16,FF$1)</f>
        <v>1707.9</v>
      </c>
      <c r="FG16" s="116" cm="1">
        <f t="array" ref="FG16">_xll.EQNXTDZ($A$1,$B16,FG$1)</f>
        <v>1680.15</v>
      </c>
      <c r="FH16" s="116" cm="1">
        <f t="array" ref="FH16">_xll.EQNXTDZ($A$1,$B16,FH$1)</f>
        <v>1770.65</v>
      </c>
      <c r="FI16" s="116" cm="1">
        <f t="array" ref="FI16">_xll.EQNXTDZ($A$1,$B16,FI$1)</f>
        <v>1820.45</v>
      </c>
      <c r="FJ16" s="116" cm="1">
        <f t="array" ref="FJ16">_xll.EQNXTDZ($A$1,$B16,FJ$1)</f>
        <v>1870.2</v>
      </c>
      <c r="FK16" s="116" cm="1">
        <f t="array" ref="FK16">_xll.EQNXTDZ($A$1,$B16,FK$1)</f>
        <v>2052.9</v>
      </c>
      <c r="FL16" s="116" cm="1">
        <f t="array" ref="FL16">_xll.EQNXTDZ($A$1,$B16,FL$1)</f>
        <v>2063.1999999999998</v>
      </c>
      <c r="FM16" s="116" cm="1">
        <f t="array" ref="FM16">_xll.EQNXTDZ($A$1,$B16,FM$1)</f>
        <v>2048.1</v>
      </c>
      <c r="FN16" s="116" cm="1">
        <f t="array" ref="FN16">_xll.EQNXTDZ($A$1,$B16,FN$1)</f>
        <v>2172.4499999999998</v>
      </c>
      <c r="FO16" s="116" cm="1">
        <f t="array" ref="FO16">_xll.EQNXTDZ($A$1,$B16,FO$1)</f>
        <v>2192.6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36.9</v>
      </c>
      <c r="HQ16" s="116">
        <f>+I16</f>
        <v>46.7</v>
      </c>
      <c r="HR16" s="116">
        <f>+L16</f>
        <v>36.774999999999999</v>
      </c>
      <c r="HS16" s="116">
        <f>+O16</f>
        <v>38.325000000000003</v>
      </c>
      <c r="HT16" s="116">
        <f>+R16</f>
        <v>42.5</v>
      </c>
      <c r="HU16" s="116">
        <f>+U16</f>
        <v>64.625</v>
      </c>
      <c r="HV16" s="116">
        <f>+X16</f>
        <v>64.174999999999997</v>
      </c>
      <c r="HW16" s="116">
        <f>+AA16</f>
        <v>78.075000000000003</v>
      </c>
      <c r="HX16" s="116">
        <f>+AD16</f>
        <v>111.925</v>
      </c>
      <c r="HY16" s="116">
        <f>+AG16</f>
        <v>100.72499999999999</v>
      </c>
      <c r="HZ16" s="116">
        <f>+AJ16</f>
        <v>100.05</v>
      </c>
      <c r="IA16" s="116">
        <f>+AM16</f>
        <v>118.27500000000001</v>
      </c>
      <c r="IB16" s="116">
        <f>+AP16</f>
        <v>138.52500000000001</v>
      </c>
      <c r="IC16" s="116">
        <f>+AS16</f>
        <v>139.52500000000001</v>
      </c>
      <c r="ID16" s="116">
        <f>+AV16</f>
        <v>124.7</v>
      </c>
      <c r="IE16" s="116">
        <f>+AY16</f>
        <v>125.22499999999999</v>
      </c>
      <c r="IF16" s="116">
        <f>+BB16</f>
        <v>178.05</v>
      </c>
      <c r="IG16" s="116">
        <f>+BE16</f>
        <v>175.27500000000001</v>
      </c>
      <c r="IH16" s="116">
        <f>+BH16</f>
        <v>173.5</v>
      </c>
      <c r="II16" s="116">
        <f>+BK16</f>
        <v>156.57499999999999</v>
      </c>
      <c r="IJ16" s="116">
        <f>+BN16</f>
        <v>139.94999999999999</v>
      </c>
      <c r="IK16" s="116">
        <f>+BQ16</f>
        <v>166.95</v>
      </c>
      <c r="IL16" s="116">
        <f>+BT16</f>
        <v>154.6</v>
      </c>
      <c r="IM16" s="116">
        <f>+BW16</f>
        <v>129.05000000000001</v>
      </c>
      <c r="IN16" s="116">
        <f>+BZ16</f>
        <v>146.30000000000001</v>
      </c>
      <c r="IO16" s="116">
        <f>+CC16</f>
        <v>153.125</v>
      </c>
      <c r="IP16" s="116">
        <f>+CF16</f>
        <v>179.8</v>
      </c>
      <c r="IQ16" s="116">
        <f>+CI16</f>
        <v>182.07499999999999</v>
      </c>
      <c r="IR16" s="116">
        <f>+CL16</f>
        <v>185.3</v>
      </c>
      <c r="IS16" s="116">
        <f>+CO16</f>
        <v>212.9</v>
      </c>
      <c r="IT16" s="116">
        <f>+CR16</f>
        <v>254.17500000000001</v>
      </c>
      <c r="IU16" s="116">
        <f>+CU16</f>
        <v>353.6</v>
      </c>
      <c r="IV16" s="116">
        <f>+CX16</f>
        <v>493.75</v>
      </c>
      <c r="IW16" s="116">
        <f>+DA16</f>
        <v>508.57499999999999</v>
      </c>
      <c r="IX16" s="116">
        <f>+DD16</f>
        <v>626.79999999999995</v>
      </c>
      <c r="IY16" s="116">
        <f>+DG16</f>
        <v>831.5</v>
      </c>
      <c r="IZ16" s="116">
        <f>+DJ16</f>
        <v>932.55</v>
      </c>
      <c r="JA16" s="116">
        <f>+DM16</f>
        <v>888.8</v>
      </c>
      <c r="JB16" s="116">
        <f>+DP16</f>
        <v>787.6</v>
      </c>
      <c r="JC16" s="116">
        <f>+DS16</f>
        <v>784.35</v>
      </c>
      <c r="JD16" s="116">
        <f>+DV16</f>
        <v>958.65</v>
      </c>
      <c r="JE16" s="116">
        <f>+DY16</f>
        <v>971.67499999999995</v>
      </c>
      <c r="JF16" s="116">
        <f>+EB16</f>
        <v>985.45</v>
      </c>
      <c r="JG16" s="116">
        <f>+EE16</f>
        <v>1183.1500000000001</v>
      </c>
      <c r="JH16" s="116">
        <f>+EH16</f>
        <v>1483.65</v>
      </c>
      <c r="JI16" s="116">
        <f>+EK16</f>
        <v>1624.4</v>
      </c>
      <c r="JJ16" s="116">
        <f>+EN16</f>
        <v>1649.45</v>
      </c>
      <c r="JK16" s="116">
        <f>EQ16</f>
        <v>1756.05</v>
      </c>
      <c r="JL16" s="116">
        <f>ET16</f>
        <v>1875.45</v>
      </c>
      <c r="JM16" s="116">
        <f>EW16</f>
        <v>1844.7</v>
      </c>
      <c r="JN16" s="116">
        <f>EZ16</f>
        <v>1622.2</v>
      </c>
      <c r="JO16" s="116">
        <f>FC16</f>
        <v>1679.8</v>
      </c>
      <c r="JP16" s="116">
        <f>FF16</f>
        <v>1707.9</v>
      </c>
      <c r="JQ16" s="116">
        <f>FI16</f>
        <v>1820.45</v>
      </c>
      <c r="JR16" s="116">
        <f>FL16</f>
        <v>2063.1999999999998</v>
      </c>
      <c r="JS16" s="116">
        <f>FO16</f>
        <v>2192.6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38.975000000000001</v>
      </c>
      <c r="HQ19" s="116">
        <f t="shared" ref="HQ19:JI21" si="1">+IF(HQ14=0,HQ7,HQ14)</f>
        <v>48.2</v>
      </c>
      <c r="HR19" s="116">
        <f t="shared" si="1"/>
        <v>48</v>
      </c>
      <c r="HS19" s="116">
        <f t="shared" si="1"/>
        <v>43.674999999999997</v>
      </c>
      <c r="HT19" s="116">
        <f t="shared" si="1"/>
        <v>44.5</v>
      </c>
      <c r="HU19" s="116">
        <f t="shared" si="1"/>
        <v>67.900000000000006</v>
      </c>
      <c r="HV19" s="116">
        <f t="shared" si="1"/>
        <v>70.75</v>
      </c>
      <c r="HW19" s="116">
        <f t="shared" si="1"/>
        <v>83.3</v>
      </c>
      <c r="HX19" s="116">
        <f t="shared" si="1"/>
        <v>128.72499999999999</v>
      </c>
      <c r="HY19" s="116">
        <f t="shared" si="1"/>
        <v>118.5</v>
      </c>
      <c r="HZ19" s="116">
        <f t="shared" si="1"/>
        <v>112.2</v>
      </c>
      <c r="IA19" s="116">
        <f t="shared" si="1"/>
        <v>134</v>
      </c>
      <c r="IB19" s="116">
        <f t="shared" si="1"/>
        <v>148.69999999999999</v>
      </c>
      <c r="IC19" s="116">
        <f t="shared" si="1"/>
        <v>159.02500000000001</v>
      </c>
      <c r="ID19" s="116">
        <f t="shared" si="1"/>
        <v>144.19999999999999</v>
      </c>
      <c r="IE19" s="116">
        <f t="shared" si="1"/>
        <v>133.25</v>
      </c>
      <c r="IF19" s="116">
        <f t="shared" si="1"/>
        <v>198</v>
      </c>
      <c r="IG19" s="116">
        <f t="shared" si="1"/>
        <v>201.8</v>
      </c>
      <c r="IH19" s="116">
        <f t="shared" si="1"/>
        <v>183.82499999999999</v>
      </c>
      <c r="II19" s="116">
        <f t="shared" si="1"/>
        <v>181.52500000000001</v>
      </c>
      <c r="IJ19" s="116">
        <f t="shared" si="1"/>
        <v>168.5</v>
      </c>
      <c r="IK19" s="116">
        <f t="shared" si="1"/>
        <v>170.375</v>
      </c>
      <c r="IL19" s="116">
        <f t="shared" si="1"/>
        <v>172</v>
      </c>
      <c r="IM19" s="116">
        <f t="shared" si="1"/>
        <v>167.75</v>
      </c>
      <c r="IN19" s="116">
        <f t="shared" si="1"/>
        <v>175.5</v>
      </c>
      <c r="IO19" s="116">
        <f t="shared" si="1"/>
        <v>159.97499999999999</v>
      </c>
      <c r="IP19" s="116">
        <f t="shared" si="1"/>
        <v>181.57499999999999</v>
      </c>
      <c r="IQ19" s="116">
        <f t="shared" si="1"/>
        <v>203.55</v>
      </c>
      <c r="IR19" s="116">
        <f t="shared" si="1"/>
        <v>205.5</v>
      </c>
      <c r="IS19" s="116">
        <f t="shared" si="1"/>
        <v>217.5</v>
      </c>
      <c r="IT19" s="116">
        <f t="shared" si="1"/>
        <v>299.5</v>
      </c>
      <c r="IU19" s="116">
        <f t="shared" si="1"/>
        <v>371.5</v>
      </c>
      <c r="IV19" s="116">
        <f t="shared" si="1"/>
        <v>575</v>
      </c>
      <c r="IW19" s="116">
        <f t="shared" si="1"/>
        <v>546.29999999999995</v>
      </c>
      <c r="IX19" s="116">
        <f t="shared" si="1"/>
        <v>658.95</v>
      </c>
      <c r="IY19" s="116">
        <f t="shared" si="1"/>
        <v>841.22500000000002</v>
      </c>
      <c r="IZ19" s="116">
        <f t="shared" si="1"/>
        <v>992.375</v>
      </c>
      <c r="JA19" s="116">
        <f t="shared" si="1"/>
        <v>954.4</v>
      </c>
      <c r="JB19" s="116">
        <f t="shared" si="1"/>
        <v>936.5</v>
      </c>
      <c r="JC19" s="116">
        <f t="shared" si="1"/>
        <v>893.9</v>
      </c>
      <c r="JD19" s="116">
        <f t="shared" si="1"/>
        <v>1022.9</v>
      </c>
      <c r="JE19" s="116">
        <f t="shared" si="1"/>
        <v>1074.95</v>
      </c>
      <c r="JF19" s="116">
        <f t="shared" si="1"/>
        <v>1042.075</v>
      </c>
      <c r="JG19" s="116">
        <f t="shared" si="1"/>
        <v>1220.0250000000001</v>
      </c>
      <c r="JH19" s="116">
        <f t="shared" si="1"/>
        <v>1524.575</v>
      </c>
      <c r="JI19" s="116">
        <f t="shared" si="1"/>
        <v>1639.8</v>
      </c>
      <c r="JJ19" s="116">
        <f t="shared" ref="JJ19:JJ21" si="2">+IF(JJ14=0,JJ7,JJ14)</f>
        <v>1935</v>
      </c>
      <c r="JK19" s="116">
        <f t="shared" ref="JK19" si="3">+IF(JK14=0,JK7,JK14)</f>
        <v>1925</v>
      </c>
      <c r="JL19" s="116">
        <f t="shared" ref="JL19:JM19" si="4">+IF(JL14=0,JL7,JL14)</f>
        <v>2029</v>
      </c>
      <c r="JM19" s="116">
        <f t="shared" si="4"/>
        <v>1998</v>
      </c>
      <c r="JN19" s="116">
        <f t="shared" ref="JN19:JO19" si="5">+IF(JN14=0,JN7,JN14)</f>
        <v>1916.85</v>
      </c>
      <c r="JO19" s="116">
        <f t="shared" si="5"/>
        <v>1849.95</v>
      </c>
      <c r="JP19" s="116">
        <f t="shared" ref="JP19" si="6">+IF(JP14=0,JP7,JP14)</f>
        <v>1812.65</v>
      </c>
      <c r="JQ19" s="116">
        <f t="shared" ref="JQ19:KH19" si="7">+IF(JQ14=0,JQ7,JQ14)</f>
        <v>1844.45</v>
      </c>
      <c r="JR19" s="116">
        <f t="shared" si="7"/>
        <v>2195</v>
      </c>
      <c r="JS19" s="116">
        <f t="shared" si="7"/>
        <v>2299.9499999999998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31.5</v>
      </c>
      <c r="HQ20" s="116">
        <f t="shared" si="8"/>
        <v>33.6</v>
      </c>
      <c r="HR20" s="116">
        <f t="shared" si="8"/>
        <v>35.15</v>
      </c>
      <c r="HS20" s="116">
        <f t="shared" si="8"/>
        <v>36.5</v>
      </c>
      <c r="HT20" s="116">
        <f t="shared" si="8"/>
        <v>36.4</v>
      </c>
      <c r="HU20" s="116">
        <f t="shared" si="8"/>
        <v>42.325000000000003</v>
      </c>
      <c r="HV20" s="116">
        <f t="shared" si="8"/>
        <v>57.55</v>
      </c>
      <c r="HW20" s="116">
        <f t="shared" si="8"/>
        <v>64.375</v>
      </c>
      <c r="HX20" s="116">
        <f t="shared" si="8"/>
        <v>74.2</v>
      </c>
      <c r="HY20" s="116">
        <f t="shared" si="8"/>
        <v>93.5</v>
      </c>
      <c r="HZ20" s="116">
        <f t="shared" si="8"/>
        <v>90</v>
      </c>
      <c r="IA20" s="116">
        <f t="shared" si="8"/>
        <v>99.75</v>
      </c>
      <c r="IB20" s="116">
        <f t="shared" si="8"/>
        <v>117</v>
      </c>
      <c r="IC20" s="116">
        <f t="shared" si="8"/>
        <v>126</v>
      </c>
      <c r="ID20" s="116">
        <f t="shared" si="8"/>
        <v>114.15</v>
      </c>
      <c r="IE20" s="116">
        <f t="shared" si="8"/>
        <v>115.5</v>
      </c>
      <c r="IF20" s="116">
        <f t="shared" si="1"/>
        <v>124.05</v>
      </c>
      <c r="IG20" s="116">
        <f t="shared" si="1"/>
        <v>154</v>
      </c>
      <c r="IH20" s="116">
        <f t="shared" si="1"/>
        <v>157.55000000000001</v>
      </c>
      <c r="II20" s="116">
        <f t="shared" si="1"/>
        <v>156</v>
      </c>
      <c r="IJ20" s="116">
        <f t="shared" si="1"/>
        <v>127.5</v>
      </c>
      <c r="IK20" s="116">
        <f t="shared" si="1"/>
        <v>133.875</v>
      </c>
      <c r="IL20" s="116">
        <f t="shared" si="1"/>
        <v>140.32499999999999</v>
      </c>
      <c r="IM20" s="116">
        <f t="shared" si="1"/>
        <v>126</v>
      </c>
      <c r="IN20" s="116">
        <f t="shared" si="1"/>
        <v>118</v>
      </c>
      <c r="IO20" s="116">
        <f t="shared" si="1"/>
        <v>140.25</v>
      </c>
      <c r="IP20" s="116">
        <f t="shared" si="1"/>
        <v>148.4</v>
      </c>
      <c r="IQ20" s="116">
        <f t="shared" si="1"/>
        <v>153.5</v>
      </c>
      <c r="IR20" s="116">
        <f t="shared" si="1"/>
        <v>175</v>
      </c>
      <c r="IS20" s="116">
        <f t="shared" si="1"/>
        <v>160.85</v>
      </c>
      <c r="IT20" s="116">
        <f t="shared" si="1"/>
        <v>212.27500000000001</v>
      </c>
      <c r="IU20" s="116">
        <f t="shared" si="1"/>
        <v>221.5</v>
      </c>
      <c r="IV20" s="116">
        <f t="shared" si="1"/>
        <v>348.67500000000001</v>
      </c>
      <c r="IW20" s="116">
        <f t="shared" si="1"/>
        <v>446.3</v>
      </c>
      <c r="IX20" s="116">
        <f t="shared" si="1"/>
        <v>478.5</v>
      </c>
      <c r="IY20" s="116">
        <f t="shared" si="1"/>
        <v>603.17499999999995</v>
      </c>
      <c r="IZ20" s="116">
        <f t="shared" si="1"/>
        <v>817.05</v>
      </c>
      <c r="JA20" s="116">
        <f t="shared" si="1"/>
        <v>716</v>
      </c>
      <c r="JB20" s="116">
        <f t="shared" si="1"/>
        <v>742.5</v>
      </c>
      <c r="JC20" s="116">
        <f t="shared" si="1"/>
        <v>669.52499999999998</v>
      </c>
      <c r="JD20" s="116">
        <f t="shared" si="1"/>
        <v>773.625</v>
      </c>
      <c r="JE20" s="116">
        <f t="shared" si="1"/>
        <v>936.77499999999998</v>
      </c>
      <c r="JF20" s="116">
        <f t="shared" si="1"/>
        <v>948.75</v>
      </c>
      <c r="JG20" s="116">
        <f t="shared" si="1"/>
        <v>914.65</v>
      </c>
      <c r="JH20" s="116">
        <f t="shared" si="1"/>
        <v>1132.4000000000001</v>
      </c>
      <c r="JI20" s="116">
        <f t="shared" si="1"/>
        <v>1246.05</v>
      </c>
      <c r="JJ20" s="116">
        <f t="shared" si="2"/>
        <v>1473.95</v>
      </c>
      <c r="JK20" s="116">
        <f t="shared" ref="JK20" si="9">+IF(JK15=0,JK8,JK15)</f>
        <v>1646.8</v>
      </c>
      <c r="JL20" s="116">
        <f t="shared" ref="JL20:JM20" si="10">+IF(JL15=0,JL8,JL15)</f>
        <v>1693.75</v>
      </c>
      <c r="JM20" s="116">
        <f t="shared" si="10"/>
        <v>1655.1</v>
      </c>
      <c r="JN20" s="116">
        <f t="shared" ref="JN20:JO20" si="11">+IF(JN15=0,JN8,JN15)</f>
        <v>1434.85</v>
      </c>
      <c r="JO20" s="116">
        <f t="shared" si="11"/>
        <v>1303</v>
      </c>
      <c r="JP20" s="116">
        <f t="shared" ref="JP20" si="12">+IF(JP15=0,JP8,JP15)</f>
        <v>1604</v>
      </c>
      <c r="JQ20" s="116">
        <f t="shared" ref="JQ20:KH20" si="13">+IF(JQ15=0,JQ8,JQ15)</f>
        <v>1603.05</v>
      </c>
      <c r="JR20" s="116">
        <f t="shared" si="13"/>
        <v>1777.05</v>
      </c>
      <c r="JS20" s="116">
        <f t="shared" si="13"/>
        <v>1866.55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36.9</v>
      </c>
      <c r="HQ21" s="116">
        <f t="shared" si="1"/>
        <v>46.7</v>
      </c>
      <c r="HR21" s="116">
        <f t="shared" si="1"/>
        <v>36.774999999999999</v>
      </c>
      <c r="HS21" s="116">
        <f t="shared" si="1"/>
        <v>38.325000000000003</v>
      </c>
      <c r="HT21" s="116">
        <f t="shared" si="1"/>
        <v>42.5</v>
      </c>
      <c r="HU21" s="116">
        <f t="shared" si="1"/>
        <v>64.625</v>
      </c>
      <c r="HV21" s="116">
        <f t="shared" si="1"/>
        <v>64.174999999999997</v>
      </c>
      <c r="HW21" s="116">
        <f t="shared" si="1"/>
        <v>78.075000000000003</v>
      </c>
      <c r="HX21" s="116">
        <f t="shared" si="1"/>
        <v>111.925</v>
      </c>
      <c r="HY21" s="116">
        <f t="shared" si="1"/>
        <v>100.72499999999999</v>
      </c>
      <c r="HZ21" s="116">
        <f t="shared" si="1"/>
        <v>100.05</v>
      </c>
      <c r="IA21" s="116">
        <f t="shared" si="1"/>
        <v>118.27500000000001</v>
      </c>
      <c r="IB21" s="116">
        <f t="shared" si="1"/>
        <v>138.52500000000001</v>
      </c>
      <c r="IC21" s="116">
        <f t="shared" si="1"/>
        <v>139.52500000000001</v>
      </c>
      <c r="ID21" s="116">
        <f t="shared" si="1"/>
        <v>124.7</v>
      </c>
      <c r="IE21" s="116">
        <f t="shared" si="1"/>
        <v>125.22499999999999</v>
      </c>
      <c r="IF21" s="116">
        <f t="shared" si="1"/>
        <v>178.05</v>
      </c>
      <c r="IG21" s="116">
        <f t="shared" si="1"/>
        <v>175.27500000000001</v>
      </c>
      <c r="IH21" s="116">
        <f t="shared" si="1"/>
        <v>173.5</v>
      </c>
      <c r="II21" s="116">
        <f t="shared" si="1"/>
        <v>156.57499999999999</v>
      </c>
      <c r="IJ21" s="116">
        <f t="shared" si="1"/>
        <v>139.94999999999999</v>
      </c>
      <c r="IK21" s="116">
        <f t="shared" si="1"/>
        <v>166.95</v>
      </c>
      <c r="IL21" s="116">
        <f t="shared" si="1"/>
        <v>154.6</v>
      </c>
      <c r="IM21" s="116">
        <f t="shared" si="1"/>
        <v>129.05000000000001</v>
      </c>
      <c r="IN21" s="116">
        <f t="shared" si="1"/>
        <v>146.30000000000001</v>
      </c>
      <c r="IO21" s="116">
        <f t="shared" si="1"/>
        <v>153.125</v>
      </c>
      <c r="IP21" s="116">
        <f t="shared" si="1"/>
        <v>179.8</v>
      </c>
      <c r="IQ21" s="116">
        <f t="shared" si="1"/>
        <v>182.07499999999999</v>
      </c>
      <c r="IR21" s="116">
        <f t="shared" si="1"/>
        <v>185.3</v>
      </c>
      <c r="IS21" s="116">
        <f t="shared" si="1"/>
        <v>212.9</v>
      </c>
      <c r="IT21" s="116">
        <f t="shared" si="1"/>
        <v>254.17500000000001</v>
      </c>
      <c r="IU21" s="116">
        <f t="shared" si="1"/>
        <v>353.6</v>
      </c>
      <c r="IV21" s="116">
        <f t="shared" si="1"/>
        <v>493.75</v>
      </c>
      <c r="IW21" s="116">
        <f t="shared" si="1"/>
        <v>508.57499999999999</v>
      </c>
      <c r="IX21" s="116">
        <f t="shared" si="1"/>
        <v>626.79999999999995</v>
      </c>
      <c r="IY21" s="116">
        <f t="shared" si="1"/>
        <v>831.5</v>
      </c>
      <c r="IZ21" s="116">
        <f t="shared" si="1"/>
        <v>932.55</v>
      </c>
      <c r="JA21" s="116">
        <f t="shared" si="1"/>
        <v>888.8</v>
      </c>
      <c r="JB21" s="116">
        <f t="shared" si="1"/>
        <v>787.6</v>
      </c>
      <c r="JC21" s="116">
        <f t="shared" si="1"/>
        <v>784.35</v>
      </c>
      <c r="JD21" s="116">
        <f t="shared" si="1"/>
        <v>958.65</v>
      </c>
      <c r="JE21" s="116">
        <f t="shared" si="1"/>
        <v>971.67499999999995</v>
      </c>
      <c r="JF21" s="116">
        <f t="shared" si="1"/>
        <v>985.45</v>
      </c>
      <c r="JG21" s="116">
        <f t="shared" si="1"/>
        <v>1183.1500000000001</v>
      </c>
      <c r="JH21" s="116">
        <f t="shared" si="1"/>
        <v>1483.65</v>
      </c>
      <c r="JI21" s="116">
        <f t="shared" si="1"/>
        <v>1624.4</v>
      </c>
      <c r="JJ21" s="116">
        <f t="shared" si="2"/>
        <v>1649.45</v>
      </c>
      <c r="JK21" s="116">
        <f t="shared" ref="JK21" si="14">+IF(JK16=0,JK9,JK16)</f>
        <v>1756.05</v>
      </c>
      <c r="JL21" s="116">
        <f t="shared" ref="JL21:JM21" si="15">+IF(JL16=0,JL9,JL16)</f>
        <v>1875.45</v>
      </c>
      <c r="JM21" s="116">
        <f t="shared" si="15"/>
        <v>1844.7</v>
      </c>
      <c r="JN21" s="116">
        <f t="shared" ref="JN21:JO21" si="16">+IF(JN16=0,JN9,JN16)</f>
        <v>1622.2</v>
      </c>
      <c r="JO21" s="116">
        <f t="shared" si="16"/>
        <v>1679.8</v>
      </c>
      <c r="JP21" s="116">
        <f t="shared" ref="JP21" si="17">+IF(JP16=0,JP9,JP16)</f>
        <v>1707.9</v>
      </c>
      <c r="JQ21" s="116">
        <f t="shared" ref="JQ21:KH21" si="18">+IF(JQ16=0,JQ9,JQ16)</f>
        <v>1820.45</v>
      </c>
      <c r="JR21" s="116">
        <f t="shared" si="18"/>
        <v>2063.1999999999998</v>
      </c>
      <c r="JS21" s="116">
        <f t="shared" si="18"/>
        <v>2192.6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106943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84707300</v>
      </c>
      <c r="D6" cm="1">
        <f t="array" ref="D6">_xll.EQNXTDZ($A$1,$B6,D$1)</f>
        <v>84707300</v>
      </c>
      <c r="E6" cm="1">
        <f t="array" ref="E6">_xll.EQNXTDZ($A$1,$B6,E$1)</f>
        <v>84707300</v>
      </c>
      <c r="F6" cm="1">
        <f t="array" ref="F6">_xll.EQNXTDZ($A$1,$B6,F$1)</f>
        <v>84707300</v>
      </c>
      <c r="G6" cm="1">
        <f t="array" ref="G6">_xll.EQNXTDZ($A$1,$B6,G$1)</f>
        <v>84711800</v>
      </c>
      <c r="H6" cm="1">
        <f t="array" ref="H6">_xll.EQNXTDZ($A$1,$B6,H$1)</f>
        <v>84711800</v>
      </c>
      <c r="I6" cm="1">
        <f t="array" ref="I6">_xll.EQNXTDZ($A$1,$B6,I$1)</f>
        <v>84711800</v>
      </c>
      <c r="J6" cm="1">
        <f t="array" ref="J6">_xll.EQNXTDZ($A$1,$B6,J$1)</f>
        <v>84731625</v>
      </c>
      <c r="K6" cm="1">
        <f t="array" ref="K6">_xll.EQNXTDZ($A$1,$B6,K$1)</f>
        <v>84769750</v>
      </c>
      <c r="L6" cm="1">
        <f t="array" ref="L6">_xll.EQNXTDZ($A$1,$B6,L$1)</f>
        <v>84808225</v>
      </c>
      <c r="M6" cm="1">
        <f t="array" ref="M6">_xll.EQNXTDZ($A$1,$B6,M$1)</f>
        <v>84808225</v>
      </c>
      <c r="N6" cm="1">
        <f t="array" ref="N6">_xll.EQNXTDZ($A$1,$B6,N$1)</f>
        <v>84808225</v>
      </c>
      <c r="O6" cm="1">
        <f t="array" ref="O6">_xll.EQNXTDZ($A$1,$B6,O$1)</f>
        <v>84808225</v>
      </c>
      <c r="P6" cm="1">
        <f t="array" ref="P6">_xll.EQNXTDZ($A$1,$B6,P$1)</f>
        <v>84819975</v>
      </c>
      <c r="Q6" cm="1">
        <f t="array" ref="Q6">_xll.EQNXTDZ($A$1,$B6,Q$1)</f>
        <v>84819975</v>
      </c>
      <c r="R6" cm="1">
        <f t="array" ref="R6">_xll.EQNXTDZ($A$1,$B6,R$1)</f>
        <v>84819975</v>
      </c>
      <c r="S6" cm="1">
        <f t="array" ref="S6">_xll.EQNXTDZ($A$1,$B6,S$1)</f>
        <v>84819975</v>
      </c>
      <c r="T6" cm="1">
        <f t="array" ref="T6">_xll.EQNXTDZ($A$1,$B6,T$1)</f>
        <v>84819975</v>
      </c>
      <c r="U6" cm="1">
        <f t="array" ref="U6">_xll.EQNXTDZ($A$1,$B6,U$1)</f>
        <v>84819975</v>
      </c>
      <c r="V6" cm="1">
        <f t="array" ref="V6">_xll.EQNXTDZ($A$1,$B6,V$1)</f>
        <v>84819975</v>
      </c>
      <c r="W6" cm="1">
        <f t="array" ref="W6">_xll.EQNXTDZ($A$1,$B6,W$1)</f>
        <v>84819975</v>
      </c>
      <c r="X6" cm="1">
        <f t="array" ref="X6">_xll.EQNXTDZ($A$1,$B6,X$1)</f>
        <v>83569975</v>
      </c>
      <c r="Y6" cm="1">
        <f t="array" ref="Y6">_xll.EQNXTDZ($A$1,$B6,Y$1)</f>
        <v>83569975</v>
      </c>
      <c r="Z6" cm="1">
        <f t="array" ref="Z6">_xll.EQNXTDZ($A$1,$B6,Z$1)</f>
        <v>83569975</v>
      </c>
      <c r="AA6" cm="1">
        <f t="array" ref="AA6">_xll.EQNXTDZ($A$1,$B6,AA$1)</f>
        <v>83569975</v>
      </c>
      <c r="AB6" cm="1">
        <f t="array" ref="AB6">_xll.EQNXTDZ($A$1,$B6,AB$1)</f>
        <v>83569975</v>
      </c>
      <c r="AC6" cm="1">
        <f t="array" ref="AC6">_xll.EQNXTDZ($A$1,$B6,AC$1)</f>
        <v>80236642</v>
      </c>
      <c r="AD6" cm="1">
        <f t="array" ref="AD6">_xll.EQNXTDZ($A$1,$B6,AD$1)</f>
        <v>80236642</v>
      </c>
      <c r="AE6" cm="1">
        <f t="array" ref="AE6">_xll.EQNXTDZ($A$1,$B6,AE$1)</f>
        <v>80236642</v>
      </c>
      <c r="AF6" cm="1">
        <f t="array" ref="AF6">_xll.EQNXTDZ($A$1,$B6,AF$1)</f>
        <v>80236642</v>
      </c>
      <c r="AG6" cm="1">
        <f t="array" ref="AG6">_xll.EQNXTDZ($A$1,$B6,AG$1)</f>
        <v>80236642</v>
      </c>
      <c r="AH6" cm="1">
        <f t="array" ref="AH6">_xll.EQNXTDZ($A$1,$B6,AH$1)</f>
        <v>77282097</v>
      </c>
      <c r="AI6" cm="1">
        <f t="array" ref="AI6">_xll.EQNXTDZ($A$1,$B6,AI$1)</f>
        <v>77282097</v>
      </c>
      <c r="AJ6" cm="1">
        <f t="array" ref="AJ6">_xll.EQNXTDZ($A$1,$B6,AJ$1)</f>
        <v>77282097</v>
      </c>
      <c r="AK6" cm="1">
        <f t="array" ref="AK6">_xll.EQNXTDZ($A$1,$B6,AK$1)</f>
        <v>77282097</v>
      </c>
      <c r="AL6" cm="1">
        <f t="array" ref="AL6">_xll.EQNXTDZ($A$1,$B6,AL$1)</f>
        <v>77282097</v>
      </c>
      <c r="AM6" cm="1">
        <f t="array" ref="AM6">_xll.EQNXTDZ($A$1,$B6,AM$1)</f>
        <v>77282097</v>
      </c>
      <c r="AN6" cm="1">
        <f t="array" ref="AN6">_xll.EQNXTDZ($A$1,$B6,AN$1)</f>
        <v>77282097</v>
      </c>
      <c r="AO6" cm="1">
        <f t="array" ref="AO6">_xll.EQNXTDZ($A$1,$B6,AO$1)</f>
        <v>77282097</v>
      </c>
      <c r="AP6" cm="1">
        <f t="array" ref="AP6">_xll.EQNXTDZ($A$1,$B6,AP$1)</f>
        <v>77282097</v>
      </c>
      <c r="AQ6" cm="1">
        <f t="array" ref="AQ6">_xll.EQNXTDZ($A$1,$B6,AQ$1)</f>
        <v>77282097</v>
      </c>
      <c r="AR6" cm="1">
        <f t="array" ref="AR6">_xll.EQNXTDZ($A$1,$B6,AR$1)</f>
        <v>77335457</v>
      </c>
      <c r="AS6" cm="1">
        <f t="array" ref="AS6">_xll.EQNXTDZ($A$1,$B6,AS$1)</f>
        <v>77357687</v>
      </c>
      <c r="AT6" cm="1">
        <f t="array" ref="AT6">_xll.EQNXTDZ($A$1,$B6,AT$1)</f>
        <v>77377584</v>
      </c>
      <c r="AU6" cm="1">
        <f t="array" ref="AU6">_xll.EQNXTDZ($A$1,$B6,AU$1)</f>
        <v>77416884</v>
      </c>
      <c r="AV6" cm="1">
        <f t="array" ref="AV6">_xll.EQNXTDZ($A$1,$B6,AV$1)</f>
        <v>154955510</v>
      </c>
      <c r="AW6" cm="1">
        <f t="array" ref="AW6">_xll.EQNXTDZ($A$1,$B6,AW$1)</f>
        <v>155044160</v>
      </c>
      <c r="AX6" cm="1">
        <f t="array" ref="AX6">_xll.EQNXTDZ($A$1,$B6,AX$1)</f>
        <v>155194800</v>
      </c>
      <c r="AY6" cm="1">
        <f t="array" ref="AY6">_xll.EQNXTDZ($A$1,$B6,AY$1)</f>
        <v>155213058</v>
      </c>
    </row>
    <row r="7" spans="1:51" x14ac:dyDescent="0.25">
      <c r="B7" t="s">
        <v>429</v>
      </c>
      <c r="C7" s="100">
        <f>+C6/10^7</f>
        <v>8.4707299999999996</v>
      </c>
      <c r="D7" s="100">
        <f t="shared" ref="D7:X7" si="0">+D6/10^7</f>
        <v>8.4707299999999996</v>
      </c>
      <c r="E7" s="100">
        <f t="shared" si="0"/>
        <v>8.4707299999999996</v>
      </c>
      <c r="F7" s="100">
        <f t="shared" si="0"/>
        <v>8.4707299999999996</v>
      </c>
      <c r="G7" s="100">
        <f t="shared" si="0"/>
        <v>8.4711800000000004</v>
      </c>
      <c r="H7" s="100">
        <f t="shared" si="0"/>
        <v>8.4711800000000004</v>
      </c>
      <c r="I7" s="100">
        <f t="shared" si="0"/>
        <v>8.4711800000000004</v>
      </c>
      <c r="J7" s="100">
        <f t="shared" si="0"/>
        <v>8.4731625000000008</v>
      </c>
      <c r="K7" s="100">
        <f t="shared" si="0"/>
        <v>8.4769749999999995</v>
      </c>
      <c r="L7" s="100">
        <f t="shared" si="0"/>
        <v>8.4808225000000004</v>
      </c>
      <c r="M7" s="100">
        <f t="shared" si="0"/>
        <v>8.4808225000000004</v>
      </c>
      <c r="N7" s="100">
        <f t="shared" si="0"/>
        <v>8.4808225000000004</v>
      </c>
      <c r="O7" s="100">
        <f t="shared" si="0"/>
        <v>8.4808225000000004</v>
      </c>
      <c r="P7" s="100">
        <f t="shared" si="0"/>
        <v>8.4819975000000003</v>
      </c>
      <c r="Q7" s="100">
        <f t="shared" si="0"/>
        <v>8.4819975000000003</v>
      </c>
      <c r="R7" s="100">
        <f t="shared" si="0"/>
        <v>8.4819975000000003</v>
      </c>
      <c r="S7" s="100">
        <f t="shared" si="0"/>
        <v>8.4819975000000003</v>
      </c>
      <c r="T7" s="100">
        <f t="shared" si="0"/>
        <v>8.4819975000000003</v>
      </c>
      <c r="U7" s="100">
        <f t="shared" si="0"/>
        <v>8.4819975000000003</v>
      </c>
      <c r="V7" s="100">
        <f t="shared" si="0"/>
        <v>8.4819975000000003</v>
      </c>
      <c r="W7" s="100">
        <f t="shared" si="0"/>
        <v>8.4819975000000003</v>
      </c>
      <c r="X7" s="100">
        <f t="shared" si="0"/>
        <v>8.3569975000000003</v>
      </c>
      <c r="Y7" s="100">
        <f t="shared" ref="Y7:AS7" si="1">+Y6/10^7</f>
        <v>8.3569975000000003</v>
      </c>
      <c r="Z7" s="100">
        <f t="shared" si="1"/>
        <v>8.3569975000000003</v>
      </c>
      <c r="AA7" s="100">
        <f t="shared" si="1"/>
        <v>8.3569975000000003</v>
      </c>
      <c r="AB7" s="100">
        <f t="shared" si="1"/>
        <v>8.3569975000000003</v>
      </c>
      <c r="AC7" s="100">
        <f t="shared" si="1"/>
        <v>8.0236642000000007</v>
      </c>
      <c r="AD7" s="100">
        <f t="shared" si="1"/>
        <v>8.0236642000000007</v>
      </c>
      <c r="AE7" s="100">
        <f t="shared" si="1"/>
        <v>8.0236642000000007</v>
      </c>
      <c r="AF7" s="100">
        <f t="shared" si="1"/>
        <v>8.0236642000000007</v>
      </c>
      <c r="AG7" s="100">
        <f t="shared" si="1"/>
        <v>8.0236642000000007</v>
      </c>
      <c r="AH7" s="100">
        <f t="shared" si="1"/>
        <v>7.7282096999999998</v>
      </c>
      <c r="AI7" s="100">
        <f t="shared" si="1"/>
        <v>7.7282096999999998</v>
      </c>
      <c r="AJ7" s="100">
        <f t="shared" si="1"/>
        <v>7.7282096999999998</v>
      </c>
      <c r="AK7" s="100">
        <f t="shared" si="1"/>
        <v>7.7282096999999998</v>
      </c>
      <c r="AL7" s="100">
        <f t="shared" si="1"/>
        <v>7.7282096999999998</v>
      </c>
      <c r="AM7" s="100">
        <f t="shared" si="1"/>
        <v>7.7282096999999998</v>
      </c>
      <c r="AN7" s="100">
        <f t="shared" si="1"/>
        <v>7.7282096999999998</v>
      </c>
      <c r="AO7" s="100">
        <f t="shared" si="1"/>
        <v>7.7282096999999998</v>
      </c>
      <c r="AP7" s="100">
        <f t="shared" si="1"/>
        <v>7.7282096999999998</v>
      </c>
      <c r="AQ7" s="100">
        <f t="shared" si="1"/>
        <v>7.7282096999999998</v>
      </c>
      <c r="AR7" s="100">
        <f t="shared" si="1"/>
        <v>7.7335456999999996</v>
      </c>
      <c r="AS7" s="100">
        <f t="shared" si="1"/>
        <v>7.7357687000000004</v>
      </c>
      <c r="AT7" s="100">
        <f t="shared" ref="AT7:AX7" si="2">+AT6/10^7</f>
        <v>7.7377583999999997</v>
      </c>
      <c r="AU7" s="100">
        <f t="shared" si="2"/>
        <v>7.7416884000000001</v>
      </c>
      <c r="AV7" s="100">
        <f t="shared" si="2"/>
        <v>15.495551000000001</v>
      </c>
      <c r="AW7" s="100">
        <f t="shared" si="2"/>
        <v>15.504416000000001</v>
      </c>
      <c r="AX7" s="100">
        <f t="shared" si="2"/>
        <v>15.51948</v>
      </c>
      <c r="AY7" s="100">
        <f t="shared" ref="AY7" si="3">+AY6/10^7</f>
        <v>15.5213058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106943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103.97499999999999</v>
      </c>
      <c r="C4" s="116">
        <v>103.05</v>
      </c>
      <c r="D4" s="116">
        <v>100.5</v>
      </c>
      <c r="E4" s="116">
        <v>100.5</v>
      </c>
      <c r="F4" s="116">
        <v>206.1</v>
      </c>
      <c r="G4">
        <v>11554</v>
      </c>
      <c r="H4" s="116"/>
      <c r="I4" s="116"/>
      <c r="L4" s="170">
        <v>42005</v>
      </c>
      <c r="M4" s="116">
        <v>103.05</v>
      </c>
      <c r="N4" s="116">
        <v>103.95</v>
      </c>
      <c r="O4" s="116">
        <v>99.55</v>
      </c>
      <c r="P4" s="116">
        <v>99.55</v>
      </c>
      <c r="Q4" s="116">
        <v>206.1</v>
      </c>
      <c r="R4">
        <v>61548</v>
      </c>
    </row>
    <row r="5" spans="1:18" x14ac:dyDescent="0.25">
      <c r="A5" s="170">
        <v>42006</v>
      </c>
      <c r="B5" s="116">
        <v>104.7</v>
      </c>
      <c r="C5" s="116">
        <v>102.175</v>
      </c>
      <c r="D5" s="116">
        <v>101.52500000000001</v>
      </c>
      <c r="E5" s="116">
        <v>104</v>
      </c>
      <c r="F5" s="116">
        <v>204.35</v>
      </c>
      <c r="G5">
        <v>14169</v>
      </c>
      <c r="H5" s="116"/>
      <c r="I5" s="116"/>
      <c r="L5" s="170">
        <v>42006</v>
      </c>
      <c r="M5" s="116">
        <v>102.325</v>
      </c>
      <c r="N5" s="116">
        <v>104.625</v>
      </c>
      <c r="O5" s="116">
        <v>101.625</v>
      </c>
      <c r="P5" s="116">
        <v>103.125</v>
      </c>
      <c r="Q5" s="116">
        <v>204.65</v>
      </c>
      <c r="R5">
        <v>55902</v>
      </c>
    </row>
    <row r="6" spans="1:18" x14ac:dyDescent="0.25">
      <c r="A6" s="170">
        <v>42009</v>
      </c>
      <c r="B6" s="116">
        <v>103.75</v>
      </c>
      <c r="C6" s="116">
        <v>102.075</v>
      </c>
      <c r="D6" s="116">
        <v>100.925</v>
      </c>
      <c r="E6" s="116">
        <v>102.05</v>
      </c>
      <c r="F6" s="116">
        <v>204.15</v>
      </c>
      <c r="G6">
        <v>12642</v>
      </c>
      <c r="H6" s="116"/>
      <c r="I6" s="116"/>
      <c r="L6" s="170">
        <v>42009</v>
      </c>
      <c r="M6" s="116">
        <v>102.075</v>
      </c>
      <c r="N6" s="116">
        <v>104</v>
      </c>
      <c r="O6" s="116">
        <v>101.3</v>
      </c>
      <c r="P6" s="116">
        <v>101.55</v>
      </c>
      <c r="Q6" s="116">
        <v>204.15</v>
      </c>
      <c r="R6">
        <v>55565</v>
      </c>
    </row>
    <row r="7" spans="1:18" x14ac:dyDescent="0.25">
      <c r="A7" s="170">
        <v>42010</v>
      </c>
      <c r="B7" s="116">
        <v>103.9</v>
      </c>
      <c r="C7" s="116">
        <v>99.875</v>
      </c>
      <c r="D7" s="116">
        <v>99.5</v>
      </c>
      <c r="E7" s="116">
        <v>103.9</v>
      </c>
      <c r="F7" s="116">
        <v>199.75</v>
      </c>
      <c r="G7">
        <v>11279</v>
      </c>
      <c r="H7" s="116"/>
      <c r="I7" s="116"/>
      <c r="L7" s="170">
        <v>42010</v>
      </c>
      <c r="M7" s="116">
        <v>99.775000000000006</v>
      </c>
      <c r="N7" s="116">
        <v>103.02500000000001</v>
      </c>
      <c r="O7" s="116">
        <v>99.25</v>
      </c>
      <c r="P7" s="116">
        <v>103</v>
      </c>
      <c r="Q7" s="116">
        <v>199.55</v>
      </c>
      <c r="R7">
        <v>54183</v>
      </c>
    </row>
    <row r="8" spans="1:18" x14ac:dyDescent="0.25">
      <c r="A8" s="170">
        <v>42011</v>
      </c>
      <c r="B8" s="116">
        <v>99.95</v>
      </c>
      <c r="C8" s="116">
        <v>98.5</v>
      </c>
      <c r="D8" s="116">
        <v>97.5</v>
      </c>
      <c r="E8" s="116">
        <v>99.95</v>
      </c>
      <c r="F8" s="116">
        <v>197</v>
      </c>
      <c r="G8">
        <v>13294</v>
      </c>
      <c r="H8" s="116"/>
      <c r="I8" s="116"/>
      <c r="L8" s="170">
        <v>42011</v>
      </c>
      <c r="M8" s="116">
        <v>98.85</v>
      </c>
      <c r="N8" s="116">
        <v>100.125</v>
      </c>
      <c r="O8" s="116">
        <v>98.125</v>
      </c>
      <c r="P8" s="116">
        <v>100.125</v>
      </c>
      <c r="Q8" s="116">
        <v>197.7</v>
      </c>
      <c r="R8">
        <v>42599</v>
      </c>
    </row>
    <row r="9" spans="1:18" x14ac:dyDescent="0.25">
      <c r="A9" s="170">
        <v>42012</v>
      </c>
      <c r="B9" s="116">
        <v>102</v>
      </c>
      <c r="C9" s="116">
        <v>101.22499999999999</v>
      </c>
      <c r="D9" s="116">
        <v>99.75</v>
      </c>
      <c r="E9" s="116">
        <v>100.5</v>
      </c>
      <c r="F9" s="116">
        <v>202.45</v>
      </c>
      <c r="G9">
        <v>5407</v>
      </c>
      <c r="H9" s="116"/>
      <c r="I9" s="116"/>
      <c r="L9" s="170">
        <v>42012</v>
      </c>
      <c r="M9" s="116">
        <v>101.02500000000001</v>
      </c>
      <c r="N9" s="116">
        <v>102.375</v>
      </c>
      <c r="O9" s="116">
        <v>99.1</v>
      </c>
      <c r="P9" s="116">
        <v>100.95</v>
      </c>
      <c r="Q9" s="116">
        <v>202.05</v>
      </c>
      <c r="R9">
        <v>42561</v>
      </c>
    </row>
    <row r="10" spans="1:18" x14ac:dyDescent="0.25">
      <c r="A10" s="170">
        <v>42013</v>
      </c>
      <c r="B10" s="116">
        <v>102</v>
      </c>
      <c r="C10" s="116">
        <v>100.375</v>
      </c>
      <c r="D10" s="116">
        <v>99.5</v>
      </c>
      <c r="E10" s="116">
        <v>101.125</v>
      </c>
      <c r="F10" s="116">
        <v>200.75</v>
      </c>
      <c r="G10">
        <v>17244</v>
      </c>
      <c r="H10" s="116"/>
      <c r="I10" s="116"/>
      <c r="L10" s="170">
        <v>42013</v>
      </c>
      <c r="M10" s="116">
        <v>100.05</v>
      </c>
      <c r="N10" s="116">
        <v>101.75</v>
      </c>
      <c r="O10" s="116">
        <v>99.875</v>
      </c>
      <c r="P10" s="116">
        <v>100.47499999999999</v>
      </c>
      <c r="Q10" s="116">
        <v>200.1</v>
      </c>
      <c r="R10">
        <v>46332</v>
      </c>
    </row>
    <row r="11" spans="1:18" x14ac:dyDescent="0.25">
      <c r="A11" s="170">
        <v>42016</v>
      </c>
      <c r="B11" s="116">
        <v>100.85</v>
      </c>
      <c r="C11" s="116">
        <v>100</v>
      </c>
      <c r="D11" s="116">
        <v>97.625</v>
      </c>
      <c r="E11" s="116">
        <v>97.625</v>
      </c>
      <c r="F11" s="116">
        <v>200</v>
      </c>
      <c r="G11">
        <v>12348</v>
      </c>
      <c r="H11" s="116"/>
      <c r="I11" s="116"/>
      <c r="L11" s="170">
        <v>42016</v>
      </c>
      <c r="M11" s="116">
        <v>100.15</v>
      </c>
      <c r="N11" s="116">
        <v>101.35</v>
      </c>
      <c r="O11" s="116">
        <v>98</v>
      </c>
      <c r="P11" s="116">
        <v>98.7</v>
      </c>
      <c r="Q11" s="116">
        <v>200.3</v>
      </c>
      <c r="R11">
        <v>56563</v>
      </c>
    </row>
    <row r="12" spans="1:18" x14ac:dyDescent="0.25">
      <c r="A12" s="170">
        <v>42017</v>
      </c>
      <c r="B12" s="116">
        <v>102.75</v>
      </c>
      <c r="C12" s="116">
        <v>100.6</v>
      </c>
      <c r="D12" s="116">
        <v>99.75</v>
      </c>
      <c r="E12" s="116">
        <v>100</v>
      </c>
      <c r="F12" s="116">
        <v>201.2</v>
      </c>
      <c r="G12">
        <v>17047</v>
      </c>
      <c r="H12" s="116"/>
      <c r="I12" s="116"/>
      <c r="L12" s="170">
        <v>42017</v>
      </c>
      <c r="M12" s="116">
        <v>100.75</v>
      </c>
      <c r="N12" s="116">
        <v>104</v>
      </c>
      <c r="O12" s="116">
        <v>99.65</v>
      </c>
      <c r="P12" s="116">
        <v>99.65</v>
      </c>
      <c r="Q12" s="116">
        <v>201.5</v>
      </c>
      <c r="R12">
        <v>94454</v>
      </c>
    </row>
    <row r="13" spans="1:18" x14ac:dyDescent="0.25">
      <c r="A13" s="170">
        <v>42018</v>
      </c>
      <c r="B13" s="116">
        <v>101.875</v>
      </c>
      <c r="C13" s="116">
        <v>100.15</v>
      </c>
      <c r="D13" s="116">
        <v>99.724999999999994</v>
      </c>
      <c r="E13" s="116">
        <v>100.875</v>
      </c>
      <c r="F13" s="116">
        <v>200.3</v>
      </c>
      <c r="G13">
        <v>8605</v>
      </c>
      <c r="H13" s="116"/>
      <c r="I13" s="116"/>
      <c r="L13" s="170">
        <v>42018</v>
      </c>
      <c r="M13" s="116">
        <v>100.02500000000001</v>
      </c>
      <c r="N13" s="116">
        <v>101.95</v>
      </c>
      <c r="O13" s="116">
        <v>99.775000000000006</v>
      </c>
      <c r="P13" s="116">
        <v>100.5</v>
      </c>
      <c r="Q13" s="116">
        <v>200.05</v>
      </c>
      <c r="R13">
        <v>26791</v>
      </c>
    </row>
    <row r="14" spans="1:18" x14ac:dyDescent="0.25">
      <c r="A14" s="170">
        <v>42019</v>
      </c>
      <c r="B14" s="116">
        <v>102.47499999999999</v>
      </c>
      <c r="C14" s="116">
        <v>100.925</v>
      </c>
      <c r="D14" s="116">
        <v>100.5</v>
      </c>
      <c r="E14" s="116">
        <v>102</v>
      </c>
      <c r="F14" s="116">
        <v>201.85</v>
      </c>
      <c r="G14">
        <v>9111</v>
      </c>
      <c r="H14" s="116"/>
      <c r="I14" s="116"/>
      <c r="L14" s="170">
        <v>42019</v>
      </c>
      <c r="M14" s="116">
        <v>100.825</v>
      </c>
      <c r="N14" s="116">
        <v>103.4</v>
      </c>
      <c r="O14" s="116">
        <v>100.4</v>
      </c>
      <c r="P14" s="116">
        <v>101.25</v>
      </c>
      <c r="Q14" s="116">
        <v>201.65</v>
      </c>
      <c r="R14">
        <v>40994</v>
      </c>
    </row>
    <row r="15" spans="1:18" x14ac:dyDescent="0.25">
      <c r="A15" s="170">
        <v>42020</v>
      </c>
      <c r="B15" s="116">
        <v>101.75</v>
      </c>
      <c r="C15" s="116">
        <v>99.8</v>
      </c>
      <c r="D15" s="116">
        <v>99</v>
      </c>
      <c r="E15" s="116">
        <v>100.4</v>
      </c>
      <c r="F15" s="116">
        <v>199.6</v>
      </c>
      <c r="G15">
        <v>13849</v>
      </c>
      <c r="H15" s="116"/>
      <c r="I15" s="116"/>
      <c r="L15" s="170">
        <v>42020</v>
      </c>
      <c r="M15" s="116">
        <v>99.6</v>
      </c>
      <c r="N15" s="116">
        <v>101.675</v>
      </c>
      <c r="O15" s="116">
        <v>98.8</v>
      </c>
      <c r="P15" s="116">
        <v>100.5</v>
      </c>
      <c r="Q15" s="116">
        <v>199.2</v>
      </c>
      <c r="R15">
        <v>46232</v>
      </c>
    </row>
    <row r="16" spans="1:18" x14ac:dyDescent="0.25">
      <c r="A16" s="170">
        <v>42023</v>
      </c>
      <c r="B16" s="116">
        <v>100.05</v>
      </c>
      <c r="C16" s="116">
        <v>98.025000000000006</v>
      </c>
      <c r="D16" s="116">
        <v>97.8</v>
      </c>
      <c r="E16" s="116">
        <v>99.674999999999997</v>
      </c>
      <c r="F16" s="116">
        <v>196.05</v>
      </c>
      <c r="G16">
        <v>26722</v>
      </c>
      <c r="H16" s="116"/>
      <c r="I16" s="116"/>
      <c r="L16" s="170">
        <v>42023</v>
      </c>
      <c r="M16" s="116">
        <v>98.2</v>
      </c>
      <c r="N16" s="116">
        <v>100.375</v>
      </c>
      <c r="O16" s="116">
        <v>97.95</v>
      </c>
      <c r="P16" s="116">
        <v>99.5</v>
      </c>
      <c r="Q16" s="116">
        <v>196.4</v>
      </c>
      <c r="R16">
        <v>77730</v>
      </c>
    </row>
    <row r="17" spans="1:18" x14ac:dyDescent="0.25">
      <c r="A17" s="170">
        <v>42024</v>
      </c>
      <c r="B17" s="116">
        <v>102.425</v>
      </c>
      <c r="C17" s="116">
        <v>101.125</v>
      </c>
      <c r="D17" s="116">
        <v>98.2</v>
      </c>
      <c r="E17" s="116">
        <v>98.924999999999997</v>
      </c>
      <c r="F17" s="116">
        <v>202.25</v>
      </c>
      <c r="G17">
        <v>25847</v>
      </c>
      <c r="H17" s="116"/>
      <c r="I17" s="116"/>
      <c r="L17" s="170">
        <v>42024</v>
      </c>
      <c r="M17" s="116">
        <v>101.125</v>
      </c>
      <c r="N17" s="116">
        <v>102.72499999999999</v>
      </c>
      <c r="O17" s="116">
        <v>98.25</v>
      </c>
      <c r="P17" s="116">
        <v>98.25</v>
      </c>
      <c r="Q17" s="116">
        <v>202.25</v>
      </c>
      <c r="R17">
        <v>148845</v>
      </c>
    </row>
    <row r="18" spans="1:18" x14ac:dyDescent="0.25">
      <c r="A18" s="170">
        <v>42025</v>
      </c>
      <c r="B18" s="116">
        <v>102</v>
      </c>
      <c r="C18" s="116">
        <v>98.7</v>
      </c>
      <c r="D18" s="116">
        <v>98.25</v>
      </c>
      <c r="E18" s="116">
        <v>101.5</v>
      </c>
      <c r="F18" s="116">
        <v>197.4</v>
      </c>
      <c r="G18">
        <v>19120</v>
      </c>
      <c r="H18" s="116"/>
      <c r="I18" s="116"/>
      <c r="L18" s="170">
        <v>42025</v>
      </c>
      <c r="M18" s="116">
        <v>98.724999999999994</v>
      </c>
      <c r="N18" s="116">
        <v>101.8</v>
      </c>
      <c r="O18" s="116">
        <v>98.125</v>
      </c>
      <c r="P18" s="116">
        <v>101.5</v>
      </c>
      <c r="Q18" s="116">
        <v>197.45</v>
      </c>
      <c r="R18">
        <v>75212</v>
      </c>
    </row>
    <row r="19" spans="1:18" x14ac:dyDescent="0.25">
      <c r="A19" s="170">
        <v>42026</v>
      </c>
      <c r="B19" s="116">
        <v>100.15</v>
      </c>
      <c r="C19" s="116">
        <v>98.65</v>
      </c>
      <c r="D19" s="116">
        <v>98.5</v>
      </c>
      <c r="E19" s="116">
        <v>99.174999999999997</v>
      </c>
      <c r="F19" s="116">
        <v>197.3</v>
      </c>
      <c r="G19">
        <v>10533</v>
      </c>
      <c r="H19" s="116"/>
      <c r="I19" s="116"/>
      <c r="L19" s="170">
        <v>42026</v>
      </c>
      <c r="M19" s="116">
        <v>98.4</v>
      </c>
      <c r="N19" s="116">
        <v>100.25</v>
      </c>
      <c r="O19" s="116">
        <v>98.174999999999997</v>
      </c>
      <c r="P19" s="116">
        <v>98.55</v>
      </c>
      <c r="Q19" s="116">
        <v>196.8</v>
      </c>
      <c r="R19">
        <v>82007</v>
      </c>
    </row>
    <row r="20" spans="1:18" x14ac:dyDescent="0.25">
      <c r="A20" s="170">
        <v>42027</v>
      </c>
      <c r="B20" s="116">
        <v>101.1</v>
      </c>
      <c r="C20" s="116">
        <v>97.85</v>
      </c>
      <c r="D20" s="116">
        <v>97.525000000000006</v>
      </c>
      <c r="E20" s="116">
        <v>99.325000000000003</v>
      </c>
      <c r="F20" s="116">
        <v>195.7</v>
      </c>
      <c r="G20">
        <v>12078</v>
      </c>
      <c r="H20" s="116"/>
      <c r="I20" s="116"/>
      <c r="L20" s="170">
        <v>42027</v>
      </c>
      <c r="M20" s="116">
        <v>97.6</v>
      </c>
      <c r="N20" s="116">
        <v>101.325</v>
      </c>
      <c r="O20" s="116">
        <v>97.075000000000003</v>
      </c>
      <c r="P20" s="116">
        <v>98.25</v>
      </c>
      <c r="Q20" s="116">
        <v>195.2</v>
      </c>
      <c r="R20">
        <v>99837</v>
      </c>
    </row>
    <row r="21" spans="1:18" x14ac:dyDescent="0.25">
      <c r="A21" s="170">
        <v>42031</v>
      </c>
      <c r="B21" s="116">
        <v>99.45</v>
      </c>
      <c r="C21" s="116">
        <v>96.5</v>
      </c>
      <c r="D21" s="116">
        <v>96</v>
      </c>
      <c r="E21" s="116">
        <v>99</v>
      </c>
      <c r="F21" s="116">
        <v>193</v>
      </c>
      <c r="G21">
        <v>12786</v>
      </c>
      <c r="H21" s="116"/>
      <c r="I21" s="116"/>
      <c r="L21" s="170">
        <v>42031</v>
      </c>
      <c r="M21" s="116">
        <v>96.5</v>
      </c>
      <c r="N21" s="116">
        <v>99.85</v>
      </c>
      <c r="O21" s="116">
        <v>95.625</v>
      </c>
      <c r="P21" s="116">
        <v>99.85</v>
      </c>
      <c r="Q21" s="116">
        <v>193</v>
      </c>
      <c r="R21">
        <v>73679</v>
      </c>
    </row>
    <row r="22" spans="1:18" x14ac:dyDescent="0.25">
      <c r="A22" s="170">
        <v>42032</v>
      </c>
      <c r="B22" s="116">
        <v>96.95</v>
      </c>
      <c r="C22" s="116">
        <v>93.95</v>
      </c>
      <c r="D22" s="116">
        <v>93.5</v>
      </c>
      <c r="E22" s="116">
        <v>96</v>
      </c>
      <c r="F22" s="116">
        <v>187.9</v>
      </c>
      <c r="G22">
        <v>25278</v>
      </c>
      <c r="H22" s="116"/>
      <c r="I22" s="116"/>
      <c r="L22" s="170">
        <v>42032</v>
      </c>
      <c r="M22" s="116">
        <v>93.674999999999997</v>
      </c>
      <c r="N22" s="116">
        <v>96.7</v>
      </c>
      <c r="O22" s="116">
        <v>92.8</v>
      </c>
      <c r="P22" s="116">
        <v>96</v>
      </c>
      <c r="Q22" s="116">
        <v>187.35</v>
      </c>
      <c r="R22">
        <v>90393</v>
      </c>
    </row>
    <row r="23" spans="1:18" x14ac:dyDescent="0.25">
      <c r="A23" s="170">
        <v>42033</v>
      </c>
      <c r="B23" s="116">
        <v>94.1</v>
      </c>
      <c r="C23" s="116">
        <v>90.974999999999994</v>
      </c>
      <c r="D23" s="116">
        <v>90.4</v>
      </c>
      <c r="E23" s="116">
        <v>93.825000000000003</v>
      </c>
      <c r="F23" s="116">
        <v>181.95</v>
      </c>
      <c r="G23">
        <v>23988</v>
      </c>
      <c r="H23" s="116"/>
      <c r="I23" s="116"/>
      <c r="L23" s="170">
        <v>42033</v>
      </c>
      <c r="M23" s="116">
        <v>90.75</v>
      </c>
      <c r="N23" s="116">
        <v>94.25</v>
      </c>
      <c r="O23" s="116">
        <v>90.275000000000006</v>
      </c>
      <c r="P23" s="116">
        <v>93.5</v>
      </c>
      <c r="Q23" s="116">
        <v>181.5</v>
      </c>
      <c r="R23">
        <v>95688</v>
      </c>
    </row>
    <row r="24" spans="1:18" x14ac:dyDescent="0.25">
      <c r="A24" s="170">
        <v>42034</v>
      </c>
      <c r="B24" s="116">
        <v>96</v>
      </c>
      <c r="C24" s="116">
        <v>94.95</v>
      </c>
      <c r="D24" s="116">
        <v>90</v>
      </c>
      <c r="E24" s="116">
        <v>91</v>
      </c>
      <c r="F24" s="116">
        <v>189.9</v>
      </c>
      <c r="G24">
        <v>26274</v>
      </c>
      <c r="H24" s="116"/>
      <c r="I24" s="116"/>
      <c r="L24" s="170">
        <v>42034</v>
      </c>
      <c r="M24" s="116">
        <v>95.424999999999997</v>
      </c>
      <c r="N24" s="116">
        <v>96.45</v>
      </c>
      <c r="O24" s="116">
        <v>89.75</v>
      </c>
      <c r="P24" s="116">
        <v>90.95</v>
      </c>
      <c r="Q24" s="116">
        <v>190.85</v>
      </c>
      <c r="R24">
        <v>137503</v>
      </c>
    </row>
    <row r="25" spans="1:18" x14ac:dyDescent="0.25">
      <c r="A25" s="170">
        <v>42037</v>
      </c>
      <c r="B25" s="116">
        <v>97.9</v>
      </c>
      <c r="C25" s="116">
        <v>97.174999999999997</v>
      </c>
      <c r="D25" s="116">
        <v>94.174999999999997</v>
      </c>
      <c r="E25" s="116">
        <v>94.55</v>
      </c>
      <c r="F25" s="116">
        <v>194.35</v>
      </c>
      <c r="G25">
        <v>18889</v>
      </c>
      <c r="H25" s="116"/>
      <c r="I25" s="116"/>
      <c r="L25" s="170">
        <v>42037</v>
      </c>
      <c r="M25" s="116">
        <v>97.025000000000006</v>
      </c>
      <c r="N25" s="116">
        <v>97.875</v>
      </c>
      <c r="O25" s="116">
        <v>94.15</v>
      </c>
      <c r="P25" s="116">
        <v>95.5</v>
      </c>
      <c r="Q25" s="116">
        <v>194.05</v>
      </c>
      <c r="R25">
        <v>77343</v>
      </c>
    </row>
    <row r="26" spans="1:18" x14ac:dyDescent="0.25">
      <c r="A26" s="170">
        <v>42038</v>
      </c>
      <c r="B26" s="116">
        <v>98.724999999999994</v>
      </c>
      <c r="C26" s="116">
        <v>94.575000000000003</v>
      </c>
      <c r="D26" s="116">
        <v>94.3</v>
      </c>
      <c r="E26" s="116">
        <v>97.825000000000003</v>
      </c>
      <c r="F26" s="116">
        <v>189.15</v>
      </c>
      <c r="G26">
        <v>17458</v>
      </c>
      <c r="H26" s="116"/>
      <c r="I26" s="116"/>
      <c r="L26" s="170">
        <v>42038</v>
      </c>
      <c r="M26" s="116">
        <v>94.45</v>
      </c>
      <c r="N26" s="116">
        <v>99</v>
      </c>
      <c r="O26" s="116">
        <v>93.924999999999997</v>
      </c>
      <c r="P26" s="116">
        <v>97</v>
      </c>
      <c r="Q26" s="116">
        <v>188.9</v>
      </c>
      <c r="R26">
        <v>61271</v>
      </c>
    </row>
    <row r="27" spans="1:18" x14ac:dyDescent="0.25">
      <c r="A27" s="170">
        <v>42039</v>
      </c>
      <c r="B27" s="116">
        <v>96.95</v>
      </c>
      <c r="C27" s="116">
        <v>95.6</v>
      </c>
      <c r="D27" s="116">
        <v>94.3</v>
      </c>
      <c r="E27" s="116">
        <v>95.1</v>
      </c>
      <c r="F27" s="116">
        <v>191.2</v>
      </c>
      <c r="G27">
        <v>24654</v>
      </c>
      <c r="H27" s="116"/>
      <c r="I27" s="116"/>
      <c r="L27" s="170">
        <v>42039</v>
      </c>
      <c r="M27" s="116">
        <v>95.575000000000003</v>
      </c>
      <c r="N27" s="116">
        <v>96.7</v>
      </c>
      <c r="O27" s="116">
        <v>94.3</v>
      </c>
      <c r="P27" s="116">
        <v>95</v>
      </c>
      <c r="Q27" s="116">
        <v>191.15</v>
      </c>
      <c r="R27">
        <v>118103</v>
      </c>
    </row>
    <row r="28" spans="1:18" x14ac:dyDescent="0.25">
      <c r="A28" s="170">
        <v>42040</v>
      </c>
      <c r="B28" s="116">
        <v>102.875</v>
      </c>
      <c r="C28" s="116">
        <v>96.525000000000006</v>
      </c>
      <c r="D28" s="116">
        <v>95.5</v>
      </c>
      <c r="E28" s="116">
        <v>97.55</v>
      </c>
      <c r="F28" s="116">
        <v>193.05</v>
      </c>
      <c r="G28">
        <v>162472</v>
      </c>
      <c r="H28" s="116"/>
      <c r="I28" s="116"/>
      <c r="L28" s="170">
        <v>42040</v>
      </c>
      <c r="M28" s="116">
        <v>96.875</v>
      </c>
      <c r="N28" s="116">
        <v>102.95</v>
      </c>
      <c r="O28" s="116">
        <v>96</v>
      </c>
      <c r="P28" s="116">
        <v>99.75</v>
      </c>
      <c r="Q28" s="116">
        <v>193.75</v>
      </c>
      <c r="R28">
        <v>599469</v>
      </c>
    </row>
    <row r="29" spans="1:18" x14ac:dyDescent="0.25">
      <c r="A29" s="170">
        <v>42041</v>
      </c>
      <c r="B29" s="116">
        <v>97.2</v>
      </c>
      <c r="C29" s="116">
        <v>94.6</v>
      </c>
      <c r="D29" s="116">
        <v>93.55</v>
      </c>
      <c r="E29" s="116">
        <v>96.25</v>
      </c>
      <c r="F29" s="116">
        <v>189.2</v>
      </c>
      <c r="G29">
        <v>22479</v>
      </c>
      <c r="H29" s="116"/>
      <c r="I29" s="116"/>
      <c r="L29" s="170">
        <v>42041</v>
      </c>
      <c r="M29" s="116">
        <v>94.85</v>
      </c>
      <c r="N29" s="116">
        <v>97.5</v>
      </c>
      <c r="O29" s="116">
        <v>93.75</v>
      </c>
      <c r="P29" s="116">
        <v>97.5</v>
      </c>
      <c r="Q29" s="116">
        <v>189.7</v>
      </c>
      <c r="R29">
        <v>134093</v>
      </c>
    </row>
    <row r="30" spans="1:18" x14ac:dyDescent="0.25">
      <c r="A30" s="170">
        <v>42044</v>
      </c>
      <c r="B30" s="116">
        <v>93.5</v>
      </c>
      <c r="C30" s="116">
        <v>91.174999999999997</v>
      </c>
      <c r="D30" s="116">
        <v>90.625</v>
      </c>
      <c r="E30" s="116">
        <v>93.5</v>
      </c>
      <c r="F30" s="116">
        <v>182.35</v>
      </c>
      <c r="G30">
        <v>12909</v>
      </c>
      <c r="H30" s="116"/>
      <c r="I30" s="116"/>
      <c r="L30" s="170">
        <v>42044</v>
      </c>
      <c r="M30" s="116">
        <v>90.875</v>
      </c>
      <c r="N30" s="116">
        <v>94.5</v>
      </c>
      <c r="O30" s="116">
        <v>90.55</v>
      </c>
      <c r="P30" s="116">
        <v>94.5</v>
      </c>
      <c r="Q30" s="116">
        <v>181.75</v>
      </c>
      <c r="R30">
        <v>52996</v>
      </c>
    </row>
    <row r="31" spans="1:18" x14ac:dyDescent="0.25">
      <c r="A31" s="170">
        <v>42045</v>
      </c>
      <c r="B31" s="116">
        <v>92</v>
      </c>
      <c r="C31" s="116">
        <v>91.025000000000006</v>
      </c>
      <c r="D31" s="116">
        <v>90</v>
      </c>
      <c r="E31" s="116">
        <v>90.025000000000006</v>
      </c>
      <c r="F31" s="116">
        <v>182.05</v>
      </c>
      <c r="G31">
        <v>14642</v>
      </c>
      <c r="H31" s="116"/>
      <c r="I31" s="116"/>
      <c r="L31" s="170">
        <v>42045</v>
      </c>
      <c r="M31" s="116">
        <v>91.05</v>
      </c>
      <c r="N31" s="116">
        <v>92.174999999999997</v>
      </c>
      <c r="O31" s="116">
        <v>89.775000000000006</v>
      </c>
      <c r="P31" s="116">
        <v>90.7</v>
      </c>
      <c r="Q31" s="116">
        <v>182.1</v>
      </c>
      <c r="R31">
        <v>65501</v>
      </c>
    </row>
    <row r="32" spans="1:18" x14ac:dyDescent="0.25">
      <c r="A32" s="170">
        <v>42046</v>
      </c>
      <c r="B32" s="116">
        <v>94.05</v>
      </c>
      <c r="C32" s="116">
        <v>92.6</v>
      </c>
      <c r="D32" s="116">
        <v>91.474999999999994</v>
      </c>
      <c r="E32" s="116">
        <v>92.424999999999997</v>
      </c>
      <c r="F32" s="116">
        <v>185.2</v>
      </c>
      <c r="G32">
        <v>14217</v>
      </c>
      <c r="H32" s="116"/>
      <c r="I32" s="116"/>
      <c r="L32" s="170">
        <v>42046</v>
      </c>
      <c r="M32" s="116">
        <v>92.075000000000003</v>
      </c>
      <c r="N32" s="116">
        <v>93.575000000000003</v>
      </c>
      <c r="O32" s="116">
        <v>91</v>
      </c>
      <c r="P32" s="116">
        <v>91</v>
      </c>
      <c r="Q32" s="116">
        <v>184.15</v>
      </c>
      <c r="R32">
        <v>60406</v>
      </c>
    </row>
    <row r="33" spans="1:18" x14ac:dyDescent="0.25">
      <c r="A33" s="170">
        <v>42047</v>
      </c>
      <c r="B33" s="116">
        <v>100.9</v>
      </c>
      <c r="C33" s="116">
        <v>99.375</v>
      </c>
      <c r="D33" s="116">
        <v>92.375</v>
      </c>
      <c r="E33" s="116">
        <v>95</v>
      </c>
      <c r="F33" s="116">
        <v>198.75</v>
      </c>
      <c r="G33">
        <v>54399</v>
      </c>
      <c r="H33" s="116"/>
      <c r="I33" s="116"/>
      <c r="L33" s="170">
        <v>42047</v>
      </c>
      <c r="M33" s="116">
        <v>99.5</v>
      </c>
      <c r="N33" s="116">
        <v>101.175</v>
      </c>
      <c r="O33" s="116">
        <v>92.1</v>
      </c>
      <c r="P33" s="116">
        <v>92.35</v>
      </c>
      <c r="Q33" s="116">
        <v>199</v>
      </c>
      <c r="R33">
        <v>260214</v>
      </c>
    </row>
    <row r="34" spans="1:18" x14ac:dyDescent="0.25">
      <c r="A34" s="170">
        <v>42048</v>
      </c>
      <c r="B34" s="116">
        <v>102.5</v>
      </c>
      <c r="C34" s="116">
        <v>97.3</v>
      </c>
      <c r="D34" s="116">
        <v>96.55</v>
      </c>
      <c r="E34" s="116">
        <v>101.25</v>
      </c>
      <c r="F34" s="116">
        <v>194.6</v>
      </c>
      <c r="G34">
        <v>25779</v>
      </c>
      <c r="H34" s="116"/>
      <c r="I34" s="116"/>
      <c r="L34" s="170">
        <v>42048</v>
      </c>
      <c r="M34" s="116">
        <v>96.974999999999994</v>
      </c>
      <c r="N34" s="116">
        <v>102.35</v>
      </c>
      <c r="O34" s="116">
        <v>96.3</v>
      </c>
      <c r="P34" s="116">
        <v>100.9</v>
      </c>
      <c r="Q34" s="116">
        <v>193.95</v>
      </c>
      <c r="R34">
        <v>108856</v>
      </c>
    </row>
    <row r="35" spans="1:18" x14ac:dyDescent="0.25">
      <c r="A35" s="170">
        <v>42051</v>
      </c>
      <c r="B35" s="116">
        <v>98</v>
      </c>
      <c r="C35" s="116">
        <v>95.375</v>
      </c>
      <c r="D35" s="116">
        <v>94.5</v>
      </c>
      <c r="E35" s="116">
        <v>97.45</v>
      </c>
      <c r="F35" s="116">
        <v>190.75</v>
      </c>
      <c r="G35">
        <v>10256</v>
      </c>
      <c r="H35" s="116"/>
      <c r="I35" s="116"/>
      <c r="L35" s="170">
        <v>42051</v>
      </c>
      <c r="M35" s="116">
        <v>95.35</v>
      </c>
      <c r="N35" s="116">
        <v>98.15</v>
      </c>
      <c r="O35" s="116">
        <v>94.25</v>
      </c>
      <c r="P35" s="116">
        <v>97.25</v>
      </c>
      <c r="Q35" s="116">
        <v>190.7</v>
      </c>
      <c r="R35">
        <v>62869</v>
      </c>
    </row>
    <row r="36" spans="1:18" x14ac:dyDescent="0.25">
      <c r="A36" s="170">
        <v>42053</v>
      </c>
      <c r="B36" s="116">
        <v>99.2</v>
      </c>
      <c r="C36" s="116">
        <v>97.625</v>
      </c>
      <c r="D36" s="116">
        <v>95.575000000000003</v>
      </c>
      <c r="E36" s="116">
        <v>96</v>
      </c>
      <c r="F36" s="116">
        <v>195.25</v>
      </c>
      <c r="G36">
        <v>29001</v>
      </c>
      <c r="H36" s="116"/>
      <c r="I36" s="116"/>
      <c r="L36" s="170">
        <v>42053</v>
      </c>
      <c r="M36" s="116">
        <v>97.474999999999994</v>
      </c>
      <c r="N36" s="116">
        <v>99.325000000000003</v>
      </c>
      <c r="O36" s="116">
        <v>95.375</v>
      </c>
      <c r="P36" s="116">
        <v>96</v>
      </c>
      <c r="Q36" s="116">
        <v>194.95</v>
      </c>
      <c r="R36">
        <v>110708</v>
      </c>
    </row>
    <row r="37" spans="1:18" x14ac:dyDescent="0.25">
      <c r="A37" s="170">
        <v>42054</v>
      </c>
      <c r="B37" s="116">
        <v>98.95</v>
      </c>
      <c r="C37" s="116">
        <v>95.75</v>
      </c>
      <c r="D37" s="116">
        <v>95.075000000000003</v>
      </c>
      <c r="E37" s="116">
        <v>97.424999999999997</v>
      </c>
      <c r="F37" s="116">
        <v>191.5</v>
      </c>
      <c r="G37">
        <v>7693</v>
      </c>
      <c r="H37" s="116"/>
      <c r="I37" s="116"/>
      <c r="L37" s="170">
        <v>42054</v>
      </c>
      <c r="M37" s="116">
        <v>95.85</v>
      </c>
      <c r="N37" s="116">
        <v>99</v>
      </c>
      <c r="O37" s="116">
        <v>95</v>
      </c>
      <c r="P37" s="116">
        <v>96.55</v>
      </c>
      <c r="Q37" s="116">
        <v>191.7</v>
      </c>
      <c r="R37">
        <v>62126</v>
      </c>
    </row>
    <row r="38" spans="1:18" x14ac:dyDescent="0.25">
      <c r="A38" s="170">
        <v>42055</v>
      </c>
      <c r="B38" s="116">
        <v>96.75</v>
      </c>
      <c r="C38" s="116">
        <v>95.625</v>
      </c>
      <c r="D38" s="116">
        <v>95.35</v>
      </c>
      <c r="E38" s="116">
        <v>96.2</v>
      </c>
      <c r="F38" s="116">
        <v>191.25</v>
      </c>
      <c r="G38">
        <v>6714</v>
      </c>
      <c r="H38" s="116"/>
      <c r="I38" s="116"/>
      <c r="L38" s="170">
        <v>42055</v>
      </c>
      <c r="M38" s="116">
        <v>95.9</v>
      </c>
      <c r="N38" s="116">
        <v>97.075000000000003</v>
      </c>
      <c r="O38" s="116">
        <v>95.5</v>
      </c>
      <c r="P38" s="116">
        <v>95.575000000000003</v>
      </c>
      <c r="Q38" s="116">
        <v>191.8</v>
      </c>
      <c r="R38">
        <v>61438</v>
      </c>
    </row>
    <row r="39" spans="1:18" x14ac:dyDescent="0.25">
      <c r="A39" s="170">
        <v>42058</v>
      </c>
      <c r="B39" s="116">
        <v>97.25</v>
      </c>
      <c r="C39" s="116">
        <v>95.075000000000003</v>
      </c>
      <c r="D39" s="116">
        <v>94.825000000000003</v>
      </c>
      <c r="E39" s="116">
        <v>96.5</v>
      </c>
      <c r="F39" s="116">
        <v>190.15</v>
      </c>
      <c r="G39">
        <v>6370</v>
      </c>
      <c r="H39" s="116"/>
      <c r="I39" s="116"/>
      <c r="L39" s="170">
        <v>42058</v>
      </c>
      <c r="M39" s="116">
        <v>95.325000000000003</v>
      </c>
      <c r="N39" s="116">
        <v>97.2</v>
      </c>
      <c r="O39" s="116">
        <v>95</v>
      </c>
      <c r="P39" s="116">
        <v>96.85</v>
      </c>
      <c r="Q39" s="116">
        <v>190.65</v>
      </c>
      <c r="R39">
        <v>36180</v>
      </c>
    </row>
    <row r="40" spans="1:18" x14ac:dyDescent="0.25">
      <c r="A40" s="170">
        <v>42059</v>
      </c>
      <c r="B40" s="116">
        <v>97.25</v>
      </c>
      <c r="C40" s="116">
        <v>94.875</v>
      </c>
      <c r="D40" s="116">
        <v>94.55</v>
      </c>
      <c r="E40" s="116">
        <v>96</v>
      </c>
      <c r="F40" s="116">
        <v>189.75</v>
      </c>
      <c r="G40">
        <v>5457</v>
      </c>
      <c r="H40" s="116"/>
      <c r="I40" s="116"/>
      <c r="L40" s="170">
        <v>42059</v>
      </c>
      <c r="M40" s="116">
        <v>94.95</v>
      </c>
      <c r="N40" s="116">
        <v>97.325000000000003</v>
      </c>
      <c r="O40" s="116">
        <v>94.5</v>
      </c>
      <c r="P40" s="116">
        <v>96.2</v>
      </c>
      <c r="Q40" s="116">
        <v>189.9</v>
      </c>
      <c r="R40">
        <v>63188</v>
      </c>
    </row>
    <row r="41" spans="1:18" x14ac:dyDescent="0.25">
      <c r="A41" s="170">
        <v>42060</v>
      </c>
      <c r="B41" s="116">
        <v>96.525000000000006</v>
      </c>
      <c r="C41" s="116">
        <v>93.724999999999994</v>
      </c>
      <c r="D41" s="116">
        <v>93.25</v>
      </c>
      <c r="E41" s="116">
        <v>96.525000000000006</v>
      </c>
      <c r="F41" s="116">
        <v>187.45</v>
      </c>
      <c r="G41">
        <v>9146</v>
      </c>
      <c r="H41" s="116"/>
      <c r="I41" s="116"/>
      <c r="L41" s="170">
        <v>42060</v>
      </c>
      <c r="M41" s="116">
        <v>93.875</v>
      </c>
      <c r="N41" s="116">
        <v>96.75</v>
      </c>
      <c r="O41" s="116">
        <v>93.5</v>
      </c>
      <c r="P41" s="116">
        <v>95</v>
      </c>
      <c r="Q41" s="116">
        <v>187.75</v>
      </c>
      <c r="R41">
        <v>42175</v>
      </c>
    </row>
    <row r="42" spans="1:18" x14ac:dyDescent="0.25">
      <c r="A42" s="170">
        <v>42061</v>
      </c>
      <c r="B42" s="116">
        <v>96.85</v>
      </c>
      <c r="C42" s="116">
        <v>95.525000000000006</v>
      </c>
      <c r="D42" s="116">
        <v>92.5</v>
      </c>
      <c r="E42" s="116">
        <v>93.724999999999994</v>
      </c>
      <c r="F42" s="116">
        <v>191.05</v>
      </c>
      <c r="G42">
        <v>15748</v>
      </c>
      <c r="H42" s="116"/>
      <c r="I42" s="116"/>
      <c r="L42" s="170">
        <v>42061</v>
      </c>
      <c r="M42" s="116">
        <v>95.775000000000006</v>
      </c>
      <c r="N42" s="116">
        <v>97.5</v>
      </c>
      <c r="O42" s="116">
        <v>92.525000000000006</v>
      </c>
      <c r="P42" s="116">
        <v>94</v>
      </c>
      <c r="Q42" s="116">
        <v>191.55</v>
      </c>
      <c r="R42">
        <v>82015</v>
      </c>
    </row>
    <row r="43" spans="1:18" x14ac:dyDescent="0.25">
      <c r="A43" s="170">
        <v>42062</v>
      </c>
      <c r="B43" s="116">
        <v>96</v>
      </c>
      <c r="C43" s="116">
        <v>95.5</v>
      </c>
      <c r="D43" s="116">
        <v>93.8</v>
      </c>
      <c r="E43" s="116">
        <v>95.95</v>
      </c>
      <c r="F43" s="116">
        <v>191</v>
      </c>
      <c r="G43">
        <v>7735</v>
      </c>
      <c r="H43" s="116"/>
      <c r="I43" s="116"/>
      <c r="L43" s="170">
        <v>42062</v>
      </c>
      <c r="M43" s="116">
        <v>95.6</v>
      </c>
      <c r="N43" s="116">
        <v>97.375</v>
      </c>
      <c r="O43" s="116">
        <v>93.75</v>
      </c>
      <c r="P43" s="116">
        <v>97.375</v>
      </c>
      <c r="Q43" s="116">
        <v>191.2</v>
      </c>
      <c r="R43">
        <v>49757</v>
      </c>
    </row>
    <row r="44" spans="1:18" x14ac:dyDescent="0.25">
      <c r="A44" s="170">
        <v>42063</v>
      </c>
      <c r="B44" s="116">
        <v>96.325000000000003</v>
      </c>
      <c r="C44" s="116">
        <v>94.3</v>
      </c>
      <c r="D44" s="116">
        <v>93.7</v>
      </c>
      <c r="E44" s="116">
        <v>96.2</v>
      </c>
      <c r="F44" s="116">
        <v>188.6</v>
      </c>
      <c r="G44">
        <v>8624</v>
      </c>
      <c r="H44" s="116"/>
      <c r="I44" s="116"/>
      <c r="L44" s="170">
        <v>42063</v>
      </c>
      <c r="M44" s="116">
        <v>94.174999999999997</v>
      </c>
      <c r="N44" s="116">
        <v>96.424999999999997</v>
      </c>
      <c r="O44" s="116">
        <v>93.55</v>
      </c>
      <c r="P44" s="116">
        <v>96</v>
      </c>
      <c r="Q44" s="116">
        <v>188.35</v>
      </c>
      <c r="R44">
        <v>31495</v>
      </c>
    </row>
    <row r="45" spans="1:18" x14ac:dyDescent="0.25">
      <c r="A45" s="170">
        <v>42065</v>
      </c>
      <c r="B45" s="116">
        <v>94.625</v>
      </c>
      <c r="C45" s="116">
        <v>94.25</v>
      </c>
      <c r="D45" s="116">
        <v>92.5</v>
      </c>
      <c r="E45" s="116">
        <v>94.575000000000003</v>
      </c>
      <c r="F45" s="116">
        <v>188.5</v>
      </c>
      <c r="G45">
        <v>18250</v>
      </c>
      <c r="H45" s="116"/>
      <c r="I45" s="116"/>
      <c r="L45" s="170">
        <v>42065</v>
      </c>
      <c r="M45" s="116">
        <v>94.3</v>
      </c>
      <c r="N45" s="116">
        <v>95.125</v>
      </c>
      <c r="O45" s="116">
        <v>92.85</v>
      </c>
      <c r="P45" s="116">
        <v>94.8</v>
      </c>
      <c r="Q45" s="116">
        <v>188.6</v>
      </c>
      <c r="R45">
        <v>71245</v>
      </c>
    </row>
    <row r="46" spans="1:18" x14ac:dyDescent="0.25">
      <c r="A46" s="170">
        <v>42066</v>
      </c>
      <c r="B46" s="116">
        <v>96.75</v>
      </c>
      <c r="C46" s="116">
        <v>95.1</v>
      </c>
      <c r="D46" s="116">
        <v>94</v>
      </c>
      <c r="E46" s="116">
        <v>94.7</v>
      </c>
      <c r="F46" s="116">
        <v>190.2</v>
      </c>
      <c r="G46">
        <v>19127</v>
      </c>
      <c r="H46" s="116"/>
      <c r="I46" s="116"/>
      <c r="L46" s="170">
        <v>42066</v>
      </c>
      <c r="M46" s="116">
        <v>95.35</v>
      </c>
      <c r="N46" s="116">
        <v>96.65</v>
      </c>
      <c r="O46" s="116">
        <v>93.8</v>
      </c>
      <c r="P46" s="116">
        <v>94.5</v>
      </c>
      <c r="Q46" s="116">
        <v>190.7</v>
      </c>
      <c r="R46">
        <v>52446</v>
      </c>
    </row>
    <row r="47" spans="1:18" x14ac:dyDescent="0.25">
      <c r="A47" s="170">
        <v>42067</v>
      </c>
      <c r="B47" s="116">
        <v>96.2</v>
      </c>
      <c r="C47" s="116">
        <v>93.25</v>
      </c>
      <c r="D47" s="116">
        <v>93</v>
      </c>
      <c r="E47" s="116">
        <v>96</v>
      </c>
      <c r="F47" s="116">
        <v>186.5</v>
      </c>
      <c r="G47">
        <v>9676</v>
      </c>
      <c r="H47" s="116"/>
      <c r="I47" s="116"/>
      <c r="L47" s="170">
        <v>42067</v>
      </c>
      <c r="M47" s="116">
        <v>93.2</v>
      </c>
      <c r="N47" s="116">
        <v>96.3</v>
      </c>
      <c r="O47" s="116">
        <v>93</v>
      </c>
      <c r="P47" s="116">
        <v>96.3</v>
      </c>
      <c r="Q47" s="116">
        <v>186.4</v>
      </c>
      <c r="R47">
        <v>56567</v>
      </c>
    </row>
    <row r="48" spans="1:18" x14ac:dyDescent="0.25">
      <c r="A48" s="170">
        <v>42068</v>
      </c>
      <c r="B48" s="116">
        <v>100.5</v>
      </c>
      <c r="C48" s="116">
        <v>98.424999999999997</v>
      </c>
      <c r="D48" s="116">
        <v>91.3</v>
      </c>
      <c r="E48" s="116">
        <v>93.25</v>
      </c>
      <c r="F48" s="116">
        <v>196.85</v>
      </c>
      <c r="G48">
        <v>68242</v>
      </c>
      <c r="H48" s="116"/>
      <c r="I48" s="116"/>
      <c r="L48" s="170">
        <v>42068</v>
      </c>
      <c r="M48" s="116">
        <v>98.674999999999997</v>
      </c>
      <c r="N48" s="116">
        <v>100.9</v>
      </c>
      <c r="O48" s="116">
        <v>91.15</v>
      </c>
      <c r="P48" s="116">
        <v>93.2</v>
      </c>
      <c r="Q48" s="116">
        <v>197.35</v>
      </c>
      <c r="R48">
        <v>300900</v>
      </c>
    </row>
    <row r="49" spans="1:18" x14ac:dyDescent="0.25">
      <c r="A49" s="170">
        <v>42072</v>
      </c>
      <c r="B49" s="116">
        <v>98.674999999999997</v>
      </c>
      <c r="C49" s="116">
        <v>95.174999999999997</v>
      </c>
      <c r="D49" s="116">
        <v>95</v>
      </c>
      <c r="E49" s="116">
        <v>98.375</v>
      </c>
      <c r="F49" s="116">
        <v>190.35</v>
      </c>
      <c r="G49">
        <v>16383</v>
      </c>
      <c r="H49" s="116"/>
      <c r="I49" s="116"/>
      <c r="L49" s="170">
        <v>42072</v>
      </c>
      <c r="M49" s="116">
        <v>95.3</v>
      </c>
      <c r="N49" s="116">
        <v>98.7</v>
      </c>
      <c r="O49" s="116">
        <v>95.05</v>
      </c>
      <c r="P49" s="116">
        <v>98</v>
      </c>
      <c r="Q49" s="116">
        <v>190.6</v>
      </c>
      <c r="R49">
        <v>74574</v>
      </c>
    </row>
    <row r="50" spans="1:18" x14ac:dyDescent="0.25">
      <c r="A50" s="170">
        <v>42073</v>
      </c>
      <c r="B50" s="116">
        <v>97.3</v>
      </c>
      <c r="C50" s="116">
        <v>93.924999999999997</v>
      </c>
      <c r="D50" s="116">
        <v>93.325000000000003</v>
      </c>
      <c r="E50" s="116">
        <v>95.2</v>
      </c>
      <c r="F50" s="116">
        <v>187.85</v>
      </c>
      <c r="G50">
        <v>13379</v>
      </c>
      <c r="H50" s="116"/>
      <c r="I50" s="116"/>
      <c r="L50" s="170">
        <v>42073</v>
      </c>
      <c r="M50" s="116">
        <v>93.85</v>
      </c>
      <c r="N50" s="116">
        <v>97.224999999999994</v>
      </c>
      <c r="O50" s="116">
        <v>93.325000000000003</v>
      </c>
      <c r="P50" s="116">
        <v>94.05</v>
      </c>
      <c r="Q50" s="116">
        <v>187.7</v>
      </c>
      <c r="R50">
        <v>70744</v>
      </c>
    </row>
    <row r="51" spans="1:18" x14ac:dyDescent="0.25">
      <c r="A51" s="170">
        <v>42074</v>
      </c>
      <c r="B51" s="116">
        <v>96</v>
      </c>
      <c r="C51" s="116">
        <v>94.424999999999997</v>
      </c>
      <c r="D51" s="116">
        <v>93.7</v>
      </c>
      <c r="E51" s="116">
        <v>95.625</v>
      </c>
      <c r="F51" s="116">
        <v>188.85</v>
      </c>
      <c r="G51">
        <v>10015</v>
      </c>
      <c r="H51" s="116"/>
      <c r="I51" s="116"/>
      <c r="L51" s="170">
        <v>42074</v>
      </c>
      <c r="M51" s="116">
        <v>94.5</v>
      </c>
      <c r="N51" s="116">
        <v>96.4</v>
      </c>
      <c r="O51" s="116">
        <v>94</v>
      </c>
      <c r="P51" s="116">
        <v>94.4</v>
      </c>
      <c r="Q51" s="116">
        <v>189</v>
      </c>
      <c r="R51">
        <v>51064</v>
      </c>
    </row>
    <row r="52" spans="1:18" x14ac:dyDescent="0.25">
      <c r="A52" s="170">
        <v>42075</v>
      </c>
      <c r="B52" s="116">
        <v>98.075000000000003</v>
      </c>
      <c r="C52" s="116">
        <v>96.1</v>
      </c>
      <c r="D52" s="116">
        <v>94.325000000000003</v>
      </c>
      <c r="E52" s="116">
        <v>95.1</v>
      </c>
      <c r="F52" s="116">
        <v>192.2</v>
      </c>
      <c r="G52">
        <v>43809</v>
      </c>
      <c r="H52" s="116"/>
      <c r="I52" s="116"/>
      <c r="L52" s="170">
        <v>42075</v>
      </c>
      <c r="M52" s="116">
        <v>96.15</v>
      </c>
      <c r="N52" s="116">
        <v>98.224999999999994</v>
      </c>
      <c r="O52" s="116">
        <v>94.474999999999994</v>
      </c>
      <c r="P52" s="116">
        <v>95.125</v>
      </c>
      <c r="Q52" s="116">
        <v>192.3</v>
      </c>
      <c r="R52">
        <v>102717</v>
      </c>
    </row>
    <row r="53" spans="1:18" x14ac:dyDescent="0.25">
      <c r="A53" s="170">
        <v>42076</v>
      </c>
      <c r="B53" s="116">
        <v>98</v>
      </c>
      <c r="C53" s="116">
        <v>94.7</v>
      </c>
      <c r="D53" s="116">
        <v>94.6</v>
      </c>
      <c r="E53" s="116">
        <v>96</v>
      </c>
      <c r="F53" s="116">
        <v>189.4</v>
      </c>
      <c r="G53">
        <v>30532</v>
      </c>
      <c r="H53" s="116"/>
      <c r="I53" s="116"/>
      <c r="L53" s="170">
        <v>42076</v>
      </c>
      <c r="M53" s="116">
        <v>94.625</v>
      </c>
      <c r="N53" s="116">
        <v>97.9</v>
      </c>
      <c r="O53" s="116">
        <v>94.5</v>
      </c>
      <c r="P53" s="116">
        <v>96.974999999999994</v>
      </c>
      <c r="Q53" s="116">
        <v>189.25</v>
      </c>
      <c r="R53">
        <v>85898</v>
      </c>
    </row>
    <row r="54" spans="1:18" x14ac:dyDescent="0.25">
      <c r="A54" s="170">
        <v>42079</v>
      </c>
      <c r="B54" s="116">
        <v>105.5</v>
      </c>
      <c r="C54" s="116">
        <v>103.47499999999999</v>
      </c>
      <c r="D54" s="116">
        <v>95.5</v>
      </c>
      <c r="E54" s="116">
        <v>95.625</v>
      </c>
      <c r="F54" s="116">
        <v>206.95</v>
      </c>
      <c r="G54">
        <v>151805</v>
      </c>
      <c r="H54" s="116"/>
      <c r="I54" s="116"/>
      <c r="L54" s="170">
        <v>42079</v>
      </c>
      <c r="M54" s="116">
        <v>103.575</v>
      </c>
      <c r="N54" s="116">
        <v>105.9</v>
      </c>
      <c r="O54" s="116">
        <v>94.5</v>
      </c>
      <c r="P54" s="116">
        <v>95.2</v>
      </c>
      <c r="Q54" s="116">
        <v>207.15</v>
      </c>
      <c r="R54">
        <v>667062</v>
      </c>
    </row>
    <row r="55" spans="1:18" x14ac:dyDescent="0.25">
      <c r="A55" s="170">
        <v>42080</v>
      </c>
      <c r="B55" s="116">
        <v>112.2</v>
      </c>
      <c r="C55" s="116">
        <v>108.45</v>
      </c>
      <c r="D55" s="116">
        <v>105.5</v>
      </c>
      <c r="E55" s="116">
        <v>106.65</v>
      </c>
      <c r="F55" s="116">
        <v>216.9</v>
      </c>
      <c r="G55">
        <v>212110</v>
      </c>
      <c r="H55" s="116"/>
      <c r="I55" s="116"/>
      <c r="L55" s="170">
        <v>42080</v>
      </c>
      <c r="M55" s="116">
        <v>108.325</v>
      </c>
      <c r="N55" s="116">
        <v>112.25</v>
      </c>
      <c r="O55" s="116">
        <v>105.25</v>
      </c>
      <c r="P55" s="116">
        <v>107.15</v>
      </c>
      <c r="Q55" s="116">
        <v>216.65</v>
      </c>
      <c r="R55">
        <v>991204</v>
      </c>
    </row>
    <row r="56" spans="1:18" x14ac:dyDescent="0.25">
      <c r="A56" s="170">
        <v>42081</v>
      </c>
      <c r="B56" s="116">
        <v>108.825</v>
      </c>
      <c r="C56" s="116">
        <v>101.6</v>
      </c>
      <c r="D56" s="116">
        <v>101</v>
      </c>
      <c r="E56" s="116">
        <v>108.825</v>
      </c>
      <c r="F56" s="116">
        <v>203.2</v>
      </c>
      <c r="G56">
        <v>103705</v>
      </c>
      <c r="H56" s="116"/>
      <c r="I56" s="116"/>
      <c r="L56" s="170">
        <v>42081</v>
      </c>
      <c r="M56" s="116">
        <v>101.77500000000001</v>
      </c>
      <c r="N56" s="116">
        <v>108.95</v>
      </c>
      <c r="O56" s="116">
        <v>101.2</v>
      </c>
      <c r="P56" s="116">
        <v>108.5</v>
      </c>
      <c r="Q56" s="116">
        <v>203.55</v>
      </c>
      <c r="R56">
        <v>297793</v>
      </c>
    </row>
    <row r="57" spans="1:18" x14ac:dyDescent="0.25">
      <c r="A57" s="170">
        <v>42082</v>
      </c>
      <c r="B57" s="116">
        <v>107.15</v>
      </c>
      <c r="C57" s="116">
        <v>104.02500000000001</v>
      </c>
      <c r="D57" s="116">
        <v>102.55</v>
      </c>
      <c r="E57" s="116">
        <v>102.95</v>
      </c>
      <c r="F57" s="116">
        <v>208.05</v>
      </c>
      <c r="G57">
        <v>79527</v>
      </c>
      <c r="H57" s="116"/>
      <c r="I57" s="116"/>
      <c r="L57" s="170">
        <v>42082</v>
      </c>
      <c r="M57" s="116">
        <v>104.2</v>
      </c>
      <c r="N57" s="116">
        <v>107.3</v>
      </c>
      <c r="O57" s="116">
        <v>102.6</v>
      </c>
      <c r="P57" s="116">
        <v>103.45</v>
      </c>
      <c r="Q57" s="116">
        <v>208.4</v>
      </c>
      <c r="R57">
        <v>303452</v>
      </c>
    </row>
    <row r="58" spans="1:18" x14ac:dyDescent="0.25">
      <c r="A58" s="170">
        <v>42083</v>
      </c>
      <c r="B58" s="116">
        <v>104.8</v>
      </c>
      <c r="C58" s="116">
        <v>101.2</v>
      </c>
      <c r="D58" s="116">
        <v>100.55</v>
      </c>
      <c r="E58" s="116">
        <v>103.65</v>
      </c>
      <c r="F58" s="116">
        <v>202.4</v>
      </c>
      <c r="G58">
        <v>33579</v>
      </c>
      <c r="H58" s="116"/>
      <c r="I58" s="116"/>
      <c r="L58" s="170">
        <v>42083</v>
      </c>
      <c r="M58" s="116">
        <v>101.27500000000001</v>
      </c>
      <c r="N58" s="116">
        <v>104.825</v>
      </c>
      <c r="O58" s="116">
        <v>100.52500000000001</v>
      </c>
      <c r="P58" s="116">
        <v>104.02500000000001</v>
      </c>
      <c r="Q58" s="116">
        <v>202.55</v>
      </c>
      <c r="R58">
        <v>122439</v>
      </c>
    </row>
    <row r="59" spans="1:18" x14ac:dyDescent="0.25">
      <c r="A59" s="170">
        <v>42086</v>
      </c>
      <c r="B59" s="116">
        <v>102.8</v>
      </c>
      <c r="C59" s="116">
        <v>96.2</v>
      </c>
      <c r="D59" s="116">
        <v>95.674999999999997</v>
      </c>
      <c r="E59" s="116">
        <v>101</v>
      </c>
      <c r="F59" s="116">
        <v>192.4</v>
      </c>
      <c r="G59">
        <v>37249</v>
      </c>
      <c r="H59" s="116"/>
      <c r="I59" s="116"/>
      <c r="L59" s="170">
        <v>42086</v>
      </c>
      <c r="M59" s="116">
        <v>96.575000000000003</v>
      </c>
      <c r="N59" s="116">
        <v>102.65</v>
      </c>
      <c r="O59" s="116">
        <v>96.075000000000003</v>
      </c>
      <c r="P59" s="116">
        <v>101.5</v>
      </c>
      <c r="Q59" s="116">
        <v>193.15</v>
      </c>
      <c r="R59">
        <v>142463</v>
      </c>
    </row>
    <row r="60" spans="1:18" x14ac:dyDescent="0.25">
      <c r="A60" s="170">
        <v>42087</v>
      </c>
      <c r="B60" s="116">
        <v>98.075000000000003</v>
      </c>
      <c r="C60" s="116">
        <v>96.174999999999997</v>
      </c>
      <c r="D60" s="116">
        <v>95.65</v>
      </c>
      <c r="E60" s="116">
        <v>97.224999999999994</v>
      </c>
      <c r="F60" s="116">
        <v>192.35</v>
      </c>
      <c r="G60">
        <v>36164</v>
      </c>
      <c r="H60" s="116"/>
      <c r="I60" s="116"/>
      <c r="L60" s="170">
        <v>42087</v>
      </c>
      <c r="M60" s="116">
        <v>95.775000000000006</v>
      </c>
      <c r="N60" s="116">
        <v>98.224999999999994</v>
      </c>
      <c r="O60" s="116">
        <v>95.325000000000003</v>
      </c>
      <c r="P60" s="116">
        <v>96.95</v>
      </c>
      <c r="Q60" s="116">
        <v>191.55</v>
      </c>
      <c r="R60">
        <v>92452</v>
      </c>
    </row>
    <row r="61" spans="1:18" x14ac:dyDescent="0.25">
      <c r="A61" s="170">
        <v>42088</v>
      </c>
      <c r="B61" s="116">
        <v>98.875</v>
      </c>
      <c r="C61" s="116">
        <v>97.9</v>
      </c>
      <c r="D61" s="116">
        <v>95.875</v>
      </c>
      <c r="E61" s="116">
        <v>96.275000000000006</v>
      </c>
      <c r="F61" s="116">
        <v>195.8</v>
      </c>
      <c r="G61">
        <v>21037</v>
      </c>
      <c r="H61" s="116"/>
      <c r="I61" s="116"/>
      <c r="L61" s="170">
        <v>42088</v>
      </c>
      <c r="M61" s="116">
        <v>97.8</v>
      </c>
      <c r="N61" s="116">
        <v>98.9</v>
      </c>
      <c r="O61" s="116">
        <v>95.75</v>
      </c>
      <c r="P61" s="116">
        <v>96.25</v>
      </c>
      <c r="Q61" s="116">
        <v>195.6</v>
      </c>
      <c r="R61">
        <v>90747</v>
      </c>
    </row>
    <row r="62" spans="1:18" x14ac:dyDescent="0.25">
      <c r="A62" s="170">
        <v>42089</v>
      </c>
      <c r="B62" s="116">
        <v>98.5</v>
      </c>
      <c r="C62" s="116">
        <v>97.775000000000006</v>
      </c>
      <c r="D62" s="116">
        <v>97.5</v>
      </c>
      <c r="E62" s="116">
        <v>97.5</v>
      </c>
      <c r="F62" s="116">
        <v>195.55</v>
      </c>
      <c r="G62">
        <v>13525</v>
      </c>
      <c r="H62" s="116"/>
      <c r="I62" s="116"/>
      <c r="L62" s="170">
        <v>42089</v>
      </c>
      <c r="M62" s="116">
        <v>97.625</v>
      </c>
      <c r="N62" s="116">
        <v>98.5</v>
      </c>
      <c r="O62" s="116">
        <v>97.025000000000006</v>
      </c>
      <c r="P62" s="116">
        <v>97.525000000000006</v>
      </c>
      <c r="Q62" s="116">
        <v>195.25</v>
      </c>
      <c r="R62">
        <v>75278</v>
      </c>
    </row>
    <row r="63" spans="1:18" x14ac:dyDescent="0.25">
      <c r="A63" s="170">
        <v>42090</v>
      </c>
      <c r="B63" s="116">
        <v>99.85</v>
      </c>
      <c r="C63" s="116">
        <v>98.35</v>
      </c>
      <c r="D63" s="116">
        <v>97.5</v>
      </c>
      <c r="E63" s="116">
        <v>98.775000000000006</v>
      </c>
      <c r="F63" s="116">
        <v>196.7</v>
      </c>
      <c r="G63">
        <v>31103</v>
      </c>
      <c r="H63" s="116"/>
      <c r="I63" s="116"/>
      <c r="L63" s="170">
        <v>42090</v>
      </c>
      <c r="M63" s="116">
        <v>98.55</v>
      </c>
      <c r="N63" s="116">
        <v>99.9</v>
      </c>
      <c r="O63" s="116">
        <v>97.25</v>
      </c>
      <c r="P63" s="116">
        <v>98.025000000000006</v>
      </c>
      <c r="Q63" s="116">
        <v>197.1</v>
      </c>
      <c r="R63">
        <v>85759</v>
      </c>
    </row>
    <row r="64" spans="1:18" x14ac:dyDescent="0.25">
      <c r="A64" s="170">
        <v>42093</v>
      </c>
      <c r="B64" s="116">
        <v>103.375</v>
      </c>
      <c r="C64" s="116">
        <v>99.724999999999994</v>
      </c>
      <c r="D64" s="116">
        <v>99</v>
      </c>
      <c r="E64" s="116">
        <v>99.474999999999994</v>
      </c>
      <c r="F64" s="116">
        <v>199.45</v>
      </c>
      <c r="G64">
        <v>62171</v>
      </c>
      <c r="H64" s="116"/>
      <c r="I64" s="116"/>
      <c r="L64" s="170">
        <v>42093</v>
      </c>
      <c r="M64" s="116">
        <v>99.15</v>
      </c>
      <c r="N64" s="116">
        <v>103.175</v>
      </c>
      <c r="O64" s="116">
        <v>98.55</v>
      </c>
      <c r="P64" s="116">
        <v>98.924999999999997</v>
      </c>
      <c r="Q64" s="116">
        <v>198.3</v>
      </c>
      <c r="R64">
        <v>210508</v>
      </c>
    </row>
    <row r="65" spans="1:18" x14ac:dyDescent="0.25">
      <c r="A65" s="170">
        <v>42094</v>
      </c>
      <c r="B65" s="116">
        <v>102.2</v>
      </c>
      <c r="C65" s="116">
        <v>100.05</v>
      </c>
      <c r="D65" s="116">
        <v>99.25</v>
      </c>
      <c r="E65" s="116">
        <v>99.25</v>
      </c>
      <c r="F65" s="116">
        <v>200.1</v>
      </c>
      <c r="G65">
        <v>34415</v>
      </c>
      <c r="H65" s="116"/>
      <c r="I65" s="116"/>
      <c r="L65" s="170">
        <v>42094</v>
      </c>
      <c r="M65" s="116">
        <v>99.724999999999994</v>
      </c>
      <c r="N65" s="116">
        <v>102.22499999999999</v>
      </c>
      <c r="O65" s="116">
        <v>99.05</v>
      </c>
      <c r="P65" s="116">
        <v>99.25</v>
      </c>
      <c r="Q65" s="116">
        <v>199.45</v>
      </c>
      <c r="R65">
        <v>92367</v>
      </c>
    </row>
    <row r="66" spans="1:18" x14ac:dyDescent="0.25">
      <c r="A66" s="170">
        <v>42095</v>
      </c>
      <c r="B66" s="116">
        <v>105.25</v>
      </c>
      <c r="C66" s="116">
        <v>103.7</v>
      </c>
      <c r="D66" s="116">
        <v>99.75</v>
      </c>
      <c r="E66" s="116">
        <v>99.75</v>
      </c>
      <c r="F66" s="116">
        <v>207.4</v>
      </c>
      <c r="G66">
        <v>54106</v>
      </c>
      <c r="H66" s="116"/>
      <c r="I66" s="116"/>
      <c r="L66" s="170">
        <v>42095</v>
      </c>
      <c r="M66" s="116">
        <v>103.375</v>
      </c>
      <c r="N66" s="116">
        <v>105.22499999999999</v>
      </c>
      <c r="O66" s="116">
        <v>99.5</v>
      </c>
      <c r="P66" s="116">
        <v>99.75</v>
      </c>
      <c r="Q66" s="116">
        <v>206.75</v>
      </c>
      <c r="R66">
        <v>198704</v>
      </c>
    </row>
    <row r="67" spans="1:18" x14ac:dyDescent="0.25">
      <c r="A67" s="170">
        <v>42100</v>
      </c>
      <c r="B67" s="116">
        <v>108.175</v>
      </c>
      <c r="C67" s="116">
        <v>107.2</v>
      </c>
      <c r="D67" s="116">
        <v>103.25</v>
      </c>
      <c r="E67" s="116">
        <v>104.9</v>
      </c>
      <c r="F67" s="116">
        <v>214.4</v>
      </c>
      <c r="G67">
        <v>75286</v>
      </c>
      <c r="H67" s="116"/>
      <c r="I67" s="116"/>
      <c r="L67" s="170">
        <v>42100</v>
      </c>
      <c r="M67" s="116">
        <v>107.27500000000001</v>
      </c>
      <c r="N67" s="116">
        <v>108.25</v>
      </c>
      <c r="O67" s="116">
        <v>104.375</v>
      </c>
      <c r="P67" s="116">
        <v>105</v>
      </c>
      <c r="Q67" s="116">
        <v>214.55</v>
      </c>
      <c r="R67">
        <v>237641</v>
      </c>
    </row>
    <row r="68" spans="1:18" x14ac:dyDescent="0.25">
      <c r="A68" s="170">
        <v>42101</v>
      </c>
      <c r="B68" s="116">
        <v>109.4</v>
      </c>
      <c r="C68" s="116">
        <v>108.125</v>
      </c>
      <c r="D68" s="116">
        <v>106.6</v>
      </c>
      <c r="E68" s="116">
        <v>107.625</v>
      </c>
      <c r="F68" s="116">
        <v>216.25</v>
      </c>
      <c r="G68">
        <v>52642</v>
      </c>
      <c r="H68" s="116"/>
      <c r="I68" s="116"/>
      <c r="L68" s="170">
        <v>42101</v>
      </c>
      <c r="M68" s="116">
        <v>108.22499999999999</v>
      </c>
      <c r="N68" s="116">
        <v>109.4</v>
      </c>
      <c r="O68" s="116">
        <v>106.25</v>
      </c>
      <c r="P68" s="116">
        <v>107.75</v>
      </c>
      <c r="Q68" s="116">
        <v>216.45</v>
      </c>
      <c r="R68">
        <v>154284</v>
      </c>
    </row>
    <row r="69" spans="1:18" x14ac:dyDescent="0.25">
      <c r="A69" s="170">
        <v>42102</v>
      </c>
      <c r="B69" s="116">
        <v>109.95</v>
      </c>
      <c r="C69" s="116">
        <v>108.52500000000001</v>
      </c>
      <c r="D69" s="116">
        <v>107.95</v>
      </c>
      <c r="E69" s="116">
        <v>108.47499999999999</v>
      </c>
      <c r="F69" s="116">
        <v>217.05</v>
      </c>
      <c r="G69">
        <v>40470</v>
      </c>
      <c r="H69" s="116"/>
      <c r="I69" s="116"/>
      <c r="L69" s="170">
        <v>42102</v>
      </c>
      <c r="M69" s="116">
        <v>108.85</v>
      </c>
      <c r="N69" s="116">
        <v>110</v>
      </c>
      <c r="O69" s="116">
        <v>107.75</v>
      </c>
      <c r="P69" s="116">
        <v>108.47499999999999</v>
      </c>
      <c r="Q69" s="116">
        <v>217.7</v>
      </c>
      <c r="R69">
        <v>153596</v>
      </c>
    </row>
    <row r="70" spans="1:18" x14ac:dyDescent="0.25">
      <c r="A70" s="170">
        <v>42103</v>
      </c>
      <c r="B70" s="116">
        <v>111.95</v>
      </c>
      <c r="C70" s="116">
        <v>108.65</v>
      </c>
      <c r="D70" s="116">
        <v>108.25</v>
      </c>
      <c r="E70" s="116">
        <v>108.75</v>
      </c>
      <c r="F70" s="116">
        <v>217.3</v>
      </c>
      <c r="G70">
        <v>60183</v>
      </c>
      <c r="H70" s="116"/>
      <c r="I70" s="116"/>
      <c r="L70" s="170">
        <v>42103</v>
      </c>
      <c r="M70" s="116">
        <v>109.075</v>
      </c>
      <c r="N70" s="116">
        <v>112.25</v>
      </c>
      <c r="O70" s="116">
        <v>108.02500000000001</v>
      </c>
      <c r="P70" s="116">
        <v>109</v>
      </c>
      <c r="Q70" s="116">
        <v>218.15</v>
      </c>
      <c r="R70">
        <v>174250</v>
      </c>
    </row>
    <row r="71" spans="1:18" x14ac:dyDescent="0.25">
      <c r="A71" s="170">
        <v>42104</v>
      </c>
      <c r="B71" s="116">
        <v>117.45</v>
      </c>
      <c r="C71" s="116">
        <v>112.15</v>
      </c>
      <c r="D71" s="116">
        <v>106.5</v>
      </c>
      <c r="E71" s="116">
        <v>108.75</v>
      </c>
      <c r="F71" s="116">
        <v>224.3</v>
      </c>
      <c r="G71">
        <v>166734</v>
      </c>
      <c r="H71" s="116"/>
      <c r="I71" s="116"/>
      <c r="L71" s="170">
        <v>42104</v>
      </c>
      <c r="M71" s="116">
        <v>111.95</v>
      </c>
      <c r="N71" s="116">
        <v>117.4</v>
      </c>
      <c r="O71" s="116">
        <v>106.5</v>
      </c>
      <c r="P71" s="116">
        <v>109</v>
      </c>
      <c r="Q71" s="116">
        <v>223.9</v>
      </c>
      <c r="R71">
        <v>549865</v>
      </c>
    </row>
    <row r="72" spans="1:18" x14ac:dyDescent="0.25">
      <c r="A72" s="170">
        <v>42107</v>
      </c>
      <c r="B72" s="116">
        <v>114.9</v>
      </c>
      <c r="C72" s="116">
        <v>113.35</v>
      </c>
      <c r="D72" s="116">
        <v>112</v>
      </c>
      <c r="E72" s="116">
        <v>112.2</v>
      </c>
      <c r="F72" s="116">
        <v>226.7</v>
      </c>
      <c r="G72">
        <v>61044</v>
      </c>
      <c r="H72" s="116"/>
      <c r="I72" s="116"/>
      <c r="L72" s="170">
        <v>42107</v>
      </c>
      <c r="M72" s="116">
        <v>113.3</v>
      </c>
      <c r="N72" s="116">
        <v>115</v>
      </c>
      <c r="O72" s="116">
        <v>111.77500000000001</v>
      </c>
      <c r="P72" s="116">
        <v>111.97499999999999</v>
      </c>
      <c r="Q72" s="116">
        <v>226.6</v>
      </c>
      <c r="R72">
        <v>177007</v>
      </c>
    </row>
    <row r="73" spans="1:18" x14ac:dyDescent="0.25">
      <c r="A73" s="170">
        <v>42109</v>
      </c>
      <c r="B73" s="116">
        <v>134</v>
      </c>
      <c r="C73" s="116">
        <v>129.47499999999999</v>
      </c>
      <c r="D73" s="116">
        <v>112.72499999999999</v>
      </c>
      <c r="E73" s="116">
        <v>113</v>
      </c>
      <c r="F73" s="116">
        <v>258.95</v>
      </c>
      <c r="G73">
        <v>495552</v>
      </c>
      <c r="H73" s="116"/>
      <c r="I73" s="116"/>
      <c r="L73" s="170">
        <v>42109</v>
      </c>
      <c r="M73" s="116">
        <v>130</v>
      </c>
      <c r="N73" s="116">
        <v>134.25</v>
      </c>
      <c r="O73" s="116">
        <v>112.5</v>
      </c>
      <c r="P73" s="116">
        <v>112.75</v>
      </c>
      <c r="Q73" s="116">
        <v>260</v>
      </c>
      <c r="R73">
        <v>1909024</v>
      </c>
    </row>
    <row r="74" spans="1:18" x14ac:dyDescent="0.25">
      <c r="A74" s="170">
        <v>42110</v>
      </c>
      <c r="B74" s="116">
        <v>131.94999999999999</v>
      </c>
      <c r="C74" s="116">
        <v>125.7</v>
      </c>
      <c r="D74" s="116">
        <v>123.825</v>
      </c>
      <c r="E74" s="116">
        <v>131</v>
      </c>
      <c r="F74" s="116">
        <v>251.4</v>
      </c>
      <c r="G74">
        <v>176978</v>
      </c>
      <c r="H74" s="116"/>
      <c r="I74" s="116"/>
      <c r="L74" s="170">
        <v>42110</v>
      </c>
      <c r="M74" s="116">
        <v>125.47499999999999</v>
      </c>
      <c r="N74" s="116">
        <v>131.85</v>
      </c>
      <c r="O74" s="116">
        <v>123.5</v>
      </c>
      <c r="P74" s="116">
        <v>130.5</v>
      </c>
      <c r="Q74" s="116">
        <v>250.95</v>
      </c>
      <c r="R74">
        <v>583634</v>
      </c>
    </row>
    <row r="75" spans="1:18" x14ac:dyDescent="0.25">
      <c r="A75" s="170">
        <v>42111</v>
      </c>
      <c r="B75" s="116">
        <v>126.75</v>
      </c>
      <c r="C75" s="116">
        <v>121.425</v>
      </c>
      <c r="D75" s="116">
        <v>120.05</v>
      </c>
      <c r="E75" s="116">
        <v>125.575</v>
      </c>
      <c r="F75" s="116">
        <v>242.85</v>
      </c>
      <c r="G75">
        <v>78225</v>
      </c>
      <c r="H75" s="116"/>
      <c r="I75" s="116"/>
      <c r="L75" s="170">
        <v>42111</v>
      </c>
      <c r="M75" s="116">
        <v>120.55</v>
      </c>
      <c r="N75" s="116">
        <v>126.7</v>
      </c>
      <c r="O75" s="116">
        <v>119.05</v>
      </c>
      <c r="P75" s="116">
        <v>125.45</v>
      </c>
      <c r="Q75" s="116">
        <v>241.1</v>
      </c>
      <c r="R75">
        <v>287164</v>
      </c>
    </row>
    <row r="76" spans="1:18" x14ac:dyDescent="0.25">
      <c r="A76" s="170">
        <v>42114</v>
      </c>
      <c r="B76" s="116">
        <v>120.425</v>
      </c>
      <c r="C76" s="116">
        <v>114.95</v>
      </c>
      <c r="D76" s="116">
        <v>113</v>
      </c>
      <c r="E76" s="116">
        <v>120.425</v>
      </c>
      <c r="F76" s="116">
        <v>229.9</v>
      </c>
      <c r="G76">
        <v>82021</v>
      </c>
      <c r="H76" s="116"/>
      <c r="I76" s="116"/>
      <c r="L76" s="170">
        <v>42114</v>
      </c>
      <c r="M76" s="116">
        <v>114.77500000000001</v>
      </c>
      <c r="N76" s="116">
        <v>119.95</v>
      </c>
      <c r="O76" s="116">
        <v>112.325</v>
      </c>
      <c r="P76" s="116">
        <v>119.95</v>
      </c>
      <c r="Q76" s="116">
        <v>229.55</v>
      </c>
      <c r="R76">
        <v>228316</v>
      </c>
    </row>
    <row r="77" spans="1:18" x14ac:dyDescent="0.25">
      <c r="A77" s="170">
        <v>42115</v>
      </c>
      <c r="B77" s="116">
        <v>116.425</v>
      </c>
      <c r="C77" s="116">
        <v>113.125</v>
      </c>
      <c r="D77" s="116">
        <v>112.52500000000001</v>
      </c>
      <c r="E77" s="116">
        <v>115.3</v>
      </c>
      <c r="F77" s="116">
        <v>226.25</v>
      </c>
      <c r="G77">
        <v>37743</v>
      </c>
      <c r="H77" s="116"/>
      <c r="I77" s="116"/>
      <c r="L77" s="170">
        <v>42115</v>
      </c>
      <c r="M77" s="116">
        <v>112.825</v>
      </c>
      <c r="N77" s="116">
        <v>116.5</v>
      </c>
      <c r="O77" s="116">
        <v>112.1</v>
      </c>
      <c r="P77" s="116">
        <v>115.5</v>
      </c>
      <c r="Q77" s="116">
        <v>225.65</v>
      </c>
      <c r="R77">
        <v>173321</v>
      </c>
    </row>
    <row r="78" spans="1:18" x14ac:dyDescent="0.25">
      <c r="A78" s="170">
        <v>42116</v>
      </c>
      <c r="B78" s="116">
        <v>121.22499999999999</v>
      </c>
      <c r="C78" s="116">
        <v>117.125</v>
      </c>
      <c r="D78" s="116">
        <v>112.97499999999999</v>
      </c>
      <c r="E78" s="116">
        <v>112.97499999999999</v>
      </c>
      <c r="F78" s="116">
        <v>234.25</v>
      </c>
      <c r="G78">
        <v>132338</v>
      </c>
      <c r="H78" s="116"/>
      <c r="I78" s="116"/>
      <c r="L78" s="170">
        <v>42116</v>
      </c>
      <c r="M78" s="116">
        <v>117.175</v>
      </c>
      <c r="N78" s="116">
        <v>121</v>
      </c>
      <c r="O78" s="116">
        <v>112.625</v>
      </c>
      <c r="P78" s="116">
        <v>112.625</v>
      </c>
      <c r="Q78" s="116">
        <v>234.35</v>
      </c>
      <c r="R78">
        <v>426796</v>
      </c>
    </row>
    <row r="79" spans="1:18" x14ac:dyDescent="0.25">
      <c r="A79" s="170">
        <v>42117</v>
      </c>
      <c r="B79" s="116">
        <v>123.825</v>
      </c>
      <c r="C79" s="116">
        <v>118.05</v>
      </c>
      <c r="D79" s="116">
        <v>117.05</v>
      </c>
      <c r="E79" s="116">
        <v>118.5</v>
      </c>
      <c r="F79" s="116">
        <v>236.1</v>
      </c>
      <c r="G79">
        <v>109666</v>
      </c>
      <c r="H79" s="116"/>
      <c r="I79" s="116"/>
      <c r="L79" s="170">
        <v>42117</v>
      </c>
      <c r="M79" s="116">
        <v>118.52500000000001</v>
      </c>
      <c r="N79" s="116">
        <v>123.9</v>
      </c>
      <c r="O79" s="116">
        <v>117.05</v>
      </c>
      <c r="P79" s="116">
        <v>118.5</v>
      </c>
      <c r="Q79" s="116">
        <v>237.05</v>
      </c>
      <c r="R79">
        <v>459813</v>
      </c>
    </row>
    <row r="80" spans="1:18" x14ac:dyDescent="0.25">
      <c r="A80" s="170">
        <v>42118</v>
      </c>
      <c r="B80" s="116">
        <v>118.47499999999999</v>
      </c>
      <c r="C80" s="116">
        <v>113.575</v>
      </c>
      <c r="D80" s="116">
        <v>112.825</v>
      </c>
      <c r="E80" s="116">
        <v>118.47499999999999</v>
      </c>
      <c r="F80" s="116">
        <v>227.15</v>
      </c>
      <c r="G80">
        <v>48451</v>
      </c>
      <c r="H80" s="116"/>
      <c r="I80" s="116"/>
      <c r="L80" s="170">
        <v>42118</v>
      </c>
      <c r="M80" s="116">
        <v>113.47499999999999</v>
      </c>
      <c r="N80" s="116">
        <v>118.95</v>
      </c>
      <c r="O80" s="116">
        <v>112.55</v>
      </c>
      <c r="P80" s="116">
        <v>118.75</v>
      </c>
      <c r="Q80" s="116">
        <v>226.95</v>
      </c>
      <c r="R80">
        <v>137439</v>
      </c>
    </row>
    <row r="81" spans="1:18" x14ac:dyDescent="0.25">
      <c r="A81" s="170">
        <v>42121</v>
      </c>
      <c r="B81" s="116">
        <v>113.52500000000001</v>
      </c>
      <c r="C81" s="116">
        <v>106.375</v>
      </c>
      <c r="D81" s="116">
        <v>105.1</v>
      </c>
      <c r="E81" s="116">
        <v>113.52500000000001</v>
      </c>
      <c r="F81" s="116">
        <v>212.75</v>
      </c>
      <c r="G81">
        <v>36560</v>
      </c>
      <c r="H81" s="116"/>
      <c r="I81" s="116"/>
      <c r="L81" s="170">
        <v>42121</v>
      </c>
      <c r="M81" s="116">
        <v>106.25</v>
      </c>
      <c r="N81" s="116">
        <v>113.925</v>
      </c>
      <c r="O81" s="116">
        <v>104.77500000000001</v>
      </c>
      <c r="P81" s="116">
        <v>113.625</v>
      </c>
      <c r="Q81" s="116">
        <v>212.5</v>
      </c>
      <c r="R81">
        <v>125494</v>
      </c>
    </row>
    <row r="82" spans="1:18" x14ac:dyDescent="0.25">
      <c r="A82" s="170">
        <v>42122</v>
      </c>
      <c r="B82" s="116">
        <v>109.9</v>
      </c>
      <c r="C82" s="116">
        <v>108.35</v>
      </c>
      <c r="D82" s="116">
        <v>104.325</v>
      </c>
      <c r="E82" s="116">
        <v>105</v>
      </c>
      <c r="F82" s="116">
        <v>216.7</v>
      </c>
      <c r="G82">
        <v>108124</v>
      </c>
      <c r="H82" s="116"/>
      <c r="I82" s="116"/>
      <c r="L82" s="170">
        <v>42122</v>
      </c>
      <c r="M82" s="116">
        <v>108.25</v>
      </c>
      <c r="N82" s="116">
        <v>109.9</v>
      </c>
      <c r="O82" s="116">
        <v>104.25</v>
      </c>
      <c r="P82" s="116">
        <v>104.6</v>
      </c>
      <c r="Q82" s="116">
        <v>216.5</v>
      </c>
      <c r="R82">
        <v>174334</v>
      </c>
    </row>
    <row r="83" spans="1:18" x14ac:dyDescent="0.25">
      <c r="A83" s="170">
        <v>42123</v>
      </c>
      <c r="B83" s="116">
        <v>110</v>
      </c>
      <c r="C83" s="116">
        <v>107.875</v>
      </c>
      <c r="D83" s="116">
        <v>106.8</v>
      </c>
      <c r="E83" s="116">
        <v>107.72499999999999</v>
      </c>
      <c r="F83" s="116">
        <v>215.75</v>
      </c>
      <c r="G83">
        <v>46862</v>
      </c>
      <c r="H83" s="116"/>
      <c r="I83" s="116"/>
      <c r="L83" s="170">
        <v>42123</v>
      </c>
      <c r="M83" s="116">
        <v>108.02500000000001</v>
      </c>
      <c r="N83" s="116">
        <v>110.125</v>
      </c>
      <c r="O83" s="116">
        <v>107.25</v>
      </c>
      <c r="P83" s="116">
        <v>107.97499999999999</v>
      </c>
      <c r="Q83" s="116">
        <v>216.05</v>
      </c>
      <c r="R83">
        <v>87537</v>
      </c>
    </row>
    <row r="84" spans="1:18" x14ac:dyDescent="0.25">
      <c r="A84" s="170">
        <v>42124</v>
      </c>
      <c r="B84" s="116">
        <v>111.5</v>
      </c>
      <c r="C84" s="116">
        <v>108.575</v>
      </c>
      <c r="D84" s="116">
        <v>107.125</v>
      </c>
      <c r="E84" s="116">
        <v>108.05</v>
      </c>
      <c r="F84" s="116">
        <v>217.15</v>
      </c>
      <c r="G84">
        <v>64670</v>
      </c>
      <c r="H84" s="116"/>
      <c r="I84" s="116"/>
      <c r="L84" s="170">
        <v>42124</v>
      </c>
      <c r="M84" s="116">
        <v>108.4</v>
      </c>
      <c r="N84" s="116">
        <v>111.375</v>
      </c>
      <c r="O84" s="116">
        <v>107.1</v>
      </c>
      <c r="P84" s="116">
        <v>107.52500000000001</v>
      </c>
      <c r="Q84" s="116">
        <v>216.8</v>
      </c>
      <c r="R84">
        <v>112742</v>
      </c>
    </row>
    <row r="85" spans="1:18" x14ac:dyDescent="0.25">
      <c r="A85" s="170">
        <v>42128</v>
      </c>
      <c r="B85" s="116">
        <v>112.4</v>
      </c>
      <c r="C85" s="116">
        <v>110.55</v>
      </c>
      <c r="D85" s="116">
        <v>108.02500000000001</v>
      </c>
      <c r="E85" s="116">
        <v>108.02500000000001</v>
      </c>
      <c r="F85" s="116">
        <v>221.1</v>
      </c>
      <c r="G85">
        <v>56963</v>
      </c>
      <c r="H85" s="116"/>
      <c r="I85" s="116"/>
      <c r="L85" s="170">
        <v>42128</v>
      </c>
      <c r="M85" s="116">
        <v>110.675</v>
      </c>
      <c r="N85" s="116">
        <v>113.85</v>
      </c>
      <c r="O85" s="116">
        <v>107.65</v>
      </c>
      <c r="P85" s="116">
        <v>108</v>
      </c>
      <c r="Q85" s="116">
        <v>221.35</v>
      </c>
      <c r="R85">
        <v>107084</v>
      </c>
    </row>
    <row r="86" spans="1:18" x14ac:dyDescent="0.25">
      <c r="A86" s="170">
        <v>42129</v>
      </c>
      <c r="B86" s="116">
        <v>112.2</v>
      </c>
      <c r="C86" s="116">
        <v>110.22499999999999</v>
      </c>
      <c r="D86" s="116">
        <v>110.05</v>
      </c>
      <c r="E86" s="116">
        <v>110.52500000000001</v>
      </c>
      <c r="F86" s="116">
        <v>220.45</v>
      </c>
      <c r="G86">
        <v>59549</v>
      </c>
      <c r="H86" s="116"/>
      <c r="I86" s="116"/>
      <c r="L86" s="170">
        <v>42129</v>
      </c>
      <c r="M86" s="116">
        <v>110.2</v>
      </c>
      <c r="N86" s="116">
        <v>112.25</v>
      </c>
      <c r="O86" s="116">
        <v>109.8</v>
      </c>
      <c r="P86" s="116">
        <v>111.02500000000001</v>
      </c>
      <c r="Q86" s="116">
        <v>220.4</v>
      </c>
      <c r="R86">
        <v>83120</v>
      </c>
    </row>
    <row r="87" spans="1:18" x14ac:dyDescent="0.25">
      <c r="A87" s="170">
        <v>42130</v>
      </c>
      <c r="B87" s="116">
        <v>111.925</v>
      </c>
      <c r="C87" s="116">
        <v>107.2</v>
      </c>
      <c r="D87" s="116">
        <v>106.625</v>
      </c>
      <c r="E87" s="116">
        <v>110.35</v>
      </c>
      <c r="F87" s="116">
        <v>214.4</v>
      </c>
      <c r="G87">
        <v>71056</v>
      </c>
      <c r="H87" s="116"/>
      <c r="I87" s="116"/>
      <c r="L87" s="170">
        <v>42130</v>
      </c>
      <c r="M87" s="116">
        <v>107.625</v>
      </c>
      <c r="N87" s="116">
        <v>112.05</v>
      </c>
      <c r="O87" s="116">
        <v>107.05</v>
      </c>
      <c r="P87" s="116">
        <v>110.02500000000001</v>
      </c>
      <c r="Q87" s="116">
        <v>215.25</v>
      </c>
      <c r="R87">
        <v>110617</v>
      </c>
    </row>
    <row r="88" spans="1:18" x14ac:dyDescent="0.25">
      <c r="A88" s="170">
        <v>42131</v>
      </c>
      <c r="B88" s="116">
        <v>108.925</v>
      </c>
      <c r="C88" s="116">
        <v>107.6</v>
      </c>
      <c r="D88" s="116">
        <v>106.125</v>
      </c>
      <c r="E88" s="116">
        <v>107.47499999999999</v>
      </c>
      <c r="F88" s="116">
        <v>215.2</v>
      </c>
      <c r="G88">
        <v>47729</v>
      </c>
      <c r="H88" s="116"/>
      <c r="I88" s="116"/>
      <c r="L88" s="170">
        <v>42131</v>
      </c>
      <c r="M88" s="116">
        <v>107.675</v>
      </c>
      <c r="N88" s="116">
        <v>109</v>
      </c>
      <c r="O88" s="116">
        <v>106.075</v>
      </c>
      <c r="P88" s="116">
        <v>107.5</v>
      </c>
      <c r="Q88" s="116">
        <v>215.35</v>
      </c>
      <c r="R88">
        <v>95894</v>
      </c>
    </row>
    <row r="89" spans="1:18" x14ac:dyDescent="0.25">
      <c r="A89" s="170">
        <v>42132</v>
      </c>
      <c r="B89" s="116">
        <v>110.97499999999999</v>
      </c>
      <c r="C89" s="116">
        <v>108.27500000000001</v>
      </c>
      <c r="D89" s="116">
        <v>107.55</v>
      </c>
      <c r="E89" s="116">
        <v>108.47499999999999</v>
      </c>
      <c r="F89" s="116">
        <v>216.55</v>
      </c>
      <c r="G89">
        <v>41265</v>
      </c>
      <c r="H89" s="116"/>
      <c r="I89" s="116"/>
      <c r="L89" s="170">
        <v>42132</v>
      </c>
      <c r="M89" s="116">
        <v>108.05</v>
      </c>
      <c r="N89" s="116">
        <v>110.97499999999999</v>
      </c>
      <c r="O89" s="116">
        <v>107.5</v>
      </c>
      <c r="P89" s="116">
        <v>108.47499999999999</v>
      </c>
      <c r="Q89" s="116">
        <v>216.1</v>
      </c>
      <c r="R89">
        <v>72604</v>
      </c>
    </row>
    <row r="90" spans="1:18" x14ac:dyDescent="0.25">
      <c r="A90" s="170">
        <v>42135</v>
      </c>
      <c r="B90" s="116">
        <v>111</v>
      </c>
      <c r="C90" s="116">
        <v>109.02500000000001</v>
      </c>
      <c r="D90" s="116">
        <v>108.375</v>
      </c>
      <c r="E90" s="116">
        <v>108.925</v>
      </c>
      <c r="F90" s="116">
        <v>218.05</v>
      </c>
      <c r="G90">
        <v>43161</v>
      </c>
      <c r="H90" s="116"/>
      <c r="I90" s="116"/>
      <c r="L90" s="170">
        <v>42135</v>
      </c>
      <c r="M90" s="116">
        <v>108.625</v>
      </c>
      <c r="N90" s="116">
        <v>111</v>
      </c>
      <c r="O90" s="116">
        <v>107.05</v>
      </c>
      <c r="P90" s="116">
        <v>108.5</v>
      </c>
      <c r="Q90" s="116">
        <v>217.25</v>
      </c>
      <c r="R90">
        <v>78698</v>
      </c>
    </row>
    <row r="91" spans="1:18" x14ac:dyDescent="0.25">
      <c r="A91" s="170">
        <v>42136</v>
      </c>
      <c r="B91" s="116">
        <v>110.22499999999999</v>
      </c>
      <c r="C91" s="116">
        <v>107.575</v>
      </c>
      <c r="D91" s="116">
        <v>107.5</v>
      </c>
      <c r="E91" s="116">
        <v>108.3</v>
      </c>
      <c r="F91" s="116">
        <v>215.15</v>
      </c>
      <c r="G91">
        <v>54247</v>
      </c>
      <c r="H91" s="116"/>
      <c r="I91" s="116"/>
      <c r="L91" s="170">
        <v>42136</v>
      </c>
      <c r="M91" s="116">
        <v>107.7</v>
      </c>
      <c r="N91" s="116">
        <v>110.45</v>
      </c>
      <c r="O91" s="116">
        <v>107.425</v>
      </c>
      <c r="P91" s="116">
        <v>108.625</v>
      </c>
      <c r="Q91" s="116">
        <v>215.4</v>
      </c>
      <c r="R91">
        <v>68388</v>
      </c>
    </row>
    <row r="92" spans="1:18" x14ac:dyDescent="0.25">
      <c r="A92" s="170">
        <v>42137</v>
      </c>
      <c r="B92" s="116">
        <v>109.9</v>
      </c>
      <c r="C92" s="116">
        <v>107.625</v>
      </c>
      <c r="D92" s="116">
        <v>107.5</v>
      </c>
      <c r="E92" s="116">
        <v>107.97499999999999</v>
      </c>
      <c r="F92" s="116">
        <v>215.25</v>
      </c>
      <c r="G92">
        <v>32365</v>
      </c>
      <c r="H92" s="116"/>
      <c r="I92" s="116"/>
      <c r="L92" s="170">
        <v>42137</v>
      </c>
      <c r="M92" s="116">
        <v>107.625</v>
      </c>
      <c r="N92" s="116">
        <v>109.97499999999999</v>
      </c>
      <c r="O92" s="116">
        <v>107.5</v>
      </c>
      <c r="P92" s="116">
        <v>108.125</v>
      </c>
      <c r="Q92" s="116">
        <v>215.25</v>
      </c>
      <c r="R92">
        <v>87352</v>
      </c>
    </row>
    <row r="93" spans="1:18" x14ac:dyDescent="0.25">
      <c r="A93" s="170">
        <v>42138</v>
      </c>
      <c r="B93" s="116">
        <v>111</v>
      </c>
      <c r="C93" s="116">
        <v>109.4</v>
      </c>
      <c r="D93" s="116">
        <v>107.6</v>
      </c>
      <c r="E93" s="116">
        <v>107.97499999999999</v>
      </c>
      <c r="F93" s="116">
        <v>218.8</v>
      </c>
      <c r="G93">
        <v>30954</v>
      </c>
      <c r="H93" s="116"/>
      <c r="I93" s="116"/>
      <c r="L93" s="170">
        <v>42138</v>
      </c>
      <c r="M93" s="116">
        <v>109.4</v>
      </c>
      <c r="N93" s="116">
        <v>110.925</v>
      </c>
      <c r="O93" s="116">
        <v>107.5</v>
      </c>
      <c r="P93" s="116">
        <v>107.625</v>
      </c>
      <c r="Q93" s="116">
        <v>218.8</v>
      </c>
      <c r="R93">
        <v>78191</v>
      </c>
    </row>
    <row r="94" spans="1:18" x14ac:dyDescent="0.25">
      <c r="A94" s="170">
        <v>42139</v>
      </c>
      <c r="B94" s="116">
        <v>117.2</v>
      </c>
      <c r="C94" s="116">
        <v>115.375</v>
      </c>
      <c r="D94" s="116">
        <v>109.52500000000001</v>
      </c>
      <c r="E94" s="116">
        <v>109.825</v>
      </c>
      <c r="F94" s="116">
        <v>230.75</v>
      </c>
      <c r="G94">
        <v>99594</v>
      </c>
      <c r="H94" s="116"/>
      <c r="I94" s="116"/>
      <c r="L94" s="170">
        <v>42139</v>
      </c>
      <c r="M94" s="116">
        <v>115.375</v>
      </c>
      <c r="N94" s="116">
        <v>117.2</v>
      </c>
      <c r="O94" s="116">
        <v>109.125</v>
      </c>
      <c r="P94" s="116">
        <v>109.125</v>
      </c>
      <c r="Q94" s="116">
        <v>230.75</v>
      </c>
      <c r="R94">
        <v>332086</v>
      </c>
    </row>
    <row r="95" spans="1:18" x14ac:dyDescent="0.25">
      <c r="A95" s="170">
        <v>42142</v>
      </c>
      <c r="B95" s="116">
        <v>126.97499999999999</v>
      </c>
      <c r="C95" s="116">
        <v>125.425</v>
      </c>
      <c r="D95" s="116">
        <v>115.97499999999999</v>
      </c>
      <c r="E95" s="116">
        <v>115.97499999999999</v>
      </c>
      <c r="F95" s="116">
        <v>250.85</v>
      </c>
      <c r="G95">
        <v>192910</v>
      </c>
      <c r="H95" s="116"/>
      <c r="I95" s="116"/>
      <c r="L95" s="170">
        <v>42142</v>
      </c>
      <c r="M95" s="116">
        <v>125.575</v>
      </c>
      <c r="N95" s="116">
        <v>127.2</v>
      </c>
      <c r="O95" s="116">
        <v>116</v>
      </c>
      <c r="P95" s="116">
        <v>116</v>
      </c>
      <c r="Q95" s="116">
        <v>251.15</v>
      </c>
      <c r="R95">
        <v>589951</v>
      </c>
    </row>
    <row r="96" spans="1:18" x14ac:dyDescent="0.25">
      <c r="A96" s="170">
        <v>42143</v>
      </c>
      <c r="B96" s="116">
        <v>127.7</v>
      </c>
      <c r="C96" s="116">
        <v>121.55</v>
      </c>
      <c r="D96" s="116">
        <v>120.52500000000001</v>
      </c>
      <c r="E96" s="116">
        <v>125.925</v>
      </c>
      <c r="F96" s="116">
        <v>243.1</v>
      </c>
      <c r="G96">
        <v>105122</v>
      </c>
      <c r="H96" s="116"/>
      <c r="I96" s="116"/>
      <c r="L96" s="170">
        <v>42143</v>
      </c>
      <c r="M96" s="116">
        <v>121.45</v>
      </c>
      <c r="N96" s="116">
        <v>127.7</v>
      </c>
      <c r="O96" s="116">
        <v>120.52500000000001</v>
      </c>
      <c r="P96" s="116">
        <v>126.1</v>
      </c>
      <c r="Q96" s="116">
        <v>242.9</v>
      </c>
      <c r="R96">
        <v>290029</v>
      </c>
    </row>
    <row r="97" spans="1:18" x14ac:dyDescent="0.25">
      <c r="A97" s="170">
        <v>42144</v>
      </c>
      <c r="B97" s="116">
        <v>122.45</v>
      </c>
      <c r="C97" s="116">
        <v>120.05</v>
      </c>
      <c r="D97" s="116">
        <v>118.575</v>
      </c>
      <c r="E97" s="116">
        <v>121.875</v>
      </c>
      <c r="F97" s="116">
        <v>240.1</v>
      </c>
      <c r="G97">
        <v>74617</v>
      </c>
      <c r="H97" s="116"/>
      <c r="I97" s="116"/>
      <c r="L97" s="170">
        <v>42144</v>
      </c>
      <c r="M97" s="116">
        <v>119.825</v>
      </c>
      <c r="N97" s="116">
        <v>122.5</v>
      </c>
      <c r="O97" s="116">
        <v>118.5</v>
      </c>
      <c r="P97" s="116">
        <v>121.45</v>
      </c>
      <c r="Q97" s="116">
        <v>239.65</v>
      </c>
      <c r="R97">
        <v>170701</v>
      </c>
    </row>
    <row r="98" spans="1:18" x14ac:dyDescent="0.25">
      <c r="A98" s="170">
        <v>42145</v>
      </c>
      <c r="B98" s="116">
        <v>126.4</v>
      </c>
      <c r="C98" s="116">
        <v>122.55</v>
      </c>
      <c r="D98" s="116">
        <v>119.65</v>
      </c>
      <c r="E98" s="116">
        <v>126</v>
      </c>
      <c r="F98" s="116">
        <v>245.1</v>
      </c>
      <c r="G98">
        <v>173345</v>
      </c>
      <c r="H98" s="116"/>
      <c r="I98" s="116"/>
      <c r="L98" s="170">
        <v>42145</v>
      </c>
      <c r="M98" s="116">
        <v>122.75</v>
      </c>
      <c r="N98" s="116">
        <v>126.425</v>
      </c>
      <c r="O98" s="116">
        <v>119.52500000000001</v>
      </c>
      <c r="P98" s="116">
        <v>123.97499999999999</v>
      </c>
      <c r="Q98" s="116">
        <v>245.5</v>
      </c>
      <c r="R98">
        <v>652753</v>
      </c>
    </row>
    <row r="99" spans="1:18" x14ac:dyDescent="0.25">
      <c r="A99" s="170">
        <v>42146</v>
      </c>
      <c r="B99" s="116">
        <v>123.4</v>
      </c>
      <c r="C99" s="116">
        <v>119.47499999999999</v>
      </c>
      <c r="D99" s="116">
        <v>119.02500000000001</v>
      </c>
      <c r="E99" s="116">
        <v>122.52500000000001</v>
      </c>
      <c r="F99" s="116">
        <v>238.95</v>
      </c>
      <c r="G99">
        <v>45792</v>
      </c>
      <c r="H99" s="116"/>
      <c r="I99" s="116"/>
      <c r="L99" s="170">
        <v>42146</v>
      </c>
      <c r="M99" s="116">
        <v>119.6</v>
      </c>
      <c r="N99" s="116">
        <v>123.325</v>
      </c>
      <c r="O99" s="116">
        <v>119.05</v>
      </c>
      <c r="P99" s="116">
        <v>123.22499999999999</v>
      </c>
      <c r="Q99" s="116">
        <v>239.2</v>
      </c>
      <c r="R99">
        <v>169739</v>
      </c>
    </row>
    <row r="100" spans="1:18" x14ac:dyDescent="0.25">
      <c r="A100" s="170">
        <v>42149</v>
      </c>
      <c r="B100" s="116">
        <v>121</v>
      </c>
      <c r="C100" s="116">
        <v>117.125</v>
      </c>
      <c r="D100" s="116">
        <v>116.575</v>
      </c>
      <c r="E100" s="116">
        <v>119.075</v>
      </c>
      <c r="F100" s="116">
        <v>234.25</v>
      </c>
      <c r="G100">
        <v>29600</v>
      </c>
      <c r="H100" s="116"/>
      <c r="I100" s="116"/>
      <c r="L100" s="170">
        <v>42149</v>
      </c>
      <c r="M100" s="116">
        <v>117.075</v>
      </c>
      <c r="N100" s="116">
        <v>120.97499999999999</v>
      </c>
      <c r="O100" s="116">
        <v>116.52500000000001</v>
      </c>
      <c r="P100" s="116">
        <v>119.875</v>
      </c>
      <c r="Q100" s="116">
        <v>234.15</v>
      </c>
      <c r="R100">
        <v>80943</v>
      </c>
    </row>
    <row r="101" spans="1:18" x14ac:dyDescent="0.25">
      <c r="A101" s="170">
        <v>42150</v>
      </c>
      <c r="B101" s="116">
        <v>118.95</v>
      </c>
      <c r="C101" s="116">
        <v>116.95</v>
      </c>
      <c r="D101" s="116">
        <v>115.175</v>
      </c>
      <c r="E101" s="116">
        <v>117</v>
      </c>
      <c r="F101" s="116">
        <v>233.9</v>
      </c>
      <c r="G101">
        <v>29679</v>
      </c>
      <c r="H101" s="116"/>
      <c r="I101" s="116"/>
      <c r="L101" s="170">
        <v>42150</v>
      </c>
      <c r="M101" s="116">
        <v>117.075</v>
      </c>
      <c r="N101" s="116">
        <v>118.95</v>
      </c>
      <c r="O101" s="116">
        <v>115.075</v>
      </c>
      <c r="P101" s="116">
        <v>117.25</v>
      </c>
      <c r="Q101" s="116">
        <v>234.15</v>
      </c>
      <c r="R101">
        <v>79096</v>
      </c>
    </row>
    <row r="102" spans="1:18" x14ac:dyDescent="0.25">
      <c r="A102" s="170">
        <v>42151</v>
      </c>
      <c r="B102" s="116">
        <v>120.97499999999999</v>
      </c>
      <c r="C102" s="116">
        <v>119.45</v>
      </c>
      <c r="D102" s="116">
        <v>115.375</v>
      </c>
      <c r="E102" s="116">
        <v>116.6</v>
      </c>
      <c r="F102" s="116">
        <v>238.9</v>
      </c>
      <c r="G102">
        <v>55409</v>
      </c>
      <c r="H102" s="116"/>
      <c r="I102" s="116"/>
      <c r="L102" s="170">
        <v>42151</v>
      </c>
      <c r="M102" s="116">
        <v>119.7</v>
      </c>
      <c r="N102" s="116">
        <v>120.95</v>
      </c>
      <c r="O102" s="116">
        <v>115</v>
      </c>
      <c r="P102" s="116">
        <v>116.55</v>
      </c>
      <c r="Q102" s="116">
        <v>239.4</v>
      </c>
      <c r="R102">
        <v>145948</v>
      </c>
    </row>
    <row r="103" spans="1:18" x14ac:dyDescent="0.25">
      <c r="A103" s="170">
        <v>42152</v>
      </c>
      <c r="B103" s="116">
        <v>122.47499999999999</v>
      </c>
      <c r="C103" s="116">
        <v>119.925</v>
      </c>
      <c r="D103" s="116">
        <v>119.02500000000001</v>
      </c>
      <c r="E103" s="116">
        <v>119.97499999999999</v>
      </c>
      <c r="F103" s="116">
        <v>239.85</v>
      </c>
      <c r="G103">
        <v>55647</v>
      </c>
      <c r="H103" s="116"/>
      <c r="I103" s="116"/>
      <c r="L103" s="170">
        <v>42152</v>
      </c>
      <c r="M103" s="116">
        <v>119.85</v>
      </c>
      <c r="N103" s="116">
        <v>122.75</v>
      </c>
      <c r="O103" s="116">
        <v>118.05</v>
      </c>
      <c r="P103" s="116">
        <v>120</v>
      </c>
      <c r="Q103" s="116">
        <v>239.7</v>
      </c>
      <c r="R103">
        <v>110513</v>
      </c>
    </row>
    <row r="104" spans="1:18" x14ac:dyDescent="0.25">
      <c r="A104" s="170">
        <v>42153</v>
      </c>
      <c r="B104" s="116">
        <v>121.55</v>
      </c>
      <c r="C104" s="116">
        <v>119.65</v>
      </c>
      <c r="D104" s="116">
        <v>119.425</v>
      </c>
      <c r="E104" s="116">
        <v>119.75</v>
      </c>
      <c r="F104" s="116">
        <v>239.3</v>
      </c>
      <c r="G104">
        <v>32084</v>
      </c>
      <c r="H104" s="116"/>
      <c r="I104" s="116"/>
      <c r="L104" s="170">
        <v>42153</v>
      </c>
      <c r="M104" s="116">
        <v>119.75</v>
      </c>
      <c r="N104" s="116">
        <v>121.5</v>
      </c>
      <c r="O104" s="116">
        <v>119.22499999999999</v>
      </c>
      <c r="P104" s="116">
        <v>120.425</v>
      </c>
      <c r="Q104" s="116">
        <v>239.5</v>
      </c>
      <c r="R104">
        <v>76362</v>
      </c>
    </row>
    <row r="105" spans="1:18" x14ac:dyDescent="0.25">
      <c r="A105" s="170">
        <v>42156</v>
      </c>
      <c r="B105" s="116">
        <v>120.85</v>
      </c>
      <c r="C105" s="116">
        <v>119.9</v>
      </c>
      <c r="D105" s="116">
        <v>118.575</v>
      </c>
      <c r="E105" s="116">
        <v>119.97499999999999</v>
      </c>
      <c r="F105" s="116">
        <v>239.8</v>
      </c>
      <c r="G105">
        <v>25796</v>
      </c>
      <c r="H105" s="116"/>
      <c r="I105" s="116"/>
      <c r="L105" s="170">
        <v>42156</v>
      </c>
      <c r="M105" s="116">
        <v>119.675</v>
      </c>
      <c r="N105" s="116">
        <v>120.85</v>
      </c>
      <c r="O105" s="116">
        <v>118.7</v>
      </c>
      <c r="P105" s="116">
        <v>119.75</v>
      </c>
      <c r="Q105" s="116">
        <v>239.35</v>
      </c>
      <c r="R105">
        <v>49137</v>
      </c>
    </row>
    <row r="106" spans="1:18" x14ac:dyDescent="0.25">
      <c r="A106" s="170">
        <v>42157</v>
      </c>
      <c r="B106" s="116">
        <v>120.125</v>
      </c>
      <c r="C106" s="116">
        <v>118.55</v>
      </c>
      <c r="D106" s="116">
        <v>118.27500000000001</v>
      </c>
      <c r="E106" s="116">
        <v>120.05</v>
      </c>
      <c r="F106" s="116">
        <v>237.1</v>
      </c>
      <c r="G106">
        <v>32429</v>
      </c>
      <c r="H106" s="116"/>
      <c r="I106" s="116"/>
      <c r="L106" s="170">
        <v>42157</v>
      </c>
      <c r="M106" s="116">
        <v>118.45</v>
      </c>
      <c r="N106" s="116">
        <v>120.325</v>
      </c>
      <c r="O106" s="116">
        <v>118</v>
      </c>
      <c r="P106" s="116">
        <v>119.675</v>
      </c>
      <c r="Q106" s="116">
        <v>236.9</v>
      </c>
      <c r="R106">
        <v>59099</v>
      </c>
    </row>
    <row r="107" spans="1:18" x14ac:dyDescent="0.25">
      <c r="A107" s="170">
        <v>42158</v>
      </c>
      <c r="B107" s="116">
        <v>118.97499999999999</v>
      </c>
      <c r="C107" s="116">
        <v>113.875</v>
      </c>
      <c r="D107" s="116">
        <v>112.1</v>
      </c>
      <c r="E107" s="116">
        <v>118.97499999999999</v>
      </c>
      <c r="F107" s="116">
        <v>227.75</v>
      </c>
      <c r="G107">
        <v>23256</v>
      </c>
      <c r="H107" s="116"/>
      <c r="I107" s="116"/>
      <c r="L107" s="170">
        <v>42158</v>
      </c>
      <c r="M107" s="116">
        <v>113.77500000000001</v>
      </c>
      <c r="N107" s="116">
        <v>118.47499999999999</v>
      </c>
      <c r="O107" s="116">
        <v>112</v>
      </c>
      <c r="P107" s="116">
        <v>118.02500000000001</v>
      </c>
      <c r="Q107" s="116">
        <v>227.55</v>
      </c>
      <c r="R107">
        <v>108199</v>
      </c>
    </row>
    <row r="108" spans="1:18" x14ac:dyDescent="0.25">
      <c r="A108" s="170">
        <v>42159</v>
      </c>
      <c r="B108" s="116">
        <v>116.95</v>
      </c>
      <c r="C108" s="116">
        <v>115.85</v>
      </c>
      <c r="D108" s="116">
        <v>114</v>
      </c>
      <c r="E108" s="116">
        <v>114</v>
      </c>
      <c r="F108" s="116">
        <v>231.7</v>
      </c>
      <c r="G108">
        <v>15260</v>
      </c>
      <c r="H108" s="116"/>
      <c r="I108" s="116"/>
      <c r="L108" s="170">
        <v>42159</v>
      </c>
      <c r="M108" s="116">
        <v>115.575</v>
      </c>
      <c r="N108" s="116">
        <v>116.95</v>
      </c>
      <c r="O108" s="116">
        <v>113.52500000000001</v>
      </c>
      <c r="P108" s="116">
        <v>113.52500000000001</v>
      </c>
      <c r="Q108" s="116">
        <v>231.15</v>
      </c>
      <c r="R108">
        <v>55988</v>
      </c>
    </row>
    <row r="109" spans="1:18" x14ac:dyDescent="0.25">
      <c r="A109" s="170">
        <v>42160</v>
      </c>
      <c r="B109" s="116">
        <v>117.575</v>
      </c>
      <c r="C109" s="116">
        <v>115.5</v>
      </c>
      <c r="D109" s="116">
        <v>114.52500000000001</v>
      </c>
      <c r="E109" s="116">
        <v>116.47499999999999</v>
      </c>
      <c r="F109" s="116">
        <v>231</v>
      </c>
      <c r="G109">
        <v>22416</v>
      </c>
      <c r="H109" s="116"/>
      <c r="I109" s="116"/>
      <c r="L109" s="170">
        <v>42160</v>
      </c>
      <c r="M109" s="116">
        <v>115.625</v>
      </c>
      <c r="N109" s="116">
        <v>117.5</v>
      </c>
      <c r="O109" s="116">
        <v>114.75</v>
      </c>
      <c r="P109" s="116">
        <v>116.375</v>
      </c>
      <c r="Q109" s="116">
        <v>231.25</v>
      </c>
      <c r="R109">
        <v>72449</v>
      </c>
    </row>
    <row r="110" spans="1:18" x14ac:dyDescent="0.25">
      <c r="A110" s="170">
        <v>42163</v>
      </c>
      <c r="B110" s="116">
        <v>116.125</v>
      </c>
      <c r="C110" s="116">
        <v>112.97499999999999</v>
      </c>
      <c r="D110" s="116">
        <v>112.65</v>
      </c>
      <c r="E110" s="116">
        <v>115.95</v>
      </c>
      <c r="F110" s="116">
        <v>225.95</v>
      </c>
      <c r="G110">
        <v>15948</v>
      </c>
      <c r="H110" s="116"/>
      <c r="I110" s="116"/>
      <c r="L110" s="170">
        <v>42163</v>
      </c>
      <c r="M110" s="116">
        <v>113.25</v>
      </c>
      <c r="N110" s="116">
        <v>116.35</v>
      </c>
      <c r="O110" s="116">
        <v>113</v>
      </c>
      <c r="P110" s="116">
        <v>115.5</v>
      </c>
      <c r="Q110" s="116">
        <v>226.5</v>
      </c>
      <c r="R110">
        <v>40886</v>
      </c>
    </row>
    <row r="111" spans="1:18" x14ac:dyDescent="0.25">
      <c r="A111" s="170">
        <v>42164</v>
      </c>
      <c r="B111" s="116">
        <v>114.47499999999999</v>
      </c>
      <c r="C111" s="116">
        <v>111.97499999999999</v>
      </c>
      <c r="D111" s="116">
        <v>111.075</v>
      </c>
      <c r="E111" s="116">
        <v>113.02500000000001</v>
      </c>
      <c r="F111" s="116">
        <v>223.95</v>
      </c>
      <c r="G111">
        <v>14154</v>
      </c>
      <c r="H111" s="116"/>
      <c r="I111" s="116"/>
      <c r="L111" s="170">
        <v>42164</v>
      </c>
      <c r="M111" s="116">
        <v>111.9</v>
      </c>
      <c r="N111" s="116">
        <v>114.47499999999999</v>
      </c>
      <c r="O111" s="116">
        <v>111.05</v>
      </c>
      <c r="P111" s="116">
        <v>113.02500000000001</v>
      </c>
      <c r="Q111" s="116">
        <v>223.8</v>
      </c>
      <c r="R111">
        <v>53600</v>
      </c>
    </row>
    <row r="112" spans="1:18" x14ac:dyDescent="0.25">
      <c r="A112" s="170">
        <v>42165</v>
      </c>
      <c r="B112" s="116">
        <v>119.2</v>
      </c>
      <c r="C112" s="116">
        <v>117.75</v>
      </c>
      <c r="D112" s="116">
        <v>112.52500000000001</v>
      </c>
      <c r="E112" s="116">
        <v>112.52500000000001</v>
      </c>
      <c r="F112" s="116">
        <v>235.5</v>
      </c>
      <c r="G112">
        <v>40457</v>
      </c>
      <c r="H112" s="116"/>
      <c r="I112" s="116"/>
      <c r="L112" s="170">
        <v>42165</v>
      </c>
      <c r="M112" s="116">
        <v>117.825</v>
      </c>
      <c r="N112" s="116">
        <v>119.2</v>
      </c>
      <c r="O112" s="116">
        <v>112.52500000000001</v>
      </c>
      <c r="P112" s="116">
        <v>112.52500000000001</v>
      </c>
      <c r="Q112" s="116">
        <v>235.65</v>
      </c>
      <c r="R112">
        <v>136460</v>
      </c>
    </row>
    <row r="113" spans="1:18" x14ac:dyDescent="0.25">
      <c r="A113" s="170">
        <v>42166</v>
      </c>
      <c r="B113" s="116">
        <v>119.95</v>
      </c>
      <c r="C113" s="116">
        <v>113.47499999999999</v>
      </c>
      <c r="D113" s="116">
        <v>112.6</v>
      </c>
      <c r="E113" s="116">
        <v>118.47499999999999</v>
      </c>
      <c r="F113" s="116">
        <v>226.95</v>
      </c>
      <c r="G113">
        <v>55655</v>
      </c>
      <c r="H113" s="116"/>
      <c r="I113" s="116"/>
      <c r="L113" s="170">
        <v>42166</v>
      </c>
      <c r="M113" s="116">
        <v>113.375</v>
      </c>
      <c r="N113" s="116">
        <v>120.2</v>
      </c>
      <c r="O113" s="116">
        <v>112.325</v>
      </c>
      <c r="P113" s="116">
        <v>118.375</v>
      </c>
      <c r="Q113" s="116">
        <v>226.75</v>
      </c>
      <c r="R113">
        <v>112422</v>
      </c>
    </row>
    <row r="114" spans="1:18" x14ac:dyDescent="0.25">
      <c r="A114" s="170">
        <v>42167</v>
      </c>
      <c r="B114" s="116">
        <v>113.97499999999999</v>
      </c>
      <c r="C114" s="116">
        <v>112.22499999999999</v>
      </c>
      <c r="D114" s="116">
        <v>110.825</v>
      </c>
      <c r="E114" s="116">
        <v>113.52500000000001</v>
      </c>
      <c r="F114" s="116">
        <v>224.45</v>
      </c>
      <c r="G114">
        <v>37055</v>
      </c>
      <c r="H114" s="116"/>
      <c r="I114" s="116"/>
      <c r="L114" s="170">
        <v>42167</v>
      </c>
      <c r="M114" s="116">
        <v>112.45</v>
      </c>
      <c r="N114" s="116">
        <v>114.175</v>
      </c>
      <c r="O114" s="116">
        <v>111.02500000000001</v>
      </c>
      <c r="P114" s="116">
        <v>113</v>
      </c>
      <c r="Q114" s="116">
        <v>224.9</v>
      </c>
      <c r="R114">
        <v>57065</v>
      </c>
    </row>
    <row r="115" spans="1:18" x14ac:dyDescent="0.25">
      <c r="A115" s="170">
        <v>42170</v>
      </c>
      <c r="B115" s="116">
        <v>115</v>
      </c>
      <c r="C115" s="116">
        <v>112.675</v>
      </c>
      <c r="D115" s="116">
        <v>112.02500000000001</v>
      </c>
      <c r="E115" s="116">
        <v>112.9</v>
      </c>
      <c r="F115" s="116">
        <v>225.35</v>
      </c>
      <c r="G115">
        <v>27032</v>
      </c>
      <c r="H115" s="116"/>
      <c r="I115" s="116"/>
      <c r="L115" s="170">
        <v>42170</v>
      </c>
      <c r="M115" s="116">
        <v>112.625</v>
      </c>
      <c r="N115" s="116">
        <v>115.2</v>
      </c>
      <c r="O115" s="116">
        <v>112.25</v>
      </c>
      <c r="P115" s="116">
        <v>112.5</v>
      </c>
      <c r="Q115" s="116">
        <v>225.25</v>
      </c>
      <c r="R115">
        <v>44349</v>
      </c>
    </row>
    <row r="116" spans="1:18" x14ac:dyDescent="0.25">
      <c r="A116" s="170">
        <v>42171</v>
      </c>
      <c r="B116" s="116">
        <v>113.47499999999999</v>
      </c>
      <c r="C116" s="116">
        <v>112.35</v>
      </c>
      <c r="D116" s="116">
        <v>111.625</v>
      </c>
      <c r="E116" s="116">
        <v>112.5</v>
      </c>
      <c r="F116" s="116">
        <v>224.7</v>
      </c>
      <c r="G116">
        <v>50614</v>
      </c>
      <c r="H116" s="116"/>
      <c r="I116" s="116"/>
      <c r="L116" s="170">
        <v>42171</v>
      </c>
      <c r="M116" s="116">
        <v>112.175</v>
      </c>
      <c r="N116" s="116">
        <v>113.52500000000001</v>
      </c>
      <c r="O116" s="116">
        <v>111.825</v>
      </c>
      <c r="P116" s="116">
        <v>112.5</v>
      </c>
      <c r="Q116" s="116">
        <v>224.35</v>
      </c>
      <c r="R116">
        <v>69068</v>
      </c>
    </row>
    <row r="117" spans="1:18" x14ac:dyDescent="0.25">
      <c r="A117" s="170">
        <v>42172</v>
      </c>
      <c r="B117" s="116">
        <v>115.47499999999999</v>
      </c>
      <c r="C117" s="116">
        <v>112.5</v>
      </c>
      <c r="D117" s="116">
        <v>111.75</v>
      </c>
      <c r="E117" s="116">
        <v>112.5</v>
      </c>
      <c r="F117" s="116">
        <v>225</v>
      </c>
      <c r="G117">
        <v>31115</v>
      </c>
      <c r="H117" s="116"/>
      <c r="I117" s="116"/>
      <c r="L117" s="170">
        <v>42172</v>
      </c>
      <c r="M117" s="116">
        <v>112.47499999999999</v>
      </c>
      <c r="N117" s="116">
        <v>115.6</v>
      </c>
      <c r="O117" s="116">
        <v>111.52500000000001</v>
      </c>
      <c r="P117" s="116">
        <v>112.375</v>
      </c>
      <c r="Q117" s="116">
        <v>224.95</v>
      </c>
      <c r="R117">
        <v>99371</v>
      </c>
    </row>
    <row r="118" spans="1:18" x14ac:dyDescent="0.25">
      <c r="A118" s="170">
        <v>42173</v>
      </c>
      <c r="B118" s="116">
        <v>114.5</v>
      </c>
      <c r="C118" s="116">
        <v>112.575</v>
      </c>
      <c r="D118" s="116">
        <v>112.35</v>
      </c>
      <c r="E118" s="116">
        <v>112.97499999999999</v>
      </c>
      <c r="F118" s="116">
        <v>225.15</v>
      </c>
      <c r="G118">
        <v>32527</v>
      </c>
      <c r="H118" s="116"/>
      <c r="I118" s="116"/>
      <c r="L118" s="170">
        <v>42173</v>
      </c>
      <c r="M118" s="116">
        <v>112.85</v>
      </c>
      <c r="N118" s="116">
        <v>114.675</v>
      </c>
      <c r="O118" s="116">
        <v>112.5</v>
      </c>
      <c r="P118" s="116">
        <v>112.5</v>
      </c>
      <c r="Q118" s="116">
        <v>225.7</v>
      </c>
      <c r="R118">
        <v>68283</v>
      </c>
    </row>
    <row r="119" spans="1:18" x14ac:dyDescent="0.25">
      <c r="A119" s="170">
        <v>42174</v>
      </c>
      <c r="B119" s="116">
        <v>114.4</v>
      </c>
      <c r="C119" s="116">
        <v>113.575</v>
      </c>
      <c r="D119" s="116">
        <v>113.175</v>
      </c>
      <c r="E119" s="116">
        <v>113.3</v>
      </c>
      <c r="F119" s="116">
        <v>227.15</v>
      </c>
      <c r="G119">
        <v>23779</v>
      </c>
      <c r="H119" s="116"/>
      <c r="I119" s="116"/>
      <c r="L119" s="170">
        <v>42174</v>
      </c>
      <c r="M119" s="116">
        <v>113.625</v>
      </c>
      <c r="N119" s="116">
        <v>114.45</v>
      </c>
      <c r="O119" s="116">
        <v>113</v>
      </c>
      <c r="P119" s="116">
        <v>113.97499999999999</v>
      </c>
      <c r="Q119" s="116">
        <v>227.25</v>
      </c>
      <c r="R119">
        <v>63762</v>
      </c>
    </row>
    <row r="120" spans="1:18" x14ac:dyDescent="0.25">
      <c r="A120" s="170">
        <v>42177</v>
      </c>
      <c r="B120" s="116">
        <v>115.85</v>
      </c>
      <c r="C120" s="116">
        <v>113.75</v>
      </c>
      <c r="D120" s="116">
        <v>113.25</v>
      </c>
      <c r="E120" s="116">
        <v>113.4</v>
      </c>
      <c r="F120" s="116">
        <v>227.5</v>
      </c>
      <c r="G120">
        <v>25933</v>
      </c>
      <c r="H120" s="116"/>
      <c r="I120" s="116"/>
      <c r="L120" s="170">
        <v>42177</v>
      </c>
      <c r="M120" s="116">
        <v>113.7</v>
      </c>
      <c r="N120" s="116">
        <v>115.72499999999999</v>
      </c>
      <c r="O120" s="116">
        <v>113.1</v>
      </c>
      <c r="P120" s="116">
        <v>113.85</v>
      </c>
      <c r="Q120" s="116">
        <v>227.4</v>
      </c>
      <c r="R120">
        <v>63415</v>
      </c>
    </row>
    <row r="121" spans="1:18" x14ac:dyDescent="0.25">
      <c r="A121" s="170">
        <v>42178</v>
      </c>
      <c r="B121" s="116">
        <v>114.97499999999999</v>
      </c>
      <c r="C121" s="116">
        <v>113.425</v>
      </c>
      <c r="D121" s="116">
        <v>113.02500000000001</v>
      </c>
      <c r="E121" s="116">
        <v>113.97499999999999</v>
      </c>
      <c r="F121" s="116">
        <v>226.85</v>
      </c>
      <c r="G121">
        <v>33779</v>
      </c>
      <c r="H121" s="116"/>
      <c r="I121" s="116"/>
      <c r="L121" s="170">
        <v>42178</v>
      </c>
      <c r="M121" s="116">
        <v>113.125</v>
      </c>
      <c r="N121" s="116">
        <v>114.85</v>
      </c>
      <c r="O121" s="116">
        <v>113</v>
      </c>
      <c r="P121" s="116">
        <v>113.85</v>
      </c>
      <c r="Q121" s="116">
        <v>226.25</v>
      </c>
      <c r="R121">
        <v>71362</v>
      </c>
    </row>
    <row r="122" spans="1:18" x14ac:dyDescent="0.25">
      <c r="A122" s="170">
        <v>42179</v>
      </c>
      <c r="B122" s="116">
        <v>128.19999999999999</v>
      </c>
      <c r="C122" s="116">
        <v>120.5</v>
      </c>
      <c r="D122" s="116">
        <v>113</v>
      </c>
      <c r="E122" s="116">
        <v>113.47499999999999</v>
      </c>
      <c r="F122" s="116">
        <v>241</v>
      </c>
      <c r="G122">
        <v>272300</v>
      </c>
      <c r="H122" s="116"/>
      <c r="I122" s="116"/>
      <c r="L122" s="170">
        <v>42179</v>
      </c>
      <c r="M122" s="116">
        <v>120.05</v>
      </c>
      <c r="N122" s="116">
        <v>128.07499999999999</v>
      </c>
      <c r="O122" s="116">
        <v>113.1</v>
      </c>
      <c r="P122" s="116">
        <v>113.375</v>
      </c>
      <c r="Q122" s="116">
        <v>240.1</v>
      </c>
      <c r="R122">
        <v>702539</v>
      </c>
    </row>
    <row r="123" spans="1:18" x14ac:dyDescent="0.25">
      <c r="A123" s="170">
        <v>42180</v>
      </c>
      <c r="B123" s="116">
        <v>123.9</v>
      </c>
      <c r="C123" s="116">
        <v>120.2</v>
      </c>
      <c r="D123" s="116">
        <v>119.02500000000001</v>
      </c>
      <c r="E123" s="116">
        <v>121.35</v>
      </c>
      <c r="F123" s="116">
        <v>240.4</v>
      </c>
      <c r="G123">
        <v>93947</v>
      </c>
      <c r="H123" s="116"/>
      <c r="I123" s="116"/>
      <c r="L123" s="170">
        <v>42180</v>
      </c>
      <c r="M123" s="116">
        <v>120.75</v>
      </c>
      <c r="N123" s="116">
        <v>124</v>
      </c>
      <c r="O123" s="116">
        <v>119.1</v>
      </c>
      <c r="P123" s="116">
        <v>122.22499999999999</v>
      </c>
      <c r="Q123" s="116">
        <v>241.5</v>
      </c>
      <c r="R123">
        <v>189213</v>
      </c>
    </row>
    <row r="124" spans="1:18" x14ac:dyDescent="0.25">
      <c r="A124" s="170">
        <v>42181</v>
      </c>
      <c r="B124" s="116">
        <v>124</v>
      </c>
      <c r="C124" s="116">
        <v>121.3</v>
      </c>
      <c r="D124" s="116">
        <v>119.02500000000001</v>
      </c>
      <c r="E124" s="116">
        <v>120.85</v>
      </c>
      <c r="F124" s="116">
        <v>242.6</v>
      </c>
      <c r="G124">
        <v>66812</v>
      </c>
      <c r="H124" s="116"/>
      <c r="I124" s="116"/>
      <c r="L124" s="170">
        <v>42181</v>
      </c>
      <c r="M124" s="116">
        <v>121.425</v>
      </c>
      <c r="N124" s="116">
        <v>124.175</v>
      </c>
      <c r="O124" s="116">
        <v>118.97499999999999</v>
      </c>
      <c r="P124" s="116">
        <v>120.52500000000001</v>
      </c>
      <c r="Q124" s="116">
        <v>242.85</v>
      </c>
      <c r="R124">
        <v>158515</v>
      </c>
    </row>
    <row r="125" spans="1:18" x14ac:dyDescent="0.25">
      <c r="A125" s="170">
        <v>42184</v>
      </c>
      <c r="B125" s="116">
        <v>121.02500000000001</v>
      </c>
      <c r="C125" s="116">
        <v>117.2</v>
      </c>
      <c r="D125" s="116">
        <v>115</v>
      </c>
      <c r="E125" s="116">
        <v>115</v>
      </c>
      <c r="F125" s="116">
        <v>234.4</v>
      </c>
      <c r="G125">
        <v>57128</v>
      </c>
      <c r="H125" s="116"/>
      <c r="I125" s="116"/>
      <c r="L125" s="170">
        <v>42184</v>
      </c>
      <c r="M125" s="116">
        <v>117.425</v>
      </c>
      <c r="N125" s="116">
        <v>120.5</v>
      </c>
      <c r="O125" s="116">
        <v>115.175</v>
      </c>
      <c r="P125" s="116">
        <v>115.175</v>
      </c>
      <c r="Q125" s="116">
        <v>234.85</v>
      </c>
      <c r="R125">
        <v>94492</v>
      </c>
    </row>
    <row r="126" spans="1:18" x14ac:dyDescent="0.25">
      <c r="A126" s="170">
        <v>42185</v>
      </c>
      <c r="B126" s="116">
        <v>120.7</v>
      </c>
      <c r="C126" s="116">
        <v>118.27500000000001</v>
      </c>
      <c r="D126" s="116">
        <v>117.4</v>
      </c>
      <c r="E126" s="116">
        <v>117.4</v>
      </c>
      <c r="F126" s="116">
        <v>236.55</v>
      </c>
      <c r="G126">
        <v>24181</v>
      </c>
      <c r="H126" s="116"/>
      <c r="I126" s="116"/>
      <c r="L126" s="170">
        <v>42185</v>
      </c>
      <c r="M126" s="116">
        <v>118.625</v>
      </c>
      <c r="N126" s="116">
        <v>120.85</v>
      </c>
      <c r="O126" s="116">
        <v>116.52500000000001</v>
      </c>
      <c r="P126" s="116">
        <v>116.97499999999999</v>
      </c>
      <c r="Q126" s="116">
        <v>237.25</v>
      </c>
      <c r="R126">
        <v>95419</v>
      </c>
    </row>
    <row r="127" spans="1:18" x14ac:dyDescent="0.25">
      <c r="A127" s="170">
        <v>42186</v>
      </c>
      <c r="B127" s="116">
        <v>121.27500000000001</v>
      </c>
      <c r="C127" s="116">
        <v>119.6</v>
      </c>
      <c r="D127" s="116">
        <v>118.9</v>
      </c>
      <c r="E127" s="116">
        <v>118.9</v>
      </c>
      <c r="F127" s="116">
        <v>239.2</v>
      </c>
      <c r="G127">
        <v>25129</v>
      </c>
      <c r="H127" s="116"/>
      <c r="I127" s="116"/>
      <c r="L127" s="170">
        <v>42186</v>
      </c>
      <c r="M127" s="116">
        <v>119.72499999999999</v>
      </c>
      <c r="N127" s="116">
        <v>121.45</v>
      </c>
      <c r="O127" s="116">
        <v>118.925</v>
      </c>
      <c r="P127" s="116">
        <v>118.97499999999999</v>
      </c>
      <c r="Q127" s="116">
        <v>239.45</v>
      </c>
      <c r="R127">
        <v>117008</v>
      </c>
    </row>
    <row r="128" spans="1:18" x14ac:dyDescent="0.25">
      <c r="A128" s="170">
        <v>42187</v>
      </c>
      <c r="B128" s="116">
        <v>121.5</v>
      </c>
      <c r="C128" s="116">
        <v>119.8</v>
      </c>
      <c r="D128" s="116">
        <v>119.5</v>
      </c>
      <c r="E128" s="116">
        <v>119.97499999999999</v>
      </c>
      <c r="F128" s="116">
        <v>239.6</v>
      </c>
      <c r="G128">
        <v>22632</v>
      </c>
      <c r="H128" s="116"/>
      <c r="I128" s="116"/>
      <c r="L128" s="170">
        <v>42187</v>
      </c>
      <c r="M128" s="116">
        <v>119.75</v>
      </c>
      <c r="N128" s="116">
        <v>121.65</v>
      </c>
      <c r="O128" s="116">
        <v>119.2</v>
      </c>
      <c r="P128" s="116">
        <v>120.47499999999999</v>
      </c>
      <c r="Q128" s="116">
        <v>239.5</v>
      </c>
      <c r="R128">
        <v>92353</v>
      </c>
    </row>
    <row r="129" spans="1:18" x14ac:dyDescent="0.25">
      <c r="A129" s="170">
        <v>42188</v>
      </c>
      <c r="B129" s="116">
        <v>120.97499999999999</v>
      </c>
      <c r="C129" s="116">
        <v>118.625</v>
      </c>
      <c r="D129" s="116">
        <v>118.3</v>
      </c>
      <c r="E129" s="116">
        <v>119.97499999999999</v>
      </c>
      <c r="F129" s="116">
        <v>237.25</v>
      </c>
      <c r="G129">
        <v>32472</v>
      </c>
      <c r="H129" s="116"/>
      <c r="I129" s="116"/>
      <c r="L129" s="170">
        <v>42188</v>
      </c>
      <c r="M129" s="116">
        <v>118.75</v>
      </c>
      <c r="N129" s="116">
        <v>121.1</v>
      </c>
      <c r="O129" s="116">
        <v>118.325</v>
      </c>
      <c r="P129" s="116">
        <v>119.925</v>
      </c>
      <c r="Q129" s="116">
        <v>237.5</v>
      </c>
      <c r="R129">
        <v>74267</v>
      </c>
    </row>
    <row r="130" spans="1:18" x14ac:dyDescent="0.25">
      <c r="A130" s="170">
        <v>42191</v>
      </c>
      <c r="B130" s="116">
        <v>123.85</v>
      </c>
      <c r="C130" s="116">
        <v>122.425</v>
      </c>
      <c r="D130" s="116">
        <v>117</v>
      </c>
      <c r="E130" s="116">
        <v>118.5</v>
      </c>
      <c r="F130" s="116">
        <v>244.85</v>
      </c>
      <c r="G130">
        <v>70174</v>
      </c>
      <c r="H130" s="116"/>
      <c r="I130" s="116"/>
      <c r="L130" s="170">
        <v>42191</v>
      </c>
      <c r="M130" s="116">
        <v>122.15</v>
      </c>
      <c r="N130" s="116">
        <v>123.95</v>
      </c>
      <c r="O130" s="116">
        <v>116.7</v>
      </c>
      <c r="P130" s="116">
        <v>118.52500000000001</v>
      </c>
      <c r="Q130" s="116">
        <v>244.3</v>
      </c>
      <c r="R130">
        <v>283095</v>
      </c>
    </row>
    <row r="131" spans="1:18" x14ac:dyDescent="0.25">
      <c r="A131" s="170">
        <v>42192</v>
      </c>
      <c r="B131" s="116">
        <v>126.925</v>
      </c>
      <c r="C131" s="116">
        <v>122.85</v>
      </c>
      <c r="D131" s="116">
        <v>122.02500000000001</v>
      </c>
      <c r="E131" s="116">
        <v>122.47499999999999</v>
      </c>
      <c r="F131" s="116">
        <v>245.7</v>
      </c>
      <c r="G131">
        <v>118669</v>
      </c>
      <c r="H131" s="116"/>
      <c r="I131" s="116"/>
      <c r="L131" s="170">
        <v>42192</v>
      </c>
      <c r="M131" s="116">
        <v>122.97499999999999</v>
      </c>
      <c r="N131" s="116">
        <v>126.675</v>
      </c>
      <c r="O131" s="116">
        <v>122</v>
      </c>
      <c r="P131" s="116">
        <v>122.47499999999999</v>
      </c>
      <c r="Q131" s="116">
        <v>245.95</v>
      </c>
      <c r="R131">
        <v>419583</v>
      </c>
    </row>
    <row r="132" spans="1:18" x14ac:dyDescent="0.25">
      <c r="A132" s="170">
        <v>42193</v>
      </c>
      <c r="B132" s="116">
        <v>122.52500000000001</v>
      </c>
      <c r="C132" s="116">
        <v>120.8</v>
      </c>
      <c r="D132" s="116">
        <v>119.625</v>
      </c>
      <c r="E132" s="116">
        <v>122.52500000000001</v>
      </c>
      <c r="F132" s="116">
        <v>241.6</v>
      </c>
      <c r="G132">
        <v>49463</v>
      </c>
      <c r="H132" s="116"/>
      <c r="I132" s="116"/>
      <c r="L132" s="170">
        <v>42193</v>
      </c>
      <c r="M132" s="116">
        <v>120.9</v>
      </c>
      <c r="N132" s="116">
        <v>122.47499999999999</v>
      </c>
      <c r="O132" s="116">
        <v>119.75</v>
      </c>
      <c r="P132" s="116">
        <v>122</v>
      </c>
      <c r="Q132" s="116">
        <v>241.8</v>
      </c>
      <c r="R132">
        <v>142335</v>
      </c>
    </row>
    <row r="133" spans="1:18" x14ac:dyDescent="0.25">
      <c r="A133" s="170">
        <v>42194</v>
      </c>
      <c r="B133" s="116">
        <v>121.675</v>
      </c>
      <c r="C133" s="116">
        <v>120.05</v>
      </c>
      <c r="D133" s="116">
        <v>119.55</v>
      </c>
      <c r="E133" s="116">
        <v>120.97499999999999</v>
      </c>
      <c r="F133" s="116">
        <v>240.1</v>
      </c>
      <c r="G133">
        <v>45042</v>
      </c>
      <c r="H133" s="116"/>
      <c r="I133" s="116"/>
      <c r="L133" s="170">
        <v>42194</v>
      </c>
      <c r="M133" s="116">
        <v>120.125</v>
      </c>
      <c r="N133" s="116">
        <v>121.7</v>
      </c>
      <c r="O133" s="116">
        <v>119.75</v>
      </c>
      <c r="P133" s="116">
        <v>120.97499999999999</v>
      </c>
      <c r="Q133" s="116">
        <v>240.25</v>
      </c>
      <c r="R133">
        <v>86074</v>
      </c>
    </row>
    <row r="134" spans="1:18" x14ac:dyDescent="0.25">
      <c r="A134" s="170">
        <v>42195</v>
      </c>
      <c r="B134" s="116">
        <v>125.9</v>
      </c>
      <c r="C134" s="116">
        <v>123.72499999999999</v>
      </c>
      <c r="D134" s="116">
        <v>120.97499999999999</v>
      </c>
      <c r="E134" s="116">
        <v>120.97499999999999</v>
      </c>
      <c r="F134" s="116">
        <v>247.45</v>
      </c>
      <c r="G134">
        <v>85503</v>
      </c>
      <c r="H134" s="116"/>
      <c r="I134" s="116"/>
      <c r="L134" s="170">
        <v>42195</v>
      </c>
      <c r="M134" s="116">
        <v>123.925</v>
      </c>
      <c r="N134" s="116">
        <v>126.2</v>
      </c>
      <c r="O134" s="116">
        <v>120.52500000000001</v>
      </c>
      <c r="P134" s="116">
        <v>121.45</v>
      </c>
      <c r="Q134" s="116">
        <v>247.85</v>
      </c>
      <c r="R134">
        <v>364635</v>
      </c>
    </row>
    <row r="135" spans="1:18" x14ac:dyDescent="0.25">
      <c r="A135" s="170">
        <v>42198</v>
      </c>
      <c r="B135" s="116">
        <v>129.30000000000001</v>
      </c>
      <c r="C135" s="116">
        <v>128.67500000000001</v>
      </c>
      <c r="D135" s="116">
        <v>123.02500000000001</v>
      </c>
      <c r="E135" s="116">
        <v>124.6</v>
      </c>
      <c r="F135" s="116">
        <v>257.35000000000002</v>
      </c>
      <c r="G135">
        <v>116208</v>
      </c>
      <c r="H135" s="116"/>
      <c r="I135" s="116"/>
      <c r="L135" s="170">
        <v>42198</v>
      </c>
      <c r="M135" s="116">
        <v>128.97499999999999</v>
      </c>
      <c r="N135" s="116">
        <v>129.44999999999999</v>
      </c>
      <c r="O135" s="116">
        <v>122.8</v>
      </c>
      <c r="P135" s="116">
        <v>124.375</v>
      </c>
      <c r="Q135" s="116">
        <v>257.95</v>
      </c>
      <c r="R135">
        <v>464144</v>
      </c>
    </row>
    <row r="136" spans="1:18" x14ac:dyDescent="0.25">
      <c r="A136" s="170">
        <v>42199</v>
      </c>
      <c r="B136" s="116">
        <v>130.94999999999999</v>
      </c>
      <c r="C136" s="116">
        <v>129.05000000000001</v>
      </c>
      <c r="D136" s="116">
        <v>128.1</v>
      </c>
      <c r="E136" s="116">
        <v>129.5</v>
      </c>
      <c r="F136" s="116">
        <v>258.10000000000002</v>
      </c>
      <c r="G136">
        <v>62130</v>
      </c>
      <c r="H136" s="116"/>
      <c r="I136" s="116"/>
      <c r="L136" s="170">
        <v>42199</v>
      </c>
      <c r="M136" s="116">
        <v>129.42500000000001</v>
      </c>
      <c r="N136" s="116">
        <v>131</v>
      </c>
      <c r="O136" s="116">
        <v>128.125</v>
      </c>
      <c r="P136" s="116">
        <v>129.5</v>
      </c>
      <c r="Q136" s="116">
        <v>258.85000000000002</v>
      </c>
      <c r="R136">
        <v>250022</v>
      </c>
    </row>
    <row r="137" spans="1:18" x14ac:dyDescent="0.25">
      <c r="A137" s="170">
        <v>42200</v>
      </c>
      <c r="B137" s="116">
        <v>131.47499999999999</v>
      </c>
      <c r="C137" s="116">
        <v>130.4</v>
      </c>
      <c r="D137" s="116">
        <v>129.22499999999999</v>
      </c>
      <c r="E137" s="116">
        <v>129.47499999999999</v>
      </c>
      <c r="F137" s="116">
        <v>260.8</v>
      </c>
      <c r="G137">
        <v>53346</v>
      </c>
      <c r="H137" s="116"/>
      <c r="I137" s="116"/>
      <c r="L137" s="170">
        <v>42200</v>
      </c>
      <c r="M137" s="116">
        <v>130.35</v>
      </c>
      <c r="N137" s="116">
        <v>131.75</v>
      </c>
      <c r="O137" s="116">
        <v>129</v>
      </c>
      <c r="P137" s="116">
        <v>130</v>
      </c>
      <c r="Q137" s="116">
        <v>260.7</v>
      </c>
      <c r="R137">
        <v>168579</v>
      </c>
    </row>
    <row r="138" spans="1:18" x14ac:dyDescent="0.25">
      <c r="A138" s="170">
        <v>42201</v>
      </c>
      <c r="B138" s="116">
        <v>133.72499999999999</v>
      </c>
      <c r="C138" s="116">
        <v>132.32499999999999</v>
      </c>
      <c r="D138" s="116">
        <v>130.02500000000001</v>
      </c>
      <c r="E138" s="116">
        <v>131.4</v>
      </c>
      <c r="F138" s="116">
        <v>264.64999999999998</v>
      </c>
      <c r="G138">
        <v>61905</v>
      </c>
      <c r="H138" s="116"/>
      <c r="I138" s="116"/>
      <c r="L138" s="170">
        <v>42201</v>
      </c>
      <c r="M138" s="116">
        <v>132.32499999999999</v>
      </c>
      <c r="N138" s="116">
        <v>133.75</v>
      </c>
      <c r="O138" s="116">
        <v>130.05000000000001</v>
      </c>
      <c r="P138" s="116">
        <v>131.44999999999999</v>
      </c>
      <c r="Q138" s="116">
        <v>264.64999999999998</v>
      </c>
      <c r="R138">
        <v>196777</v>
      </c>
    </row>
    <row r="139" spans="1:18" x14ac:dyDescent="0.25">
      <c r="A139" s="170">
        <v>42202</v>
      </c>
      <c r="B139" s="116">
        <v>137.69999999999999</v>
      </c>
      <c r="C139" s="116">
        <v>134.42500000000001</v>
      </c>
      <c r="D139" s="116">
        <v>132.69999999999999</v>
      </c>
      <c r="E139" s="116">
        <v>133</v>
      </c>
      <c r="F139" s="116">
        <v>268.85000000000002</v>
      </c>
      <c r="G139">
        <v>149060</v>
      </c>
      <c r="H139" s="116"/>
      <c r="I139" s="116"/>
      <c r="L139" s="170">
        <v>42202</v>
      </c>
      <c r="M139" s="116">
        <v>134.77500000000001</v>
      </c>
      <c r="N139" s="116">
        <v>137.69999999999999</v>
      </c>
      <c r="O139" s="116">
        <v>132.5</v>
      </c>
      <c r="P139" s="116">
        <v>132.5</v>
      </c>
      <c r="Q139" s="116">
        <v>269.55</v>
      </c>
      <c r="R139">
        <v>626552</v>
      </c>
    </row>
    <row r="140" spans="1:18" x14ac:dyDescent="0.25">
      <c r="A140" s="170">
        <v>42205</v>
      </c>
      <c r="B140" s="116">
        <v>136.625</v>
      </c>
      <c r="C140" s="116">
        <v>135.44999999999999</v>
      </c>
      <c r="D140" s="116">
        <v>134.05000000000001</v>
      </c>
      <c r="E140" s="116">
        <v>135.44999999999999</v>
      </c>
      <c r="F140" s="116">
        <v>270.89999999999998</v>
      </c>
      <c r="G140">
        <v>72230</v>
      </c>
      <c r="H140" s="116"/>
      <c r="I140" s="116"/>
      <c r="L140" s="170">
        <v>42205</v>
      </c>
      <c r="M140" s="116">
        <v>135.5</v>
      </c>
      <c r="N140" s="116">
        <v>136.69999999999999</v>
      </c>
      <c r="O140" s="116">
        <v>133.72499999999999</v>
      </c>
      <c r="P140" s="116">
        <v>135.47499999999999</v>
      </c>
      <c r="Q140" s="116">
        <v>271</v>
      </c>
      <c r="R140">
        <v>201682</v>
      </c>
    </row>
    <row r="141" spans="1:18" x14ac:dyDescent="0.25">
      <c r="A141" s="170">
        <v>42206</v>
      </c>
      <c r="B141" s="116">
        <v>138.75</v>
      </c>
      <c r="C141" s="116">
        <v>132.92500000000001</v>
      </c>
      <c r="D141" s="116">
        <v>132.35</v>
      </c>
      <c r="E141" s="116">
        <v>135.97499999999999</v>
      </c>
      <c r="F141" s="116">
        <v>265.85000000000002</v>
      </c>
      <c r="G141">
        <v>94699</v>
      </c>
      <c r="H141" s="116"/>
      <c r="I141" s="116"/>
      <c r="L141" s="170">
        <v>42206</v>
      </c>
      <c r="M141" s="116">
        <v>133.15</v>
      </c>
      <c r="N141" s="116">
        <v>138.67500000000001</v>
      </c>
      <c r="O141" s="116">
        <v>132.27500000000001</v>
      </c>
      <c r="P141" s="116">
        <v>136.375</v>
      </c>
      <c r="Q141" s="116">
        <v>266.3</v>
      </c>
      <c r="R141">
        <v>374070</v>
      </c>
    </row>
    <row r="142" spans="1:18" x14ac:dyDescent="0.25">
      <c r="A142" s="170">
        <v>42207</v>
      </c>
      <c r="B142" s="116">
        <v>135.42500000000001</v>
      </c>
      <c r="C142" s="116">
        <v>134.125</v>
      </c>
      <c r="D142" s="116">
        <v>132.5</v>
      </c>
      <c r="E142" s="116">
        <v>132.97499999999999</v>
      </c>
      <c r="F142" s="116">
        <v>268.25</v>
      </c>
      <c r="G142">
        <v>28004</v>
      </c>
      <c r="H142" s="116"/>
      <c r="I142" s="116"/>
      <c r="L142" s="170">
        <v>42207</v>
      </c>
      <c r="M142" s="116">
        <v>134.52500000000001</v>
      </c>
      <c r="N142" s="116">
        <v>135.19999999999999</v>
      </c>
      <c r="O142" s="116">
        <v>132</v>
      </c>
      <c r="P142" s="116">
        <v>132.5</v>
      </c>
      <c r="Q142" s="116">
        <v>269.05</v>
      </c>
      <c r="R142">
        <v>125968</v>
      </c>
    </row>
    <row r="143" spans="1:18" x14ac:dyDescent="0.25">
      <c r="A143" s="170">
        <v>42208</v>
      </c>
      <c r="B143" s="116">
        <v>138.02500000000001</v>
      </c>
      <c r="C143" s="116">
        <v>135</v>
      </c>
      <c r="D143" s="116">
        <v>134.52500000000001</v>
      </c>
      <c r="E143" s="116">
        <v>135</v>
      </c>
      <c r="F143" s="116">
        <v>270</v>
      </c>
      <c r="G143">
        <v>72190</v>
      </c>
      <c r="H143" s="116"/>
      <c r="I143" s="116"/>
      <c r="L143" s="170">
        <v>42208</v>
      </c>
      <c r="M143" s="116">
        <v>135.17500000000001</v>
      </c>
      <c r="N143" s="116">
        <v>138.1</v>
      </c>
      <c r="O143" s="116">
        <v>134.47499999999999</v>
      </c>
      <c r="P143" s="116">
        <v>134.875</v>
      </c>
      <c r="Q143" s="116">
        <v>270.35000000000002</v>
      </c>
      <c r="R143">
        <v>207554</v>
      </c>
    </row>
    <row r="144" spans="1:18" x14ac:dyDescent="0.25">
      <c r="A144" s="170">
        <v>42209</v>
      </c>
      <c r="B144" s="116">
        <v>136.30000000000001</v>
      </c>
      <c r="C144" s="116">
        <v>133.125</v>
      </c>
      <c r="D144" s="116">
        <v>132.1</v>
      </c>
      <c r="E144" s="116">
        <v>135</v>
      </c>
      <c r="F144" s="116">
        <v>266.25</v>
      </c>
      <c r="G144">
        <v>31559</v>
      </c>
      <c r="H144" s="116"/>
      <c r="I144" s="116"/>
      <c r="L144" s="170">
        <v>42209</v>
      </c>
      <c r="M144" s="116">
        <v>133.125</v>
      </c>
      <c r="N144" s="116">
        <v>136.44999999999999</v>
      </c>
      <c r="O144" s="116">
        <v>132.25</v>
      </c>
      <c r="P144" s="116">
        <v>135.375</v>
      </c>
      <c r="Q144" s="116">
        <v>266.25</v>
      </c>
      <c r="R144">
        <v>119585</v>
      </c>
    </row>
    <row r="145" spans="1:18" x14ac:dyDescent="0.25">
      <c r="A145" s="170">
        <v>42212</v>
      </c>
      <c r="B145" s="116">
        <v>135.94999999999999</v>
      </c>
      <c r="C145" s="116">
        <v>132.5</v>
      </c>
      <c r="D145" s="116">
        <v>131.94999999999999</v>
      </c>
      <c r="E145" s="116">
        <v>133.25</v>
      </c>
      <c r="F145" s="116">
        <v>265</v>
      </c>
      <c r="G145">
        <v>36426</v>
      </c>
      <c r="H145" s="116"/>
      <c r="I145" s="116"/>
      <c r="L145" s="170">
        <v>42212</v>
      </c>
      <c r="M145" s="116">
        <v>132.30000000000001</v>
      </c>
      <c r="N145" s="116">
        <v>135.97499999999999</v>
      </c>
      <c r="O145" s="116">
        <v>131.75</v>
      </c>
      <c r="P145" s="116">
        <v>132.75</v>
      </c>
      <c r="Q145" s="116">
        <v>264.60000000000002</v>
      </c>
      <c r="R145">
        <v>104294</v>
      </c>
    </row>
    <row r="146" spans="1:18" x14ac:dyDescent="0.25">
      <c r="A146" s="170">
        <v>42213</v>
      </c>
      <c r="B146" s="116">
        <v>134.19999999999999</v>
      </c>
      <c r="C146" s="116">
        <v>132.44999999999999</v>
      </c>
      <c r="D146" s="116">
        <v>132</v>
      </c>
      <c r="E146" s="116">
        <v>132.94999999999999</v>
      </c>
      <c r="F146" s="116">
        <v>264.89999999999998</v>
      </c>
      <c r="G146">
        <v>33878</v>
      </c>
      <c r="H146" s="116"/>
      <c r="I146" s="116"/>
      <c r="L146" s="170">
        <v>42213</v>
      </c>
      <c r="M146" s="116">
        <v>132.375</v>
      </c>
      <c r="N146" s="116">
        <v>134.4</v>
      </c>
      <c r="O146" s="116">
        <v>132</v>
      </c>
      <c r="P146" s="116">
        <v>132.625</v>
      </c>
      <c r="Q146" s="116">
        <v>264.75</v>
      </c>
      <c r="R146">
        <v>98085</v>
      </c>
    </row>
    <row r="147" spans="1:18" x14ac:dyDescent="0.25">
      <c r="A147" s="170">
        <v>42214</v>
      </c>
      <c r="B147" s="116">
        <v>141.35</v>
      </c>
      <c r="C147" s="116">
        <v>139.77500000000001</v>
      </c>
      <c r="D147" s="116">
        <v>132.02500000000001</v>
      </c>
      <c r="E147" s="116">
        <v>132.47499999999999</v>
      </c>
      <c r="F147" s="116">
        <v>279.55</v>
      </c>
      <c r="G147">
        <v>143868</v>
      </c>
      <c r="H147" s="116"/>
      <c r="I147" s="116"/>
      <c r="L147" s="170">
        <v>42214</v>
      </c>
      <c r="M147" s="116">
        <v>139.9</v>
      </c>
      <c r="N147" s="116">
        <v>141.44999999999999</v>
      </c>
      <c r="O147" s="116">
        <v>132.02500000000001</v>
      </c>
      <c r="P147" s="116">
        <v>132.80000000000001</v>
      </c>
      <c r="Q147" s="116">
        <v>279.8</v>
      </c>
      <c r="R147">
        <v>562632</v>
      </c>
    </row>
    <row r="148" spans="1:18" x14ac:dyDescent="0.25">
      <c r="A148" s="170">
        <v>42215</v>
      </c>
      <c r="B148" s="116">
        <v>143.5</v>
      </c>
      <c r="C148" s="116">
        <v>142.22499999999999</v>
      </c>
      <c r="D148" s="116">
        <v>139.75</v>
      </c>
      <c r="E148" s="116">
        <v>140.07499999999999</v>
      </c>
      <c r="F148" s="116">
        <v>284.45</v>
      </c>
      <c r="G148">
        <v>98595</v>
      </c>
      <c r="H148" s="116"/>
      <c r="I148" s="116"/>
      <c r="L148" s="170">
        <v>42215</v>
      </c>
      <c r="M148" s="116">
        <v>142.125</v>
      </c>
      <c r="N148" s="116">
        <v>143.32499999999999</v>
      </c>
      <c r="O148" s="116">
        <v>140</v>
      </c>
      <c r="P148" s="116">
        <v>140.72499999999999</v>
      </c>
      <c r="Q148" s="116">
        <v>284.25</v>
      </c>
      <c r="R148">
        <v>368776</v>
      </c>
    </row>
    <row r="149" spans="1:18" x14ac:dyDescent="0.25">
      <c r="A149" s="170">
        <v>42216</v>
      </c>
      <c r="B149" s="116">
        <v>148.5</v>
      </c>
      <c r="C149" s="116">
        <v>141.4</v>
      </c>
      <c r="D149" s="116">
        <v>141</v>
      </c>
      <c r="E149" s="116">
        <v>143.35</v>
      </c>
      <c r="F149" s="116">
        <v>282.8</v>
      </c>
      <c r="G149">
        <v>117721</v>
      </c>
      <c r="H149" s="116"/>
      <c r="I149" s="116"/>
      <c r="L149" s="170">
        <v>42216</v>
      </c>
      <c r="M149" s="116">
        <v>141.42500000000001</v>
      </c>
      <c r="N149" s="116">
        <v>148</v>
      </c>
      <c r="O149" s="116">
        <v>140.85</v>
      </c>
      <c r="P149" s="116">
        <v>142.5</v>
      </c>
      <c r="Q149" s="116">
        <v>282.85000000000002</v>
      </c>
      <c r="R149">
        <v>403074</v>
      </c>
    </row>
    <row r="150" spans="1:18" x14ac:dyDescent="0.25">
      <c r="A150" s="170">
        <v>42219</v>
      </c>
      <c r="B150" s="116">
        <v>146.44999999999999</v>
      </c>
      <c r="C150" s="116">
        <v>145.6</v>
      </c>
      <c r="D150" s="116">
        <v>141</v>
      </c>
      <c r="E150" s="116">
        <v>142.05000000000001</v>
      </c>
      <c r="F150" s="116">
        <v>291.2</v>
      </c>
      <c r="G150">
        <v>383470</v>
      </c>
      <c r="H150" s="116"/>
      <c r="I150" s="116"/>
      <c r="L150" s="170">
        <v>42219</v>
      </c>
      <c r="M150" s="116">
        <v>145.5</v>
      </c>
      <c r="N150" s="116">
        <v>146.5</v>
      </c>
      <c r="O150" s="116">
        <v>140.6</v>
      </c>
      <c r="P150" s="116">
        <v>142.22499999999999</v>
      </c>
      <c r="Q150" s="116">
        <v>291</v>
      </c>
      <c r="R150">
        <v>598091</v>
      </c>
    </row>
    <row r="151" spans="1:18" x14ac:dyDescent="0.25">
      <c r="A151" s="170">
        <v>42220</v>
      </c>
      <c r="B151" s="116">
        <v>148</v>
      </c>
      <c r="C151" s="116">
        <v>146.80000000000001</v>
      </c>
      <c r="D151" s="116">
        <v>144.07499999999999</v>
      </c>
      <c r="E151" s="116">
        <v>146.72499999999999</v>
      </c>
      <c r="F151" s="116">
        <v>293.60000000000002</v>
      </c>
      <c r="G151">
        <v>66660</v>
      </c>
      <c r="H151" s="116"/>
      <c r="I151" s="116"/>
      <c r="L151" s="170">
        <v>42220</v>
      </c>
      <c r="M151" s="116">
        <v>146.32499999999999</v>
      </c>
      <c r="N151" s="116">
        <v>148.17500000000001</v>
      </c>
      <c r="O151" s="116">
        <v>144.19999999999999</v>
      </c>
      <c r="P151" s="116">
        <v>146.30000000000001</v>
      </c>
      <c r="Q151" s="116">
        <v>292.64999999999998</v>
      </c>
      <c r="R151">
        <v>310127</v>
      </c>
    </row>
    <row r="152" spans="1:18" x14ac:dyDescent="0.25">
      <c r="A152" s="170">
        <v>42221</v>
      </c>
      <c r="B152" s="116">
        <v>148.69999999999999</v>
      </c>
      <c r="C152" s="116">
        <v>145</v>
      </c>
      <c r="D152" s="116">
        <v>143.57499999999999</v>
      </c>
      <c r="E152" s="116">
        <v>147.94999999999999</v>
      </c>
      <c r="F152" s="116">
        <v>290</v>
      </c>
      <c r="G152">
        <v>83471</v>
      </c>
      <c r="H152" s="116"/>
      <c r="I152" s="116"/>
      <c r="L152" s="170">
        <v>42221</v>
      </c>
      <c r="M152" s="116">
        <v>144.32499999999999</v>
      </c>
      <c r="N152" s="116">
        <v>148.69999999999999</v>
      </c>
      <c r="O152" s="116">
        <v>143.5</v>
      </c>
      <c r="P152" s="116">
        <v>147.5</v>
      </c>
      <c r="Q152" s="116">
        <v>288.64999999999998</v>
      </c>
      <c r="R152">
        <v>257625</v>
      </c>
    </row>
    <row r="153" spans="1:18" x14ac:dyDescent="0.25">
      <c r="A153" s="170">
        <v>42222</v>
      </c>
      <c r="B153" s="116">
        <v>138.05000000000001</v>
      </c>
      <c r="C153" s="116">
        <v>131.80000000000001</v>
      </c>
      <c r="D153" s="116">
        <v>130.55000000000001</v>
      </c>
      <c r="E153" s="116">
        <v>137.5</v>
      </c>
      <c r="F153" s="116">
        <v>263.60000000000002</v>
      </c>
      <c r="G153">
        <v>84278</v>
      </c>
      <c r="H153" s="116"/>
      <c r="I153" s="116"/>
      <c r="L153" s="170">
        <v>42222</v>
      </c>
      <c r="M153" s="116">
        <v>131.92500000000001</v>
      </c>
      <c r="N153" s="116">
        <v>137.82499999999999</v>
      </c>
      <c r="O153" s="116">
        <v>130.80000000000001</v>
      </c>
      <c r="P153" s="116">
        <v>137.47499999999999</v>
      </c>
      <c r="Q153" s="116">
        <v>263.85000000000002</v>
      </c>
      <c r="R153">
        <v>336341</v>
      </c>
    </row>
    <row r="154" spans="1:18" x14ac:dyDescent="0.25">
      <c r="A154" s="170">
        <v>42223</v>
      </c>
      <c r="B154" s="116">
        <v>133.5</v>
      </c>
      <c r="C154" s="116">
        <v>126.925</v>
      </c>
      <c r="D154" s="116">
        <v>126.3</v>
      </c>
      <c r="E154" s="116">
        <v>133</v>
      </c>
      <c r="F154" s="116">
        <v>253.85</v>
      </c>
      <c r="G154">
        <v>70814</v>
      </c>
      <c r="H154" s="116"/>
      <c r="I154" s="116"/>
      <c r="L154" s="170">
        <v>42223</v>
      </c>
      <c r="M154" s="116">
        <v>126.65</v>
      </c>
      <c r="N154" s="116">
        <v>133.5</v>
      </c>
      <c r="O154" s="116">
        <v>126.15</v>
      </c>
      <c r="P154" s="116">
        <v>131.97499999999999</v>
      </c>
      <c r="Q154" s="116">
        <v>253.3</v>
      </c>
      <c r="R154">
        <v>207098</v>
      </c>
    </row>
    <row r="155" spans="1:18" x14ac:dyDescent="0.25">
      <c r="A155" s="170">
        <v>42226</v>
      </c>
      <c r="B155" s="116">
        <v>130.35</v>
      </c>
      <c r="C155" s="116">
        <v>129.1</v>
      </c>
      <c r="D155" s="116">
        <v>126.5</v>
      </c>
      <c r="E155" s="116">
        <v>128.75</v>
      </c>
      <c r="F155" s="116">
        <v>258.2</v>
      </c>
      <c r="G155">
        <v>69303</v>
      </c>
      <c r="H155" s="116"/>
      <c r="I155" s="116"/>
      <c r="L155" s="170">
        <v>42226</v>
      </c>
      <c r="M155" s="116">
        <v>129.15</v>
      </c>
      <c r="N155" s="116">
        <v>130.30000000000001</v>
      </c>
      <c r="O155" s="116">
        <v>126.02500000000001</v>
      </c>
      <c r="P155" s="116">
        <v>126.05</v>
      </c>
      <c r="Q155" s="116">
        <v>258.3</v>
      </c>
      <c r="R155">
        <v>228645</v>
      </c>
    </row>
    <row r="156" spans="1:18" x14ac:dyDescent="0.25">
      <c r="A156" s="170">
        <v>42227</v>
      </c>
      <c r="B156" s="116">
        <v>131.47499999999999</v>
      </c>
      <c r="C156" s="116">
        <v>126.02500000000001</v>
      </c>
      <c r="D156" s="116">
        <v>125.65</v>
      </c>
      <c r="E156" s="116">
        <v>131.47499999999999</v>
      </c>
      <c r="F156" s="116">
        <v>252.05</v>
      </c>
      <c r="G156">
        <v>32928</v>
      </c>
      <c r="H156" s="116"/>
      <c r="I156" s="116"/>
      <c r="L156" s="170">
        <v>42227</v>
      </c>
      <c r="M156" s="116">
        <v>126.05</v>
      </c>
      <c r="N156" s="116">
        <v>130.75</v>
      </c>
      <c r="O156" s="116">
        <v>125.52500000000001</v>
      </c>
      <c r="P156" s="116">
        <v>130.75</v>
      </c>
      <c r="Q156" s="116">
        <v>252.1</v>
      </c>
      <c r="R156">
        <v>130720</v>
      </c>
    </row>
    <row r="157" spans="1:18" x14ac:dyDescent="0.25">
      <c r="A157" s="170">
        <v>42228</v>
      </c>
      <c r="B157" s="116">
        <v>129.72499999999999</v>
      </c>
      <c r="C157" s="116">
        <v>128.72499999999999</v>
      </c>
      <c r="D157" s="116">
        <v>125.4</v>
      </c>
      <c r="E157" s="116">
        <v>125.52500000000001</v>
      </c>
      <c r="F157" s="116">
        <v>257.45</v>
      </c>
      <c r="G157">
        <v>61255</v>
      </c>
      <c r="H157" s="116"/>
      <c r="I157" s="116"/>
      <c r="L157" s="170">
        <v>42228</v>
      </c>
      <c r="M157" s="116">
        <v>128.94999999999999</v>
      </c>
      <c r="N157" s="116">
        <v>129.9</v>
      </c>
      <c r="O157" s="116">
        <v>125.2</v>
      </c>
      <c r="P157" s="116">
        <v>125.27500000000001</v>
      </c>
      <c r="Q157" s="116">
        <v>257.89999999999998</v>
      </c>
      <c r="R157">
        <v>179935</v>
      </c>
    </row>
    <row r="158" spans="1:18" x14ac:dyDescent="0.25">
      <c r="A158" s="170">
        <v>42229</v>
      </c>
      <c r="B158" s="116">
        <v>133.47499999999999</v>
      </c>
      <c r="C158" s="116">
        <v>130.05000000000001</v>
      </c>
      <c r="D158" s="116">
        <v>128.52500000000001</v>
      </c>
      <c r="E158" s="116">
        <v>129.47499999999999</v>
      </c>
      <c r="F158" s="116">
        <v>260.10000000000002</v>
      </c>
      <c r="G158">
        <v>70796</v>
      </c>
      <c r="H158" s="116"/>
      <c r="I158" s="116"/>
      <c r="L158" s="170">
        <v>42229</v>
      </c>
      <c r="M158" s="116">
        <v>130.125</v>
      </c>
      <c r="N158" s="116">
        <v>133.4</v>
      </c>
      <c r="O158" s="116">
        <v>128.32499999999999</v>
      </c>
      <c r="P158" s="116">
        <v>130.22499999999999</v>
      </c>
      <c r="Q158" s="116">
        <v>260.25</v>
      </c>
      <c r="R158">
        <v>194218</v>
      </c>
    </row>
    <row r="159" spans="1:18" x14ac:dyDescent="0.25">
      <c r="A159" s="170">
        <v>42230</v>
      </c>
      <c r="B159" s="116">
        <v>134</v>
      </c>
      <c r="C159" s="116">
        <v>131.9</v>
      </c>
      <c r="D159" s="116">
        <v>130.52500000000001</v>
      </c>
      <c r="E159" s="116">
        <v>132.25</v>
      </c>
      <c r="F159" s="116">
        <v>263.8</v>
      </c>
      <c r="G159">
        <v>72291</v>
      </c>
      <c r="H159" s="116"/>
      <c r="I159" s="116"/>
      <c r="L159" s="170">
        <v>42230</v>
      </c>
      <c r="M159" s="116">
        <v>131.875</v>
      </c>
      <c r="N159" s="116">
        <v>134</v>
      </c>
      <c r="O159" s="116">
        <v>130.52500000000001</v>
      </c>
      <c r="P159" s="116">
        <v>130.94999999999999</v>
      </c>
      <c r="Q159" s="116">
        <v>263.75</v>
      </c>
      <c r="R159">
        <v>110794</v>
      </c>
    </row>
    <row r="160" spans="1:18" x14ac:dyDescent="0.25">
      <c r="A160" s="170">
        <v>42233</v>
      </c>
      <c r="B160" s="116">
        <v>134.69999999999999</v>
      </c>
      <c r="C160" s="116">
        <v>133.57499999999999</v>
      </c>
      <c r="D160" s="116">
        <v>129.6</v>
      </c>
      <c r="E160" s="116">
        <v>131.27500000000001</v>
      </c>
      <c r="F160" s="116">
        <v>267.14999999999998</v>
      </c>
      <c r="G160">
        <v>35911</v>
      </c>
      <c r="H160" s="116"/>
      <c r="I160" s="116"/>
      <c r="L160" s="170">
        <v>42233</v>
      </c>
      <c r="M160" s="116">
        <v>133.32499999999999</v>
      </c>
      <c r="N160" s="116">
        <v>134.47499999999999</v>
      </c>
      <c r="O160" s="116">
        <v>129.30000000000001</v>
      </c>
      <c r="P160" s="116">
        <v>131.85</v>
      </c>
      <c r="Q160" s="116">
        <v>266.64999999999998</v>
      </c>
      <c r="R160">
        <v>131835</v>
      </c>
    </row>
    <row r="161" spans="1:18" x14ac:dyDescent="0.25">
      <c r="A161" s="170">
        <v>42234</v>
      </c>
      <c r="B161" s="116">
        <v>138</v>
      </c>
      <c r="C161" s="116">
        <v>137.19999999999999</v>
      </c>
      <c r="D161" s="116">
        <v>133.1</v>
      </c>
      <c r="E161" s="116">
        <v>133.5</v>
      </c>
      <c r="F161" s="116">
        <v>274.39999999999998</v>
      </c>
      <c r="G161">
        <v>64940</v>
      </c>
      <c r="H161" s="116"/>
      <c r="I161" s="116"/>
      <c r="L161" s="170">
        <v>42234</v>
      </c>
      <c r="M161" s="116">
        <v>137.25</v>
      </c>
      <c r="N161" s="116">
        <v>138.17500000000001</v>
      </c>
      <c r="O161" s="116">
        <v>133.17500000000001</v>
      </c>
      <c r="P161" s="116">
        <v>133.5</v>
      </c>
      <c r="Q161" s="116">
        <v>274.5</v>
      </c>
      <c r="R161">
        <v>200705</v>
      </c>
    </row>
    <row r="162" spans="1:18" x14ac:dyDescent="0.25">
      <c r="A162" s="170">
        <v>42235</v>
      </c>
      <c r="B162" s="116">
        <v>139.22499999999999</v>
      </c>
      <c r="C162" s="116">
        <v>136.72499999999999</v>
      </c>
      <c r="D162" s="116">
        <v>136</v>
      </c>
      <c r="E162" s="116">
        <v>138.25</v>
      </c>
      <c r="F162" s="116">
        <v>273.45</v>
      </c>
      <c r="G162">
        <v>31883</v>
      </c>
      <c r="H162" s="116"/>
      <c r="I162" s="116"/>
      <c r="L162" s="170">
        <v>42235</v>
      </c>
      <c r="M162" s="116">
        <v>136.72499999999999</v>
      </c>
      <c r="N162" s="116">
        <v>139.35</v>
      </c>
      <c r="O162" s="116">
        <v>136</v>
      </c>
      <c r="P162" s="116">
        <v>138.15</v>
      </c>
      <c r="Q162" s="116">
        <v>273.45</v>
      </c>
      <c r="R162">
        <v>251547</v>
      </c>
    </row>
    <row r="163" spans="1:18" x14ac:dyDescent="0.25">
      <c r="A163" s="170">
        <v>42236</v>
      </c>
      <c r="B163" s="116">
        <v>135.92500000000001</v>
      </c>
      <c r="C163" s="116">
        <v>133.27500000000001</v>
      </c>
      <c r="D163" s="116">
        <v>132.02500000000001</v>
      </c>
      <c r="E163" s="116">
        <v>135.57499999999999</v>
      </c>
      <c r="F163" s="116">
        <v>266.55</v>
      </c>
      <c r="G163">
        <v>54610</v>
      </c>
      <c r="H163" s="116"/>
      <c r="I163" s="116"/>
      <c r="L163" s="170">
        <v>42236</v>
      </c>
      <c r="M163" s="116">
        <v>133.19999999999999</v>
      </c>
      <c r="N163" s="116">
        <v>136.5</v>
      </c>
      <c r="O163" s="116">
        <v>131.75</v>
      </c>
      <c r="P163" s="116">
        <v>136.5</v>
      </c>
      <c r="Q163" s="116">
        <v>266.39999999999998</v>
      </c>
      <c r="R163">
        <v>140827</v>
      </c>
    </row>
    <row r="164" spans="1:18" x14ac:dyDescent="0.25">
      <c r="A164" s="170">
        <v>42237</v>
      </c>
      <c r="B164" s="116">
        <v>138.75</v>
      </c>
      <c r="C164" s="116">
        <v>138.25</v>
      </c>
      <c r="D164" s="116">
        <v>127.6</v>
      </c>
      <c r="E164" s="116">
        <v>131.94999999999999</v>
      </c>
      <c r="F164" s="116">
        <v>276.5</v>
      </c>
      <c r="G164">
        <v>54266</v>
      </c>
      <c r="H164" s="116"/>
      <c r="I164" s="116"/>
      <c r="L164" s="170">
        <v>42237</v>
      </c>
      <c r="M164" s="116">
        <v>138.35</v>
      </c>
      <c r="N164" s="116">
        <v>138.80000000000001</v>
      </c>
      <c r="O164" s="116">
        <v>127.875</v>
      </c>
      <c r="P164" s="116">
        <v>128.5</v>
      </c>
      <c r="Q164" s="116">
        <v>276.7</v>
      </c>
      <c r="R164">
        <v>195855</v>
      </c>
    </row>
    <row r="165" spans="1:18" x14ac:dyDescent="0.25">
      <c r="A165" s="170">
        <v>42240</v>
      </c>
      <c r="B165" s="116">
        <v>134.47499999999999</v>
      </c>
      <c r="C165" s="116">
        <v>121.3</v>
      </c>
      <c r="D165" s="116">
        <v>119.5</v>
      </c>
      <c r="E165" s="116">
        <v>134</v>
      </c>
      <c r="F165" s="116">
        <v>242.6</v>
      </c>
      <c r="G165">
        <v>89448</v>
      </c>
      <c r="H165" s="116"/>
      <c r="I165" s="116"/>
      <c r="L165" s="170">
        <v>42240</v>
      </c>
      <c r="M165" s="116">
        <v>121</v>
      </c>
      <c r="N165" s="116">
        <v>134.5</v>
      </c>
      <c r="O165" s="116">
        <v>119.5</v>
      </c>
      <c r="P165" s="116">
        <v>130.32499999999999</v>
      </c>
      <c r="Q165" s="116">
        <v>242</v>
      </c>
      <c r="R165">
        <v>240609</v>
      </c>
    </row>
    <row r="166" spans="1:18" x14ac:dyDescent="0.25">
      <c r="A166" s="170">
        <v>42241</v>
      </c>
      <c r="B166" s="116">
        <v>134.94999999999999</v>
      </c>
      <c r="C166" s="116">
        <v>132.5</v>
      </c>
      <c r="D166" s="116">
        <v>119.52500000000001</v>
      </c>
      <c r="E166" s="116">
        <v>121.55</v>
      </c>
      <c r="F166" s="116">
        <v>265</v>
      </c>
      <c r="G166">
        <v>116408</v>
      </c>
      <c r="H166" s="116"/>
      <c r="I166" s="116"/>
      <c r="L166" s="170">
        <v>42241</v>
      </c>
      <c r="M166" s="116">
        <v>132.125</v>
      </c>
      <c r="N166" s="116">
        <v>134.69999999999999</v>
      </c>
      <c r="O166" s="116">
        <v>119.6</v>
      </c>
      <c r="P166" s="116">
        <v>120.75</v>
      </c>
      <c r="Q166" s="116">
        <v>264.25</v>
      </c>
      <c r="R166">
        <v>321849</v>
      </c>
    </row>
    <row r="167" spans="1:18" x14ac:dyDescent="0.25">
      <c r="A167" s="170">
        <v>42242</v>
      </c>
      <c r="B167" s="116">
        <v>135.25</v>
      </c>
      <c r="C167" s="116">
        <v>133.52500000000001</v>
      </c>
      <c r="D167" s="116">
        <v>128.57499999999999</v>
      </c>
      <c r="E167" s="116">
        <v>132.5</v>
      </c>
      <c r="F167" s="116">
        <v>267.05</v>
      </c>
      <c r="G167">
        <v>55111</v>
      </c>
      <c r="H167" s="116"/>
      <c r="I167" s="116"/>
      <c r="L167" s="170">
        <v>42242</v>
      </c>
      <c r="M167" s="116">
        <v>133.65</v>
      </c>
      <c r="N167" s="116">
        <v>135.47499999999999</v>
      </c>
      <c r="O167" s="116">
        <v>128.85</v>
      </c>
      <c r="P167" s="116">
        <v>131.5</v>
      </c>
      <c r="Q167" s="116">
        <v>267.3</v>
      </c>
      <c r="R167">
        <v>117911</v>
      </c>
    </row>
    <row r="168" spans="1:18" x14ac:dyDescent="0.25">
      <c r="A168" s="170">
        <v>42243</v>
      </c>
      <c r="B168" s="116">
        <v>138.44999999999999</v>
      </c>
      <c r="C168" s="116">
        <v>135.72499999999999</v>
      </c>
      <c r="D168" s="116">
        <v>134.1</v>
      </c>
      <c r="E168" s="116">
        <v>138.44999999999999</v>
      </c>
      <c r="F168" s="116">
        <v>271.45</v>
      </c>
      <c r="G168">
        <v>38270</v>
      </c>
      <c r="H168" s="116"/>
      <c r="I168" s="116"/>
      <c r="L168" s="170">
        <v>42243</v>
      </c>
      <c r="M168" s="116">
        <v>135.85</v>
      </c>
      <c r="N168" s="116">
        <v>138.5</v>
      </c>
      <c r="O168" s="116">
        <v>134.17500000000001</v>
      </c>
      <c r="P168" s="116">
        <v>138</v>
      </c>
      <c r="Q168" s="116">
        <v>271.7</v>
      </c>
      <c r="R168">
        <v>116019</v>
      </c>
    </row>
    <row r="169" spans="1:18" x14ac:dyDescent="0.25">
      <c r="A169" s="170">
        <v>42244</v>
      </c>
      <c r="B169" s="116">
        <v>136.97499999999999</v>
      </c>
      <c r="C169" s="116">
        <v>132.9</v>
      </c>
      <c r="D169" s="116">
        <v>131.52500000000001</v>
      </c>
      <c r="E169" s="116">
        <v>135.97499999999999</v>
      </c>
      <c r="F169" s="116">
        <v>265.8</v>
      </c>
      <c r="G169">
        <v>23723</v>
      </c>
      <c r="H169" s="116"/>
      <c r="I169" s="116"/>
      <c r="L169" s="170">
        <v>42244</v>
      </c>
      <c r="M169" s="116">
        <v>132.77500000000001</v>
      </c>
      <c r="N169" s="116">
        <v>136.97499999999999</v>
      </c>
      <c r="O169" s="116">
        <v>131.27500000000001</v>
      </c>
      <c r="P169" s="116">
        <v>136.97499999999999</v>
      </c>
      <c r="Q169" s="116">
        <v>265.55</v>
      </c>
      <c r="R169">
        <v>100433</v>
      </c>
    </row>
    <row r="170" spans="1:18" x14ac:dyDescent="0.25">
      <c r="A170" s="170">
        <v>42247</v>
      </c>
      <c r="B170" s="116">
        <v>138.05000000000001</v>
      </c>
      <c r="C170" s="116">
        <v>135.02500000000001</v>
      </c>
      <c r="D170" s="116">
        <v>132.52500000000001</v>
      </c>
      <c r="E170" s="116">
        <v>133.02500000000001</v>
      </c>
      <c r="F170" s="116">
        <v>270.05</v>
      </c>
      <c r="G170">
        <v>41241</v>
      </c>
      <c r="H170" s="116"/>
      <c r="I170" s="116"/>
      <c r="L170" s="170">
        <v>42247</v>
      </c>
      <c r="M170" s="116">
        <v>135.1</v>
      </c>
      <c r="N170" s="116">
        <v>138.22499999999999</v>
      </c>
      <c r="O170" s="116">
        <v>131.85</v>
      </c>
      <c r="P170" s="116">
        <v>131.85</v>
      </c>
      <c r="Q170" s="116">
        <v>270.2</v>
      </c>
      <c r="R170">
        <v>110479</v>
      </c>
    </row>
    <row r="171" spans="1:18" x14ac:dyDescent="0.25">
      <c r="A171" s="170">
        <v>42248</v>
      </c>
      <c r="B171" s="116">
        <v>136.5</v>
      </c>
      <c r="C171" s="116">
        <v>132.22499999999999</v>
      </c>
      <c r="D171" s="116">
        <v>131.75</v>
      </c>
      <c r="E171" s="116">
        <v>134.52500000000001</v>
      </c>
      <c r="F171" s="116">
        <v>264.45</v>
      </c>
      <c r="G171">
        <v>30255</v>
      </c>
      <c r="H171" s="116"/>
      <c r="I171" s="116"/>
      <c r="L171" s="170">
        <v>42248</v>
      </c>
      <c r="M171" s="116">
        <v>132.44999999999999</v>
      </c>
      <c r="N171" s="116">
        <v>136.47499999999999</v>
      </c>
      <c r="O171" s="116">
        <v>131.80000000000001</v>
      </c>
      <c r="P171" s="116">
        <v>134.69999999999999</v>
      </c>
      <c r="Q171" s="116">
        <v>264.89999999999998</v>
      </c>
      <c r="R171">
        <v>83539</v>
      </c>
    </row>
    <row r="172" spans="1:18" x14ac:dyDescent="0.25">
      <c r="A172" s="170">
        <v>42249</v>
      </c>
      <c r="B172" s="116">
        <v>135.97499999999999</v>
      </c>
      <c r="C172" s="116">
        <v>130.30000000000001</v>
      </c>
      <c r="D172" s="116">
        <v>130</v>
      </c>
      <c r="E172" s="116">
        <v>132.97499999999999</v>
      </c>
      <c r="F172" s="116">
        <v>260.60000000000002</v>
      </c>
      <c r="G172">
        <v>61631</v>
      </c>
      <c r="H172" s="116"/>
      <c r="I172" s="116"/>
      <c r="L172" s="170">
        <v>42249</v>
      </c>
      <c r="M172" s="116">
        <v>130.44999999999999</v>
      </c>
      <c r="N172" s="116">
        <v>136.125</v>
      </c>
      <c r="O172" s="116">
        <v>130</v>
      </c>
      <c r="P172" s="116">
        <v>132.6</v>
      </c>
      <c r="Q172" s="116">
        <v>260.89999999999998</v>
      </c>
      <c r="R172">
        <v>107347</v>
      </c>
    </row>
    <row r="173" spans="1:18" x14ac:dyDescent="0.25">
      <c r="A173" s="170">
        <v>42250</v>
      </c>
      <c r="B173" s="116">
        <v>145.69999999999999</v>
      </c>
      <c r="C173" s="116">
        <v>143.05000000000001</v>
      </c>
      <c r="D173" s="116">
        <v>130.97499999999999</v>
      </c>
      <c r="E173" s="116">
        <v>130.97499999999999</v>
      </c>
      <c r="F173" s="116">
        <v>286.10000000000002</v>
      </c>
      <c r="G173">
        <v>163367</v>
      </c>
      <c r="H173" s="116"/>
      <c r="I173" s="116"/>
      <c r="L173" s="170">
        <v>42250</v>
      </c>
      <c r="M173" s="116">
        <v>143</v>
      </c>
      <c r="N173" s="116">
        <v>145.65</v>
      </c>
      <c r="O173" s="116">
        <v>130.97499999999999</v>
      </c>
      <c r="P173" s="116">
        <v>130.97499999999999</v>
      </c>
      <c r="Q173" s="116">
        <v>286</v>
      </c>
      <c r="R173">
        <v>810636</v>
      </c>
    </row>
    <row r="174" spans="1:18" x14ac:dyDescent="0.25">
      <c r="A174" s="170">
        <v>42251</v>
      </c>
      <c r="B174" s="116">
        <v>146.15</v>
      </c>
      <c r="C174" s="116">
        <v>137.72499999999999</v>
      </c>
      <c r="D174" s="116">
        <v>136.27500000000001</v>
      </c>
      <c r="E174" s="116">
        <v>143.92500000000001</v>
      </c>
      <c r="F174" s="116">
        <v>275.45</v>
      </c>
      <c r="G174">
        <v>169707</v>
      </c>
      <c r="H174" s="116"/>
      <c r="I174" s="116"/>
      <c r="L174" s="170">
        <v>42251</v>
      </c>
      <c r="M174" s="116">
        <v>137.69999999999999</v>
      </c>
      <c r="N174" s="116">
        <v>145.94999999999999</v>
      </c>
      <c r="O174" s="116">
        <v>135.80000000000001</v>
      </c>
      <c r="P174" s="116">
        <v>143.94999999999999</v>
      </c>
      <c r="Q174" s="116">
        <v>275.39999999999998</v>
      </c>
      <c r="R174">
        <v>372596</v>
      </c>
    </row>
    <row r="175" spans="1:18" x14ac:dyDescent="0.25">
      <c r="A175" s="170">
        <v>42254</v>
      </c>
      <c r="B175" s="116">
        <v>138.80000000000001</v>
      </c>
      <c r="C175" s="116">
        <v>131.30000000000001</v>
      </c>
      <c r="D175" s="116">
        <v>130.69999999999999</v>
      </c>
      <c r="E175" s="116">
        <v>137.32499999999999</v>
      </c>
      <c r="F175" s="116">
        <v>262.60000000000002</v>
      </c>
      <c r="G175">
        <v>53928</v>
      </c>
      <c r="H175" s="116"/>
      <c r="I175" s="116"/>
      <c r="L175" s="170">
        <v>42254</v>
      </c>
      <c r="M175" s="116">
        <v>131.15</v>
      </c>
      <c r="N175" s="116">
        <v>138.75</v>
      </c>
      <c r="O175" s="116">
        <v>130.5</v>
      </c>
      <c r="P175" s="116">
        <v>137.1</v>
      </c>
      <c r="Q175" s="116">
        <v>262.3</v>
      </c>
      <c r="R175">
        <v>153501</v>
      </c>
    </row>
    <row r="176" spans="1:18" x14ac:dyDescent="0.25">
      <c r="A176" s="170">
        <v>42255</v>
      </c>
      <c r="B176" s="116">
        <v>132.05000000000001</v>
      </c>
      <c r="C176" s="116">
        <v>129.875</v>
      </c>
      <c r="D176" s="116">
        <v>123.325</v>
      </c>
      <c r="E176" s="116">
        <v>131.875</v>
      </c>
      <c r="F176" s="116">
        <v>259.75</v>
      </c>
      <c r="G176">
        <v>93158</v>
      </c>
      <c r="H176" s="116"/>
      <c r="I176" s="116"/>
      <c r="L176" s="170">
        <v>42255</v>
      </c>
      <c r="M176" s="116">
        <v>129.94999999999999</v>
      </c>
      <c r="N176" s="116">
        <v>132.47499999999999</v>
      </c>
      <c r="O176" s="116">
        <v>123.2</v>
      </c>
      <c r="P176" s="116">
        <v>131.125</v>
      </c>
      <c r="Q176" s="116">
        <v>259.89999999999998</v>
      </c>
      <c r="R176">
        <v>209551</v>
      </c>
    </row>
    <row r="177" spans="1:18" x14ac:dyDescent="0.25">
      <c r="A177" s="170">
        <v>42256</v>
      </c>
      <c r="B177" s="116">
        <v>135.4</v>
      </c>
      <c r="C177" s="116">
        <v>132.55000000000001</v>
      </c>
      <c r="D177" s="116">
        <v>131</v>
      </c>
      <c r="E177" s="116">
        <v>133.5</v>
      </c>
      <c r="F177" s="116">
        <v>265.10000000000002</v>
      </c>
      <c r="G177">
        <v>38795</v>
      </c>
      <c r="H177" s="116"/>
      <c r="I177" s="116"/>
      <c r="L177" s="170">
        <v>42256</v>
      </c>
      <c r="M177" s="116">
        <v>132.55000000000001</v>
      </c>
      <c r="N177" s="116">
        <v>135.625</v>
      </c>
      <c r="O177" s="116">
        <v>131.125</v>
      </c>
      <c r="P177" s="116">
        <v>132.5</v>
      </c>
      <c r="Q177" s="116">
        <v>265.10000000000002</v>
      </c>
      <c r="R177">
        <v>132651</v>
      </c>
    </row>
    <row r="178" spans="1:18" x14ac:dyDescent="0.25">
      <c r="A178" s="170">
        <v>42257</v>
      </c>
      <c r="B178" s="116">
        <v>136.4</v>
      </c>
      <c r="C178" s="116">
        <v>135.22499999999999</v>
      </c>
      <c r="D178" s="116">
        <v>129</v>
      </c>
      <c r="E178" s="116">
        <v>129</v>
      </c>
      <c r="F178" s="116">
        <v>270.45</v>
      </c>
      <c r="G178">
        <v>46287</v>
      </c>
      <c r="H178" s="116"/>
      <c r="I178" s="116"/>
      <c r="L178" s="170">
        <v>42257</v>
      </c>
      <c r="M178" s="116">
        <v>135.15</v>
      </c>
      <c r="N178" s="116">
        <v>136.27500000000001</v>
      </c>
      <c r="O178" s="116">
        <v>128</v>
      </c>
      <c r="P178" s="116">
        <v>131.75</v>
      </c>
      <c r="Q178" s="116">
        <v>270.3</v>
      </c>
      <c r="R178">
        <v>130386</v>
      </c>
    </row>
    <row r="179" spans="1:18" x14ac:dyDescent="0.25">
      <c r="A179" s="170">
        <v>42258</v>
      </c>
      <c r="B179" s="116">
        <v>138.65</v>
      </c>
      <c r="C179" s="116">
        <v>135.07499999999999</v>
      </c>
      <c r="D179" s="116">
        <v>134</v>
      </c>
      <c r="E179" s="116">
        <v>137.5</v>
      </c>
      <c r="F179" s="116">
        <v>270.14999999999998</v>
      </c>
      <c r="G179">
        <v>40538</v>
      </c>
      <c r="H179" s="116"/>
      <c r="I179" s="116"/>
      <c r="L179" s="170">
        <v>42258</v>
      </c>
      <c r="M179" s="116">
        <v>135.4</v>
      </c>
      <c r="N179" s="116">
        <v>138.75</v>
      </c>
      <c r="O179" s="116">
        <v>134.05000000000001</v>
      </c>
      <c r="P179" s="116">
        <v>136.6</v>
      </c>
      <c r="Q179" s="116">
        <v>270.8</v>
      </c>
      <c r="R179">
        <v>128174</v>
      </c>
    </row>
    <row r="180" spans="1:18" x14ac:dyDescent="0.25">
      <c r="A180" s="170">
        <v>42261</v>
      </c>
      <c r="B180" s="116">
        <v>136.57499999999999</v>
      </c>
      <c r="C180" s="116">
        <v>134.30000000000001</v>
      </c>
      <c r="D180" s="116">
        <v>133.35</v>
      </c>
      <c r="E180" s="116">
        <v>134.82499999999999</v>
      </c>
      <c r="F180" s="116">
        <v>268.60000000000002</v>
      </c>
      <c r="G180">
        <v>49451</v>
      </c>
      <c r="H180" s="116"/>
      <c r="I180" s="116"/>
      <c r="L180" s="170">
        <v>42261</v>
      </c>
      <c r="M180" s="116">
        <v>134.19999999999999</v>
      </c>
      <c r="N180" s="116">
        <v>136.69999999999999</v>
      </c>
      <c r="O180" s="116">
        <v>133.07499999999999</v>
      </c>
      <c r="P180" s="116">
        <v>135</v>
      </c>
      <c r="Q180" s="116">
        <v>268.39999999999998</v>
      </c>
      <c r="R180">
        <v>66137</v>
      </c>
    </row>
    <row r="181" spans="1:18" x14ac:dyDescent="0.25">
      <c r="A181" s="170">
        <v>42262</v>
      </c>
      <c r="B181" s="116">
        <v>136.5</v>
      </c>
      <c r="C181" s="116">
        <v>133.1</v>
      </c>
      <c r="D181" s="116">
        <v>132.57499999999999</v>
      </c>
      <c r="E181" s="116">
        <v>134</v>
      </c>
      <c r="F181" s="116">
        <v>266.2</v>
      </c>
      <c r="G181">
        <v>58644</v>
      </c>
      <c r="H181" s="116"/>
      <c r="I181" s="116"/>
      <c r="L181" s="170">
        <v>42262</v>
      </c>
      <c r="M181" s="116">
        <v>133.07499999999999</v>
      </c>
      <c r="N181" s="116">
        <v>136.69999999999999</v>
      </c>
      <c r="O181" s="116">
        <v>132.5</v>
      </c>
      <c r="P181" s="116">
        <v>134.25</v>
      </c>
      <c r="Q181" s="116">
        <v>266.14999999999998</v>
      </c>
      <c r="R181">
        <v>94846</v>
      </c>
    </row>
    <row r="182" spans="1:18" x14ac:dyDescent="0.25">
      <c r="A182" s="170">
        <v>42263</v>
      </c>
      <c r="B182" s="116">
        <v>135.25</v>
      </c>
      <c r="C182" s="116">
        <v>132.52500000000001</v>
      </c>
      <c r="D182" s="116">
        <v>131.44999999999999</v>
      </c>
      <c r="E182" s="116">
        <v>135.25</v>
      </c>
      <c r="F182" s="116">
        <v>265.05</v>
      </c>
      <c r="G182">
        <v>58778</v>
      </c>
      <c r="H182" s="116"/>
      <c r="I182" s="116"/>
      <c r="L182" s="170">
        <v>42263</v>
      </c>
      <c r="M182" s="116">
        <v>132.55000000000001</v>
      </c>
      <c r="N182" s="116">
        <v>135.25</v>
      </c>
      <c r="O182" s="116">
        <v>131</v>
      </c>
      <c r="P182" s="116">
        <v>133.97499999999999</v>
      </c>
      <c r="Q182" s="116">
        <v>265.10000000000002</v>
      </c>
      <c r="R182">
        <v>70276</v>
      </c>
    </row>
    <row r="183" spans="1:18" x14ac:dyDescent="0.25">
      <c r="A183" s="170">
        <v>42265</v>
      </c>
      <c r="B183" s="116">
        <v>135.9</v>
      </c>
      <c r="C183" s="116">
        <v>132.92500000000001</v>
      </c>
      <c r="D183" s="116">
        <v>132.57499999999999</v>
      </c>
      <c r="E183" s="116">
        <v>134.25</v>
      </c>
      <c r="F183" s="116">
        <v>265.85000000000002</v>
      </c>
      <c r="G183">
        <v>23506</v>
      </c>
      <c r="H183" s="116"/>
      <c r="I183" s="116"/>
      <c r="L183" s="170">
        <v>42265</v>
      </c>
      <c r="M183" s="116">
        <v>132.9</v>
      </c>
      <c r="N183" s="116">
        <v>135.80000000000001</v>
      </c>
      <c r="O183" s="116">
        <v>132.15</v>
      </c>
      <c r="P183" s="116">
        <v>134.4</v>
      </c>
      <c r="Q183" s="116">
        <v>265.8</v>
      </c>
      <c r="R183">
        <v>57245</v>
      </c>
    </row>
    <row r="184" spans="1:18" x14ac:dyDescent="0.25">
      <c r="A184" s="170">
        <v>42268</v>
      </c>
      <c r="B184" s="116">
        <v>134.82499999999999</v>
      </c>
      <c r="C184" s="116">
        <v>132.52500000000001</v>
      </c>
      <c r="D184" s="116">
        <v>131.67500000000001</v>
      </c>
      <c r="E184" s="116">
        <v>132.5</v>
      </c>
      <c r="F184" s="116">
        <v>265.05</v>
      </c>
      <c r="G184">
        <v>34712</v>
      </c>
      <c r="H184" s="116"/>
      <c r="I184" s="116"/>
      <c r="L184" s="170">
        <v>42268</v>
      </c>
      <c r="M184" s="116">
        <v>132.27500000000001</v>
      </c>
      <c r="N184" s="116">
        <v>134.9</v>
      </c>
      <c r="O184" s="116">
        <v>131.32499999999999</v>
      </c>
      <c r="P184" s="116">
        <v>132.5</v>
      </c>
      <c r="Q184" s="116">
        <v>264.55</v>
      </c>
      <c r="R184">
        <v>59361</v>
      </c>
    </row>
    <row r="185" spans="1:18" x14ac:dyDescent="0.25">
      <c r="A185" s="170">
        <v>42269</v>
      </c>
      <c r="B185" s="116">
        <v>137.1</v>
      </c>
      <c r="C185" s="116">
        <v>130.94999999999999</v>
      </c>
      <c r="D185" s="116">
        <v>130.1</v>
      </c>
      <c r="E185" s="116">
        <v>133.125</v>
      </c>
      <c r="F185" s="116">
        <v>261.89999999999998</v>
      </c>
      <c r="G185">
        <v>56285</v>
      </c>
      <c r="H185" s="116"/>
      <c r="I185" s="116"/>
      <c r="L185" s="170">
        <v>42269</v>
      </c>
      <c r="M185" s="116">
        <v>131.30000000000001</v>
      </c>
      <c r="N185" s="116">
        <v>136.94999999999999</v>
      </c>
      <c r="O185" s="116">
        <v>130</v>
      </c>
      <c r="P185" s="116">
        <v>133.4</v>
      </c>
      <c r="Q185" s="116">
        <v>262.60000000000002</v>
      </c>
      <c r="R185">
        <v>124531</v>
      </c>
    </row>
    <row r="186" spans="1:18" x14ac:dyDescent="0.25">
      <c r="A186" s="170">
        <v>42270</v>
      </c>
      <c r="B186" s="116">
        <v>135.94999999999999</v>
      </c>
      <c r="C186" s="116">
        <v>133.30000000000001</v>
      </c>
      <c r="D186" s="116">
        <v>130.5</v>
      </c>
      <c r="E186" s="116">
        <v>130.5</v>
      </c>
      <c r="F186" s="116">
        <v>266.60000000000002</v>
      </c>
      <c r="G186">
        <v>38210</v>
      </c>
      <c r="H186" s="116"/>
      <c r="I186" s="116"/>
      <c r="L186" s="170">
        <v>42270</v>
      </c>
      <c r="M186" s="116">
        <v>133.15</v>
      </c>
      <c r="N186" s="116">
        <v>135.9</v>
      </c>
      <c r="O186" s="116">
        <v>130.05000000000001</v>
      </c>
      <c r="P186" s="116">
        <v>130.55000000000001</v>
      </c>
      <c r="Q186" s="116">
        <v>266.3</v>
      </c>
      <c r="R186">
        <v>120640</v>
      </c>
    </row>
    <row r="187" spans="1:18" x14ac:dyDescent="0.25">
      <c r="A187" s="170">
        <v>42271</v>
      </c>
      <c r="B187" s="116">
        <v>136.5</v>
      </c>
      <c r="C187" s="116">
        <v>133.27500000000001</v>
      </c>
      <c r="D187" s="116">
        <v>132.85</v>
      </c>
      <c r="E187" s="116">
        <v>132.85</v>
      </c>
      <c r="F187" s="116">
        <v>266.55</v>
      </c>
      <c r="G187">
        <v>45819</v>
      </c>
      <c r="H187" s="116"/>
      <c r="I187" s="116"/>
      <c r="L187" s="170">
        <v>42271</v>
      </c>
      <c r="M187" s="116">
        <v>133.52500000000001</v>
      </c>
      <c r="N187" s="116">
        <v>136.375</v>
      </c>
      <c r="O187" s="116">
        <v>132.1</v>
      </c>
      <c r="P187" s="116">
        <v>132.9</v>
      </c>
      <c r="Q187" s="116">
        <v>267.05</v>
      </c>
      <c r="R187">
        <v>127099</v>
      </c>
    </row>
    <row r="188" spans="1:18" x14ac:dyDescent="0.25">
      <c r="A188" s="170">
        <v>42275</v>
      </c>
      <c r="B188" s="116">
        <v>134.72499999999999</v>
      </c>
      <c r="C188" s="116">
        <v>131.65</v>
      </c>
      <c r="D188" s="116">
        <v>131.35</v>
      </c>
      <c r="E188" s="116">
        <v>133.625</v>
      </c>
      <c r="F188" s="116">
        <v>263.3</v>
      </c>
      <c r="G188">
        <v>21167</v>
      </c>
      <c r="H188" s="116"/>
      <c r="I188" s="116"/>
      <c r="L188" s="170">
        <v>42275</v>
      </c>
      <c r="M188" s="116">
        <v>131.94999999999999</v>
      </c>
      <c r="N188" s="116">
        <v>134.69999999999999</v>
      </c>
      <c r="O188" s="116">
        <v>131.625</v>
      </c>
      <c r="P188" s="116">
        <v>134.25</v>
      </c>
      <c r="Q188" s="116">
        <v>263.89999999999998</v>
      </c>
      <c r="R188">
        <v>51962</v>
      </c>
    </row>
    <row r="189" spans="1:18" x14ac:dyDescent="0.25">
      <c r="A189" s="170">
        <v>42276</v>
      </c>
      <c r="B189" s="116">
        <v>134.5</v>
      </c>
      <c r="C189" s="116">
        <v>132.80000000000001</v>
      </c>
      <c r="D189" s="116">
        <v>130.75</v>
      </c>
      <c r="E189" s="116">
        <v>131.1</v>
      </c>
      <c r="F189" s="116">
        <v>265.60000000000002</v>
      </c>
      <c r="G189">
        <v>20635</v>
      </c>
      <c r="H189" s="116"/>
      <c r="I189" s="116"/>
      <c r="L189" s="170">
        <v>42276</v>
      </c>
      <c r="M189" s="116">
        <v>133.44999999999999</v>
      </c>
      <c r="N189" s="116">
        <v>134.75</v>
      </c>
      <c r="O189" s="116">
        <v>130.85</v>
      </c>
      <c r="P189" s="116">
        <v>131.42500000000001</v>
      </c>
      <c r="Q189" s="116">
        <v>266.89999999999998</v>
      </c>
      <c r="R189">
        <v>59989</v>
      </c>
    </row>
    <row r="190" spans="1:18" x14ac:dyDescent="0.25">
      <c r="A190" s="170">
        <v>42277</v>
      </c>
      <c r="B190" s="116">
        <v>139.17500000000001</v>
      </c>
      <c r="C190" s="116">
        <v>138.52500000000001</v>
      </c>
      <c r="D190" s="116">
        <v>133.47499999999999</v>
      </c>
      <c r="E190" s="116">
        <v>133.47499999999999</v>
      </c>
      <c r="F190" s="116">
        <v>277.05</v>
      </c>
      <c r="G190">
        <v>58462</v>
      </c>
      <c r="H190" s="116"/>
      <c r="I190" s="116"/>
      <c r="L190" s="170">
        <v>42277</v>
      </c>
      <c r="M190" s="116">
        <v>138.72499999999999</v>
      </c>
      <c r="N190" s="116">
        <v>139.30000000000001</v>
      </c>
      <c r="O190" s="116">
        <v>133.55000000000001</v>
      </c>
      <c r="P190" s="116">
        <v>133.875</v>
      </c>
      <c r="Q190" s="116">
        <v>277.45</v>
      </c>
      <c r="R190">
        <v>342235</v>
      </c>
    </row>
    <row r="191" spans="1:18" x14ac:dyDescent="0.25">
      <c r="A191" s="170">
        <v>42278</v>
      </c>
      <c r="B191" s="116">
        <v>142.94999999999999</v>
      </c>
      <c r="C191" s="116">
        <v>140.02500000000001</v>
      </c>
      <c r="D191" s="116">
        <v>139.05000000000001</v>
      </c>
      <c r="E191" s="116">
        <v>140</v>
      </c>
      <c r="F191" s="116">
        <v>280.05</v>
      </c>
      <c r="G191">
        <v>55670</v>
      </c>
      <c r="H191" s="116"/>
      <c r="I191" s="116"/>
      <c r="L191" s="170">
        <v>42278</v>
      </c>
      <c r="M191" s="116">
        <v>140.02500000000001</v>
      </c>
      <c r="N191" s="116">
        <v>142.94999999999999</v>
      </c>
      <c r="O191" s="116">
        <v>138.82499999999999</v>
      </c>
      <c r="P191" s="116">
        <v>139.5</v>
      </c>
      <c r="Q191" s="116">
        <v>280.05</v>
      </c>
      <c r="R191">
        <v>241269</v>
      </c>
    </row>
    <row r="192" spans="1:18" x14ac:dyDescent="0.25">
      <c r="A192" s="170">
        <v>42282</v>
      </c>
      <c r="B192" s="116">
        <v>146</v>
      </c>
      <c r="C192" s="116">
        <v>143.80000000000001</v>
      </c>
      <c r="D192" s="116">
        <v>140.22499999999999</v>
      </c>
      <c r="E192" s="116">
        <v>140.5</v>
      </c>
      <c r="F192" s="116">
        <v>287.60000000000002</v>
      </c>
      <c r="G192">
        <v>88114</v>
      </c>
      <c r="H192" s="116"/>
      <c r="I192" s="116"/>
      <c r="L192" s="170">
        <v>42282</v>
      </c>
      <c r="M192" s="116">
        <v>143.22499999999999</v>
      </c>
      <c r="N192" s="116">
        <v>146.1</v>
      </c>
      <c r="O192" s="116">
        <v>140</v>
      </c>
      <c r="P192" s="116">
        <v>140.125</v>
      </c>
      <c r="Q192" s="116">
        <v>286.45</v>
      </c>
      <c r="R192">
        <v>367350</v>
      </c>
    </row>
    <row r="193" spans="1:18" x14ac:dyDescent="0.25">
      <c r="A193" s="170">
        <v>42283</v>
      </c>
      <c r="B193" s="116">
        <v>147.80000000000001</v>
      </c>
      <c r="C193" s="116">
        <v>143.625</v>
      </c>
      <c r="D193" s="116">
        <v>143.22499999999999</v>
      </c>
      <c r="E193" s="116">
        <v>146.47499999999999</v>
      </c>
      <c r="F193" s="116">
        <v>287.25</v>
      </c>
      <c r="G193">
        <v>56316</v>
      </c>
      <c r="H193" s="116"/>
      <c r="I193" s="116"/>
      <c r="L193" s="170">
        <v>42283</v>
      </c>
      <c r="M193" s="116">
        <v>144.17500000000001</v>
      </c>
      <c r="N193" s="116">
        <v>147.92500000000001</v>
      </c>
      <c r="O193" s="116">
        <v>143.5</v>
      </c>
      <c r="P193" s="116">
        <v>144.75</v>
      </c>
      <c r="Q193" s="116">
        <v>288.35000000000002</v>
      </c>
      <c r="R193">
        <v>217609</v>
      </c>
    </row>
    <row r="194" spans="1:18" x14ac:dyDescent="0.25">
      <c r="A194" s="170">
        <v>42284</v>
      </c>
      <c r="B194" s="116">
        <v>148.5</v>
      </c>
      <c r="C194" s="116">
        <v>143.94999999999999</v>
      </c>
      <c r="D194" s="116">
        <v>143.47499999999999</v>
      </c>
      <c r="E194" s="116">
        <v>144.5</v>
      </c>
      <c r="F194" s="116">
        <v>287.89999999999998</v>
      </c>
      <c r="G194">
        <v>52437</v>
      </c>
      <c r="H194" s="116"/>
      <c r="I194" s="116"/>
      <c r="L194" s="170">
        <v>42284</v>
      </c>
      <c r="M194" s="116">
        <v>143.94999999999999</v>
      </c>
      <c r="N194" s="116">
        <v>148.4</v>
      </c>
      <c r="O194" s="116">
        <v>143.55000000000001</v>
      </c>
      <c r="P194" s="116">
        <v>144.85</v>
      </c>
      <c r="Q194" s="116">
        <v>287.89999999999998</v>
      </c>
      <c r="R194">
        <v>192379</v>
      </c>
    </row>
    <row r="195" spans="1:18" x14ac:dyDescent="0.25">
      <c r="A195" s="170">
        <v>42285</v>
      </c>
      <c r="B195" s="116">
        <v>146.69999999999999</v>
      </c>
      <c r="C195" s="116">
        <v>144.69999999999999</v>
      </c>
      <c r="D195" s="116">
        <v>143</v>
      </c>
      <c r="E195" s="116">
        <v>144.69999999999999</v>
      </c>
      <c r="F195" s="116">
        <v>289.39999999999998</v>
      </c>
      <c r="G195">
        <v>67626</v>
      </c>
      <c r="H195" s="116"/>
      <c r="I195" s="116"/>
      <c r="L195" s="170">
        <v>42285</v>
      </c>
      <c r="M195" s="116">
        <v>144.625</v>
      </c>
      <c r="N195" s="116">
        <v>146.5</v>
      </c>
      <c r="O195" s="116">
        <v>143.15</v>
      </c>
      <c r="P195" s="116">
        <v>145.07499999999999</v>
      </c>
      <c r="Q195" s="116">
        <v>289.25</v>
      </c>
      <c r="R195">
        <v>198788</v>
      </c>
    </row>
    <row r="196" spans="1:18" x14ac:dyDescent="0.25">
      <c r="A196" s="170">
        <v>42286</v>
      </c>
      <c r="B196" s="116">
        <v>147.35</v>
      </c>
      <c r="C196" s="116">
        <v>144.17500000000001</v>
      </c>
      <c r="D196" s="116">
        <v>143.85</v>
      </c>
      <c r="E196" s="116">
        <v>146.27500000000001</v>
      </c>
      <c r="F196" s="116">
        <v>288.35000000000002</v>
      </c>
      <c r="G196">
        <v>95846</v>
      </c>
      <c r="H196" s="116"/>
      <c r="I196" s="116"/>
      <c r="L196" s="170">
        <v>42286</v>
      </c>
      <c r="M196" s="116">
        <v>144.42500000000001</v>
      </c>
      <c r="N196" s="116">
        <v>147.4</v>
      </c>
      <c r="O196" s="116">
        <v>143.9</v>
      </c>
      <c r="P196" s="116">
        <v>145.30000000000001</v>
      </c>
      <c r="Q196" s="116">
        <v>288.85000000000002</v>
      </c>
      <c r="R196">
        <v>323582</v>
      </c>
    </row>
    <row r="197" spans="1:18" x14ac:dyDescent="0.25">
      <c r="A197" s="170">
        <v>42289</v>
      </c>
      <c r="B197" s="116">
        <v>145.55000000000001</v>
      </c>
      <c r="C197" s="116">
        <v>141.375</v>
      </c>
      <c r="D197" s="116">
        <v>140.5</v>
      </c>
      <c r="E197" s="116">
        <v>145.5</v>
      </c>
      <c r="F197" s="116">
        <v>282.75</v>
      </c>
      <c r="G197">
        <v>24947</v>
      </c>
      <c r="H197" s="116"/>
      <c r="I197" s="116"/>
      <c r="L197" s="170">
        <v>42289</v>
      </c>
      <c r="M197" s="116">
        <v>141.52500000000001</v>
      </c>
      <c r="N197" s="116">
        <v>145.75</v>
      </c>
      <c r="O197" s="116">
        <v>140.55000000000001</v>
      </c>
      <c r="P197" s="116">
        <v>145.75</v>
      </c>
      <c r="Q197" s="116">
        <v>283.05</v>
      </c>
      <c r="R197">
        <v>56597</v>
      </c>
    </row>
    <row r="198" spans="1:18" x14ac:dyDescent="0.25">
      <c r="A198" s="170">
        <v>42290</v>
      </c>
      <c r="B198" s="116">
        <v>144.97499999999999</v>
      </c>
      <c r="C198" s="116">
        <v>143.07499999999999</v>
      </c>
      <c r="D198" s="116">
        <v>138.52500000000001</v>
      </c>
      <c r="E198" s="116">
        <v>141.32499999999999</v>
      </c>
      <c r="F198" s="116">
        <v>286.14999999999998</v>
      </c>
      <c r="G198">
        <v>37355</v>
      </c>
      <c r="H198" s="116"/>
      <c r="I198" s="116"/>
      <c r="L198" s="170">
        <v>42290</v>
      </c>
      <c r="M198" s="116">
        <v>143.19999999999999</v>
      </c>
      <c r="N198" s="116">
        <v>145</v>
      </c>
      <c r="O198" s="116">
        <v>138.65</v>
      </c>
      <c r="P198" s="116">
        <v>142.375</v>
      </c>
      <c r="Q198" s="116">
        <v>286.39999999999998</v>
      </c>
      <c r="R198">
        <v>137229</v>
      </c>
    </row>
    <row r="199" spans="1:18" x14ac:dyDescent="0.25">
      <c r="A199" s="170">
        <v>42291</v>
      </c>
      <c r="B199" s="116">
        <v>145.69999999999999</v>
      </c>
      <c r="C199" s="116">
        <v>142.02500000000001</v>
      </c>
      <c r="D199" s="116">
        <v>141.25</v>
      </c>
      <c r="E199" s="116">
        <v>143.02500000000001</v>
      </c>
      <c r="F199" s="116">
        <v>284.05</v>
      </c>
      <c r="G199">
        <v>34435</v>
      </c>
      <c r="H199" s="116"/>
      <c r="I199" s="116"/>
      <c r="L199" s="170">
        <v>42291</v>
      </c>
      <c r="M199" s="116">
        <v>142.17500000000001</v>
      </c>
      <c r="N199" s="116">
        <v>145.5</v>
      </c>
      <c r="O199" s="116">
        <v>141.125</v>
      </c>
      <c r="P199" s="116">
        <v>142.75</v>
      </c>
      <c r="Q199" s="116">
        <v>284.35000000000002</v>
      </c>
      <c r="R199">
        <v>110422</v>
      </c>
    </row>
    <row r="200" spans="1:18" x14ac:dyDescent="0.25">
      <c r="A200" s="170">
        <v>42292</v>
      </c>
      <c r="B200" s="116">
        <v>154.15</v>
      </c>
      <c r="C200" s="116">
        <v>150.375</v>
      </c>
      <c r="D200" s="116">
        <v>142.92500000000001</v>
      </c>
      <c r="E200" s="116">
        <v>143.44999999999999</v>
      </c>
      <c r="F200" s="116">
        <v>300.75</v>
      </c>
      <c r="G200">
        <v>310428</v>
      </c>
      <c r="H200" s="116"/>
      <c r="I200" s="116"/>
      <c r="L200" s="170">
        <v>42292</v>
      </c>
      <c r="M200" s="116">
        <v>150.85</v>
      </c>
      <c r="N200" s="116">
        <v>154.44999999999999</v>
      </c>
      <c r="O200" s="116">
        <v>142.52500000000001</v>
      </c>
      <c r="P200" s="116">
        <v>142.52500000000001</v>
      </c>
      <c r="Q200" s="116">
        <v>301.7</v>
      </c>
      <c r="R200">
        <v>933417</v>
      </c>
    </row>
    <row r="201" spans="1:18" x14ac:dyDescent="0.25">
      <c r="A201" s="170">
        <v>42293</v>
      </c>
      <c r="B201" s="116">
        <v>155.82499999999999</v>
      </c>
      <c r="C201" s="116">
        <v>150.5</v>
      </c>
      <c r="D201" s="116">
        <v>149.25</v>
      </c>
      <c r="E201" s="116">
        <v>154.875</v>
      </c>
      <c r="F201" s="116">
        <v>301</v>
      </c>
      <c r="G201">
        <v>117175</v>
      </c>
      <c r="H201" s="116"/>
      <c r="I201" s="116"/>
      <c r="L201" s="170">
        <v>42293</v>
      </c>
      <c r="M201" s="116">
        <v>150.67500000000001</v>
      </c>
      <c r="N201" s="116">
        <v>155.65</v>
      </c>
      <c r="O201" s="116">
        <v>149.25</v>
      </c>
      <c r="P201" s="116">
        <v>154.35</v>
      </c>
      <c r="Q201" s="116">
        <v>301.35000000000002</v>
      </c>
      <c r="R201">
        <v>509971</v>
      </c>
    </row>
    <row r="202" spans="1:18" x14ac:dyDescent="0.25">
      <c r="A202" s="170">
        <v>42296</v>
      </c>
      <c r="B202" s="116">
        <v>152.125</v>
      </c>
      <c r="C202" s="116">
        <v>148.80000000000001</v>
      </c>
      <c r="D202" s="116">
        <v>148.25</v>
      </c>
      <c r="E202" s="116">
        <v>151.67500000000001</v>
      </c>
      <c r="F202" s="116">
        <v>297.60000000000002</v>
      </c>
      <c r="G202">
        <v>30620</v>
      </c>
      <c r="H202" s="116"/>
      <c r="I202" s="116"/>
      <c r="L202" s="170">
        <v>42296</v>
      </c>
      <c r="M202" s="116">
        <v>148.75</v>
      </c>
      <c r="N202" s="116">
        <v>152.05000000000001</v>
      </c>
      <c r="O202" s="116">
        <v>148.125</v>
      </c>
      <c r="P202" s="116">
        <v>150.5</v>
      </c>
      <c r="Q202" s="116">
        <v>297.5</v>
      </c>
      <c r="R202">
        <v>112080</v>
      </c>
    </row>
    <row r="203" spans="1:18" x14ac:dyDescent="0.25">
      <c r="A203" s="170">
        <v>42297</v>
      </c>
      <c r="B203" s="116">
        <v>159.02500000000001</v>
      </c>
      <c r="C203" s="116">
        <v>153.52500000000001</v>
      </c>
      <c r="D203" s="116">
        <v>147.05000000000001</v>
      </c>
      <c r="E203" s="116">
        <v>149.5</v>
      </c>
      <c r="F203" s="116">
        <v>307.05</v>
      </c>
      <c r="G203">
        <v>152372</v>
      </c>
      <c r="H203" s="116"/>
      <c r="I203" s="116"/>
      <c r="L203" s="170">
        <v>42297</v>
      </c>
      <c r="M203" s="116">
        <v>153.57499999999999</v>
      </c>
      <c r="N203" s="116">
        <v>159.17500000000001</v>
      </c>
      <c r="O203" s="116">
        <v>146.94999999999999</v>
      </c>
      <c r="P203" s="116">
        <v>149</v>
      </c>
      <c r="Q203" s="116">
        <v>307.14999999999998</v>
      </c>
      <c r="R203">
        <v>559392</v>
      </c>
    </row>
    <row r="204" spans="1:18" x14ac:dyDescent="0.25">
      <c r="A204" s="170">
        <v>42298</v>
      </c>
      <c r="B204" s="116">
        <v>156.25</v>
      </c>
      <c r="C204" s="116">
        <v>150.42500000000001</v>
      </c>
      <c r="D204" s="116">
        <v>149.6</v>
      </c>
      <c r="E204" s="116">
        <v>154.125</v>
      </c>
      <c r="F204" s="116">
        <v>300.85000000000002</v>
      </c>
      <c r="G204">
        <v>93727</v>
      </c>
      <c r="H204" s="116"/>
      <c r="I204" s="116"/>
      <c r="L204" s="170">
        <v>42298</v>
      </c>
      <c r="M204" s="116">
        <v>150.19999999999999</v>
      </c>
      <c r="N204" s="116">
        <v>156.07499999999999</v>
      </c>
      <c r="O204" s="116">
        <v>149.25</v>
      </c>
      <c r="P204" s="116">
        <v>154.85</v>
      </c>
      <c r="Q204" s="116">
        <v>300.39999999999998</v>
      </c>
      <c r="R204">
        <v>215579</v>
      </c>
    </row>
    <row r="205" spans="1:18" x14ac:dyDescent="0.25">
      <c r="A205" s="170">
        <v>42300</v>
      </c>
      <c r="B205" s="116">
        <v>152</v>
      </c>
      <c r="C205" s="116">
        <v>148.55000000000001</v>
      </c>
      <c r="D205" s="116">
        <v>148</v>
      </c>
      <c r="E205" s="116">
        <v>152</v>
      </c>
      <c r="F205" s="116">
        <v>297.10000000000002</v>
      </c>
      <c r="G205">
        <v>69360</v>
      </c>
      <c r="H205" s="116"/>
      <c r="I205" s="116"/>
      <c r="L205" s="170">
        <v>42300</v>
      </c>
      <c r="M205" s="116">
        <v>148.77500000000001</v>
      </c>
      <c r="N205" s="116">
        <v>153.375</v>
      </c>
      <c r="O205" s="116">
        <v>148.1</v>
      </c>
      <c r="P205" s="116">
        <v>152.4</v>
      </c>
      <c r="Q205" s="116">
        <v>297.55</v>
      </c>
      <c r="R205">
        <v>120369</v>
      </c>
    </row>
    <row r="206" spans="1:18" x14ac:dyDescent="0.25">
      <c r="A206" s="170">
        <v>42303</v>
      </c>
      <c r="B206" s="116">
        <v>153</v>
      </c>
      <c r="C206" s="116">
        <v>148.375</v>
      </c>
      <c r="D206" s="116">
        <v>147</v>
      </c>
      <c r="E206" s="116">
        <v>149.25</v>
      </c>
      <c r="F206" s="116">
        <v>296.75</v>
      </c>
      <c r="G206">
        <v>45718</v>
      </c>
      <c r="H206" s="116"/>
      <c r="I206" s="116"/>
      <c r="L206" s="170">
        <v>42303</v>
      </c>
      <c r="M206" s="116">
        <v>148.75</v>
      </c>
      <c r="N206" s="116">
        <v>152.77500000000001</v>
      </c>
      <c r="O206" s="116">
        <v>147</v>
      </c>
      <c r="P206" s="116">
        <v>149.75</v>
      </c>
      <c r="Q206" s="116">
        <v>297.5</v>
      </c>
      <c r="R206">
        <v>116917</v>
      </c>
    </row>
    <row r="207" spans="1:18" x14ac:dyDescent="0.25">
      <c r="A207" s="170">
        <v>42304</v>
      </c>
      <c r="B207" s="116">
        <v>156.25</v>
      </c>
      <c r="C207" s="116">
        <v>149.75</v>
      </c>
      <c r="D207" s="116">
        <v>148.67500000000001</v>
      </c>
      <c r="E207" s="116">
        <v>148.69999999999999</v>
      </c>
      <c r="F207" s="116">
        <v>299.5</v>
      </c>
      <c r="G207">
        <v>142483</v>
      </c>
      <c r="H207" s="116"/>
      <c r="I207" s="116"/>
      <c r="L207" s="170">
        <v>42304</v>
      </c>
      <c r="M207" s="116">
        <v>149.67500000000001</v>
      </c>
      <c r="N207" s="116">
        <v>156.32499999999999</v>
      </c>
      <c r="O207" s="116">
        <v>148.72499999999999</v>
      </c>
      <c r="P207" s="116">
        <v>148.75</v>
      </c>
      <c r="Q207" s="116">
        <v>299.35000000000002</v>
      </c>
      <c r="R207">
        <v>642337</v>
      </c>
    </row>
    <row r="208" spans="1:18" x14ac:dyDescent="0.25">
      <c r="A208" s="170">
        <v>42305</v>
      </c>
      <c r="B208" s="116">
        <v>151.97499999999999</v>
      </c>
      <c r="C208" s="116">
        <v>145.72499999999999</v>
      </c>
      <c r="D208" s="116">
        <v>145</v>
      </c>
      <c r="E208" s="116">
        <v>150.44999999999999</v>
      </c>
      <c r="F208" s="116">
        <v>291.45</v>
      </c>
      <c r="G208">
        <v>38952</v>
      </c>
      <c r="H208" s="116"/>
      <c r="I208" s="116"/>
      <c r="L208" s="170">
        <v>42305</v>
      </c>
      <c r="M208" s="116">
        <v>145.92500000000001</v>
      </c>
      <c r="N208" s="116">
        <v>152.02500000000001</v>
      </c>
      <c r="O208" s="116">
        <v>145.05000000000001</v>
      </c>
      <c r="P208" s="116">
        <v>149.875</v>
      </c>
      <c r="Q208" s="116">
        <v>291.85000000000002</v>
      </c>
      <c r="R208">
        <v>217203</v>
      </c>
    </row>
    <row r="209" spans="1:18" x14ac:dyDescent="0.25">
      <c r="A209" s="170">
        <v>42306</v>
      </c>
      <c r="B209" s="116">
        <v>148</v>
      </c>
      <c r="C209" s="116">
        <v>144.94999999999999</v>
      </c>
      <c r="D209" s="116">
        <v>144.05000000000001</v>
      </c>
      <c r="E209" s="116">
        <v>147.02500000000001</v>
      </c>
      <c r="F209" s="116">
        <v>289.89999999999998</v>
      </c>
      <c r="G209">
        <v>27752</v>
      </c>
      <c r="H209" s="116"/>
      <c r="I209" s="116"/>
      <c r="L209" s="170">
        <v>42306</v>
      </c>
      <c r="M209" s="116">
        <v>144.80000000000001</v>
      </c>
      <c r="N209" s="116">
        <v>147.9</v>
      </c>
      <c r="O209" s="116">
        <v>144.05000000000001</v>
      </c>
      <c r="P209" s="116">
        <v>146.80000000000001</v>
      </c>
      <c r="Q209" s="116">
        <v>289.60000000000002</v>
      </c>
      <c r="R209">
        <v>124313</v>
      </c>
    </row>
    <row r="210" spans="1:18" x14ac:dyDescent="0.25">
      <c r="A210" s="170">
        <v>42307</v>
      </c>
      <c r="B210" s="116">
        <v>146.69999999999999</v>
      </c>
      <c r="C210" s="116">
        <v>143.15</v>
      </c>
      <c r="D210" s="116">
        <v>142</v>
      </c>
      <c r="E210" s="116">
        <v>145.1</v>
      </c>
      <c r="F210" s="116">
        <v>286.3</v>
      </c>
      <c r="G210">
        <v>21416</v>
      </c>
      <c r="H210" s="116"/>
      <c r="I210" s="116"/>
      <c r="L210" s="170">
        <v>42307</v>
      </c>
      <c r="M210" s="116">
        <v>142.625</v>
      </c>
      <c r="N210" s="116">
        <v>146.82499999999999</v>
      </c>
      <c r="O210" s="116">
        <v>141</v>
      </c>
      <c r="P210" s="116">
        <v>146</v>
      </c>
      <c r="Q210" s="116">
        <v>285.25</v>
      </c>
      <c r="R210">
        <v>140578</v>
      </c>
    </row>
    <row r="211" spans="1:18" x14ac:dyDescent="0.25">
      <c r="A211" s="170">
        <v>42310</v>
      </c>
      <c r="B211" s="116">
        <v>143.44999999999999</v>
      </c>
      <c r="C211" s="116">
        <v>140.69999999999999</v>
      </c>
      <c r="D211" s="116">
        <v>138.875</v>
      </c>
      <c r="E211" s="116">
        <v>143.44999999999999</v>
      </c>
      <c r="F211" s="116">
        <v>281.39999999999998</v>
      </c>
      <c r="G211">
        <v>37513</v>
      </c>
      <c r="H211" s="116"/>
      <c r="I211" s="116"/>
      <c r="L211" s="170">
        <v>42310</v>
      </c>
      <c r="M211" s="116">
        <v>140.625</v>
      </c>
      <c r="N211" s="116">
        <v>143.19999999999999</v>
      </c>
      <c r="O211" s="116">
        <v>139.05000000000001</v>
      </c>
      <c r="P211" s="116">
        <v>143.15</v>
      </c>
      <c r="Q211" s="116">
        <v>281.25</v>
      </c>
      <c r="R211">
        <v>93769</v>
      </c>
    </row>
    <row r="212" spans="1:18" x14ac:dyDescent="0.25">
      <c r="A212" s="170">
        <v>42311</v>
      </c>
      <c r="B212" s="116">
        <v>147</v>
      </c>
      <c r="C212" s="116">
        <v>144.92500000000001</v>
      </c>
      <c r="D212" s="116">
        <v>141.27500000000001</v>
      </c>
      <c r="E212" s="116">
        <v>142</v>
      </c>
      <c r="F212" s="116">
        <v>289.85000000000002</v>
      </c>
      <c r="G212">
        <v>54449</v>
      </c>
      <c r="H212" s="116"/>
      <c r="I212" s="116"/>
      <c r="L212" s="170">
        <v>42311</v>
      </c>
      <c r="M212" s="116">
        <v>144.9</v>
      </c>
      <c r="N212" s="116">
        <v>147.5</v>
      </c>
      <c r="O212" s="116">
        <v>141.1</v>
      </c>
      <c r="P212" s="116">
        <v>141.1</v>
      </c>
      <c r="Q212" s="116">
        <v>289.8</v>
      </c>
      <c r="R212">
        <v>254211</v>
      </c>
    </row>
    <row r="213" spans="1:18" x14ac:dyDescent="0.25">
      <c r="A213" s="170">
        <v>42312</v>
      </c>
      <c r="B213" s="116">
        <v>149.02500000000001</v>
      </c>
      <c r="C213" s="116">
        <v>141.1</v>
      </c>
      <c r="D213" s="116">
        <v>139.94999999999999</v>
      </c>
      <c r="E213" s="116">
        <v>146.19999999999999</v>
      </c>
      <c r="F213" s="116">
        <v>282.2</v>
      </c>
      <c r="G213">
        <v>187372</v>
      </c>
      <c r="H213" s="116"/>
      <c r="I213" s="116"/>
      <c r="L213" s="170">
        <v>42312</v>
      </c>
      <c r="M213" s="116">
        <v>141.17500000000001</v>
      </c>
      <c r="N213" s="116">
        <v>149.5</v>
      </c>
      <c r="O213" s="116">
        <v>139.72499999999999</v>
      </c>
      <c r="P213" s="116">
        <v>146.19999999999999</v>
      </c>
      <c r="Q213" s="116">
        <v>282.35000000000002</v>
      </c>
      <c r="R213">
        <v>765098</v>
      </c>
    </row>
    <row r="214" spans="1:18" x14ac:dyDescent="0.25">
      <c r="A214" s="170">
        <v>42313</v>
      </c>
      <c r="B214" s="116">
        <v>142.5</v>
      </c>
      <c r="C214" s="116">
        <v>135.44999999999999</v>
      </c>
      <c r="D214" s="116">
        <v>134.5</v>
      </c>
      <c r="E214" s="116">
        <v>139.5</v>
      </c>
      <c r="F214" s="116">
        <v>270.89999999999998</v>
      </c>
      <c r="G214">
        <v>39549</v>
      </c>
      <c r="H214" s="116"/>
      <c r="I214" s="116"/>
      <c r="L214" s="170">
        <v>42313</v>
      </c>
      <c r="M214" s="116">
        <v>135.52500000000001</v>
      </c>
      <c r="N214" s="116">
        <v>142.35</v>
      </c>
      <c r="O214" s="116">
        <v>134.15</v>
      </c>
      <c r="P214" s="116">
        <v>139.55000000000001</v>
      </c>
      <c r="Q214" s="116">
        <v>271.05</v>
      </c>
      <c r="R214">
        <v>144743</v>
      </c>
    </row>
    <row r="215" spans="1:18" x14ac:dyDescent="0.25">
      <c r="A215" s="170">
        <v>42314</v>
      </c>
      <c r="B215" s="116">
        <v>138</v>
      </c>
      <c r="C215" s="116">
        <v>135.875</v>
      </c>
      <c r="D215" s="116">
        <v>134.77500000000001</v>
      </c>
      <c r="E215" s="116">
        <v>135.44999999999999</v>
      </c>
      <c r="F215" s="116">
        <v>271.75</v>
      </c>
      <c r="G215">
        <v>37386</v>
      </c>
      <c r="H215" s="116"/>
      <c r="I215" s="116"/>
      <c r="L215" s="170">
        <v>42314</v>
      </c>
      <c r="M215" s="116">
        <v>136.19999999999999</v>
      </c>
      <c r="N215" s="116">
        <v>138.22499999999999</v>
      </c>
      <c r="O215" s="116">
        <v>134</v>
      </c>
      <c r="P215" s="116">
        <v>136.9</v>
      </c>
      <c r="Q215" s="116">
        <v>272.39999999999998</v>
      </c>
      <c r="R215">
        <v>129470</v>
      </c>
    </row>
    <row r="216" spans="1:18" x14ac:dyDescent="0.25">
      <c r="A216" s="170">
        <v>42317</v>
      </c>
      <c r="B216" s="116">
        <v>136.5</v>
      </c>
      <c r="C216" s="116">
        <v>135.6</v>
      </c>
      <c r="D216" s="116">
        <v>131.30000000000001</v>
      </c>
      <c r="E216" s="116">
        <v>135</v>
      </c>
      <c r="F216" s="116">
        <v>271.2</v>
      </c>
      <c r="G216">
        <v>54333</v>
      </c>
      <c r="H216" s="116"/>
      <c r="I216" s="116"/>
      <c r="L216" s="170">
        <v>42317</v>
      </c>
      <c r="M216" s="116">
        <v>135.92500000000001</v>
      </c>
      <c r="N216" s="116">
        <v>136.6</v>
      </c>
      <c r="O216" s="116">
        <v>131.02500000000001</v>
      </c>
      <c r="P216" s="116">
        <v>134</v>
      </c>
      <c r="Q216" s="116">
        <v>271.85000000000002</v>
      </c>
      <c r="R216">
        <v>107354</v>
      </c>
    </row>
    <row r="217" spans="1:18" x14ac:dyDescent="0.25">
      <c r="A217" s="170">
        <v>42318</v>
      </c>
      <c r="B217" s="116">
        <v>137.94999999999999</v>
      </c>
      <c r="C217" s="116">
        <v>134.69999999999999</v>
      </c>
      <c r="D217" s="116">
        <v>134.27500000000001</v>
      </c>
      <c r="E217" s="116">
        <v>136</v>
      </c>
      <c r="F217" s="116">
        <v>269.39999999999998</v>
      </c>
      <c r="G217">
        <v>34089</v>
      </c>
      <c r="H217" s="116"/>
      <c r="I217" s="116"/>
      <c r="L217" s="170">
        <v>42318</v>
      </c>
      <c r="M217" s="116">
        <v>134.97499999999999</v>
      </c>
      <c r="N217" s="116">
        <v>138.22499999999999</v>
      </c>
      <c r="O217" s="116">
        <v>134.25</v>
      </c>
      <c r="P217" s="116">
        <v>136.94999999999999</v>
      </c>
      <c r="Q217" s="116">
        <v>269.95</v>
      </c>
      <c r="R217">
        <v>65598</v>
      </c>
    </row>
    <row r="218" spans="1:18" x14ac:dyDescent="0.25">
      <c r="A218" s="170">
        <v>42319</v>
      </c>
      <c r="B218" s="116">
        <v>137.375</v>
      </c>
      <c r="C218" s="116">
        <v>135.44999999999999</v>
      </c>
      <c r="D218" s="116">
        <v>132.02500000000001</v>
      </c>
      <c r="E218" s="116">
        <v>135.52500000000001</v>
      </c>
      <c r="F218" s="116">
        <v>270.89999999999998</v>
      </c>
      <c r="G218">
        <v>5618</v>
      </c>
      <c r="H218" s="116"/>
      <c r="I218" s="116"/>
      <c r="L218" s="170">
        <v>42319</v>
      </c>
      <c r="M218" s="116">
        <v>134.17500000000001</v>
      </c>
      <c r="N218" s="116">
        <v>137.30000000000001</v>
      </c>
      <c r="O218" s="116">
        <v>127.2</v>
      </c>
      <c r="P218" s="116">
        <v>136.47499999999999</v>
      </c>
      <c r="Q218" s="116">
        <v>268.35000000000002</v>
      </c>
      <c r="R218">
        <v>36390</v>
      </c>
    </row>
    <row r="219" spans="1:18" x14ac:dyDescent="0.25">
      <c r="A219" s="170">
        <v>42321</v>
      </c>
      <c r="B219" s="116">
        <v>137.17500000000001</v>
      </c>
      <c r="C219" s="116">
        <v>134.125</v>
      </c>
      <c r="D219" s="116">
        <v>133.25</v>
      </c>
      <c r="E219" s="116">
        <v>134.17500000000001</v>
      </c>
      <c r="F219" s="116">
        <v>268.25</v>
      </c>
      <c r="G219">
        <v>19136</v>
      </c>
      <c r="H219" s="116"/>
      <c r="I219" s="116"/>
      <c r="L219" s="170">
        <v>42321</v>
      </c>
      <c r="M219" s="116">
        <v>133.77500000000001</v>
      </c>
      <c r="N219" s="116">
        <v>136.94999999999999</v>
      </c>
      <c r="O219" s="116">
        <v>133.25</v>
      </c>
      <c r="P219" s="116">
        <v>135</v>
      </c>
      <c r="Q219" s="116">
        <v>267.55</v>
      </c>
      <c r="R219">
        <v>57945</v>
      </c>
    </row>
    <row r="220" spans="1:18" x14ac:dyDescent="0.25">
      <c r="A220" s="170">
        <v>42324</v>
      </c>
      <c r="B220" s="116">
        <v>138.30000000000001</v>
      </c>
      <c r="C220" s="116">
        <v>137.27500000000001</v>
      </c>
      <c r="D220" s="116">
        <v>133</v>
      </c>
      <c r="E220" s="116">
        <v>134.80000000000001</v>
      </c>
      <c r="F220" s="116">
        <v>274.55</v>
      </c>
      <c r="G220">
        <v>18979</v>
      </c>
      <c r="H220" s="116"/>
      <c r="I220" s="116"/>
      <c r="L220" s="170">
        <v>42324</v>
      </c>
      <c r="M220" s="116">
        <v>137.27500000000001</v>
      </c>
      <c r="N220" s="116">
        <v>138.05000000000001</v>
      </c>
      <c r="O220" s="116">
        <v>131.625</v>
      </c>
      <c r="P220" s="116">
        <v>135.80000000000001</v>
      </c>
      <c r="Q220" s="116">
        <v>274.55</v>
      </c>
      <c r="R220">
        <v>86481</v>
      </c>
    </row>
    <row r="221" spans="1:18" x14ac:dyDescent="0.25">
      <c r="A221" s="170">
        <v>42325</v>
      </c>
      <c r="B221" s="116">
        <v>138.625</v>
      </c>
      <c r="C221" s="116">
        <v>136.32499999999999</v>
      </c>
      <c r="D221" s="116">
        <v>135.5</v>
      </c>
      <c r="E221" s="116">
        <v>138.02500000000001</v>
      </c>
      <c r="F221" s="116">
        <v>272.64999999999998</v>
      </c>
      <c r="G221">
        <v>12761</v>
      </c>
      <c r="H221" s="116"/>
      <c r="I221" s="116"/>
      <c r="L221" s="170">
        <v>42325</v>
      </c>
      <c r="M221" s="116">
        <v>136.22499999999999</v>
      </c>
      <c r="N221" s="116">
        <v>138.5</v>
      </c>
      <c r="O221" s="116">
        <v>135.15</v>
      </c>
      <c r="P221" s="116">
        <v>138.22499999999999</v>
      </c>
      <c r="Q221" s="116">
        <v>272.45</v>
      </c>
      <c r="R221">
        <v>68333</v>
      </c>
    </row>
    <row r="222" spans="1:18" x14ac:dyDescent="0.25">
      <c r="A222" s="170">
        <v>42326</v>
      </c>
      <c r="B222" s="116">
        <v>136</v>
      </c>
      <c r="C222" s="116">
        <v>133.625</v>
      </c>
      <c r="D222" s="116">
        <v>133.15</v>
      </c>
      <c r="E222" s="116">
        <v>135.97499999999999</v>
      </c>
      <c r="F222" s="116">
        <v>267.25</v>
      </c>
      <c r="G222">
        <v>12458</v>
      </c>
      <c r="H222" s="116"/>
      <c r="I222" s="116"/>
      <c r="L222" s="170">
        <v>42326</v>
      </c>
      <c r="M222" s="116">
        <v>133.52500000000001</v>
      </c>
      <c r="N222" s="116">
        <v>136.94999999999999</v>
      </c>
      <c r="O222" s="116">
        <v>133</v>
      </c>
      <c r="P222" s="116">
        <v>136.94999999999999</v>
      </c>
      <c r="Q222" s="116">
        <v>267.05</v>
      </c>
      <c r="R222">
        <v>34073</v>
      </c>
    </row>
    <row r="223" spans="1:18" x14ac:dyDescent="0.25">
      <c r="A223" s="170">
        <v>42327</v>
      </c>
      <c r="B223" s="116">
        <v>141.25</v>
      </c>
      <c r="C223" s="116">
        <v>139.05000000000001</v>
      </c>
      <c r="D223" s="116">
        <v>134.30000000000001</v>
      </c>
      <c r="E223" s="116">
        <v>134.30000000000001</v>
      </c>
      <c r="F223" s="116">
        <v>278.10000000000002</v>
      </c>
      <c r="G223">
        <v>55615</v>
      </c>
      <c r="H223" s="116"/>
      <c r="I223" s="116"/>
      <c r="L223" s="170">
        <v>42327</v>
      </c>
      <c r="M223" s="116">
        <v>139.02500000000001</v>
      </c>
      <c r="N223" s="116">
        <v>141.30000000000001</v>
      </c>
      <c r="O223" s="116">
        <v>134</v>
      </c>
      <c r="P223" s="116">
        <v>134.07499999999999</v>
      </c>
      <c r="Q223" s="116">
        <v>278.05</v>
      </c>
      <c r="R223">
        <v>271728</v>
      </c>
    </row>
    <row r="224" spans="1:18" x14ac:dyDescent="0.25">
      <c r="A224" s="170">
        <v>42328</v>
      </c>
      <c r="B224" s="116">
        <v>139.75</v>
      </c>
      <c r="C224" s="116">
        <v>137</v>
      </c>
      <c r="D224" s="116">
        <v>136.69999999999999</v>
      </c>
      <c r="E224" s="116">
        <v>138.97499999999999</v>
      </c>
      <c r="F224" s="116">
        <v>274</v>
      </c>
      <c r="G224">
        <v>21838</v>
      </c>
      <c r="H224" s="116"/>
      <c r="I224" s="116"/>
      <c r="L224" s="170">
        <v>42328</v>
      </c>
      <c r="M224" s="116">
        <v>137.125</v>
      </c>
      <c r="N224" s="116">
        <v>140</v>
      </c>
      <c r="O224" s="116">
        <v>136.05000000000001</v>
      </c>
      <c r="P224" s="116">
        <v>139.25</v>
      </c>
      <c r="Q224" s="116">
        <v>274.25</v>
      </c>
      <c r="R224">
        <v>68609</v>
      </c>
    </row>
    <row r="225" spans="1:18" x14ac:dyDescent="0.25">
      <c r="A225" s="170">
        <v>42331</v>
      </c>
      <c r="B225" s="116">
        <v>138.44999999999999</v>
      </c>
      <c r="C225" s="116">
        <v>136.44999999999999</v>
      </c>
      <c r="D225" s="116">
        <v>135.875</v>
      </c>
      <c r="E225" s="116">
        <v>137</v>
      </c>
      <c r="F225" s="116">
        <v>272.89999999999998</v>
      </c>
      <c r="G225">
        <v>18814</v>
      </c>
      <c r="H225" s="116"/>
      <c r="I225" s="116"/>
      <c r="L225" s="170">
        <v>42331</v>
      </c>
      <c r="M225" s="116">
        <v>136.72499999999999</v>
      </c>
      <c r="N225" s="116">
        <v>138.5</v>
      </c>
      <c r="O225" s="116">
        <v>136</v>
      </c>
      <c r="P225" s="116">
        <v>138.15</v>
      </c>
      <c r="Q225" s="116">
        <v>273.45</v>
      </c>
      <c r="R225">
        <v>60782</v>
      </c>
    </row>
    <row r="226" spans="1:18" x14ac:dyDescent="0.25">
      <c r="A226" s="170">
        <v>42332</v>
      </c>
      <c r="B226" s="116">
        <v>139</v>
      </c>
      <c r="C226" s="116">
        <v>136.97499999999999</v>
      </c>
      <c r="D226" s="116">
        <v>136.44999999999999</v>
      </c>
      <c r="E226" s="116">
        <v>137</v>
      </c>
      <c r="F226" s="116">
        <v>273.95</v>
      </c>
      <c r="G226">
        <v>27414</v>
      </c>
      <c r="H226" s="116"/>
      <c r="I226" s="116"/>
      <c r="L226" s="170">
        <v>42332</v>
      </c>
      <c r="M226" s="116">
        <v>137</v>
      </c>
      <c r="N226" s="116">
        <v>139.69999999999999</v>
      </c>
      <c r="O226" s="116">
        <v>136.1</v>
      </c>
      <c r="P226" s="116">
        <v>136.52500000000001</v>
      </c>
      <c r="Q226" s="116">
        <v>274</v>
      </c>
      <c r="R226">
        <v>68131</v>
      </c>
    </row>
    <row r="227" spans="1:18" x14ac:dyDescent="0.25">
      <c r="A227" s="170">
        <v>42334</v>
      </c>
      <c r="B227" s="116">
        <v>143.55000000000001</v>
      </c>
      <c r="C227" s="116">
        <v>140.77500000000001</v>
      </c>
      <c r="D227" s="116">
        <v>136</v>
      </c>
      <c r="E227" s="116">
        <v>136.5</v>
      </c>
      <c r="F227" s="116">
        <v>281.55</v>
      </c>
      <c r="G227">
        <v>62061</v>
      </c>
      <c r="H227" s="116"/>
      <c r="I227" s="116"/>
      <c r="L227" s="170">
        <v>42334</v>
      </c>
      <c r="M227" s="116">
        <v>141.15</v>
      </c>
      <c r="N227" s="116">
        <v>144</v>
      </c>
      <c r="O227" s="116">
        <v>135.77500000000001</v>
      </c>
      <c r="P227" s="116">
        <v>136.69999999999999</v>
      </c>
      <c r="Q227" s="116">
        <v>282.3</v>
      </c>
      <c r="R227">
        <v>214074</v>
      </c>
    </row>
    <row r="228" spans="1:18" x14ac:dyDescent="0.25">
      <c r="A228" s="170">
        <v>42335</v>
      </c>
      <c r="B228" s="116">
        <v>147</v>
      </c>
      <c r="C228" s="116">
        <v>143.92500000000001</v>
      </c>
      <c r="D228" s="116">
        <v>141.52500000000001</v>
      </c>
      <c r="E228" s="116">
        <v>141.875</v>
      </c>
      <c r="F228" s="116">
        <v>287.85000000000002</v>
      </c>
      <c r="G228">
        <v>48099</v>
      </c>
      <c r="H228" s="116"/>
      <c r="I228" s="116"/>
      <c r="L228" s="170">
        <v>42335</v>
      </c>
      <c r="M228" s="116">
        <v>143.94999999999999</v>
      </c>
      <c r="N228" s="116">
        <v>147.1</v>
      </c>
      <c r="O228" s="116">
        <v>141.25</v>
      </c>
      <c r="P228" s="116">
        <v>141.5</v>
      </c>
      <c r="Q228" s="116">
        <v>287.89999999999998</v>
      </c>
      <c r="R228">
        <v>381576</v>
      </c>
    </row>
    <row r="229" spans="1:18" x14ac:dyDescent="0.25">
      <c r="A229" s="170">
        <v>42338</v>
      </c>
      <c r="B229" s="116">
        <v>145.5</v>
      </c>
      <c r="C229" s="116">
        <v>140.02500000000001</v>
      </c>
      <c r="D229" s="116">
        <v>139.42500000000001</v>
      </c>
      <c r="E229" s="116">
        <v>142.875</v>
      </c>
      <c r="F229" s="116">
        <v>280.05</v>
      </c>
      <c r="G229">
        <v>45171</v>
      </c>
      <c r="H229" s="116"/>
      <c r="I229" s="116"/>
      <c r="L229" s="170">
        <v>42338</v>
      </c>
      <c r="M229" s="116">
        <v>139.94999999999999</v>
      </c>
      <c r="N229" s="116">
        <v>145.27500000000001</v>
      </c>
      <c r="O229" s="116">
        <v>139.1</v>
      </c>
      <c r="P229" s="116">
        <v>143.4</v>
      </c>
      <c r="Q229" s="116">
        <v>279.89999999999998</v>
      </c>
      <c r="R229">
        <v>123888</v>
      </c>
    </row>
    <row r="230" spans="1:18" x14ac:dyDescent="0.25">
      <c r="A230" s="170">
        <v>42339</v>
      </c>
      <c r="B230" s="116">
        <v>141.77500000000001</v>
      </c>
      <c r="C230" s="116">
        <v>139.19999999999999</v>
      </c>
      <c r="D230" s="116">
        <v>138.75</v>
      </c>
      <c r="E230" s="116">
        <v>139.875</v>
      </c>
      <c r="F230" s="116">
        <v>278.39999999999998</v>
      </c>
      <c r="G230">
        <v>30826</v>
      </c>
      <c r="H230" s="116"/>
      <c r="I230" s="116"/>
      <c r="L230" s="170">
        <v>42339</v>
      </c>
      <c r="M230" s="116">
        <v>138.97499999999999</v>
      </c>
      <c r="N230" s="116">
        <v>141.92500000000001</v>
      </c>
      <c r="O230" s="116">
        <v>138.44999999999999</v>
      </c>
      <c r="P230" s="116">
        <v>141.92500000000001</v>
      </c>
      <c r="Q230" s="116">
        <v>277.95</v>
      </c>
      <c r="R230">
        <v>94055</v>
      </c>
    </row>
    <row r="231" spans="1:18" x14ac:dyDescent="0.25">
      <c r="A231" s="170">
        <v>42340</v>
      </c>
      <c r="B231" s="116">
        <v>140.27500000000001</v>
      </c>
      <c r="C231" s="116">
        <v>137.35</v>
      </c>
      <c r="D231" s="116">
        <v>136.52500000000001</v>
      </c>
      <c r="E231" s="116">
        <v>140.27500000000001</v>
      </c>
      <c r="F231" s="116">
        <v>274.7</v>
      </c>
      <c r="G231">
        <v>40975</v>
      </c>
      <c r="H231" s="116"/>
      <c r="I231" s="116"/>
      <c r="L231" s="170">
        <v>42340</v>
      </c>
      <c r="M231" s="116">
        <v>137.375</v>
      </c>
      <c r="N231" s="116">
        <v>140</v>
      </c>
      <c r="O231" s="116">
        <v>136.55000000000001</v>
      </c>
      <c r="P231" s="116">
        <v>139.72499999999999</v>
      </c>
      <c r="Q231" s="116">
        <v>274.75</v>
      </c>
      <c r="R231">
        <v>106384</v>
      </c>
    </row>
    <row r="232" spans="1:18" x14ac:dyDescent="0.25">
      <c r="A232" s="170">
        <v>42341</v>
      </c>
      <c r="B232" s="116">
        <v>139.35</v>
      </c>
      <c r="C232" s="116">
        <v>136.6</v>
      </c>
      <c r="D232" s="116">
        <v>136.15</v>
      </c>
      <c r="E232" s="116">
        <v>136.55000000000001</v>
      </c>
      <c r="F232" s="116">
        <v>273.2</v>
      </c>
      <c r="G232">
        <v>28740</v>
      </c>
      <c r="H232" s="116"/>
      <c r="I232" s="116"/>
      <c r="L232" s="170">
        <v>42341</v>
      </c>
      <c r="M232" s="116">
        <v>136.82499999999999</v>
      </c>
      <c r="N232" s="116">
        <v>139.5</v>
      </c>
      <c r="O232" s="116">
        <v>136.32499999999999</v>
      </c>
      <c r="P232" s="116">
        <v>137.4</v>
      </c>
      <c r="Q232" s="116">
        <v>273.64999999999998</v>
      </c>
      <c r="R232">
        <v>72354</v>
      </c>
    </row>
    <row r="233" spans="1:18" x14ac:dyDescent="0.25">
      <c r="A233" s="170">
        <v>42342</v>
      </c>
      <c r="B233" s="116">
        <v>137.27500000000001</v>
      </c>
      <c r="C233" s="116">
        <v>135.57499999999999</v>
      </c>
      <c r="D233" s="116">
        <v>135</v>
      </c>
      <c r="E233" s="116">
        <v>136.30000000000001</v>
      </c>
      <c r="F233" s="116">
        <v>271.14999999999998</v>
      </c>
      <c r="G233">
        <v>16949</v>
      </c>
      <c r="H233" s="116"/>
      <c r="I233" s="116"/>
      <c r="L233" s="170">
        <v>42342</v>
      </c>
      <c r="M233" s="116">
        <v>135.6</v>
      </c>
      <c r="N233" s="116">
        <v>137</v>
      </c>
      <c r="O233" s="116">
        <v>135.125</v>
      </c>
      <c r="P233" s="116">
        <v>136.44999999999999</v>
      </c>
      <c r="Q233" s="116">
        <v>271.2</v>
      </c>
      <c r="R233">
        <v>47769</v>
      </c>
    </row>
    <row r="234" spans="1:18" x14ac:dyDescent="0.25">
      <c r="A234" s="170">
        <v>42345</v>
      </c>
      <c r="B234" s="116">
        <v>137.125</v>
      </c>
      <c r="C234" s="116">
        <v>135.35</v>
      </c>
      <c r="D234" s="116">
        <v>135.15</v>
      </c>
      <c r="E234" s="116">
        <v>137</v>
      </c>
      <c r="F234" s="116">
        <v>270.7</v>
      </c>
      <c r="G234">
        <v>13272</v>
      </c>
      <c r="H234" s="116"/>
      <c r="I234" s="116"/>
      <c r="L234" s="170">
        <v>42345</v>
      </c>
      <c r="M234" s="116">
        <v>135.4</v>
      </c>
      <c r="N234" s="116">
        <v>137.35</v>
      </c>
      <c r="O234" s="116">
        <v>135</v>
      </c>
      <c r="P234" s="116">
        <v>136.94999999999999</v>
      </c>
      <c r="Q234" s="116">
        <v>270.8</v>
      </c>
      <c r="R234">
        <v>50565</v>
      </c>
    </row>
    <row r="235" spans="1:18" x14ac:dyDescent="0.25">
      <c r="A235" s="170">
        <v>42346</v>
      </c>
      <c r="B235" s="116">
        <v>136.35</v>
      </c>
      <c r="C235" s="116">
        <v>133.69999999999999</v>
      </c>
      <c r="D235" s="116">
        <v>132.65</v>
      </c>
      <c r="E235" s="116">
        <v>135</v>
      </c>
      <c r="F235" s="116">
        <v>267.39999999999998</v>
      </c>
      <c r="G235">
        <v>16128</v>
      </c>
      <c r="H235" s="116"/>
      <c r="I235" s="116"/>
      <c r="L235" s="170">
        <v>42346</v>
      </c>
      <c r="M235" s="116">
        <v>134.19999999999999</v>
      </c>
      <c r="N235" s="116">
        <v>136.5</v>
      </c>
      <c r="O235" s="116">
        <v>133</v>
      </c>
      <c r="P235" s="116">
        <v>135.07499999999999</v>
      </c>
      <c r="Q235" s="116">
        <v>268.39999999999998</v>
      </c>
      <c r="R235">
        <v>91984</v>
      </c>
    </row>
    <row r="236" spans="1:18" x14ac:dyDescent="0.25">
      <c r="A236" s="170">
        <v>42347</v>
      </c>
      <c r="B236" s="116">
        <v>134.47499999999999</v>
      </c>
      <c r="C236" s="116">
        <v>128.72499999999999</v>
      </c>
      <c r="D236" s="116">
        <v>128.5</v>
      </c>
      <c r="E236" s="116">
        <v>134.125</v>
      </c>
      <c r="F236" s="116">
        <v>257.45</v>
      </c>
      <c r="G236">
        <v>40943</v>
      </c>
      <c r="H236" s="116"/>
      <c r="I236" s="116"/>
      <c r="L236" s="170">
        <v>42347</v>
      </c>
      <c r="M236" s="116">
        <v>128.6</v>
      </c>
      <c r="N236" s="116">
        <v>134.47499999999999</v>
      </c>
      <c r="O236" s="116">
        <v>128.5</v>
      </c>
      <c r="P236" s="116">
        <v>134.4</v>
      </c>
      <c r="Q236" s="116">
        <v>257.2</v>
      </c>
      <c r="R236">
        <v>105937</v>
      </c>
    </row>
    <row r="237" spans="1:18" x14ac:dyDescent="0.25">
      <c r="A237" s="170">
        <v>42348</v>
      </c>
      <c r="B237" s="116">
        <v>130</v>
      </c>
      <c r="C237" s="116">
        <v>129.55000000000001</v>
      </c>
      <c r="D237" s="116">
        <v>127.55</v>
      </c>
      <c r="E237" s="116">
        <v>129.57499999999999</v>
      </c>
      <c r="F237" s="116">
        <v>259.10000000000002</v>
      </c>
      <c r="G237">
        <v>33528</v>
      </c>
      <c r="H237" s="116"/>
      <c r="I237" s="116"/>
      <c r="L237" s="170">
        <v>42348</v>
      </c>
      <c r="M237" s="116">
        <v>129.52500000000001</v>
      </c>
      <c r="N237" s="116">
        <v>130.42500000000001</v>
      </c>
      <c r="O237" s="116">
        <v>127.575</v>
      </c>
      <c r="P237" s="116">
        <v>130.15</v>
      </c>
      <c r="Q237" s="116">
        <v>259.05</v>
      </c>
      <c r="R237">
        <v>70640</v>
      </c>
    </row>
    <row r="238" spans="1:18" x14ac:dyDescent="0.25">
      <c r="A238" s="170">
        <v>42349</v>
      </c>
      <c r="B238" s="116">
        <v>130.1</v>
      </c>
      <c r="C238" s="116">
        <v>127.425</v>
      </c>
      <c r="D238" s="116">
        <v>126</v>
      </c>
      <c r="E238" s="116">
        <v>128.75</v>
      </c>
      <c r="F238" s="116">
        <v>254.85</v>
      </c>
      <c r="G238">
        <v>18912</v>
      </c>
      <c r="H238" s="116"/>
      <c r="I238" s="116"/>
      <c r="L238" s="170">
        <v>42349</v>
      </c>
      <c r="M238" s="116">
        <v>128.05000000000001</v>
      </c>
      <c r="N238" s="116">
        <v>130.9</v>
      </c>
      <c r="O238" s="116">
        <v>126.425</v>
      </c>
      <c r="P238" s="116">
        <v>130</v>
      </c>
      <c r="Q238" s="116">
        <v>256.10000000000002</v>
      </c>
      <c r="R238">
        <v>84973</v>
      </c>
    </row>
    <row r="239" spans="1:18" x14ac:dyDescent="0.25">
      <c r="A239" s="170">
        <v>42352</v>
      </c>
      <c r="B239" s="116">
        <v>136.17500000000001</v>
      </c>
      <c r="C239" s="116">
        <v>135.69999999999999</v>
      </c>
      <c r="D239" s="116">
        <v>127.95</v>
      </c>
      <c r="E239" s="116">
        <v>127.95</v>
      </c>
      <c r="F239" s="116">
        <v>271.39999999999998</v>
      </c>
      <c r="G239">
        <v>50076</v>
      </c>
      <c r="H239" s="116"/>
      <c r="I239" s="116"/>
      <c r="L239" s="170">
        <v>42352</v>
      </c>
      <c r="M239" s="116">
        <v>135.80000000000001</v>
      </c>
      <c r="N239" s="116">
        <v>136.35</v>
      </c>
      <c r="O239" s="116">
        <v>127</v>
      </c>
      <c r="P239" s="116">
        <v>128.05000000000001</v>
      </c>
      <c r="Q239" s="116">
        <v>271.60000000000002</v>
      </c>
      <c r="R239">
        <v>250807</v>
      </c>
    </row>
    <row r="240" spans="1:18" x14ac:dyDescent="0.25">
      <c r="A240" s="170">
        <v>42353</v>
      </c>
      <c r="B240" s="116">
        <v>139</v>
      </c>
      <c r="C240" s="116">
        <v>134.44999999999999</v>
      </c>
      <c r="D240" s="116">
        <v>133.85</v>
      </c>
      <c r="E240" s="116">
        <v>135.5</v>
      </c>
      <c r="F240" s="116">
        <v>268.89999999999998</v>
      </c>
      <c r="G240">
        <v>22058</v>
      </c>
      <c r="H240" s="116"/>
      <c r="I240" s="116"/>
      <c r="L240" s="170">
        <v>42353</v>
      </c>
      <c r="M240" s="116">
        <v>134.77500000000001</v>
      </c>
      <c r="N240" s="116">
        <v>138</v>
      </c>
      <c r="O240" s="116">
        <v>134.05000000000001</v>
      </c>
      <c r="P240" s="116">
        <v>136.75</v>
      </c>
      <c r="Q240" s="116">
        <v>269.55</v>
      </c>
      <c r="R240">
        <v>102497</v>
      </c>
    </row>
    <row r="241" spans="1:18" x14ac:dyDescent="0.25">
      <c r="A241" s="170">
        <v>42354</v>
      </c>
      <c r="B241" s="116">
        <v>137.22499999999999</v>
      </c>
      <c r="C241" s="116">
        <v>133.19999999999999</v>
      </c>
      <c r="D241" s="116">
        <v>133</v>
      </c>
      <c r="E241" s="116">
        <v>134.72499999999999</v>
      </c>
      <c r="F241" s="116">
        <v>266.39999999999998</v>
      </c>
      <c r="G241">
        <v>27171</v>
      </c>
      <c r="H241" s="116"/>
      <c r="I241" s="116"/>
      <c r="L241" s="170">
        <v>42354</v>
      </c>
      <c r="M241" s="116">
        <v>133.47499999999999</v>
      </c>
      <c r="N241" s="116">
        <v>137.5</v>
      </c>
      <c r="O241" s="116">
        <v>133.05000000000001</v>
      </c>
      <c r="P241" s="116">
        <v>134.77500000000001</v>
      </c>
      <c r="Q241" s="116">
        <v>266.95</v>
      </c>
      <c r="R241">
        <v>77547</v>
      </c>
    </row>
    <row r="242" spans="1:18" x14ac:dyDescent="0.25">
      <c r="A242" s="170">
        <v>42355</v>
      </c>
      <c r="B242" s="116">
        <v>135.5</v>
      </c>
      <c r="C242" s="116">
        <v>135.22499999999999</v>
      </c>
      <c r="D242" s="116">
        <v>133.80000000000001</v>
      </c>
      <c r="E242" s="116">
        <v>134.97499999999999</v>
      </c>
      <c r="F242" s="116">
        <v>270.45</v>
      </c>
      <c r="G242">
        <v>10621</v>
      </c>
      <c r="H242" s="116"/>
      <c r="I242" s="116"/>
      <c r="L242" s="170">
        <v>42355</v>
      </c>
      <c r="M242" s="116">
        <v>135.05000000000001</v>
      </c>
      <c r="N242" s="116">
        <v>135.5</v>
      </c>
      <c r="O242" s="116">
        <v>133.75</v>
      </c>
      <c r="P242" s="116">
        <v>133.75</v>
      </c>
      <c r="Q242" s="116">
        <v>270.10000000000002</v>
      </c>
      <c r="R242">
        <v>66131</v>
      </c>
    </row>
    <row r="243" spans="1:18" x14ac:dyDescent="0.25">
      <c r="A243" s="170">
        <v>42356</v>
      </c>
      <c r="B243" s="116">
        <v>140</v>
      </c>
      <c r="C243" s="116">
        <v>139.1</v>
      </c>
      <c r="D243" s="116">
        <v>133.75</v>
      </c>
      <c r="E243" s="116">
        <v>134.5</v>
      </c>
      <c r="F243" s="116">
        <v>278.2</v>
      </c>
      <c r="G243">
        <v>33830</v>
      </c>
      <c r="H243" s="116"/>
      <c r="I243" s="116"/>
      <c r="L243" s="170">
        <v>42356</v>
      </c>
      <c r="M243" s="116">
        <v>139.32499999999999</v>
      </c>
      <c r="N243" s="116">
        <v>140.25</v>
      </c>
      <c r="O243" s="116">
        <v>133.6</v>
      </c>
      <c r="P243" s="116">
        <v>135</v>
      </c>
      <c r="Q243" s="116">
        <v>278.64999999999998</v>
      </c>
      <c r="R243">
        <v>244600</v>
      </c>
    </row>
    <row r="244" spans="1:18" x14ac:dyDescent="0.25">
      <c r="A244" s="170">
        <v>42359</v>
      </c>
      <c r="B244" s="116">
        <v>140.25</v>
      </c>
      <c r="C244" s="116">
        <v>137.80000000000001</v>
      </c>
      <c r="D244" s="116">
        <v>136</v>
      </c>
      <c r="E244" s="116">
        <v>139</v>
      </c>
      <c r="F244" s="116">
        <v>275.60000000000002</v>
      </c>
      <c r="G244">
        <v>30896</v>
      </c>
      <c r="H244" s="116"/>
      <c r="I244" s="116"/>
      <c r="L244" s="170">
        <v>42359</v>
      </c>
      <c r="M244" s="116">
        <v>137.57499999999999</v>
      </c>
      <c r="N244" s="116">
        <v>140.22499999999999</v>
      </c>
      <c r="O244" s="116">
        <v>135.77500000000001</v>
      </c>
      <c r="P244" s="116">
        <v>139.875</v>
      </c>
      <c r="Q244" s="116">
        <v>275.14999999999998</v>
      </c>
      <c r="R244">
        <v>111303</v>
      </c>
    </row>
    <row r="245" spans="1:18" x14ac:dyDescent="0.25">
      <c r="A245" s="170">
        <v>42360</v>
      </c>
      <c r="B245" s="116">
        <v>141.5</v>
      </c>
      <c r="C245" s="116">
        <v>137.875</v>
      </c>
      <c r="D245" s="116">
        <v>137.1</v>
      </c>
      <c r="E245" s="116">
        <v>137.5</v>
      </c>
      <c r="F245" s="116">
        <v>275.75</v>
      </c>
      <c r="G245">
        <v>29468</v>
      </c>
      <c r="H245" s="116"/>
      <c r="I245" s="116"/>
      <c r="L245" s="170">
        <v>42360</v>
      </c>
      <c r="M245" s="116">
        <v>137.92500000000001</v>
      </c>
      <c r="N245" s="116">
        <v>141.5</v>
      </c>
      <c r="O245" s="116">
        <v>137.05000000000001</v>
      </c>
      <c r="P245" s="116">
        <v>137.05000000000001</v>
      </c>
      <c r="Q245" s="116">
        <v>275.85000000000002</v>
      </c>
      <c r="R245">
        <v>77146</v>
      </c>
    </row>
    <row r="246" spans="1:18" x14ac:dyDescent="0.25">
      <c r="A246" s="170">
        <v>42361</v>
      </c>
      <c r="B246" s="116">
        <v>141</v>
      </c>
      <c r="C246" s="116">
        <v>138.6</v>
      </c>
      <c r="D246" s="116">
        <v>137.85</v>
      </c>
      <c r="E246" s="116">
        <v>138.15</v>
      </c>
      <c r="F246" s="116">
        <v>277.2</v>
      </c>
      <c r="G246">
        <v>35043</v>
      </c>
      <c r="H246" s="116"/>
      <c r="I246" s="116"/>
      <c r="L246" s="170">
        <v>42361</v>
      </c>
      <c r="M246" s="116">
        <v>138.75</v>
      </c>
      <c r="N246" s="116">
        <v>141.25</v>
      </c>
      <c r="O246" s="116">
        <v>137.6</v>
      </c>
      <c r="P246" s="116">
        <v>137.9</v>
      </c>
      <c r="Q246" s="116">
        <v>277.5</v>
      </c>
      <c r="R246">
        <v>98451</v>
      </c>
    </row>
    <row r="247" spans="1:18" x14ac:dyDescent="0.25">
      <c r="A247" s="170">
        <v>42362</v>
      </c>
      <c r="B247" s="116">
        <v>140.1</v>
      </c>
      <c r="C247" s="116">
        <v>138.6</v>
      </c>
      <c r="D247" s="116">
        <v>138</v>
      </c>
      <c r="E247" s="116">
        <v>139.22499999999999</v>
      </c>
      <c r="F247" s="116">
        <v>277.2</v>
      </c>
      <c r="G247">
        <v>15705</v>
      </c>
      <c r="H247" s="116"/>
      <c r="I247" s="116"/>
      <c r="L247" s="170">
        <v>42362</v>
      </c>
      <c r="M247" s="116">
        <v>138.97499999999999</v>
      </c>
      <c r="N247" s="116">
        <v>140</v>
      </c>
      <c r="O247" s="116">
        <v>137.94999999999999</v>
      </c>
      <c r="P247" s="116">
        <v>139.375</v>
      </c>
      <c r="Q247" s="116">
        <v>277.95</v>
      </c>
      <c r="R247">
        <v>52352</v>
      </c>
    </row>
    <row r="248" spans="1:18" x14ac:dyDescent="0.25">
      <c r="A248" s="170">
        <v>42366</v>
      </c>
      <c r="B248" s="116">
        <v>139.80000000000001</v>
      </c>
      <c r="C248" s="116">
        <v>137.85</v>
      </c>
      <c r="D248" s="116">
        <v>137.05000000000001</v>
      </c>
      <c r="E248" s="116">
        <v>139.02500000000001</v>
      </c>
      <c r="F248" s="116">
        <v>275.7</v>
      </c>
      <c r="G248">
        <v>11395</v>
      </c>
      <c r="H248" s="116"/>
      <c r="I248" s="116"/>
      <c r="L248" s="170">
        <v>42366</v>
      </c>
      <c r="M248" s="116">
        <v>138.07499999999999</v>
      </c>
      <c r="N248" s="116">
        <v>139.75</v>
      </c>
      <c r="O248" s="116">
        <v>137.5</v>
      </c>
      <c r="P248" s="116">
        <v>137.57499999999999</v>
      </c>
      <c r="Q248" s="116">
        <v>276.14999999999998</v>
      </c>
      <c r="R248">
        <v>71959</v>
      </c>
    </row>
    <row r="249" spans="1:18" x14ac:dyDescent="0.25">
      <c r="A249" s="170">
        <v>42367</v>
      </c>
      <c r="B249" s="116">
        <v>141.82499999999999</v>
      </c>
      <c r="C249" s="116">
        <v>139.875</v>
      </c>
      <c r="D249" s="116">
        <v>138.82499999999999</v>
      </c>
      <c r="E249" s="116">
        <v>139.25</v>
      </c>
      <c r="F249" s="116">
        <v>279.75</v>
      </c>
      <c r="G249">
        <v>26170</v>
      </c>
      <c r="H249" s="116"/>
      <c r="I249" s="116"/>
      <c r="L249" s="170">
        <v>42367</v>
      </c>
      <c r="M249" s="116">
        <v>139.5</v>
      </c>
      <c r="N249" s="116">
        <v>142</v>
      </c>
      <c r="O249" s="116">
        <v>138.6</v>
      </c>
      <c r="P249" s="116">
        <v>138.97499999999999</v>
      </c>
      <c r="Q249" s="116">
        <v>279</v>
      </c>
      <c r="R249">
        <v>135625</v>
      </c>
    </row>
    <row r="250" spans="1:18" x14ac:dyDescent="0.25">
      <c r="A250" s="170">
        <v>42368</v>
      </c>
      <c r="B250" s="116">
        <v>142</v>
      </c>
      <c r="C250" s="116">
        <v>138.82499999999999</v>
      </c>
      <c r="D250" s="116">
        <v>138.44999999999999</v>
      </c>
      <c r="E250" s="116">
        <v>140.22499999999999</v>
      </c>
      <c r="F250" s="116">
        <v>277.64999999999998</v>
      </c>
      <c r="G250">
        <v>33381</v>
      </c>
      <c r="H250" s="116"/>
      <c r="I250" s="116"/>
      <c r="L250" s="170">
        <v>42368</v>
      </c>
      <c r="M250" s="116">
        <v>139.5</v>
      </c>
      <c r="N250" s="116">
        <v>142.19999999999999</v>
      </c>
      <c r="O250" s="116">
        <v>138.1</v>
      </c>
      <c r="P250" s="116">
        <v>140</v>
      </c>
      <c r="Q250" s="116">
        <v>279</v>
      </c>
      <c r="R250">
        <v>108754</v>
      </c>
    </row>
    <row r="251" spans="1:18" x14ac:dyDescent="0.25">
      <c r="A251" s="170">
        <v>42369</v>
      </c>
      <c r="B251" s="116">
        <v>142.4</v>
      </c>
      <c r="C251" s="116">
        <v>139.52500000000001</v>
      </c>
      <c r="D251" s="116">
        <v>138.6</v>
      </c>
      <c r="E251" s="116">
        <v>138.65</v>
      </c>
      <c r="F251" s="116">
        <v>279.05</v>
      </c>
      <c r="G251">
        <v>30620</v>
      </c>
      <c r="H251" s="116"/>
      <c r="I251" s="116"/>
      <c r="L251" s="170">
        <v>42369</v>
      </c>
      <c r="M251" s="116">
        <v>139.32499999999999</v>
      </c>
      <c r="N251" s="116">
        <v>142.4</v>
      </c>
      <c r="O251" s="116">
        <v>138.9</v>
      </c>
      <c r="P251" s="116">
        <v>139.5</v>
      </c>
      <c r="Q251" s="116">
        <v>278.64999999999998</v>
      </c>
      <c r="R251">
        <v>177008</v>
      </c>
    </row>
    <row r="252" spans="1:18" x14ac:dyDescent="0.25">
      <c r="A252" s="170">
        <v>42370</v>
      </c>
      <c r="B252" s="116">
        <v>142.44999999999999</v>
      </c>
      <c r="C252" s="116">
        <v>139.57499999999999</v>
      </c>
      <c r="D252" s="116">
        <v>138.9</v>
      </c>
      <c r="E252" s="116">
        <v>140.32499999999999</v>
      </c>
      <c r="F252" s="116">
        <v>279.14999999999998</v>
      </c>
      <c r="G252">
        <v>37102</v>
      </c>
      <c r="H252" s="116"/>
      <c r="I252" s="116"/>
      <c r="L252" s="170">
        <v>42370</v>
      </c>
      <c r="M252" s="116">
        <v>139.57499999999999</v>
      </c>
      <c r="N252" s="116">
        <v>142.69999999999999</v>
      </c>
      <c r="O252" s="116">
        <v>139.125</v>
      </c>
      <c r="P252" s="116">
        <v>139.9</v>
      </c>
      <c r="Q252" s="116">
        <v>279.14999999999998</v>
      </c>
      <c r="R252">
        <v>230962</v>
      </c>
    </row>
    <row r="253" spans="1:18" x14ac:dyDescent="0.25">
      <c r="A253" s="170">
        <v>42373</v>
      </c>
      <c r="B253" s="116">
        <v>144.19999999999999</v>
      </c>
      <c r="C253" s="116">
        <v>140.72499999999999</v>
      </c>
      <c r="D253" s="116">
        <v>139.80000000000001</v>
      </c>
      <c r="E253" s="116">
        <v>140.25</v>
      </c>
      <c r="F253" s="116">
        <v>281.45</v>
      </c>
      <c r="G253">
        <v>43408</v>
      </c>
      <c r="H253" s="116"/>
      <c r="I253" s="116"/>
      <c r="L253" s="170">
        <v>42373</v>
      </c>
      <c r="M253" s="116">
        <v>140.47499999999999</v>
      </c>
      <c r="N253" s="116">
        <v>144</v>
      </c>
      <c r="O253" s="116">
        <v>139.75</v>
      </c>
      <c r="P253" s="116">
        <v>140.55000000000001</v>
      </c>
      <c r="Q253" s="116">
        <v>280.95</v>
      </c>
      <c r="R253">
        <v>273163</v>
      </c>
    </row>
    <row r="254" spans="1:18" x14ac:dyDescent="0.25">
      <c r="A254" s="170">
        <v>42374</v>
      </c>
      <c r="B254" s="116">
        <v>143.375</v>
      </c>
      <c r="C254" s="116">
        <v>139.47499999999999</v>
      </c>
      <c r="D254" s="116">
        <v>138.4</v>
      </c>
      <c r="E254" s="116">
        <v>143.375</v>
      </c>
      <c r="F254" s="116">
        <v>278.95</v>
      </c>
      <c r="G254">
        <v>35021</v>
      </c>
      <c r="H254" s="116"/>
      <c r="I254" s="116"/>
      <c r="L254" s="170">
        <v>42374</v>
      </c>
      <c r="M254" s="116">
        <v>139.32499999999999</v>
      </c>
      <c r="N254" s="116">
        <v>143.15</v>
      </c>
      <c r="O254" s="116">
        <v>138.30000000000001</v>
      </c>
      <c r="P254" s="116">
        <v>141.42500000000001</v>
      </c>
      <c r="Q254" s="116">
        <v>278.64999999999998</v>
      </c>
      <c r="R254">
        <v>199676</v>
      </c>
    </row>
    <row r="255" spans="1:18" x14ac:dyDescent="0.25">
      <c r="A255" s="170">
        <v>42375</v>
      </c>
      <c r="B255" s="116">
        <v>141.25</v>
      </c>
      <c r="C255" s="116">
        <v>138.97499999999999</v>
      </c>
      <c r="D255" s="116">
        <v>138.80000000000001</v>
      </c>
      <c r="E255" s="116">
        <v>139.75</v>
      </c>
      <c r="F255" s="116">
        <v>277.95</v>
      </c>
      <c r="G255">
        <v>11896</v>
      </c>
      <c r="H255" s="116"/>
      <c r="I255" s="116"/>
      <c r="L255" s="170">
        <v>42375</v>
      </c>
      <c r="M255" s="116">
        <v>139.07499999999999</v>
      </c>
      <c r="N255" s="116">
        <v>140.9</v>
      </c>
      <c r="O255" s="116">
        <v>138.5</v>
      </c>
      <c r="P255" s="116">
        <v>139.94999999999999</v>
      </c>
      <c r="Q255" s="116">
        <v>278.14999999999998</v>
      </c>
      <c r="R255">
        <v>96618</v>
      </c>
    </row>
    <row r="256" spans="1:18" x14ac:dyDescent="0.25">
      <c r="A256" s="170">
        <v>42376</v>
      </c>
      <c r="B256" s="116">
        <v>138.5</v>
      </c>
      <c r="C256" s="116">
        <v>135.47499999999999</v>
      </c>
      <c r="D256" s="116">
        <v>135.02500000000001</v>
      </c>
      <c r="E256" s="116">
        <v>138</v>
      </c>
      <c r="F256" s="116">
        <v>270.95</v>
      </c>
      <c r="G256">
        <v>34897</v>
      </c>
      <c r="H256" s="116"/>
      <c r="I256" s="116"/>
      <c r="L256" s="170">
        <v>42376</v>
      </c>
      <c r="M256" s="116">
        <v>135.77500000000001</v>
      </c>
      <c r="N256" s="116">
        <v>138.6</v>
      </c>
      <c r="O256" s="116">
        <v>134.97499999999999</v>
      </c>
      <c r="P256" s="116">
        <v>138.6</v>
      </c>
      <c r="Q256" s="116">
        <v>271.55</v>
      </c>
      <c r="R256">
        <v>114048</v>
      </c>
    </row>
    <row r="257" spans="1:18" x14ac:dyDescent="0.25">
      <c r="A257" s="170">
        <v>42377</v>
      </c>
      <c r="B257" s="116">
        <v>137.77500000000001</v>
      </c>
      <c r="C257" s="116">
        <v>136.15</v>
      </c>
      <c r="D257" s="116">
        <v>136</v>
      </c>
      <c r="E257" s="116">
        <v>137.65</v>
      </c>
      <c r="F257" s="116">
        <v>272.3</v>
      </c>
      <c r="G257">
        <v>13711</v>
      </c>
      <c r="H257" s="116"/>
      <c r="I257" s="116"/>
      <c r="L257" s="170">
        <v>42377</v>
      </c>
      <c r="M257" s="116">
        <v>136.32499999999999</v>
      </c>
      <c r="N257" s="116">
        <v>138.15</v>
      </c>
      <c r="O257" s="116">
        <v>135.5</v>
      </c>
      <c r="P257" s="116">
        <v>135.5</v>
      </c>
      <c r="Q257" s="116">
        <v>272.64999999999998</v>
      </c>
      <c r="R257">
        <v>63472</v>
      </c>
    </row>
    <row r="258" spans="1:18" x14ac:dyDescent="0.25">
      <c r="A258" s="170">
        <v>42380</v>
      </c>
      <c r="B258" s="116">
        <v>139.19999999999999</v>
      </c>
      <c r="C258" s="116">
        <v>138.375</v>
      </c>
      <c r="D258" s="116">
        <v>134.5</v>
      </c>
      <c r="E258" s="116">
        <v>136.5</v>
      </c>
      <c r="F258" s="116">
        <v>276.75</v>
      </c>
      <c r="G258">
        <v>18766</v>
      </c>
      <c r="H258" s="116"/>
      <c r="I258" s="116"/>
      <c r="L258" s="170">
        <v>42380</v>
      </c>
      <c r="M258" s="116">
        <v>138.42500000000001</v>
      </c>
      <c r="N258" s="116">
        <v>139.25</v>
      </c>
      <c r="O258" s="116">
        <v>134.32499999999999</v>
      </c>
      <c r="P258" s="116">
        <v>136</v>
      </c>
      <c r="Q258" s="116">
        <v>276.85000000000002</v>
      </c>
      <c r="R258">
        <v>89336</v>
      </c>
    </row>
    <row r="259" spans="1:18" x14ac:dyDescent="0.25">
      <c r="A259" s="170">
        <v>42381</v>
      </c>
      <c r="B259" s="116">
        <v>142.15</v>
      </c>
      <c r="C259" s="116">
        <v>136.77500000000001</v>
      </c>
      <c r="D259" s="116">
        <v>135.80000000000001</v>
      </c>
      <c r="E259" s="116">
        <v>141</v>
      </c>
      <c r="F259" s="116">
        <v>273.55</v>
      </c>
      <c r="G259">
        <v>35390</v>
      </c>
      <c r="H259" s="116"/>
      <c r="I259" s="116"/>
      <c r="L259" s="170">
        <v>42381</v>
      </c>
      <c r="M259" s="116">
        <v>137.07499999999999</v>
      </c>
      <c r="N259" s="116">
        <v>142.32499999999999</v>
      </c>
      <c r="O259" s="116">
        <v>135.65</v>
      </c>
      <c r="P259" s="116">
        <v>140.42500000000001</v>
      </c>
      <c r="Q259" s="116">
        <v>274.14999999999998</v>
      </c>
      <c r="R259">
        <v>224582</v>
      </c>
    </row>
    <row r="260" spans="1:18" x14ac:dyDescent="0.25">
      <c r="A260" s="170">
        <v>42382</v>
      </c>
      <c r="B260" s="116">
        <v>139.15</v>
      </c>
      <c r="C260" s="116">
        <v>130.375</v>
      </c>
      <c r="D260" s="116">
        <v>120.02500000000001</v>
      </c>
      <c r="E260" s="116">
        <v>138.5</v>
      </c>
      <c r="F260" s="116">
        <v>260.75</v>
      </c>
      <c r="G260">
        <v>90071</v>
      </c>
      <c r="H260" s="116"/>
      <c r="I260" s="116"/>
      <c r="L260" s="170">
        <v>42382</v>
      </c>
      <c r="M260" s="116">
        <v>130.47499999999999</v>
      </c>
      <c r="N260" s="116">
        <v>139.19999999999999</v>
      </c>
      <c r="O260" s="116">
        <v>119</v>
      </c>
      <c r="P260" s="116">
        <v>137.6</v>
      </c>
      <c r="Q260" s="116">
        <v>260.95</v>
      </c>
      <c r="R260">
        <v>387442</v>
      </c>
    </row>
    <row r="261" spans="1:18" x14ac:dyDescent="0.25">
      <c r="A261" s="170">
        <v>42383</v>
      </c>
      <c r="B261" s="116">
        <v>134.1</v>
      </c>
      <c r="C261" s="116">
        <v>132.35</v>
      </c>
      <c r="D261" s="116">
        <v>124.075</v>
      </c>
      <c r="E261" s="116">
        <v>129.5</v>
      </c>
      <c r="F261" s="116">
        <v>264.7</v>
      </c>
      <c r="G261">
        <v>64188</v>
      </c>
      <c r="H261" s="116"/>
      <c r="I261" s="116"/>
      <c r="L261" s="170">
        <v>42383</v>
      </c>
      <c r="M261" s="116">
        <v>132.42500000000001</v>
      </c>
      <c r="N261" s="116">
        <v>133.875</v>
      </c>
      <c r="O261" s="116">
        <v>124.05</v>
      </c>
      <c r="P261" s="116">
        <v>127.5</v>
      </c>
      <c r="Q261" s="116">
        <v>264.85000000000002</v>
      </c>
      <c r="R261">
        <v>146345</v>
      </c>
    </row>
    <row r="262" spans="1:18" x14ac:dyDescent="0.25">
      <c r="A262" s="170">
        <v>42384</v>
      </c>
      <c r="B262" s="116">
        <v>133.5</v>
      </c>
      <c r="C262" s="116">
        <v>125.5</v>
      </c>
      <c r="D262" s="116">
        <v>124</v>
      </c>
      <c r="E262" s="116">
        <v>132</v>
      </c>
      <c r="F262" s="116">
        <v>251</v>
      </c>
      <c r="G262">
        <v>23168</v>
      </c>
      <c r="H262" s="116"/>
      <c r="I262" s="116"/>
      <c r="L262" s="170">
        <v>42384</v>
      </c>
      <c r="M262" s="116">
        <v>125.9</v>
      </c>
      <c r="N262" s="116">
        <v>133.69999999999999</v>
      </c>
      <c r="O262" s="116">
        <v>124</v>
      </c>
      <c r="P262" s="116">
        <v>132.42500000000001</v>
      </c>
      <c r="Q262" s="116">
        <v>251.8</v>
      </c>
      <c r="R262">
        <v>163902</v>
      </c>
    </row>
    <row r="263" spans="1:18" x14ac:dyDescent="0.25">
      <c r="A263" s="170">
        <v>42387</v>
      </c>
      <c r="B263" s="116">
        <v>126.52500000000001</v>
      </c>
      <c r="C263" s="116">
        <v>121.375</v>
      </c>
      <c r="D263" s="116">
        <v>120.05</v>
      </c>
      <c r="E263" s="116">
        <v>126</v>
      </c>
      <c r="F263" s="116">
        <v>242.75</v>
      </c>
      <c r="G263">
        <v>48967</v>
      </c>
      <c r="H263" s="116"/>
      <c r="I263" s="116"/>
      <c r="L263" s="170">
        <v>42387</v>
      </c>
      <c r="M263" s="116">
        <v>120.825</v>
      </c>
      <c r="N263" s="116">
        <v>127.45</v>
      </c>
      <c r="O263" s="116">
        <v>120</v>
      </c>
      <c r="P263" s="116">
        <v>124.5</v>
      </c>
      <c r="Q263" s="116">
        <v>241.65</v>
      </c>
      <c r="R263">
        <v>120554</v>
      </c>
    </row>
    <row r="264" spans="1:18" x14ac:dyDescent="0.25">
      <c r="A264" s="170">
        <v>42388</v>
      </c>
      <c r="B264" s="116">
        <v>126</v>
      </c>
      <c r="C264" s="116">
        <v>124</v>
      </c>
      <c r="D264" s="116">
        <v>120.15</v>
      </c>
      <c r="E264" s="116">
        <v>122.15</v>
      </c>
      <c r="F264" s="116">
        <v>248</v>
      </c>
      <c r="G264">
        <v>24960</v>
      </c>
      <c r="H264" s="116"/>
      <c r="I264" s="116"/>
      <c r="L264" s="170">
        <v>42388</v>
      </c>
      <c r="M264" s="116">
        <v>124.1</v>
      </c>
      <c r="N264" s="116">
        <v>126.075</v>
      </c>
      <c r="O264" s="116">
        <v>121.075</v>
      </c>
      <c r="P264" s="116">
        <v>121.9</v>
      </c>
      <c r="Q264" s="116">
        <v>248.2</v>
      </c>
      <c r="R264">
        <v>101665</v>
      </c>
    </row>
    <row r="265" spans="1:18" x14ac:dyDescent="0.25">
      <c r="A265" s="170">
        <v>42389</v>
      </c>
      <c r="B265" s="116">
        <v>124.4</v>
      </c>
      <c r="C265" s="116">
        <v>118.5</v>
      </c>
      <c r="D265" s="116">
        <v>116.675</v>
      </c>
      <c r="E265" s="116">
        <v>123.52500000000001</v>
      </c>
      <c r="F265" s="116">
        <v>237</v>
      </c>
      <c r="G265">
        <v>23194</v>
      </c>
      <c r="H265" s="116"/>
      <c r="I265" s="116"/>
      <c r="L265" s="170">
        <v>42389</v>
      </c>
      <c r="M265" s="116">
        <v>118.47499999999999</v>
      </c>
      <c r="N265" s="116">
        <v>124.5</v>
      </c>
      <c r="O265" s="116">
        <v>116.925</v>
      </c>
      <c r="P265" s="116">
        <v>123</v>
      </c>
      <c r="Q265" s="116">
        <v>236.95</v>
      </c>
      <c r="R265">
        <v>127096</v>
      </c>
    </row>
    <row r="266" spans="1:18" x14ac:dyDescent="0.25">
      <c r="A266" s="170">
        <v>42390</v>
      </c>
      <c r="B266" s="116">
        <v>122.5</v>
      </c>
      <c r="C266" s="116">
        <v>118.625</v>
      </c>
      <c r="D266" s="116">
        <v>117.85</v>
      </c>
      <c r="E266" s="116">
        <v>122.5</v>
      </c>
      <c r="F266" s="116">
        <v>237.25</v>
      </c>
      <c r="G266">
        <v>38801</v>
      </c>
      <c r="H266" s="116"/>
      <c r="I266" s="116"/>
      <c r="L266" s="170">
        <v>42390</v>
      </c>
      <c r="M266" s="116">
        <v>119.02500000000001</v>
      </c>
      <c r="N266" s="116">
        <v>123.47499999999999</v>
      </c>
      <c r="O266" s="116">
        <v>118.02500000000001</v>
      </c>
      <c r="P266" s="116">
        <v>120</v>
      </c>
      <c r="Q266" s="116">
        <v>238.05</v>
      </c>
      <c r="R266">
        <v>61704</v>
      </c>
    </row>
    <row r="267" spans="1:18" x14ac:dyDescent="0.25">
      <c r="A267" s="170">
        <v>42391</v>
      </c>
      <c r="B267" s="116">
        <v>122.75</v>
      </c>
      <c r="C267" s="116">
        <v>121.35</v>
      </c>
      <c r="D267" s="116">
        <v>118.8</v>
      </c>
      <c r="E267" s="116">
        <v>121.27500000000001</v>
      </c>
      <c r="F267" s="116">
        <v>242.7</v>
      </c>
      <c r="G267">
        <v>16271</v>
      </c>
      <c r="H267" s="116"/>
      <c r="I267" s="116"/>
      <c r="L267" s="170">
        <v>42391</v>
      </c>
      <c r="M267" s="116">
        <v>121.425</v>
      </c>
      <c r="N267" s="116">
        <v>122.5</v>
      </c>
      <c r="O267" s="116">
        <v>118.5</v>
      </c>
      <c r="P267" s="116">
        <v>120</v>
      </c>
      <c r="Q267" s="116">
        <v>242.85</v>
      </c>
      <c r="R267">
        <v>130795</v>
      </c>
    </row>
    <row r="268" spans="1:18" x14ac:dyDescent="0.25">
      <c r="A268" s="170">
        <v>42394</v>
      </c>
      <c r="B268" s="116">
        <v>130</v>
      </c>
      <c r="C268" s="116">
        <v>128.52500000000001</v>
      </c>
      <c r="D268" s="116">
        <v>122.85</v>
      </c>
      <c r="E268" s="116">
        <v>122.9</v>
      </c>
      <c r="F268" s="116">
        <v>257.05</v>
      </c>
      <c r="G268">
        <v>17185</v>
      </c>
      <c r="H268" s="116"/>
      <c r="I268" s="116"/>
      <c r="L268" s="170">
        <v>42394</v>
      </c>
      <c r="M268" s="116">
        <v>128.85</v>
      </c>
      <c r="N268" s="116">
        <v>130</v>
      </c>
      <c r="O268" s="116">
        <v>122.45</v>
      </c>
      <c r="P268" s="116">
        <v>122.47499999999999</v>
      </c>
      <c r="Q268" s="116">
        <v>257.7</v>
      </c>
      <c r="R268">
        <v>113570</v>
      </c>
    </row>
    <row r="269" spans="1:18" x14ac:dyDescent="0.25">
      <c r="A269" s="170">
        <v>42396</v>
      </c>
      <c r="B269" s="116">
        <v>132</v>
      </c>
      <c r="C269" s="116">
        <v>128.25</v>
      </c>
      <c r="D269" s="116">
        <v>126.85</v>
      </c>
      <c r="E269" s="116">
        <v>132</v>
      </c>
      <c r="F269" s="116">
        <v>256.5</v>
      </c>
      <c r="G269">
        <v>5175</v>
      </c>
      <c r="H269" s="116"/>
      <c r="I269" s="116"/>
      <c r="L269" s="170">
        <v>42396</v>
      </c>
      <c r="M269" s="116">
        <v>129</v>
      </c>
      <c r="N269" s="116">
        <v>130.42500000000001</v>
      </c>
      <c r="O269" s="116">
        <v>127</v>
      </c>
      <c r="P269" s="116">
        <v>130.42500000000001</v>
      </c>
      <c r="Q269" s="116">
        <v>258</v>
      </c>
      <c r="R269">
        <v>31626</v>
      </c>
    </row>
    <row r="270" spans="1:18" x14ac:dyDescent="0.25">
      <c r="A270" s="170">
        <v>42397</v>
      </c>
      <c r="B270" s="116">
        <v>131.4</v>
      </c>
      <c r="C270" s="116">
        <v>127.77500000000001</v>
      </c>
      <c r="D270" s="116">
        <v>127.5</v>
      </c>
      <c r="E270" s="116">
        <v>128.80000000000001</v>
      </c>
      <c r="F270" s="116">
        <v>255.55</v>
      </c>
      <c r="G270">
        <v>6339</v>
      </c>
      <c r="H270" s="116"/>
      <c r="I270" s="116"/>
      <c r="L270" s="170">
        <v>42397</v>
      </c>
      <c r="M270" s="116">
        <v>127.675</v>
      </c>
      <c r="N270" s="116">
        <v>131.27500000000001</v>
      </c>
      <c r="O270" s="116">
        <v>127.2</v>
      </c>
      <c r="P270" s="116">
        <v>129.67500000000001</v>
      </c>
      <c r="Q270" s="116">
        <v>255.35</v>
      </c>
      <c r="R270">
        <v>54333</v>
      </c>
    </row>
    <row r="271" spans="1:18" x14ac:dyDescent="0.25">
      <c r="A271" s="170">
        <v>42398</v>
      </c>
      <c r="B271" s="116">
        <v>134</v>
      </c>
      <c r="C271" s="116">
        <v>132.57499999999999</v>
      </c>
      <c r="D271" s="116">
        <v>128.875</v>
      </c>
      <c r="E271" s="116">
        <v>128.875</v>
      </c>
      <c r="F271" s="116">
        <v>265.14999999999998</v>
      </c>
      <c r="G271">
        <v>30201</v>
      </c>
      <c r="H271" s="116"/>
      <c r="I271" s="116"/>
      <c r="L271" s="170">
        <v>42398</v>
      </c>
      <c r="M271" s="116">
        <v>132.94999999999999</v>
      </c>
      <c r="N271" s="116">
        <v>133.9</v>
      </c>
      <c r="O271" s="116">
        <v>127.7</v>
      </c>
      <c r="P271" s="116">
        <v>129.32499999999999</v>
      </c>
      <c r="Q271" s="116">
        <v>265.89999999999998</v>
      </c>
      <c r="R271">
        <v>109532</v>
      </c>
    </row>
    <row r="272" spans="1:18" x14ac:dyDescent="0.25">
      <c r="A272" s="170">
        <v>42401</v>
      </c>
      <c r="B272" s="116">
        <v>134.25</v>
      </c>
      <c r="C272" s="116">
        <v>131.27500000000001</v>
      </c>
      <c r="D272" s="116">
        <v>131.05000000000001</v>
      </c>
      <c r="E272" s="116">
        <v>133.52500000000001</v>
      </c>
      <c r="F272" s="116">
        <v>262.55</v>
      </c>
      <c r="G272">
        <v>17837</v>
      </c>
      <c r="H272" s="116"/>
      <c r="I272" s="116"/>
      <c r="L272" s="170">
        <v>42401</v>
      </c>
      <c r="M272" s="116">
        <v>131.35</v>
      </c>
      <c r="N272" s="116">
        <v>134.4</v>
      </c>
      <c r="O272" s="116">
        <v>131.02500000000001</v>
      </c>
      <c r="P272" s="116">
        <v>134.4</v>
      </c>
      <c r="Q272" s="116">
        <v>262.7</v>
      </c>
      <c r="R272">
        <v>76514</v>
      </c>
    </row>
    <row r="273" spans="1:18" x14ac:dyDescent="0.25">
      <c r="A273" s="170">
        <v>42402</v>
      </c>
      <c r="B273" s="116">
        <v>133.47499999999999</v>
      </c>
      <c r="C273" s="116">
        <v>128.72499999999999</v>
      </c>
      <c r="D273" s="116">
        <v>128.02500000000001</v>
      </c>
      <c r="E273" s="116">
        <v>132</v>
      </c>
      <c r="F273" s="116">
        <v>257.45</v>
      </c>
      <c r="G273">
        <v>22028</v>
      </c>
      <c r="H273" s="116"/>
      <c r="I273" s="116"/>
      <c r="L273" s="170">
        <v>42402</v>
      </c>
      <c r="M273" s="116">
        <v>128.25</v>
      </c>
      <c r="N273" s="116">
        <v>133.25</v>
      </c>
      <c r="O273" s="116">
        <v>127.55</v>
      </c>
      <c r="P273" s="116">
        <v>132.27500000000001</v>
      </c>
      <c r="Q273" s="116">
        <v>256.5</v>
      </c>
      <c r="R273">
        <v>81094</v>
      </c>
    </row>
    <row r="274" spans="1:18" x14ac:dyDescent="0.25">
      <c r="A274" s="170">
        <v>42403</v>
      </c>
      <c r="B274" s="116">
        <v>137.25</v>
      </c>
      <c r="C274" s="116">
        <v>133.82499999999999</v>
      </c>
      <c r="D274" s="116">
        <v>127.625</v>
      </c>
      <c r="E274" s="116">
        <v>128.5</v>
      </c>
      <c r="F274" s="116">
        <v>267.64999999999998</v>
      </c>
      <c r="G274">
        <v>172448</v>
      </c>
      <c r="H274" s="116"/>
      <c r="I274" s="116"/>
      <c r="L274" s="170">
        <v>42403</v>
      </c>
      <c r="M274" s="116">
        <v>134.1</v>
      </c>
      <c r="N274" s="116">
        <v>136.97499999999999</v>
      </c>
      <c r="O274" s="116">
        <v>127.5</v>
      </c>
      <c r="P274" s="116">
        <v>128</v>
      </c>
      <c r="Q274" s="116">
        <v>268.2</v>
      </c>
      <c r="R274">
        <v>705142</v>
      </c>
    </row>
    <row r="275" spans="1:18" x14ac:dyDescent="0.25">
      <c r="A275" s="170">
        <v>42404</v>
      </c>
      <c r="B275" s="116">
        <v>137.4</v>
      </c>
      <c r="C275" s="116">
        <v>134.07499999999999</v>
      </c>
      <c r="D275" s="116">
        <v>133.02500000000001</v>
      </c>
      <c r="E275" s="116">
        <v>136</v>
      </c>
      <c r="F275" s="116">
        <v>268.14999999999998</v>
      </c>
      <c r="G275">
        <v>39562</v>
      </c>
      <c r="H275" s="116"/>
      <c r="I275" s="116"/>
      <c r="L275" s="170">
        <v>42404</v>
      </c>
      <c r="M275" s="116">
        <v>134.47499999999999</v>
      </c>
      <c r="N275" s="116">
        <v>137.5</v>
      </c>
      <c r="O275" s="116">
        <v>132.77500000000001</v>
      </c>
      <c r="P275" s="116">
        <v>136</v>
      </c>
      <c r="Q275" s="116">
        <v>268.95</v>
      </c>
      <c r="R275">
        <v>329831</v>
      </c>
    </row>
    <row r="276" spans="1:18" x14ac:dyDescent="0.25">
      <c r="A276" s="170">
        <v>42405</v>
      </c>
      <c r="B276" s="116">
        <v>133.35</v>
      </c>
      <c r="C276" s="116">
        <v>128.44999999999999</v>
      </c>
      <c r="D276" s="116">
        <v>127.5</v>
      </c>
      <c r="E276" s="116">
        <v>133.35</v>
      </c>
      <c r="F276" s="116">
        <v>256.89999999999998</v>
      </c>
      <c r="G276">
        <v>28839</v>
      </c>
      <c r="H276" s="116"/>
      <c r="I276" s="116"/>
      <c r="L276" s="170">
        <v>42405</v>
      </c>
      <c r="M276" s="116">
        <v>128.47499999999999</v>
      </c>
      <c r="N276" s="116">
        <v>134.97499999999999</v>
      </c>
      <c r="O276" s="116">
        <v>127.25</v>
      </c>
      <c r="P276" s="116">
        <v>134.97499999999999</v>
      </c>
      <c r="Q276" s="116">
        <v>256.95</v>
      </c>
      <c r="R276">
        <v>161600</v>
      </c>
    </row>
    <row r="277" spans="1:18" x14ac:dyDescent="0.25">
      <c r="A277" s="170">
        <v>42408</v>
      </c>
      <c r="B277" s="116">
        <v>132.97499999999999</v>
      </c>
      <c r="C277" s="116">
        <v>128.67500000000001</v>
      </c>
      <c r="D277" s="116">
        <v>128</v>
      </c>
      <c r="E277" s="116">
        <v>132.97499999999999</v>
      </c>
      <c r="F277" s="116">
        <v>257.35000000000002</v>
      </c>
      <c r="G277">
        <v>14125</v>
      </c>
      <c r="H277" s="116"/>
      <c r="I277" s="116"/>
      <c r="L277" s="170">
        <v>42408</v>
      </c>
      <c r="M277" s="116">
        <v>128.5</v>
      </c>
      <c r="N277" s="116">
        <v>130.5</v>
      </c>
      <c r="O277" s="116">
        <v>128</v>
      </c>
      <c r="P277" s="116">
        <v>128.97499999999999</v>
      </c>
      <c r="Q277" s="116">
        <v>257</v>
      </c>
      <c r="R277">
        <v>58005</v>
      </c>
    </row>
    <row r="278" spans="1:18" x14ac:dyDescent="0.25">
      <c r="A278" s="170">
        <v>42409</v>
      </c>
      <c r="B278" s="116">
        <v>130.82499999999999</v>
      </c>
      <c r="C278" s="116">
        <v>127.325</v>
      </c>
      <c r="D278" s="116">
        <v>125.85</v>
      </c>
      <c r="E278" s="116">
        <v>126.5</v>
      </c>
      <c r="F278" s="116">
        <v>254.65</v>
      </c>
      <c r="G278">
        <v>66678</v>
      </c>
      <c r="H278" s="116"/>
      <c r="I278" s="116"/>
      <c r="L278" s="170">
        <v>42409</v>
      </c>
      <c r="M278" s="116">
        <v>127.47499999999999</v>
      </c>
      <c r="N278" s="116">
        <v>131.25</v>
      </c>
      <c r="O278" s="116">
        <v>125.52500000000001</v>
      </c>
      <c r="P278" s="116">
        <v>127.575</v>
      </c>
      <c r="Q278" s="116">
        <v>254.95</v>
      </c>
      <c r="R278">
        <v>117382</v>
      </c>
    </row>
    <row r="279" spans="1:18" x14ac:dyDescent="0.25">
      <c r="A279" s="170">
        <v>42410</v>
      </c>
      <c r="B279" s="116">
        <v>127</v>
      </c>
      <c r="C279" s="116">
        <v>123.02500000000001</v>
      </c>
      <c r="D279" s="116">
        <v>122</v>
      </c>
      <c r="E279" s="116">
        <v>127</v>
      </c>
      <c r="F279" s="116">
        <v>246.05</v>
      </c>
      <c r="G279">
        <v>22758</v>
      </c>
      <c r="H279" s="116"/>
      <c r="I279" s="116"/>
      <c r="L279" s="170">
        <v>42410</v>
      </c>
      <c r="M279" s="116">
        <v>123.075</v>
      </c>
      <c r="N279" s="116">
        <v>127.375</v>
      </c>
      <c r="O279" s="116">
        <v>121.675</v>
      </c>
      <c r="P279" s="116">
        <v>127</v>
      </c>
      <c r="Q279" s="116">
        <v>246.15</v>
      </c>
      <c r="R279">
        <v>133829</v>
      </c>
    </row>
    <row r="280" spans="1:18" x14ac:dyDescent="0.25">
      <c r="A280" s="170">
        <v>42411</v>
      </c>
      <c r="B280" s="116">
        <v>124</v>
      </c>
      <c r="C280" s="116">
        <v>118.7</v>
      </c>
      <c r="D280" s="116">
        <v>116.55</v>
      </c>
      <c r="E280" s="116">
        <v>123</v>
      </c>
      <c r="F280" s="116">
        <v>237.4</v>
      </c>
      <c r="G280">
        <v>30130</v>
      </c>
      <c r="H280" s="116"/>
      <c r="I280" s="116"/>
      <c r="L280" s="170">
        <v>42411</v>
      </c>
      <c r="M280" s="116">
        <v>119.1</v>
      </c>
      <c r="N280" s="116">
        <v>124.27500000000001</v>
      </c>
      <c r="O280" s="116">
        <v>116.575</v>
      </c>
      <c r="P280" s="116">
        <v>122.5</v>
      </c>
      <c r="Q280" s="116">
        <v>238.2</v>
      </c>
      <c r="R280">
        <v>98260</v>
      </c>
    </row>
    <row r="281" spans="1:18" x14ac:dyDescent="0.25">
      <c r="A281" s="170">
        <v>42412</v>
      </c>
      <c r="B281" s="116">
        <v>122</v>
      </c>
      <c r="C281" s="116">
        <v>120.375</v>
      </c>
      <c r="D281" s="116">
        <v>114.15</v>
      </c>
      <c r="E281" s="116">
        <v>118.55</v>
      </c>
      <c r="F281" s="116">
        <v>240.75</v>
      </c>
      <c r="G281">
        <v>23640</v>
      </c>
      <c r="H281" s="116"/>
      <c r="I281" s="116"/>
      <c r="L281" s="170">
        <v>42412</v>
      </c>
      <c r="M281" s="116">
        <v>120.375</v>
      </c>
      <c r="N281" s="116">
        <v>122.5</v>
      </c>
      <c r="O281" s="116">
        <v>114</v>
      </c>
      <c r="P281" s="116">
        <v>119.325</v>
      </c>
      <c r="Q281" s="116">
        <v>240.75</v>
      </c>
      <c r="R281">
        <v>88142</v>
      </c>
    </row>
    <row r="282" spans="1:18" x14ac:dyDescent="0.25">
      <c r="A282" s="170">
        <v>42415</v>
      </c>
      <c r="B282" s="116">
        <v>125</v>
      </c>
      <c r="C282" s="116">
        <v>123.45</v>
      </c>
      <c r="D282" s="116">
        <v>121</v>
      </c>
      <c r="E282" s="116">
        <v>121</v>
      </c>
      <c r="F282" s="116">
        <v>246.9</v>
      </c>
      <c r="G282">
        <v>15854</v>
      </c>
      <c r="H282" s="116"/>
      <c r="I282" s="116"/>
      <c r="L282" s="170">
        <v>42415</v>
      </c>
      <c r="M282" s="116">
        <v>123.55</v>
      </c>
      <c r="N282" s="116">
        <v>125.5</v>
      </c>
      <c r="O282" s="116">
        <v>121.05</v>
      </c>
      <c r="P282" s="116">
        <v>121.05</v>
      </c>
      <c r="Q282" s="116">
        <v>247.1</v>
      </c>
      <c r="R282">
        <v>54715</v>
      </c>
    </row>
    <row r="283" spans="1:18" x14ac:dyDescent="0.25">
      <c r="A283" s="170">
        <v>42416</v>
      </c>
      <c r="B283" s="116">
        <v>125.875</v>
      </c>
      <c r="C283" s="116">
        <v>124.325</v>
      </c>
      <c r="D283" s="116">
        <v>122.35</v>
      </c>
      <c r="E283" s="116">
        <v>123.6</v>
      </c>
      <c r="F283" s="116">
        <v>248.65</v>
      </c>
      <c r="G283">
        <v>14470</v>
      </c>
      <c r="H283" s="116"/>
      <c r="I283" s="116"/>
      <c r="L283" s="170">
        <v>42416</v>
      </c>
      <c r="M283" s="116">
        <v>124.5</v>
      </c>
      <c r="N283" s="116">
        <v>126.125</v>
      </c>
      <c r="O283" s="116">
        <v>122.02500000000001</v>
      </c>
      <c r="P283" s="116">
        <v>124.125</v>
      </c>
      <c r="Q283" s="116">
        <v>249</v>
      </c>
      <c r="R283">
        <v>60737</v>
      </c>
    </row>
    <row r="284" spans="1:18" x14ac:dyDescent="0.25">
      <c r="A284" s="170">
        <v>42417</v>
      </c>
      <c r="B284" s="116">
        <v>126.5</v>
      </c>
      <c r="C284" s="116">
        <v>125.45</v>
      </c>
      <c r="D284" s="116">
        <v>119</v>
      </c>
      <c r="E284" s="116">
        <v>123</v>
      </c>
      <c r="F284" s="116">
        <v>250.9</v>
      </c>
      <c r="G284">
        <v>25268</v>
      </c>
      <c r="H284" s="116"/>
      <c r="I284" s="116"/>
      <c r="L284" s="170">
        <v>42417</v>
      </c>
      <c r="M284" s="116">
        <v>125.125</v>
      </c>
      <c r="N284" s="116">
        <v>125.35</v>
      </c>
      <c r="O284" s="116">
        <v>119</v>
      </c>
      <c r="P284" s="116">
        <v>122.25</v>
      </c>
      <c r="Q284" s="116">
        <v>250.25</v>
      </c>
      <c r="R284">
        <v>58833</v>
      </c>
    </row>
    <row r="285" spans="1:18" x14ac:dyDescent="0.25">
      <c r="A285" s="170">
        <v>42418</v>
      </c>
      <c r="B285" s="116">
        <v>126.95</v>
      </c>
      <c r="C285" s="116">
        <v>125.25</v>
      </c>
      <c r="D285" s="116">
        <v>124.45</v>
      </c>
      <c r="E285" s="116">
        <v>126.95</v>
      </c>
      <c r="F285" s="116">
        <v>250.5</v>
      </c>
      <c r="G285">
        <v>21205</v>
      </c>
      <c r="H285" s="116"/>
      <c r="I285" s="116"/>
      <c r="L285" s="170">
        <v>42418</v>
      </c>
      <c r="M285" s="116">
        <v>125.35</v>
      </c>
      <c r="N285" s="116">
        <v>126.55</v>
      </c>
      <c r="O285" s="116">
        <v>124.55</v>
      </c>
      <c r="P285" s="116">
        <v>125.7</v>
      </c>
      <c r="Q285" s="116">
        <v>250.7</v>
      </c>
      <c r="R285">
        <v>26212</v>
      </c>
    </row>
    <row r="286" spans="1:18" x14ac:dyDescent="0.25">
      <c r="A286" s="170">
        <v>42419</v>
      </c>
      <c r="B286" s="116">
        <v>125.2</v>
      </c>
      <c r="C286" s="116">
        <v>124.75</v>
      </c>
      <c r="D286" s="116">
        <v>124</v>
      </c>
      <c r="E286" s="116">
        <v>124</v>
      </c>
      <c r="F286" s="116">
        <v>249.5</v>
      </c>
      <c r="G286">
        <v>3448</v>
      </c>
      <c r="H286" s="116"/>
      <c r="I286" s="116"/>
      <c r="L286" s="170">
        <v>42419</v>
      </c>
      <c r="M286" s="116">
        <v>124.575</v>
      </c>
      <c r="N286" s="116">
        <v>125.4</v>
      </c>
      <c r="O286" s="116">
        <v>122.55</v>
      </c>
      <c r="P286" s="116">
        <v>122.55</v>
      </c>
      <c r="Q286" s="116">
        <v>249.15</v>
      </c>
      <c r="R286">
        <v>22408</v>
      </c>
    </row>
    <row r="287" spans="1:18" x14ac:dyDescent="0.25">
      <c r="A287" s="170">
        <v>42422</v>
      </c>
      <c r="B287" s="116">
        <v>126</v>
      </c>
      <c r="C287" s="116">
        <v>125.52500000000001</v>
      </c>
      <c r="D287" s="116">
        <v>124.55</v>
      </c>
      <c r="E287" s="116">
        <v>125.52500000000001</v>
      </c>
      <c r="F287" s="116">
        <v>251.05</v>
      </c>
      <c r="G287">
        <v>6465</v>
      </c>
      <c r="H287" s="116"/>
      <c r="I287" s="116"/>
      <c r="L287" s="170">
        <v>42422</v>
      </c>
      <c r="M287" s="116">
        <v>125.7</v>
      </c>
      <c r="N287" s="116">
        <v>126.375</v>
      </c>
      <c r="O287" s="116">
        <v>124.02500000000001</v>
      </c>
      <c r="P287" s="116">
        <v>124.575</v>
      </c>
      <c r="Q287" s="116">
        <v>251.4</v>
      </c>
      <c r="R287">
        <v>24990</v>
      </c>
    </row>
    <row r="288" spans="1:18" x14ac:dyDescent="0.25">
      <c r="A288" s="170">
        <v>42423</v>
      </c>
      <c r="B288" s="116">
        <v>126</v>
      </c>
      <c r="C288" s="116">
        <v>124.8</v>
      </c>
      <c r="D288" s="116">
        <v>123.5</v>
      </c>
      <c r="E288" s="116">
        <v>125.05</v>
      </c>
      <c r="F288" s="116">
        <v>249.6</v>
      </c>
      <c r="G288">
        <v>10208</v>
      </c>
      <c r="H288" s="116"/>
      <c r="I288" s="116"/>
      <c r="L288" s="170">
        <v>42423</v>
      </c>
      <c r="M288" s="116">
        <v>125.05</v>
      </c>
      <c r="N288" s="116">
        <v>126.02500000000001</v>
      </c>
      <c r="O288" s="116">
        <v>123.45</v>
      </c>
      <c r="P288" s="116">
        <v>125.5</v>
      </c>
      <c r="Q288" s="116">
        <v>250.1</v>
      </c>
      <c r="R288">
        <v>51371</v>
      </c>
    </row>
    <row r="289" spans="1:18" x14ac:dyDescent="0.25">
      <c r="A289" s="170">
        <v>42424</v>
      </c>
      <c r="B289" s="116">
        <v>125.25</v>
      </c>
      <c r="C289" s="116">
        <v>124.85</v>
      </c>
      <c r="D289" s="116">
        <v>122.15</v>
      </c>
      <c r="E289" s="116">
        <v>124</v>
      </c>
      <c r="F289" s="116">
        <v>249.7</v>
      </c>
      <c r="G289">
        <v>210467</v>
      </c>
      <c r="H289" s="116"/>
      <c r="I289" s="116"/>
      <c r="L289" s="170">
        <v>42424</v>
      </c>
      <c r="M289" s="116">
        <v>124.97499999999999</v>
      </c>
      <c r="N289" s="116">
        <v>125.47499999999999</v>
      </c>
      <c r="O289" s="116">
        <v>121.65</v>
      </c>
      <c r="P289" s="116">
        <v>125</v>
      </c>
      <c r="Q289" s="116">
        <v>249.95</v>
      </c>
      <c r="R289">
        <v>91054</v>
      </c>
    </row>
    <row r="290" spans="1:18" x14ac:dyDescent="0.25">
      <c r="A290" s="170">
        <v>42425</v>
      </c>
      <c r="B290" s="116">
        <v>125</v>
      </c>
      <c r="C290" s="116">
        <v>123.97499999999999</v>
      </c>
      <c r="D290" s="116">
        <v>123.02500000000001</v>
      </c>
      <c r="E290" s="116">
        <v>124.2</v>
      </c>
      <c r="F290" s="116">
        <v>247.95</v>
      </c>
      <c r="G290">
        <v>3555</v>
      </c>
      <c r="H290" s="116"/>
      <c r="I290" s="116"/>
      <c r="L290" s="170">
        <v>42425</v>
      </c>
      <c r="M290" s="116">
        <v>123.77500000000001</v>
      </c>
      <c r="N290" s="116">
        <v>125.35</v>
      </c>
      <c r="O290" s="116">
        <v>123</v>
      </c>
      <c r="P290" s="116">
        <v>123.02500000000001</v>
      </c>
      <c r="Q290" s="116">
        <v>247.55</v>
      </c>
      <c r="R290">
        <v>28636</v>
      </c>
    </row>
    <row r="291" spans="1:18" x14ac:dyDescent="0.25">
      <c r="A291" s="170">
        <v>42426</v>
      </c>
      <c r="B291" s="116">
        <v>124.5</v>
      </c>
      <c r="C291" s="116">
        <v>122.45</v>
      </c>
      <c r="D291" s="116">
        <v>122</v>
      </c>
      <c r="E291" s="116">
        <v>124.5</v>
      </c>
      <c r="F291" s="116">
        <v>244.9</v>
      </c>
      <c r="G291">
        <v>7753</v>
      </c>
      <c r="H291" s="116"/>
      <c r="I291" s="116"/>
      <c r="L291" s="170">
        <v>42426</v>
      </c>
      <c r="M291" s="116">
        <v>123.27500000000001</v>
      </c>
      <c r="N291" s="116">
        <v>125</v>
      </c>
      <c r="O291" s="116">
        <v>122</v>
      </c>
      <c r="P291" s="116">
        <v>123.5</v>
      </c>
      <c r="Q291" s="116">
        <v>246.55</v>
      </c>
      <c r="R291">
        <v>37710</v>
      </c>
    </row>
    <row r="292" spans="1:18" x14ac:dyDescent="0.25">
      <c r="A292" s="170">
        <v>42429</v>
      </c>
      <c r="B292" s="116">
        <v>122.625</v>
      </c>
      <c r="C292" s="116">
        <v>121.325</v>
      </c>
      <c r="D292" s="116">
        <v>119.3</v>
      </c>
      <c r="E292" s="116">
        <v>122</v>
      </c>
      <c r="F292" s="116">
        <v>242.65</v>
      </c>
      <c r="G292">
        <v>12889</v>
      </c>
      <c r="H292" s="116"/>
      <c r="I292" s="116"/>
      <c r="L292" s="170">
        <v>42429</v>
      </c>
      <c r="M292" s="116">
        <v>121.075</v>
      </c>
      <c r="N292" s="116">
        <v>124</v>
      </c>
      <c r="O292" s="116">
        <v>119.15</v>
      </c>
      <c r="P292" s="116">
        <v>122.05</v>
      </c>
      <c r="Q292" s="116">
        <v>242.15</v>
      </c>
      <c r="R292">
        <v>48059</v>
      </c>
    </row>
    <row r="293" spans="1:18" x14ac:dyDescent="0.25">
      <c r="A293" s="170">
        <v>42430</v>
      </c>
      <c r="B293" s="116">
        <v>130.5</v>
      </c>
      <c r="C293" s="116">
        <v>129.65</v>
      </c>
      <c r="D293" s="116">
        <v>121.5</v>
      </c>
      <c r="E293" s="116">
        <v>121.5</v>
      </c>
      <c r="F293" s="116">
        <v>259.3</v>
      </c>
      <c r="G293">
        <v>27391</v>
      </c>
      <c r="H293" s="116"/>
      <c r="I293" s="116"/>
      <c r="L293" s="170">
        <v>42430</v>
      </c>
      <c r="M293" s="116">
        <v>129.82499999999999</v>
      </c>
      <c r="N293" s="116">
        <v>130.75</v>
      </c>
      <c r="O293" s="116">
        <v>120.25</v>
      </c>
      <c r="P293" s="116">
        <v>120.25</v>
      </c>
      <c r="Q293" s="116">
        <v>259.64999999999998</v>
      </c>
      <c r="R293">
        <v>77520</v>
      </c>
    </row>
    <row r="294" spans="1:18" x14ac:dyDescent="0.25">
      <c r="A294" s="170">
        <v>42431</v>
      </c>
      <c r="B294" s="116">
        <v>134.25</v>
      </c>
      <c r="C294" s="116">
        <v>133.32499999999999</v>
      </c>
      <c r="D294" s="116">
        <v>129</v>
      </c>
      <c r="E294" s="116">
        <v>130.5</v>
      </c>
      <c r="F294" s="116">
        <v>266.64999999999998</v>
      </c>
      <c r="G294">
        <v>44489</v>
      </c>
      <c r="H294" s="116"/>
      <c r="I294" s="116"/>
      <c r="L294" s="170">
        <v>42431</v>
      </c>
      <c r="M294" s="116">
        <v>133</v>
      </c>
      <c r="N294" s="116">
        <v>134.5</v>
      </c>
      <c r="O294" s="116">
        <v>128.55000000000001</v>
      </c>
      <c r="P294" s="116">
        <v>128.55000000000001</v>
      </c>
      <c r="Q294" s="116">
        <v>266</v>
      </c>
      <c r="R294">
        <v>153039</v>
      </c>
    </row>
    <row r="295" spans="1:18" x14ac:dyDescent="0.25">
      <c r="A295" s="170">
        <v>42432</v>
      </c>
      <c r="B295" s="116">
        <v>134.80000000000001</v>
      </c>
      <c r="C295" s="116">
        <v>132.05000000000001</v>
      </c>
      <c r="D295" s="116">
        <v>131.625</v>
      </c>
      <c r="E295" s="116">
        <v>132.77500000000001</v>
      </c>
      <c r="F295" s="116">
        <v>264.10000000000002</v>
      </c>
      <c r="G295">
        <v>10445</v>
      </c>
      <c r="H295" s="116"/>
      <c r="I295" s="116"/>
      <c r="L295" s="170">
        <v>42432</v>
      </c>
      <c r="M295" s="116">
        <v>132</v>
      </c>
      <c r="N295" s="116">
        <v>134.9</v>
      </c>
      <c r="O295" s="116">
        <v>131.57499999999999</v>
      </c>
      <c r="P295" s="116">
        <v>132.05000000000001</v>
      </c>
      <c r="Q295" s="116">
        <v>264</v>
      </c>
      <c r="R295">
        <v>77209</v>
      </c>
    </row>
    <row r="296" spans="1:18" x14ac:dyDescent="0.25">
      <c r="A296" s="170">
        <v>42433</v>
      </c>
      <c r="B296" s="116">
        <v>134</v>
      </c>
      <c r="C296" s="116">
        <v>132.82499999999999</v>
      </c>
      <c r="D296" s="116">
        <v>131.30000000000001</v>
      </c>
      <c r="E296" s="116">
        <v>132.30000000000001</v>
      </c>
      <c r="F296" s="116">
        <v>265.64999999999998</v>
      </c>
      <c r="G296">
        <v>14901</v>
      </c>
      <c r="H296" s="116"/>
      <c r="I296" s="116"/>
      <c r="L296" s="170">
        <v>42433</v>
      </c>
      <c r="M296" s="116">
        <v>132.75</v>
      </c>
      <c r="N296" s="116">
        <v>134.25</v>
      </c>
      <c r="O296" s="116">
        <v>131.25</v>
      </c>
      <c r="P296" s="116">
        <v>131.25</v>
      </c>
      <c r="Q296" s="116">
        <v>265.5</v>
      </c>
      <c r="R296">
        <v>56939</v>
      </c>
    </row>
    <row r="297" spans="1:18" x14ac:dyDescent="0.25">
      <c r="A297" s="170">
        <v>42437</v>
      </c>
      <c r="B297" s="116">
        <v>132.6</v>
      </c>
      <c r="C297" s="116">
        <v>131.67500000000001</v>
      </c>
      <c r="D297" s="116">
        <v>129.19999999999999</v>
      </c>
      <c r="E297" s="116">
        <v>132</v>
      </c>
      <c r="F297" s="116">
        <v>263.35000000000002</v>
      </c>
      <c r="G297">
        <v>14796</v>
      </c>
      <c r="H297" s="116"/>
      <c r="I297" s="116"/>
      <c r="L297" s="170">
        <v>42437</v>
      </c>
      <c r="M297" s="116">
        <v>131.77500000000001</v>
      </c>
      <c r="N297" s="116">
        <v>133</v>
      </c>
      <c r="O297" s="116">
        <v>129.5</v>
      </c>
      <c r="P297" s="116">
        <v>132.5</v>
      </c>
      <c r="Q297" s="116">
        <v>263.55</v>
      </c>
      <c r="R297">
        <v>40251</v>
      </c>
    </row>
    <row r="298" spans="1:18" x14ac:dyDescent="0.25">
      <c r="A298" s="170">
        <v>42438</v>
      </c>
      <c r="B298" s="116">
        <v>139</v>
      </c>
      <c r="C298" s="116">
        <v>137.47499999999999</v>
      </c>
      <c r="D298" s="116">
        <v>131.02500000000001</v>
      </c>
      <c r="E298" s="116">
        <v>132.25</v>
      </c>
      <c r="F298" s="116">
        <v>274.95</v>
      </c>
      <c r="G298">
        <v>36843</v>
      </c>
      <c r="H298" s="116"/>
      <c r="I298" s="116"/>
      <c r="L298" s="170">
        <v>42438</v>
      </c>
      <c r="M298" s="116">
        <v>137.75</v>
      </c>
      <c r="N298" s="116">
        <v>139.19999999999999</v>
      </c>
      <c r="O298" s="116">
        <v>130.5</v>
      </c>
      <c r="P298" s="116">
        <v>131.5</v>
      </c>
      <c r="Q298" s="116">
        <v>275.5</v>
      </c>
      <c r="R298">
        <v>156482</v>
      </c>
    </row>
    <row r="299" spans="1:18" x14ac:dyDescent="0.25">
      <c r="A299" s="170">
        <v>42439</v>
      </c>
      <c r="B299" s="116">
        <v>140.32499999999999</v>
      </c>
      <c r="C299" s="116">
        <v>137.1</v>
      </c>
      <c r="D299" s="116">
        <v>136.375</v>
      </c>
      <c r="E299" s="116">
        <v>138.35</v>
      </c>
      <c r="F299" s="116">
        <v>274.2</v>
      </c>
      <c r="G299">
        <v>25958</v>
      </c>
      <c r="H299" s="116"/>
      <c r="I299" s="116"/>
      <c r="L299" s="170">
        <v>42439</v>
      </c>
      <c r="M299" s="116">
        <v>137.32499999999999</v>
      </c>
      <c r="N299" s="116">
        <v>140.19999999999999</v>
      </c>
      <c r="O299" s="116">
        <v>136.52500000000001</v>
      </c>
      <c r="P299" s="116">
        <v>138</v>
      </c>
      <c r="Q299" s="116">
        <v>274.64999999999998</v>
      </c>
      <c r="R299">
        <v>90134</v>
      </c>
    </row>
    <row r="300" spans="1:18" x14ac:dyDescent="0.25">
      <c r="A300" s="170">
        <v>42440</v>
      </c>
      <c r="B300" s="116">
        <v>137.55000000000001</v>
      </c>
      <c r="C300" s="116">
        <v>130.15</v>
      </c>
      <c r="D300" s="116">
        <v>129.25</v>
      </c>
      <c r="E300" s="116">
        <v>136.97499999999999</v>
      </c>
      <c r="F300" s="116">
        <v>260.3</v>
      </c>
      <c r="G300">
        <v>25366</v>
      </c>
      <c r="H300" s="116"/>
      <c r="I300" s="116"/>
      <c r="L300" s="170">
        <v>42440</v>
      </c>
      <c r="M300" s="116">
        <v>130.44999999999999</v>
      </c>
      <c r="N300" s="116">
        <v>137.77500000000001</v>
      </c>
      <c r="O300" s="116">
        <v>129.57499999999999</v>
      </c>
      <c r="P300" s="116">
        <v>135.77500000000001</v>
      </c>
      <c r="Q300" s="116">
        <v>260.89999999999998</v>
      </c>
      <c r="R300">
        <v>132786</v>
      </c>
    </row>
    <row r="301" spans="1:18" x14ac:dyDescent="0.25">
      <c r="A301" s="170">
        <v>42443</v>
      </c>
      <c r="B301" s="116">
        <v>132.17500000000001</v>
      </c>
      <c r="C301" s="116">
        <v>129.82499999999999</v>
      </c>
      <c r="D301" s="116">
        <v>129.32499999999999</v>
      </c>
      <c r="E301" s="116">
        <v>130</v>
      </c>
      <c r="F301" s="116">
        <v>259.64999999999998</v>
      </c>
      <c r="G301">
        <v>15311</v>
      </c>
      <c r="H301" s="116"/>
      <c r="I301" s="116"/>
      <c r="L301" s="170">
        <v>42443</v>
      </c>
      <c r="M301" s="116">
        <v>129.77500000000001</v>
      </c>
      <c r="N301" s="116">
        <v>132.4</v>
      </c>
      <c r="O301" s="116">
        <v>129</v>
      </c>
      <c r="P301" s="116">
        <v>131.4</v>
      </c>
      <c r="Q301" s="116">
        <v>259.55</v>
      </c>
      <c r="R301">
        <v>74237</v>
      </c>
    </row>
    <row r="302" spans="1:18" x14ac:dyDescent="0.25">
      <c r="A302" s="170">
        <v>42444</v>
      </c>
      <c r="B302" s="116">
        <v>130.44999999999999</v>
      </c>
      <c r="C302" s="116">
        <v>128.65</v>
      </c>
      <c r="D302" s="116">
        <v>127.75</v>
      </c>
      <c r="E302" s="116">
        <v>130.42500000000001</v>
      </c>
      <c r="F302" s="116">
        <v>257.3</v>
      </c>
      <c r="G302">
        <v>9167</v>
      </c>
      <c r="H302" s="116"/>
      <c r="I302" s="116"/>
      <c r="L302" s="170">
        <v>42444</v>
      </c>
      <c r="M302" s="116">
        <v>129.4</v>
      </c>
      <c r="N302" s="116">
        <v>130.44999999999999</v>
      </c>
      <c r="O302" s="116">
        <v>127.675</v>
      </c>
      <c r="P302" s="116">
        <v>129.94999999999999</v>
      </c>
      <c r="Q302" s="116">
        <v>258.8</v>
      </c>
      <c r="R302">
        <v>40371</v>
      </c>
    </row>
    <row r="303" spans="1:18" x14ac:dyDescent="0.25">
      <c r="A303" s="170">
        <v>42445</v>
      </c>
      <c r="B303" s="116">
        <v>130.44999999999999</v>
      </c>
      <c r="C303" s="116">
        <v>129.65</v>
      </c>
      <c r="D303" s="116">
        <v>127.95</v>
      </c>
      <c r="E303" s="116">
        <v>129.75</v>
      </c>
      <c r="F303" s="116">
        <v>259.3</v>
      </c>
      <c r="G303">
        <v>6432</v>
      </c>
      <c r="H303" s="116"/>
      <c r="I303" s="116"/>
      <c r="L303" s="170">
        <v>42445</v>
      </c>
      <c r="M303" s="116">
        <v>129.67500000000001</v>
      </c>
      <c r="N303" s="116">
        <v>130.5</v>
      </c>
      <c r="O303" s="116">
        <v>127.95</v>
      </c>
      <c r="P303" s="116">
        <v>130</v>
      </c>
      <c r="Q303" s="116">
        <v>259.35000000000002</v>
      </c>
      <c r="R303">
        <v>32370</v>
      </c>
    </row>
    <row r="304" spans="1:18" x14ac:dyDescent="0.25">
      <c r="A304" s="170">
        <v>42446</v>
      </c>
      <c r="B304" s="116">
        <v>130.02500000000001</v>
      </c>
      <c r="C304" s="116">
        <v>126.825</v>
      </c>
      <c r="D304" s="116">
        <v>126.35</v>
      </c>
      <c r="E304" s="116">
        <v>129.5</v>
      </c>
      <c r="F304" s="116">
        <v>253.65</v>
      </c>
      <c r="G304">
        <v>8928</v>
      </c>
      <c r="H304" s="116"/>
      <c r="I304" s="116"/>
      <c r="L304" s="170">
        <v>42446</v>
      </c>
      <c r="M304" s="116">
        <v>127</v>
      </c>
      <c r="N304" s="116">
        <v>130.19999999999999</v>
      </c>
      <c r="O304" s="116">
        <v>126.3</v>
      </c>
      <c r="P304" s="116">
        <v>129</v>
      </c>
      <c r="Q304" s="116">
        <v>254</v>
      </c>
      <c r="R304">
        <v>36188</v>
      </c>
    </row>
    <row r="305" spans="1:18" x14ac:dyDescent="0.25">
      <c r="A305" s="170">
        <v>42447</v>
      </c>
      <c r="B305" s="116">
        <v>127.85</v>
      </c>
      <c r="C305" s="116">
        <v>124.25</v>
      </c>
      <c r="D305" s="116">
        <v>123.5</v>
      </c>
      <c r="E305" s="116">
        <v>127.7</v>
      </c>
      <c r="F305" s="116">
        <v>248.5</v>
      </c>
      <c r="G305">
        <v>14150</v>
      </c>
      <c r="H305" s="116"/>
      <c r="I305" s="116"/>
      <c r="L305" s="170">
        <v>42447</v>
      </c>
      <c r="M305" s="116">
        <v>124.3</v>
      </c>
      <c r="N305" s="116">
        <v>128.42500000000001</v>
      </c>
      <c r="O305" s="116">
        <v>123.8</v>
      </c>
      <c r="P305" s="116">
        <v>127.95</v>
      </c>
      <c r="Q305" s="116">
        <v>248.6</v>
      </c>
      <c r="R305">
        <v>35551</v>
      </c>
    </row>
    <row r="306" spans="1:18" x14ac:dyDescent="0.25">
      <c r="A306" s="170">
        <v>42450</v>
      </c>
      <c r="B306" s="116">
        <v>127.325</v>
      </c>
      <c r="C306" s="116">
        <v>124.97499999999999</v>
      </c>
      <c r="D306" s="116">
        <v>124.075</v>
      </c>
      <c r="E306" s="116">
        <v>124.75</v>
      </c>
      <c r="F306" s="116">
        <v>249.95</v>
      </c>
      <c r="G306">
        <v>6314</v>
      </c>
      <c r="H306" s="116"/>
      <c r="I306" s="116"/>
      <c r="L306" s="170">
        <v>42450</v>
      </c>
      <c r="M306" s="116">
        <v>125.22499999999999</v>
      </c>
      <c r="N306" s="116">
        <v>127.5</v>
      </c>
      <c r="O306" s="116">
        <v>123.5</v>
      </c>
      <c r="P306" s="116">
        <v>124.75</v>
      </c>
      <c r="Q306" s="116">
        <v>250.45</v>
      </c>
      <c r="R306">
        <v>28400</v>
      </c>
    </row>
    <row r="307" spans="1:18" x14ac:dyDescent="0.25">
      <c r="A307" s="170">
        <v>42451</v>
      </c>
      <c r="B307" s="116">
        <v>127.425</v>
      </c>
      <c r="C307" s="116">
        <v>125.97499999999999</v>
      </c>
      <c r="D307" s="116">
        <v>124.27500000000001</v>
      </c>
      <c r="E307" s="116">
        <v>125</v>
      </c>
      <c r="F307" s="116">
        <v>251.95</v>
      </c>
      <c r="G307">
        <v>8507</v>
      </c>
      <c r="H307" s="116"/>
      <c r="I307" s="116"/>
      <c r="L307" s="170">
        <v>42451</v>
      </c>
      <c r="M307" s="116">
        <v>126.15</v>
      </c>
      <c r="N307" s="116">
        <v>127.45</v>
      </c>
      <c r="O307" s="116">
        <v>124.5</v>
      </c>
      <c r="P307" s="116">
        <v>125.52500000000001</v>
      </c>
      <c r="Q307" s="116">
        <v>252.3</v>
      </c>
      <c r="R307">
        <v>25862</v>
      </c>
    </row>
    <row r="308" spans="1:18" x14ac:dyDescent="0.25">
      <c r="A308" s="170">
        <v>42452</v>
      </c>
      <c r="B308" s="116">
        <v>127.75</v>
      </c>
      <c r="C308" s="116">
        <v>126.125</v>
      </c>
      <c r="D308" s="116">
        <v>125</v>
      </c>
      <c r="E308" s="116">
        <v>125.5</v>
      </c>
      <c r="F308" s="116">
        <v>252.25</v>
      </c>
      <c r="G308">
        <v>9860</v>
      </c>
      <c r="H308" s="116"/>
      <c r="I308" s="116"/>
      <c r="L308" s="170">
        <v>42452</v>
      </c>
      <c r="M308" s="116">
        <v>126.15</v>
      </c>
      <c r="N308" s="116">
        <v>127.5</v>
      </c>
      <c r="O308" s="116">
        <v>125.02500000000001</v>
      </c>
      <c r="P308" s="116">
        <v>126.05</v>
      </c>
      <c r="Q308" s="116">
        <v>252.3</v>
      </c>
      <c r="R308">
        <v>34726</v>
      </c>
    </row>
    <row r="309" spans="1:18" x14ac:dyDescent="0.25">
      <c r="A309" s="170">
        <v>42457</v>
      </c>
      <c r="B309" s="116">
        <v>126.825</v>
      </c>
      <c r="C309" s="116">
        <v>124.22499999999999</v>
      </c>
      <c r="D309" s="116">
        <v>123.85</v>
      </c>
      <c r="E309" s="116">
        <v>126.125</v>
      </c>
      <c r="F309" s="116">
        <v>248.45</v>
      </c>
      <c r="G309">
        <v>6073</v>
      </c>
      <c r="H309" s="116"/>
      <c r="I309" s="116"/>
      <c r="L309" s="170">
        <v>42457</v>
      </c>
      <c r="M309" s="116">
        <v>124.52500000000001</v>
      </c>
      <c r="N309" s="116">
        <v>126.95</v>
      </c>
      <c r="O309" s="116">
        <v>124</v>
      </c>
      <c r="P309" s="116">
        <v>126</v>
      </c>
      <c r="Q309" s="116">
        <v>249.05</v>
      </c>
      <c r="R309">
        <v>25468</v>
      </c>
    </row>
    <row r="310" spans="1:18" x14ac:dyDescent="0.25">
      <c r="A310" s="170">
        <v>42458</v>
      </c>
      <c r="B310" s="116">
        <v>125.7</v>
      </c>
      <c r="C310" s="116">
        <v>123.35</v>
      </c>
      <c r="D310" s="116">
        <v>121.5</v>
      </c>
      <c r="E310" s="116">
        <v>124</v>
      </c>
      <c r="F310" s="116">
        <v>246.7</v>
      </c>
      <c r="G310">
        <v>7968</v>
      </c>
      <c r="H310" s="116"/>
      <c r="I310" s="116"/>
      <c r="L310" s="170">
        <v>42458</v>
      </c>
      <c r="M310" s="116">
        <v>124.52500000000001</v>
      </c>
      <c r="N310" s="116">
        <v>126.575</v>
      </c>
      <c r="O310" s="116">
        <v>121.05</v>
      </c>
      <c r="P310" s="116">
        <v>125.925</v>
      </c>
      <c r="Q310" s="116">
        <v>249.05</v>
      </c>
      <c r="R310">
        <v>93523</v>
      </c>
    </row>
    <row r="311" spans="1:18" x14ac:dyDescent="0.25">
      <c r="A311" s="170">
        <v>42459</v>
      </c>
      <c r="B311" s="116">
        <v>126.5</v>
      </c>
      <c r="C311" s="116">
        <v>125.7</v>
      </c>
      <c r="D311" s="116">
        <v>124.5</v>
      </c>
      <c r="E311" s="116">
        <v>125.1</v>
      </c>
      <c r="F311" s="116">
        <v>251.4</v>
      </c>
      <c r="G311">
        <v>6239</v>
      </c>
      <c r="H311" s="116"/>
      <c r="I311" s="116"/>
      <c r="L311" s="170">
        <v>42459</v>
      </c>
      <c r="M311" s="116">
        <v>126.27500000000001</v>
      </c>
      <c r="N311" s="116">
        <v>127</v>
      </c>
      <c r="O311" s="116">
        <v>124</v>
      </c>
      <c r="P311" s="116">
        <v>124.05</v>
      </c>
      <c r="Q311" s="116">
        <v>252.55</v>
      </c>
      <c r="R311">
        <v>26451</v>
      </c>
    </row>
    <row r="312" spans="1:18" x14ac:dyDescent="0.25">
      <c r="A312" s="170">
        <v>42460</v>
      </c>
      <c r="B312" s="116">
        <v>128.47499999999999</v>
      </c>
      <c r="C312" s="116">
        <v>124.7</v>
      </c>
      <c r="D312" s="116">
        <v>124</v>
      </c>
      <c r="E312" s="116">
        <v>126.375</v>
      </c>
      <c r="F312" s="116">
        <v>249.4</v>
      </c>
      <c r="G312">
        <v>6904</v>
      </c>
      <c r="H312" s="116"/>
      <c r="I312" s="116"/>
      <c r="L312" s="170">
        <v>42460</v>
      </c>
      <c r="M312" s="116">
        <v>124.72499999999999</v>
      </c>
      <c r="N312" s="116">
        <v>128.44999999999999</v>
      </c>
      <c r="O312" s="116">
        <v>124.02500000000001</v>
      </c>
      <c r="P312" s="116">
        <v>126.5</v>
      </c>
      <c r="Q312" s="116">
        <v>249.45</v>
      </c>
      <c r="R312">
        <v>63567</v>
      </c>
    </row>
    <row r="313" spans="1:18" x14ac:dyDescent="0.25">
      <c r="A313" s="170">
        <v>42461</v>
      </c>
      <c r="B313" s="116">
        <v>127.4</v>
      </c>
      <c r="C313" s="116">
        <v>125.15</v>
      </c>
      <c r="D313" s="116">
        <v>124.425</v>
      </c>
      <c r="E313" s="116">
        <v>125.5</v>
      </c>
      <c r="F313" s="116">
        <v>250.3</v>
      </c>
      <c r="G313">
        <v>4007</v>
      </c>
      <c r="H313" s="116"/>
      <c r="I313" s="116"/>
      <c r="L313" s="170">
        <v>42461</v>
      </c>
      <c r="M313" s="116">
        <v>125.27500000000001</v>
      </c>
      <c r="N313" s="116">
        <v>127.5</v>
      </c>
      <c r="O313" s="116">
        <v>124.5</v>
      </c>
      <c r="P313" s="116">
        <v>125.45</v>
      </c>
      <c r="Q313" s="116">
        <v>250.55</v>
      </c>
      <c r="R313">
        <v>25929</v>
      </c>
    </row>
    <row r="314" spans="1:18" x14ac:dyDescent="0.25">
      <c r="A314" s="170">
        <v>42464</v>
      </c>
      <c r="B314" s="116">
        <v>128.25</v>
      </c>
      <c r="C314" s="116">
        <v>127.125</v>
      </c>
      <c r="D314" s="116">
        <v>123.75</v>
      </c>
      <c r="E314" s="116">
        <v>125.175</v>
      </c>
      <c r="F314" s="116">
        <v>254.25</v>
      </c>
      <c r="G314">
        <v>4960</v>
      </c>
      <c r="H314" s="116"/>
      <c r="I314" s="116"/>
      <c r="L314" s="170">
        <v>42464</v>
      </c>
      <c r="M314" s="116">
        <v>127.35</v>
      </c>
      <c r="N314" s="116">
        <v>128</v>
      </c>
      <c r="O314" s="116">
        <v>122.5</v>
      </c>
      <c r="P314" s="116">
        <v>125.5</v>
      </c>
      <c r="Q314" s="116">
        <v>254.7</v>
      </c>
      <c r="R314">
        <v>216334</v>
      </c>
    </row>
    <row r="315" spans="1:18" x14ac:dyDescent="0.25">
      <c r="A315" s="170">
        <v>42465</v>
      </c>
      <c r="B315" s="116">
        <v>127.22499999999999</v>
      </c>
      <c r="C315" s="116">
        <v>123.35</v>
      </c>
      <c r="D315" s="116">
        <v>122.75</v>
      </c>
      <c r="E315" s="116">
        <v>126.97499999999999</v>
      </c>
      <c r="F315" s="116">
        <v>246.7</v>
      </c>
      <c r="G315">
        <v>4593</v>
      </c>
      <c r="H315" s="116"/>
      <c r="I315" s="116"/>
      <c r="L315" s="170">
        <v>42465</v>
      </c>
      <c r="M315" s="116">
        <v>122.925</v>
      </c>
      <c r="N315" s="116">
        <v>127.5</v>
      </c>
      <c r="O315" s="116">
        <v>122.5</v>
      </c>
      <c r="P315" s="116">
        <v>127.5</v>
      </c>
      <c r="Q315" s="116">
        <v>245.85</v>
      </c>
      <c r="R315">
        <v>52141</v>
      </c>
    </row>
    <row r="316" spans="1:18" x14ac:dyDescent="0.25">
      <c r="A316" s="170">
        <v>42466</v>
      </c>
      <c r="B316" s="116">
        <v>125</v>
      </c>
      <c r="C316" s="116">
        <v>123.75</v>
      </c>
      <c r="D316" s="116">
        <v>121</v>
      </c>
      <c r="E316" s="116">
        <v>121</v>
      </c>
      <c r="F316" s="116">
        <v>247.5</v>
      </c>
      <c r="G316">
        <v>5401</v>
      </c>
      <c r="H316" s="116"/>
      <c r="I316" s="116"/>
      <c r="L316" s="170">
        <v>42466</v>
      </c>
      <c r="M316" s="116">
        <v>123.95</v>
      </c>
      <c r="N316" s="116">
        <v>125.075</v>
      </c>
      <c r="O316" s="116">
        <v>122.9</v>
      </c>
      <c r="P316" s="116">
        <v>124.7</v>
      </c>
      <c r="Q316" s="116">
        <v>247.9</v>
      </c>
      <c r="R316">
        <v>32208</v>
      </c>
    </row>
    <row r="317" spans="1:18" x14ac:dyDescent="0.25">
      <c r="A317" s="170">
        <v>42467</v>
      </c>
      <c r="B317" s="116">
        <v>125.1</v>
      </c>
      <c r="C317" s="116">
        <v>124.075</v>
      </c>
      <c r="D317" s="116">
        <v>123.5</v>
      </c>
      <c r="E317" s="116">
        <v>125</v>
      </c>
      <c r="F317" s="116">
        <v>248.15</v>
      </c>
      <c r="G317">
        <v>6382</v>
      </c>
      <c r="H317" s="116"/>
      <c r="I317" s="116"/>
      <c r="L317" s="170">
        <v>42467</v>
      </c>
      <c r="M317" s="116">
        <v>124.1</v>
      </c>
      <c r="N317" s="116">
        <v>125.2</v>
      </c>
      <c r="O317" s="116">
        <v>123.375</v>
      </c>
      <c r="P317" s="116">
        <v>123.55</v>
      </c>
      <c r="Q317" s="116">
        <v>248.2</v>
      </c>
      <c r="R317">
        <v>77204</v>
      </c>
    </row>
    <row r="318" spans="1:18" x14ac:dyDescent="0.25">
      <c r="A318" s="170">
        <v>42468</v>
      </c>
      <c r="B318" s="116">
        <v>125.5</v>
      </c>
      <c r="C318" s="116">
        <v>123.825</v>
      </c>
      <c r="D318" s="116">
        <v>122.5</v>
      </c>
      <c r="E318" s="116">
        <v>122.5</v>
      </c>
      <c r="F318" s="116">
        <v>247.65</v>
      </c>
      <c r="G318">
        <v>55610</v>
      </c>
      <c r="H318" s="116"/>
      <c r="I318" s="116"/>
      <c r="L318" s="170">
        <v>42468</v>
      </c>
      <c r="M318" s="116">
        <v>124.125</v>
      </c>
      <c r="N318" s="116">
        <v>125.25</v>
      </c>
      <c r="O318" s="116">
        <v>122.52500000000001</v>
      </c>
      <c r="P318" s="116">
        <v>122.52500000000001</v>
      </c>
      <c r="Q318" s="116">
        <v>248.25</v>
      </c>
      <c r="R318">
        <v>27524</v>
      </c>
    </row>
    <row r="319" spans="1:18" x14ac:dyDescent="0.25">
      <c r="A319" s="170">
        <v>42471</v>
      </c>
      <c r="B319" s="116">
        <v>124.675</v>
      </c>
      <c r="C319" s="116">
        <v>121.9</v>
      </c>
      <c r="D319" s="116">
        <v>120.9</v>
      </c>
      <c r="E319" s="116">
        <v>124</v>
      </c>
      <c r="F319" s="116">
        <v>243.8</v>
      </c>
      <c r="G319">
        <v>10291</v>
      </c>
      <c r="H319" s="116"/>
      <c r="I319" s="116"/>
      <c r="L319" s="170">
        <v>42471</v>
      </c>
      <c r="M319" s="116">
        <v>122.02500000000001</v>
      </c>
      <c r="N319" s="116">
        <v>124.5</v>
      </c>
      <c r="O319" s="116">
        <v>121.375</v>
      </c>
      <c r="P319" s="116">
        <v>124</v>
      </c>
      <c r="Q319" s="116">
        <v>244.05</v>
      </c>
      <c r="R319">
        <v>46127</v>
      </c>
    </row>
    <row r="320" spans="1:18" x14ac:dyDescent="0.25">
      <c r="A320" s="170">
        <v>42472</v>
      </c>
      <c r="B320" s="116">
        <v>125</v>
      </c>
      <c r="C320" s="116">
        <v>124.6</v>
      </c>
      <c r="D320" s="116">
        <v>122.5</v>
      </c>
      <c r="E320" s="116">
        <v>122.5</v>
      </c>
      <c r="F320" s="116">
        <v>249.2</v>
      </c>
      <c r="G320">
        <v>3868</v>
      </c>
      <c r="H320" s="116"/>
      <c r="I320" s="116"/>
      <c r="L320" s="170">
        <v>42472</v>
      </c>
      <c r="M320" s="116">
        <v>124.675</v>
      </c>
      <c r="N320" s="116">
        <v>125.075</v>
      </c>
      <c r="O320" s="116">
        <v>122.2</v>
      </c>
      <c r="P320" s="116">
        <v>123.425</v>
      </c>
      <c r="Q320" s="116">
        <v>249.35</v>
      </c>
      <c r="R320">
        <v>31919</v>
      </c>
    </row>
    <row r="321" spans="1:18" x14ac:dyDescent="0.25">
      <c r="A321" s="170">
        <v>42473</v>
      </c>
      <c r="B321" s="116">
        <v>126.35</v>
      </c>
      <c r="C321" s="116">
        <v>124.8</v>
      </c>
      <c r="D321" s="116">
        <v>124.25</v>
      </c>
      <c r="E321" s="116">
        <v>125.5</v>
      </c>
      <c r="F321" s="116">
        <v>249.6</v>
      </c>
      <c r="G321">
        <v>5316</v>
      </c>
      <c r="H321" s="116"/>
      <c r="I321" s="116"/>
      <c r="L321" s="170">
        <v>42473</v>
      </c>
      <c r="M321" s="116">
        <v>124.675</v>
      </c>
      <c r="N321" s="116">
        <v>126.7</v>
      </c>
      <c r="O321" s="116">
        <v>123.6</v>
      </c>
      <c r="P321" s="116">
        <v>123.6</v>
      </c>
      <c r="Q321" s="116">
        <v>249.35</v>
      </c>
      <c r="R321">
        <v>68840</v>
      </c>
    </row>
    <row r="322" spans="1:18" x14ac:dyDescent="0.25">
      <c r="A322" s="170">
        <v>42478</v>
      </c>
      <c r="B322" s="116">
        <v>126.125</v>
      </c>
      <c r="C322" s="116">
        <v>124.65</v>
      </c>
      <c r="D322" s="116">
        <v>124.22499999999999</v>
      </c>
      <c r="E322" s="116">
        <v>125</v>
      </c>
      <c r="F322" s="116">
        <v>249.3</v>
      </c>
      <c r="G322">
        <v>5177</v>
      </c>
      <c r="H322" s="116"/>
      <c r="I322" s="116"/>
      <c r="L322" s="170">
        <v>42478</v>
      </c>
      <c r="M322" s="116">
        <v>124.97499999999999</v>
      </c>
      <c r="N322" s="116">
        <v>126.5</v>
      </c>
      <c r="O322" s="116">
        <v>124</v>
      </c>
      <c r="P322" s="116">
        <v>125.925</v>
      </c>
      <c r="Q322" s="116">
        <v>249.95</v>
      </c>
      <c r="R322">
        <v>49579</v>
      </c>
    </row>
    <row r="323" spans="1:18" x14ac:dyDescent="0.25">
      <c r="A323" s="170">
        <v>42480</v>
      </c>
      <c r="B323" s="116">
        <v>126</v>
      </c>
      <c r="C323" s="116">
        <v>123.925</v>
      </c>
      <c r="D323" s="116">
        <v>123.52500000000001</v>
      </c>
      <c r="E323" s="116">
        <v>125.25</v>
      </c>
      <c r="F323" s="116">
        <v>247.85</v>
      </c>
      <c r="G323">
        <v>6129</v>
      </c>
      <c r="H323" s="116"/>
      <c r="I323" s="116"/>
      <c r="L323" s="170">
        <v>42480</v>
      </c>
      <c r="M323" s="116">
        <v>124.425</v>
      </c>
      <c r="N323" s="116">
        <v>126.5</v>
      </c>
      <c r="O323" s="116">
        <v>124.1</v>
      </c>
      <c r="P323" s="116">
        <v>125</v>
      </c>
      <c r="Q323" s="116">
        <v>248.85</v>
      </c>
      <c r="R323">
        <v>43325</v>
      </c>
    </row>
    <row r="324" spans="1:18" x14ac:dyDescent="0.25">
      <c r="A324" s="170">
        <v>42481</v>
      </c>
      <c r="B324" s="116">
        <v>125.45</v>
      </c>
      <c r="C324" s="116">
        <v>124.45</v>
      </c>
      <c r="D324" s="116">
        <v>123.15</v>
      </c>
      <c r="E324" s="116">
        <v>124.1</v>
      </c>
      <c r="F324" s="116">
        <v>248.9</v>
      </c>
      <c r="G324">
        <v>5897</v>
      </c>
      <c r="H324" s="116"/>
      <c r="I324" s="116"/>
      <c r="L324" s="170">
        <v>42481</v>
      </c>
      <c r="M324" s="116">
        <v>124.9</v>
      </c>
      <c r="N324" s="116">
        <v>125.95</v>
      </c>
      <c r="O324" s="116">
        <v>123.425</v>
      </c>
      <c r="P324" s="116">
        <v>124</v>
      </c>
      <c r="Q324" s="116">
        <v>249.8</v>
      </c>
      <c r="R324">
        <v>41160</v>
      </c>
    </row>
    <row r="325" spans="1:18" x14ac:dyDescent="0.25">
      <c r="A325" s="170">
        <v>42482</v>
      </c>
      <c r="B325" s="116">
        <v>124.85</v>
      </c>
      <c r="C325" s="116">
        <v>122.52500000000001</v>
      </c>
      <c r="D325" s="116">
        <v>122.02500000000001</v>
      </c>
      <c r="E325" s="116">
        <v>124</v>
      </c>
      <c r="F325" s="116">
        <v>245.05</v>
      </c>
      <c r="G325">
        <v>6510</v>
      </c>
      <c r="H325" s="116"/>
      <c r="I325" s="116"/>
      <c r="L325" s="170">
        <v>42482</v>
      </c>
      <c r="M325" s="116">
        <v>122.575</v>
      </c>
      <c r="N325" s="116">
        <v>125.5</v>
      </c>
      <c r="O325" s="116">
        <v>122.2</v>
      </c>
      <c r="P325" s="116">
        <v>125</v>
      </c>
      <c r="Q325" s="116">
        <v>245.15</v>
      </c>
      <c r="R325">
        <v>53022</v>
      </c>
    </row>
    <row r="326" spans="1:18" x14ac:dyDescent="0.25">
      <c r="A326" s="170">
        <v>42485</v>
      </c>
      <c r="B326" s="116">
        <v>125.675</v>
      </c>
      <c r="C326" s="116">
        <v>124.45</v>
      </c>
      <c r="D326" s="116">
        <v>121</v>
      </c>
      <c r="E326" s="116">
        <v>122</v>
      </c>
      <c r="F326" s="116">
        <v>248.9</v>
      </c>
      <c r="G326">
        <v>5090</v>
      </c>
      <c r="H326" s="116"/>
      <c r="I326" s="116"/>
      <c r="L326" s="170">
        <v>42485</v>
      </c>
      <c r="M326" s="116">
        <v>124.825</v>
      </c>
      <c r="N326" s="116">
        <v>125.7</v>
      </c>
      <c r="O326" s="116">
        <v>118.55</v>
      </c>
      <c r="P326" s="116">
        <v>118.55</v>
      </c>
      <c r="Q326" s="116">
        <v>249.65</v>
      </c>
      <c r="R326">
        <v>60022</v>
      </c>
    </row>
    <row r="327" spans="1:18" x14ac:dyDescent="0.25">
      <c r="A327" s="170">
        <v>42486</v>
      </c>
      <c r="B327" s="116">
        <v>126.47499999999999</v>
      </c>
      <c r="C327" s="116">
        <v>125.875</v>
      </c>
      <c r="D327" s="116">
        <v>124.25</v>
      </c>
      <c r="E327" s="116">
        <v>125.05</v>
      </c>
      <c r="F327" s="116">
        <v>251.75</v>
      </c>
      <c r="G327">
        <v>13428</v>
      </c>
      <c r="H327" s="116"/>
      <c r="I327" s="116"/>
      <c r="L327" s="170">
        <v>42486</v>
      </c>
      <c r="M327" s="116">
        <v>125.72499999999999</v>
      </c>
      <c r="N327" s="116">
        <v>126.425</v>
      </c>
      <c r="O327" s="116">
        <v>124.15</v>
      </c>
      <c r="P327" s="116">
        <v>125</v>
      </c>
      <c r="Q327" s="116">
        <v>251.45</v>
      </c>
      <c r="R327">
        <v>85751</v>
      </c>
    </row>
    <row r="328" spans="1:18" x14ac:dyDescent="0.25">
      <c r="A328" s="170">
        <v>42487</v>
      </c>
      <c r="B328" s="116">
        <v>126.2</v>
      </c>
      <c r="C328" s="116">
        <v>125.5</v>
      </c>
      <c r="D328" s="116">
        <v>124.8</v>
      </c>
      <c r="E328" s="116">
        <v>125.1</v>
      </c>
      <c r="F328" s="116">
        <v>251</v>
      </c>
      <c r="G328">
        <v>9389</v>
      </c>
      <c r="H328" s="116"/>
      <c r="I328" s="116"/>
      <c r="L328" s="170">
        <v>42487</v>
      </c>
      <c r="M328" s="116">
        <v>125.625</v>
      </c>
      <c r="N328" s="116">
        <v>126.45</v>
      </c>
      <c r="O328" s="116">
        <v>125.075</v>
      </c>
      <c r="P328" s="116">
        <v>125.72499999999999</v>
      </c>
      <c r="Q328" s="116">
        <v>251.25</v>
      </c>
      <c r="R328">
        <v>57775</v>
      </c>
    </row>
    <row r="329" spans="1:18" x14ac:dyDescent="0.25">
      <c r="A329" s="170">
        <v>42488</v>
      </c>
      <c r="B329" s="116">
        <v>126.7</v>
      </c>
      <c r="C329" s="116">
        <v>123.175</v>
      </c>
      <c r="D329" s="116">
        <v>122.85</v>
      </c>
      <c r="E329" s="116">
        <v>125.47499999999999</v>
      </c>
      <c r="F329" s="116">
        <v>246.35</v>
      </c>
      <c r="G329">
        <v>4690</v>
      </c>
      <c r="H329" s="116"/>
      <c r="I329" s="116"/>
      <c r="L329" s="170">
        <v>42488</v>
      </c>
      <c r="M329" s="116">
        <v>123.45</v>
      </c>
      <c r="N329" s="116">
        <v>127.325</v>
      </c>
      <c r="O329" s="116">
        <v>122.875</v>
      </c>
      <c r="P329" s="116">
        <v>126</v>
      </c>
      <c r="Q329" s="116">
        <v>246.9</v>
      </c>
      <c r="R329">
        <v>43352</v>
      </c>
    </row>
    <row r="330" spans="1:18" x14ac:dyDescent="0.25">
      <c r="A330" s="170">
        <v>42489</v>
      </c>
      <c r="B330" s="116">
        <v>125.6</v>
      </c>
      <c r="C330" s="116">
        <v>122.575</v>
      </c>
      <c r="D330" s="116">
        <v>122.25</v>
      </c>
      <c r="E330" s="116">
        <v>124.5</v>
      </c>
      <c r="F330" s="116">
        <v>245.15</v>
      </c>
      <c r="G330">
        <v>3448</v>
      </c>
      <c r="H330" s="116"/>
      <c r="I330" s="116"/>
      <c r="L330" s="170">
        <v>42489</v>
      </c>
      <c r="M330" s="116">
        <v>122.77500000000001</v>
      </c>
      <c r="N330" s="116">
        <v>126</v>
      </c>
      <c r="O330" s="116">
        <v>122.05</v>
      </c>
      <c r="P330" s="116">
        <v>123</v>
      </c>
      <c r="Q330" s="116">
        <v>245.55</v>
      </c>
      <c r="R330">
        <v>44723</v>
      </c>
    </row>
    <row r="331" spans="1:18" x14ac:dyDescent="0.25">
      <c r="A331" s="170">
        <v>42492</v>
      </c>
      <c r="B331" s="116">
        <v>125.7</v>
      </c>
      <c r="C331" s="116">
        <v>125.47499999999999</v>
      </c>
      <c r="D331" s="116">
        <v>122.5</v>
      </c>
      <c r="E331" s="116">
        <v>124.75</v>
      </c>
      <c r="F331" s="116">
        <v>250.95</v>
      </c>
      <c r="G331">
        <v>8058</v>
      </c>
      <c r="H331" s="116"/>
      <c r="I331" s="116"/>
      <c r="L331" s="170">
        <v>42492</v>
      </c>
      <c r="M331" s="116">
        <v>125.25</v>
      </c>
      <c r="N331" s="116">
        <v>125.7</v>
      </c>
      <c r="O331" s="116">
        <v>122.3</v>
      </c>
      <c r="P331" s="116">
        <v>123.27500000000001</v>
      </c>
      <c r="Q331" s="116">
        <v>250.5</v>
      </c>
      <c r="R331">
        <v>121048</v>
      </c>
    </row>
    <row r="332" spans="1:18" x14ac:dyDescent="0.25">
      <c r="A332" s="170">
        <v>42493</v>
      </c>
      <c r="B332" s="116">
        <v>126.25</v>
      </c>
      <c r="C332" s="116">
        <v>123.75</v>
      </c>
      <c r="D332" s="116">
        <v>122.85</v>
      </c>
      <c r="E332" s="116">
        <v>125.77500000000001</v>
      </c>
      <c r="F332" s="116">
        <v>247.5</v>
      </c>
      <c r="G332">
        <v>4159</v>
      </c>
      <c r="H332" s="116"/>
      <c r="I332" s="116"/>
      <c r="L332" s="170">
        <v>42493</v>
      </c>
      <c r="M332" s="116">
        <v>123.125</v>
      </c>
      <c r="N332" s="116">
        <v>126.1</v>
      </c>
      <c r="O332" s="116">
        <v>122.625</v>
      </c>
      <c r="P332" s="116">
        <v>125.5</v>
      </c>
      <c r="Q332" s="116">
        <v>246.25</v>
      </c>
      <c r="R332">
        <v>45441</v>
      </c>
    </row>
    <row r="333" spans="1:18" x14ac:dyDescent="0.25">
      <c r="A333" s="170">
        <v>42494</v>
      </c>
      <c r="B333" s="116">
        <v>125</v>
      </c>
      <c r="C333" s="116">
        <v>122.65</v>
      </c>
      <c r="D333" s="116">
        <v>122.5</v>
      </c>
      <c r="E333" s="116">
        <v>123</v>
      </c>
      <c r="F333" s="116">
        <v>245.3</v>
      </c>
      <c r="G333">
        <v>5832</v>
      </c>
      <c r="H333" s="116"/>
      <c r="I333" s="116"/>
      <c r="L333" s="170">
        <v>42494</v>
      </c>
      <c r="M333" s="116">
        <v>122.875</v>
      </c>
      <c r="N333" s="116">
        <v>124.9</v>
      </c>
      <c r="O333" s="116">
        <v>122.55</v>
      </c>
      <c r="P333" s="116">
        <v>123.22499999999999</v>
      </c>
      <c r="Q333" s="116">
        <v>245.75</v>
      </c>
      <c r="R333">
        <v>22395</v>
      </c>
    </row>
    <row r="334" spans="1:18" x14ac:dyDescent="0.25">
      <c r="A334" s="170">
        <v>42495</v>
      </c>
      <c r="B334" s="116">
        <v>123.97499999999999</v>
      </c>
      <c r="C334" s="116">
        <v>122.55</v>
      </c>
      <c r="D334" s="116">
        <v>122.25</v>
      </c>
      <c r="E334" s="116">
        <v>123.97499999999999</v>
      </c>
      <c r="F334" s="116">
        <v>245.1</v>
      </c>
      <c r="G334">
        <v>5229</v>
      </c>
      <c r="H334" s="116"/>
      <c r="I334" s="116"/>
      <c r="L334" s="170">
        <v>42495</v>
      </c>
      <c r="M334" s="116">
        <v>122.625</v>
      </c>
      <c r="N334" s="116">
        <v>123.97499999999999</v>
      </c>
      <c r="O334" s="116">
        <v>122.5</v>
      </c>
      <c r="P334" s="116">
        <v>123.97499999999999</v>
      </c>
      <c r="Q334" s="116">
        <v>245.25</v>
      </c>
      <c r="R334">
        <v>22641</v>
      </c>
    </row>
    <row r="335" spans="1:18" x14ac:dyDescent="0.25">
      <c r="A335" s="170">
        <v>42496</v>
      </c>
      <c r="B335" s="116">
        <v>123.8</v>
      </c>
      <c r="C335" s="116">
        <v>121.6</v>
      </c>
      <c r="D335" s="116">
        <v>121.4</v>
      </c>
      <c r="E335" s="116">
        <v>123</v>
      </c>
      <c r="F335" s="116">
        <v>243.2</v>
      </c>
      <c r="G335">
        <v>8087</v>
      </c>
      <c r="H335" s="116"/>
      <c r="I335" s="116"/>
      <c r="L335" s="170">
        <v>42496</v>
      </c>
      <c r="M335" s="116">
        <v>121.65</v>
      </c>
      <c r="N335" s="116">
        <v>123.825</v>
      </c>
      <c r="O335" s="116">
        <v>121.375</v>
      </c>
      <c r="P335" s="116">
        <v>123.825</v>
      </c>
      <c r="Q335" s="116">
        <v>243.3</v>
      </c>
      <c r="R335">
        <v>37351</v>
      </c>
    </row>
    <row r="336" spans="1:18" x14ac:dyDescent="0.25">
      <c r="A336" s="170">
        <v>42499</v>
      </c>
      <c r="B336" s="116">
        <v>123.47499999999999</v>
      </c>
      <c r="C336" s="116">
        <v>122.22499999999999</v>
      </c>
      <c r="D336" s="116">
        <v>121.95</v>
      </c>
      <c r="E336" s="116">
        <v>122.15</v>
      </c>
      <c r="F336" s="116">
        <v>244.45</v>
      </c>
      <c r="G336">
        <v>6660</v>
      </c>
      <c r="H336" s="116"/>
      <c r="I336" s="116"/>
      <c r="L336" s="170">
        <v>42499</v>
      </c>
      <c r="M336" s="116">
        <v>122.4</v>
      </c>
      <c r="N336" s="116">
        <v>123.45</v>
      </c>
      <c r="O336" s="116">
        <v>121.75</v>
      </c>
      <c r="P336" s="116">
        <v>121.75</v>
      </c>
      <c r="Q336" s="116">
        <v>244.8</v>
      </c>
      <c r="R336">
        <v>29912</v>
      </c>
    </row>
    <row r="337" spans="1:18" x14ac:dyDescent="0.25">
      <c r="A337" s="170">
        <v>42500</v>
      </c>
      <c r="B337" s="116">
        <v>125.45</v>
      </c>
      <c r="C337" s="116">
        <v>124.85</v>
      </c>
      <c r="D337" s="116">
        <v>122</v>
      </c>
      <c r="E337" s="116">
        <v>122</v>
      </c>
      <c r="F337" s="116">
        <v>249.7</v>
      </c>
      <c r="G337">
        <v>7481</v>
      </c>
      <c r="H337" s="116"/>
      <c r="I337" s="116"/>
      <c r="L337" s="170">
        <v>42500</v>
      </c>
      <c r="M337" s="116">
        <v>124.97499999999999</v>
      </c>
      <c r="N337" s="116">
        <v>125.5</v>
      </c>
      <c r="O337" s="116">
        <v>122.3</v>
      </c>
      <c r="P337" s="116">
        <v>122.97499999999999</v>
      </c>
      <c r="Q337" s="116">
        <v>249.95</v>
      </c>
      <c r="R337">
        <v>51186</v>
      </c>
    </row>
    <row r="338" spans="1:18" x14ac:dyDescent="0.25">
      <c r="A338" s="170">
        <v>42501</v>
      </c>
      <c r="B338" s="116">
        <v>126</v>
      </c>
      <c r="C338" s="116">
        <v>123.75</v>
      </c>
      <c r="D338" s="116">
        <v>123.375</v>
      </c>
      <c r="E338" s="116">
        <v>124</v>
      </c>
      <c r="F338" s="116">
        <v>247.5</v>
      </c>
      <c r="G338">
        <v>9039</v>
      </c>
      <c r="H338" s="116"/>
      <c r="I338" s="116"/>
      <c r="L338" s="170">
        <v>42501</v>
      </c>
      <c r="M338" s="116">
        <v>123.75</v>
      </c>
      <c r="N338" s="116">
        <v>126.25</v>
      </c>
      <c r="O338" s="116">
        <v>123.25</v>
      </c>
      <c r="P338" s="116">
        <v>124.97499999999999</v>
      </c>
      <c r="Q338" s="116">
        <v>247.5</v>
      </c>
      <c r="R338">
        <v>40249</v>
      </c>
    </row>
    <row r="339" spans="1:18" x14ac:dyDescent="0.25">
      <c r="A339" s="170">
        <v>42502</v>
      </c>
      <c r="B339" s="116">
        <v>128.25</v>
      </c>
      <c r="C339" s="116">
        <v>127.9</v>
      </c>
      <c r="D339" s="116">
        <v>123.95</v>
      </c>
      <c r="E339" s="116">
        <v>124.97499999999999</v>
      </c>
      <c r="F339" s="116">
        <v>255.8</v>
      </c>
      <c r="G339">
        <v>11154</v>
      </c>
      <c r="H339" s="116"/>
      <c r="I339" s="116"/>
      <c r="L339" s="170">
        <v>42502</v>
      </c>
      <c r="M339" s="116">
        <v>128.19999999999999</v>
      </c>
      <c r="N339" s="116">
        <v>128.5</v>
      </c>
      <c r="O339" s="116">
        <v>124.3</v>
      </c>
      <c r="P339" s="116">
        <v>124.9</v>
      </c>
      <c r="Q339" s="116">
        <v>256.39999999999998</v>
      </c>
      <c r="R339">
        <v>61099</v>
      </c>
    </row>
    <row r="340" spans="1:18" x14ac:dyDescent="0.25">
      <c r="A340" s="170">
        <v>42503</v>
      </c>
      <c r="B340" s="116">
        <v>129.5</v>
      </c>
      <c r="C340" s="116">
        <v>128.97499999999999</v>
      </c>
      <c r="D340" s="116">
        <v>125.75</v>
      </c>
      <c r="E340" s="116">
        <v>127.27500000000001</v>
      </c>
      <c r="F340" s="116">
        <v>257.95</v>
      </c>
      <c r="G340">
        <v>17068</v>
      </c>
      <c r="H340" s="116"/>
      <c r="I340" s="116"/>
      <c r="L340" s="170">
        <v>42503</v>
      </c>
      <c r="M340" s="116">
        <v>128.80000000000001</v>
      </c>
      <c r="N340" s="116">
        <v>129.80000000000001</v>
      </c>
      <c r="O340" s="116">
        <v>125.75</v>
      </c>
      <c r="P340" s="116">
        <v>127.6</v>
      </c>
      <c r="Q340" s="116">
        <v>257.60000000000002</v>
      </c>
      <c r="R340">
        <v>61860</v>
      </c>
    </row>
    <row r="341" spans="1:18" x14ac:dyDescent="0.25">
      <c r="A341" s="170">
        <v>42506</v>
      </c>
      <c r="B341" s="116">
        <v>132.65</v>
      </c>
      <c r="C341" s="116">
        <v>132</v>
      </c>
      <c r="D341" s="116">
        <v>128.25</v>
      </c>
      <c r="E341" s="116">
        <v>129.25</v>
      </c>
      <c r="F341" s="116">
        <v>264</v>
      </c>
      <c r="G341">
        <v>11618</v>
      </c>
      <c r="H341" s="116"/>
      <c r="I341" s="116"/>
      <c r="L341" s="170">
        <v>42506</v>
      </c>
      <c r="M341" s="116">
        <v>132</v>
      </c>
      <c r="N341" s="116">
        <v>132.375</v>
      </c>
      <c r="O341" s="116">
        <v>128.1</v>
      </c>
      <c r="P341" s="116">
        <v>128.80000000000001</v>
      </c>
      <c r="Q341" s="116">
        <v>264</v>
      </c>
      <c r="R341">
        <v>76305</v>
      </c>
    </row>
    <row r="342" spans="1:18" x14ac:dyDescent="0.25">
      <c r="A342" s="170">
        <v>42507</v>
      </c>
      <c r="B342" s="116">
        <v>133.25</v>
      </c>
      <c r="C342" s="116">
        <v>130.92500000000001</v>
      </c>
      <c r="D342" s="116">
        <v>130.15</v>
      </c>
      <c r="E342" s="116">
        <v>132.35</v>
      </c>
      <c r="F342" s="116">
        <v>261.85000000000002</v>
      </c>
      <c r="G342">
        <v>6410</v>
      </c>
      <c r="H342" s="116"/>
      <c r="I342" s="116"/>
      <c r="L342" s="170">
        <v>42507</v>
      </c>
      <c r="M342" s="116">
        <v>131.05000000000001</v>
      </c>
      <c r="N342" s="116">
        <v>133.17500000000001</v>
      </c>
      <c r="O342" s="116">
        <v>130.19999999999999</v>
      </c>
      <c r="P342" s="116">
        <v>132.5</v>
      </c>
      <c r="Q342" s="116">
        <v>262.10000000000002</v>
      </c>
      <c r="R342">
        <v>39442</v>
      </c>
    </row>
    <row r="343" spans="1:18" x14ac:dyDescent="0.25">
      <c r="A343" s="170">
        <v>42508</v>
      </c>
      <c r="B343" s="116">
        <v>132.5</v>
      </c>
      <c r="C343" s="116">
        <v>132.125</v>
      </c>
      <c r="D343" s="116">
        <v>130</v>
      </c>
      <c r="E343" s="116">
        <v>130</v>
      </c>
      <c r="F343" s="116">
        <v>264.25</v>
      </c>
      <c r="G343">
        <v>7666</v>
      </c>
      <c r="H343" s="116"/>
      <c r="I343" s="116"/>
      <c r="L343" s="170">
        <v>42508</v>
      </c>
      <c r="M343" s="116">
        <v>132</v>
      </c>
      <c r="N343" s="116">
        <v>132.72499999999999</v>
      </c>
      <c r="O343" s="116">
        <v>130.47499999999999</v>
      </c>
      <c r="P343" s="116">
        <v>131.05000000000001</v>
      </c>
      <c r="Q343" s="116">
        <v>264</v>
      </c>
      <c r="R343">
        <v>33240</v>
      </c>
    </row>
    <row r="344" spans="1:18" x14ac:dyDescent="0.25">
      <c r="A344" s="170">
        <v>42509</v>
      </c>
      <c r="B344" s="116">
        <v>132.52500000000001</v>
      </c>
      <c r="C344" s="116">
        <v>128.69999999999999</v>
      </c>
      <c r="D344" s="116">
        <v>127.5</v>
      </c>
      <c r="E344" s="116">
        <v>130.625</v>
      </c>
      <c r="F344" s="116">
        <v>257.39999999999998</v>
      </c>
      <c r="G344">
        <v>18907</v>
      </c>
      <c r="H344" s="116"/>
      <c r="I344" s="116"/>
      <c r="L344" s="170">
        <v>42509</v>
      </c>
      <c r="M344" s="116">
        <v>128.17500000000001</v>
      </c>
      <c r="N344" s="116">
        <v>133</v>
      </c>
      <c r="O344" s="116">
        <v>126.65</v>
      </c>
      <c r="P344" s="116">
        <v>130.5</v>
      </c>
      <c r="Q344" s="116">
        <v>256.35000000000002</v>
      </c>
      <c r="R344">
        <v>113728</v>
      </c>
    </row>
    <row r="345" spans="1:18" x14ac:dyDescent="0.25">
      <c r="A345" s="170">
        <v>42510</v>
      </c>
      <c r="B345" s="116">
        <v>131</v>
      </c>
      <c r="C345" s="116">
        <v>127.2</v>
      </c>
      <c r="D345" s="116">
        <v>125</v>
      </c>
      <c r="E345" s="116">
        <v>129.72499999999999</v>
      </c>
      <c r="F345" s="116">
        <v>254.4</v>
      </c>
      <c r="G345">
        <v>14147</v>
      </c>
      <c r="H345" s="116"/>
      <c r="I345" s="116"/>
      <c r="L345" s="170">
        <v>42510</v>
      </c>
      <c r="M345" s="116">
        <v>128.57499999999999</v>
      </c>
      <c r="N345" s="116">
        <v>130.94999999999999</v>
      </c>
      <c r="O345" s="116">
        <v>125.5</v>
      </c>
      <c r="P345" s="116">
        <v>129.1</v>
      </c>
      <c r="Q345" s="116">
        <v>257.14999999999998</v>
      </c>
      <c r="R345">
        <v>58481</v>
      </c>
    </row>
    <row r="346" spans="1:18" x14ac:dyDescent="0.25">
      <c r="A346" s="170">
        <v>42513</v>
      </c>
      <c r="B346" s="116">
        <v>131</v>
      </c>
      <c r="C346" s="116">
        <v>124.05</v>
      </c>
      <c r="D346" s="116">
        <v>123.75</v>
      </c>
      <c r="E346" s="116">
        <v>131</v>
      </c>
      <c r="F346" s="116">
        <v>248.1</v>
      </c>
      <c r="G346">
        <v>20311</v>
      </c>
      <c r="H346" s="116"/>
      <c r="I346" s="116"/>
      <c r="L346" s="170">
        <v>42513</v>
      </c>
      <c r="M346" s="116">
        <v>124.25</v>
      </c>
      <c r="N346" s="116">
        <v>130.9</v>
      </c>
      <c r="O346" s="116">
        <v>123.85</v>
      </c>
      <c r="P346" s="116">
        <v>130</v>
      </c>
      <c r="Q346" s="116">
        <v>248.5</v>
      </c>
      <c r="R346">
        <v>71186</v>
      </c>
    </row>
    <row r="347" spans="1:18" x14ac:dyDescent="0.25">
      <c r="A347" s="170">
        <v>42514</v>
      </c>
      <c r="B347" s="116">
        <v>125.3</v>
      </c>
      <c r="C347" s="116">
        <v>122.875</v>
      </c>
      <c r="D347" s="116">
        <v>122.075</v>
      </c>
      <c r="E347" s="116">
        <v>125</v>
      </c>
      <c r="F347" s="116">
        <v>245.75</v>
      </c>
      <c r="G347">
        <v>11033</v>
      </c>
      <c r="H347" s="116"/>
      <c r="I347" s="116"/>
      <c r="L347" s="170">
        <v>42514</v>
      </c>
      <c r="M347" s="116">
        <v>122.825</v>
      </c>
      <c r="N347" s="116">
        <v>124.95</v>
      </c>
      <c r="O347" s="116">
        <v>122.27500000000001</v>
      </c>
      <c r="P347" s="116">
        <v>124</v>
      </c>
      <c r="Q347" s="116">
        <v>245.65</v>
      </c>
      <c r="R347">
        <v>35007</v>
      </c>
    </row>
    <row r="348" spans="1:18" x14ac:dyDescent="0.25">
      <c r="A348" s="170">
        <v>42515</v>
      </c>
      <c r="B348" s="116">
        <v>123.75</v>
      </c>
      <c r="C348" s="116">
        <v>122.15</v>
      </c>
      <c r="D348" s="116">
        <v>121.575</v>
      </c>
      <c r="E348" s="116">
        <v>123.27500000000001</v>
      </c>
      <c r="F348" s="116">
        <v>244.3</v>
      </c>
      <c r="G348">
        <v>7509</v>
      </c>
      <c r="H348" s="116"/>
      <c r="I348" s="116"/>
      <c r="L348" s="170">
        <v>42515</v>
      </c>
      <c r="M348" s="116">
        <v>121.925</v>
      </c>
      <c r="N348" s="116">
        <v>124.3</v>
      </c>
      <c r="O348" s="116">
        <v>121.5</v>
      </c>
      <c r="P348" s="116">
        <v>124.3</v>
      </c>
      <c r="Q348" s="116">
        <v>243.85</v>
      </c>
      <c r="R348">
        <v>33503</v>
      </c>
    </row>
    <row r="349" spans="1:18" x14ac:dyDescent="0.25">
      <c r="A349" s="170">
        <v>42516</v>
      </c>
      <c r="B349" s="116">
        <v>123.77500000000001</v>
      </c>
      <c r="C349" s="116">
        <v>123.1</v>
      </c>
      <c r="D349" s="116">
        <v>121.925</v>
      </c>
      <c r="E349" s="116">
        <v>122.7</v>
      </c>
      <c r="F349" s="116">
        <v>246.2</v>
      </c>
      <c r="G349">
        <v>3461</v>
      </c>
      <c r="H349" s="116"/>
      <c r="I349" s="116"/>
      <c r="L349" s="170">
        <v>42516</v>
      </c>
      <c r="M349" s="116">
        <v>123.575</v>
      </c>
      <c r="N349" s="116">
        <v>124.22499999999999</v>
      </c>
      <c r="O349" s="116">
        <v>122.02500000000001</v>
      </c>
      <c r="P349" s="116">
        <v>123</v>
      </c>
      <c r="Q349" s="116">
        <v>247.15</v>
      </c>
      <c r="R349">
        <v>28337</v>
      </c>
    </row>
    <row r="350" spans="1:18" x14ac:dyDescent="0.25">
      <c r="A350" s="170">
        <v>42517</v>
      </c>
      <c r="B350" s="116">
        <v>129</v>
      </c>
      <c r="C350" s="116">
        <v>127.825</v>
      </c>
      <c r="D350" s="116">
        <v>123</v>
      </c>
      <c r="E350" s="116">
        <v>123</v>
      </c>
      <c r="F350" s="116">
        <v>255.65</v>
      </c>
      <c r="G350">
        <v>20660</v>
      </c>
      <c r="H350" s="116"/>
      <c r="I350" s="116"/>
      <c r="L350" s="170">
        <v>42517</v>
      </c>
      <c r="M350" s="116">
        <v>127.65</v>
      </c>
      <c r="N350" s="116">
        <v>129.5</v>
      </c>
      <c r="O350" s="116">
        <v>123.1</v>
      </c>
      <c r="P350" s="116">
        <v>124</v>
      </c>
      <c r="Q350" s="116">
        <v>255.3</v>
      </c>
      <c r="R350">
        <v>194817</v>
      </c>
    </row>
    <row r="351" spans="1:18" x14ac:dyDescent="0.25">
      <c r="A351" s="170">
        <v>42520</v>
      </c>
      <c r="B351" s="116">
        <v>129.75</v>
      </c>
      <c r="C351" s="116">
        <v>129.52500000000001</v>
      </c>
      <c r="D351" s="116">
        <v>125.5</v>
      </c>
      <c r="E351" s="116">
        <v>128</v>
      </c>
      <c r="F351" s="116">
        <v>259.05</v>
      </c>
      <c r="G351">
        <v>6074</v>
      </c>
      <c r="H351" s="116"/>
      <c r="I351" s="116"/>
      <c r="L351" s="170">
        <v>42520</v>
      </c>
      <c r="M351" s="116">
        <v>129.44999999999999</v>
      </c>
      <c r="N351" s="116">
        <v>129.9</v>
      </c>
      <c r="O351" s="116">
        <v>125.175</v>
      </c>
      <c r="P351" s="116">
        <v>129.47499999999999</v>
      </c>
      <c r="Q351" s="116">
        <v>258.89999999999998</v>
      </c>
      <c r="R351">
        <v>41226</v>
      </c>
    </row>
    <row r="352" spans="1:18" x14ac:dyDescent="0.25">
      <c r="A352" s="170">
        <v>42521</v>
      </c>
      <c r="B352" s="116">
        <v>129.30000000000001</v>
      </c>
      <c r="C352" s="116">
        <v>127.27500000000001</v>
      </c>
      <c r="D352" s="116">
        <v>126.52500000000001</v>
      </c>
      <c r="E352" s="116">
        <v>128.69999999999999</v>
      </c>
      <c r="F352" s="116">
        <v>254.55</v>
      </c>
      <c r="G352">
        <v>8541</v>
      </c>
      <c r="H352" s="116"/>
      <c r="I352" s="116"/>
      <c r="L352" s="170">
        <v>42521</v>
      </c>
      <c r="M352" s="116">
        <v>127.325</v>
      </c>
      <c r="N352" s="116">
        <v>130</v>
      </c>
      <c r="O352" s="116">
        <v>126.575</v>
      </c>
      <c r="P352" s="116">
        <v>129.25</v>
      </c>
      <c r="Q352" s="116">
        <v>254.65</v>
      </c>
      <c r="R352">
        <v>42566</v>
      </c>
    </row>
    <row r="353" spans="1:18" x14ac:dyDescent="0.25">
      <c r="A353" s="170">
        <v>42522</v>
      </c>
      <c r="B353" s="116">
        <v>129.94999999999999</v>
      </c>
      <c r="C353" s="116">
        <v>126.7</v>
      </c>
      <c r="D353" s="116">
        <v>125.6</v>
      </c>
      <c r="E353" s="116">
        <v>126.1</v>
      </c>
      <c r="F353" s="116">
        <v>253.4</v>
      </c>
      <c r="G353">
        <v>9170</v>
      </c>
      <c r="H353" s="116"/>
      <c r="I353" s="116"/>
      <c r="L353" s="170">
        <v>42522</v>
      </c>
      <c r="M353" s="116">
        <v>127.175</v>
      </c>
      <c r="N353" s="116">
        <v>129.9</v>
      </c>
      <c r="O353" s="116">
        <v>125.8</v>
      </c>
      <c r="P353" s="116">
        <v>127</v>
      </c>
      <c r="Q353" s="116">
        <v>254.35</v>
      </c>
      <c r="R353">
        <v>44522</v>
      </c>
    </row>
    <row r="354" spans="1:18" x14ac:dyDescent="0.25">
      <c r="A354" s="170">
        <v>42523</v>
      </c>
      <c r="B354" s="116">
        <v>128</v>
      </c>
      <c r="C354" s="116">
        <v>127.05</v>
      </c>
      <c r="D354" s="116">
        <v>126.52500000000001</v>
      </c>
      <c r="E354" s="116">
        <v>126.75</v>
      </c>
      <c r="F354" s="116">
        <v>254.1</v>
      </c>
      <c r="G354">
        <v>1828</v>
      </c>
      <c r="H354" s="116"/>
      <c r="I354" s="116"/>
      <c r="L354" s="170">
        <v>42523</v>
      </c>
      <c r="M354" s="116">
        <v>126.97499999999999</v>
      </c>
      <c r="N354" s="116">
        <v>128.875</v>
      </c>
      <c r="O354" s="116">
        <v>126</v>
      </c>
      <c r="P354" s="116">
        <v>126</v>
      </c>
      <c r="Q354" s="116">
        <v>253.95</v>
      </c>
      <c r="R354">
        <v>33616</v>
      </c>
    </row>
    <row r="355" spans="1:18" x14ac:dyDescent="0.25">
      <c r="A355" s="170">
        <v>42524</v>
      </c>
      <c r="B355" s="116">
        <v>126.85</v>
      </c>
      <c r="C355" s="116">
        <v>124.45</v>
      </c>
      <c r="D355" s="116">
        <v>124</v>
      </c>
      <c r="E355" s="116">
        <v>126.85</v>
      </c>
      <c r="F355" s="116">
        <v>248.9</v>
      </c>
      <c r="G355">
        <v>4608</v>
      </c>
      <c r="H355" s="116"/>
      <c r="I355" s="116"/>
      <c r="L355" s="170">
        <v>42524</v>
      </c>
      <c r="M355" s="116">
        <v>124.25</v>
      </c>
      <c r="N355" s="116">
        <v>129</v>
      </c>
      <c r="O355" s="116">
        <v>124</v>
      </c>
      <c r="P355" s="116">
        <v>126.1</v>
      </c>
      <c r="Q355" s="116">
        <v>248.5</v>
      </c>
      <c r="R355">
        <v>54106</v>
      </c>
    </row>
    <row r="356" spans="1:18" x14ac:dyDescent="0.25">
      <c r="A356" s="170">
        <v>42527</v>
      </c>
      <c r="B356" s="116">
        <v>128.5</v>
      </c>
      <c r="C356" s="116">
        <v>122.125</v>
      </c>
      <c r="D356" s="116">
        <v>121.6</v>
      </c>
      <c r="E356" s="116">
        <v>124.5</v>
      </c>
      <c r="F356" s="116">
        <v>244.25</v>
      </c>
      <c r="G356">
        <v>10164</v>
      </c>
      <c r="H356" s="116"/>
      <c r="I356" s="116"/>
      <c r="L356" s="170">
        <v>42527</v>
      </c>
      <c r="M356" s="116">
        <v>122</v>
      </c>
      <c r="N356" s="116">
        <v>126</v>
      </c>
      <c r="O356" s="116">
        <v>121.575</v>
      </c>
      <c r="P356" s="116">
        <v>126</v>
      </c>
      <c r="Q356" s="116">
        <v>244</v>
      </c>
      <c r="R356">
        <v>57894</v>
      </c>
    </row>
    <row r="357" spans="1:18" x14ac:dyDescent="0.25">
      <c r="A357" s="170">
        <v>42528</v>
      </c>
      <c r="B357" s="116">
        <v>122.7</v>
      </c>
      <c r="C357" s="116">
        <v>122.325</v>
      </c>
      <c r="D357" s="116">
        <v>120.55</v>
      </c>
      <c r="E357" s="116">
        <v>120.55</v>
      </c>
      <c r="F357" s="116">
        <v>244.65</v>
      </c>
      <c r="G357">
        <v>5760</v>
      </c>
      <c r="H357" s="116"/>
      <c r="I357" s="116"/>
      <c r="L357" s="170">
        <v>42528</v>
      </c>
      <c r="M357" s="116">
        <v>122.4</v>
      </c>
      <c r="N357" s="116">
        <v>122.97499999999999</v>
      </c>
      <c r="O357" s="116">
        <v>121.5</v>
      </c>
      <c r="P357" s="116">
        <v>122.97499999999999</v>
      </c>
      <c r="Q357" s="116">
        <v>244.8</v>
      </c>
      <c r="R357">
        <v>41533</v>
      </c>
    </row>
    <row r="358" spans="1:18" x14ac:dyDescent="0.25">
      <c r="A358" s="170">
        <v>42529</v>
      </c>
      <c r="B358" s="116">
        <v>122.5</v>
      </c>
      <c r="C358" s="116">
        <v>122</v>
      </c>
      <c r="D358" s="116">
        <v>120.325</v>
      </c>
      <c r="E358" s="116">
        <v>120.325</v>
      </c>
      <c r="F358" s="116">
        <v>244</v>
      </c>
      <c r="G358">
        <v>9710</v>
      </c>
      <c r="H358" s="116"/>
      <c r="I358" s="116"/>
      <c r="L358" s="170">
        <v>42529</v>
      </c>
      <c r="M358" s="116">
        <v>122.27500000000001</v>
      </c>
      <c r="N358" s="116">
        <v>122.5</v>
      </c>
      <c r="O358" s="116">
        <v>121.6</v>
      </c>
      <c r="P358" s="116">
        <v>122</v>
      </c>
      <c r="Q358" s="116">
        <v>244.55</v>
      </c>
      <c r="R358">
        <v>36762</v>
      </c>
    </row>
    <row r="359" spans="1:18" x14ac:dyDescent="0.25">
      <c r="A359" s="170">
        <v>42530</v>
      </c>
      <c r="B359" s="116">
        <v>122.575</v>
      </c>
      <c r="C359" s="116">
        <v>121.925</v>
      </c>
      <c r="D359" s="116">
        <v>121.575</v>
      </c>
      <c r="E359" s="116">
        <v>122.5</v>
      </c>
      <c r="F359" s="116">
        <v>243.85</v>
      </c>
      <c r="G359">
        <v>4486</v>
      </c>
      <c r="H359" s="116"/>
      <c r="I359" s="116"/>
      <c r="L359" s="170">
        <v>42530</v>
      </c>
      <c r="M359" s="116">
        <v>121.8</v>
      </c>
      <c r="N359" s="116">
        <v>123.95</v>
      </c>
      <c r="O359" s="116">
        <v>121.625</v>
      </c>
      <c r="P359" s="116">
        <v>123.95</v>
      </c>
      <c r="Q359" s="116">
        <v>243.6</v>
      </c>
      <c r="R359">
        <v>33373</v>
      </c>
    </row>
    <row r="360" spans="1:18" x14ac:dyDescent="0.25">
      <c r="A360" s="170">
        <v>42531</v>
      </c>
      <c r="B360" s="116">
        <v>122.5</v>
      </c>
      <c r="C360" s="116">
        <v>121.55</v>
      </c>
      <c r="D360" s="116">
        <v>121.325</v>
      </c>
      <c r="E360" s="116">
        <v>122.2</v>
      </c>
      <c r="F360" s="116">
        <v>243.1</v>
      </c>
      <c r="G360">
        <v>6863</v>
      </c>
      <c r="H360" s="116"/>
      <c r="I360" s="116"/>
      <c r="L360" s="170">
        <v>42531</v>
      </c>
      <c r="M360" s="116">
        <v>121.72499999999999</v>
      </c>
      <c r="N360" s="116">
        <v>122.5</v>
      </c>
      <c r="O360" s="116">
        <v>121.5</v>
      </c>
      <c r="P360" s="116">
        <v>121.52500000000001</v>
      </c>
      <c r="Q360" s="116">
        <v>243.45</v>
      </c>
      <c r="R360">
        <v>37519</v>
      </c>
    </row>
    <row r="361" spans="1:18" x14ac:dyDescent="0.25">
      <c r="A361" s="170">
        <v>42534</v>
      </c>
      <c r="B361" s="116">
        <v>121.5</v>
      </c>
      <c r="C361" s="116">
        <v>120.625</v>
      </c>
      <c r="D361" s="116">
        <v>120.175</v>
      </c>
      <c r="E361" s="116">
        <v>120.25</v>
      </c>
      <c r="F361" s="116">
        <v>241.25</v>
      </c>
      <c r="G361">
        <v>15078</v>
      </c>
      <c r="H361" s="116"/>
      <c r="I361" s="116"/>
      <c r="L361" s="170">
        <v>42534</v>
      </c>
      <c r="M361" s="116">
        <v>120.72499999999999</v>
      </c>
      <c r="N361" s="116">
        <v>122.5</v>
      </c>
      <c r="O361" s="116">
        <v>120.25</v>
      </c>
      <c r="P361" s="116">
        <v>122.47499999999999</v>
      </c>
      <c r="Q361" s="116">
        <v>241.45</v>
      </c>
      <c r="R361">
        <v>842708</v>
      </c>
    </row>
    <row r="362" spans="1:18" x14ac:dyDescent="0.25">
      <c r="A362" s="170">
        <v>42535</v>
      </c>
      <c r="B362" s="116">
        <v>122.5</v>
      </c>
      <c r="C362" s="116">
        <v>121.8</v>
      </c>
      <c r="D362" s="116">
        <v>120.02500000000001</v>
      </c>
      <c r="E362" s="116">
        <v>120.02500000000001</v>
      </c>
      <c r="F362" s="116">
        <v>243.6</v>
      </c>
      <c r="G362">
        <v>27892</v>
      </c>
      <c r="H362" s="116"/>
      <c r="I362" s="116"/>
      <c r="L362" s="170">
        <v>42535</v>
      </c>
      <c r="M362" s="116">
        <v>121.85</v>
      </c>
      <c r="N362" s="116">
        <v>122.5</v>
      </c>
      <c r="O362" s="116">
        <v>119.85</v>
      </c>
      <c r="P362" s="116">
        <v>120.97499999999999</v>
      </c>
      <c r="Q362" s="116">
        <v>243.7</v>
      </c>
      <c r="R362">
        <v>108374</v>
      </c>
    </row>
    <row r="363" spans="1:18" x14ac:dyDescent="0.25">
      <c r="A363" s="170">
        <v>42536</v>
      </c>
      <c r="B363" s="116">
        <v>122.5</v>
      </c>
      <c r="C363" s="116">
        <v>121.2</v>
      </c>
      <c r="D363" s="116">
        <v>120.6</v>
      </c>
      <c r="E363" s="116">
        <v>121.45</v>
      </c>
      <c r="F363" s="116">
        <v>242.4</v>
      </c>
      <c r="G363">
        <v>13190</v>
      </c>
      <c r="H363" s="116"/>
      <c r="I363" s="116"/>
      <c r="L363" s="170">
        <v>42536</v>
      </c>
      <c r="M363" s="116">
        <v>121.075</v>
      </c>
      <c r="N363" s="116">
        <v>122.5</v>
      </c>
      <c r="O363" s="116">
        <v>120.6</v>
      </c>
      <c r="P363" s="116">
        <v>122</v>
      </c>
      <c r="Q363" s="116">
        <v>242.15</v>
      </c>
      <c r="R363">
        <v>68792</v>
      </c>
    </row>
    <row r="364" spans="1:18" x14ac:dyDescent="0.25">
      <c r="A364" s="170">
        <v>42537</v>
      </c>
      <c r="B364" s="116">
        <v>120.75</v>
      </c>
      <c r="C364" s="116">
        <v>120</v>
      </c>
      <c r="D364" s="116">
        <v>119.5</v>
      </c>
      <c r="E364" s="116">
        <v>120.75</v>
      </c>
      <c r="F364" s="116">
        <v>240</v>
      </c>
      <c r="G364">
        <v>41838</v>
      </c>
      <c r="H364" s="116"/>
      <c r="I364" s="116"/>
      <c r="L364" s="170">
        <v>42537</v>
      </c>
      <c r="M364" s="116">
        <v>120.02500000000001</v>
      </c>
      <c r="N364" s="116">
        <v>121.47499999999999</v>
      </c>
      <c r="O364" s="116">
        <v>119.5</v>
      </c>
      <c r="P364" s="116">
        <v>121.47499999999999</v>
      </c>
      <c r="Q364" s="116">
        <v>240.05</v>
      </c>
      <c r="R364">
        <v>393856</v>
      </c>
    </row>
    <row r="365" spans="1:18" x14ac:dyDescent="0.25">
      <c r="A365" s="170">
        <v>42538</v>
      </c>
      <c r="B365" s="116">
        <v>122.25</v>
      </c>
      <c r="C365" s="116">
        <v>121.27500000000001</v>
      </c>
      <c r="D365" s="116">
        <v>120</v>
      </c>
      <c r="E365" s="116">
        <v>120</v>
      </c>
      <c r="F365" s="116">
        <v>242.55</v>
      </c>
      <c r="G365">
        <v>8697</v>
      </c>
      <c r="H365" s="116"/>
      <c r="I365" s="116"/>
      <c r="L365" s="170">
        <v>42538</v>
      </c>
      <c r="M365" s="116">
        <v>121.4</v>
      </c>
      <c r="N365" s="116">
        <v>122.175</v>
      </c>
      <c r="O365" s="116">
        <v>120.15</v>
      </c>
      <c r="P365" s="116">
        <v>120.15</v>
      </c>
      <c r="Q365" s="116">
        <v>242.8</v>
      </c>
      <c r="R365">
        <v>36261</v>
      </c>
    </row>
    <row r="366" spans="1:18" x14ac:dyDescent="0.25">
      <c r="A366" s="170">
        <v>42541</v>
      </c>
      <c r="B366" s="116">
        <v>121.5</v>
      </c>
      <c r="C366" s="116">
        <v>120.925</v>
      </c>
      <c r="D366" s="116">
        <v>120</v>
      </c>
      <c r="E366" s="116">
        <v>120.5</v>
      </c>
      <c r="F366" s="116">
        <v>241.85</v>
      </c>
      <c r="G366">
        <v>16476</v>
      </c>
      <c r="H366" s="116"/>
      <c r="I366" s="116"/>
      <c r="L366" s="170">
        <v>42541</v>
      </c>
      <c r="M366" s="116">
        <v>120.875</v>
      </c>
      <c r="N366" s="116">
        <v>121.9</v>
      </c>
      <c r="O366" s="116">
        <v>120</v>
      </c>
      <c r="P366" s="116">
        <v>121.9</v>
      </c>
      <c r="Q366" s="116">
        <v>241.75</v>
      </c>
      <c r="R366">
        <v>33334</v>
      </c>
    </row>
    <row r="367" spans="1:18" x14ac:dyDescent="0.25">
      <c r="A367" s="170">
        <v>42542</v>
      </c>
      <c r="B367" s="116">
        <v>121.35</v>
      </c>
      <c r="C367" s="116">
        <v>119.97499999999999</v>
      </c>
      <c r="D367" s="116">
        <v>119.75</v>
      </c>
      <c r="E367" s="116">
        <v>120.5</v>
      </c>
      <c r="F367" s="116">
        <v>239.95</v>
      </c>
      <c r="G367">
        <v>4531</v>
      </c>
      <c r="H367" s="116"/>
      <c r="I367" s="116"/>
      <c r="L367" s="170">
        <v>42542</v>
      </c>
      <c r="M367" s="116">
        <v>119.95</v>
      </c>
      <c r="N367" s="116">
        <v>121.8</v>
      </c>
      <c r="O367" s="116">
        <v>119.5</v>
      </c>
      <c r="P367" s="116">
        <v>121</v>
      </c>
      <c r="Q367" s="116">
        <v>239.9</v>
      </c>
      <c r="R367">
        <v>36133</v>
      </c>
    </row>
    <row r="368" spans="1:18" x14ac:dyDescent="0.25">
      <c r="A368" s="170">
        <v>42543</v>
      </c>
      <c r="B368" s="116">
        <v>120.97499999999999</v>
      </c>
      <c r="C368" s="116">
        <v>119.02500000000001</v>
      </c>
      <c r="D368" s="116">
        <v>118</v>
      </c>
      <c r="E368" s="116">
        <v>119.25</v>
      </c>
      <c r="F368" s="116">
        <v>238.05</v>
      </c>
      <c r="G368">
        <v>18387</v>
      </c>
      <c r="H368" s="116"/>
      <c r="I368" s="116"/>
      <c r="L368" s="170">
        <v>42543</v>
      </c>
      <c r="M368" s="116">
        <v>119.05</v>
      </c>
      <c r="N368" s="116">
        <v>120.825</v>
      </c>
      <c r="O368" s="116">
        <v>118</v>
      </c>
      <c r="P368" s="116">
        <v>120</v>
      </c>
      <c r="Q368" s="116">
        <v>238.1</v>
      </c>
      <c r="R368">
        <v>85244</v>
      </c>
    </row>
    <row r="369" spans="1:18" x14ac:dyDescent="0.25">
      <c r="A369" s="170">
        <v>42544</v>
      </c>
      <c r="B369" s="116">
        <v>119.75</v>
      </c>
      <c r="C369" s="116">
        <v>119.22499999999999</v>
      </c>
      <c r="D369" s="116">
        <v>118.55</v>
      </c>
      <c r="E369" s="116">
        <v>118.55</v>
      </c>
      <c r="F369" s="116">
        <v>238.45</v>
      </c>
      <c r="G369">
        <v>3596</v>
      </c>
      <c r="H369" s="116"/>
      <c r="I369" s="116"/>
      <c r="L369" s="170">
        <v>42544</v>
      </c>
      <c r="M369" s="116">
        <v>119.3</v>
      </c>
      <c r="N369" s="116">
        <v>119.925</v>
      </c>
      <c r="O369" s="116">
        <v>118.575</v>
      </c>
      <c r="P369" s="116">
        <v>119.47499999999999</v>
      </c>
      <c r="Q369" s="116">
        <v>238.6</v>
      </c>
      <c r="R369">
        <v>26434</v>
      </c>
    </row>
    <row r="370" spans="1:18" x14ac:dyDescent="0.25">
      <c r="A370" s="170">
        <v>42545</v>
      </c>
      <c r="B370" s="116">
        <v>118.95</v>
      </c>
      <c r="C370" s="116">
        <v>118.15</v>
      </c>
      <c r="D370" s="116">
        <v>115.5</v>
      </c>
      <c r="E370" s="116">
        <v>117.65</v>
      </c>
      <c r="F370" s="116">
        <v>236.3</v>
      </c>
      <c r="G370">
        <v>17034</v>
      </c>
      <c r="H370" s="116"/>
      <c r="I370" s="116"/>
      <c r="L370" s="170">
        <v>42545</v>
      </c>
      <c r="M370" s="116">
        <v>117.925</v>
      </c>
      <c r="N370" s="116">
        <v>118.77500000000001</v>
      </c>
      <c r="O370" s="116">
        <v>115.65</v>
      </c>
      <c r="P370" s="116">
        <v>117.5</v>
      </c>
      <c r="Q370" s="116">
        <v>235.85</v>
      </c>
      <c r="R370">
        <v>151514</v>
      </c>
    </row>
    <row r="371" spans="1:18" x14ac:dyDescent="0.25">
      <c r="A371" s="170">
        <v>42548</v>
      </c>
      <c r="B371" s="116">
        <v>130.4</v>
      </c>
      <c r="C371" s="116">
        <v>125.075</v>
      </c>
      <c r="D371" s="116">
        <v>120.02500000000001</v>
      </c>
      <c r="E371" s="116">
        <v>122.5</v>
      </c>
      <c r="F371" s="116">
        <v>250.15</v>
      </c>
      <c r="G371">
        <v>140156</v>
      </c>
      <c r="H371" s="116"/>
      <c r="I371" s="116"/>
      <c r="L371" s="170">
        <v>42548</v>
      </c>
      <c r="M371" s="116">
        <v>125.05</v>
      </c>
      <c r="N371" s="116">
        <v>130.5</v>
      </c>
      <c r="O371" s="116">
        <v>121</v>
      </c>
      <c r="P371" s="116">
        <v>124.375</v>
      </c>
      <c r="Q371" s="116">
        <v>250.1</v>
      </c>
      <c r="R371">
        <v>611915</v>
      </c>
    </row>
    <row r="372" spans="1:18" x14ac:dyDescent="0.25">
      <c r="A372" s="170">
        <v>42549</v>
      </c>
      <c r="B372" s="116">
        <v>126.97499999999999</v>
      </c>
      <c r="C372" s="116">
        <v>123.27500000000001</v>
      </c>
      <c r="D372" s="116">
        <v>122.8</v>
      </c>
      <c r="E372" s="116">
        <v>125.97499999999999</v>
      </c>
      <c r="F372" s="116">
        <v>246.55</v>
      </c>
      <c r="G372">
        <v>22454</v>
      </c>
      <c r="H372" s="116"/>
      <c r="I372" s="116"/>
      <c r="L372" s="170">
        <v>42549</v>
      </c>
      <c r="M372" s="116">
        <v>123.375</v>
      </c>
      <c r="N372" s="116">
        <v>126.825</v>
      </c>
      <c r="O372" s="116">
        <v>122.75</v>
      </c>
      <c r="P372" s="116">
        <v>125.325</v>
      </c>
      <c r="Q372" s="116">
        <v>246.75</v>
      </c>
      <c r="R372">
        <v>109936</v>
      </c>
    </row>
    <row r="373" spans="1:18" x14ac:dyDescent="0.25">
      <c r="A373" s="170">
        <v>42550</v>
      </c>
      <c r="B373" s="116">
        <v>127.325</v>
      </c>
      <c r="C373" s="116">
        <v>125.6</v>
      </c>
      <c r="D373" s="116">
        <v>122.9</v>
      </c>
      <c r="E373" s="116">
        <v>123.45</v>
      </c>
      <c r="F373" s="116">
        <v>251.2</v>
      </c>
      <c r="G373">
        <v>21897</v>
      </c>
      <c r="H373" s="116"/>
      <c r="I373" s="116"/>
      <c r="L373" s="170">
        <v>42550</v>
      </c>
      <c r="M373" s="116">
        <v>125.97499999999999</v>
      </c>
      <c r="N373" s="116">
        <v>127.5</v>
      </c>
      <c r="O373" s="116">
        <v>122.75</v>
      </c>
      <c r="P373" s="116">
        <v>122.75</v>
      </c>
      <c r="Q373" s="116">
        <v>251.95</v>
      </c>
      <c r="R373">
        <v>157403</v>
      </c>
    </row>
    <row r="374" spans="1:18" x14ac:dyDescent="0.25">
      <c r="A374" s="170">
        <v>42551</v>
      </c>
      <c r="B374" s="116">
        <v>127</v>
      </c>
      <c r="C374" s="116">
        <v>125.22499999999999</v>
      </c>
      <c r="D374" s="116">
        <v>124.8</v>
      </c>
      <c r="E374" s="116">
        <v>126.47499999999999</v>
      </c>
      <c r="F374" s="116">
        <v>250.45</v>
      </c>
      <c r="G374">
        <v>14544</v>
      </c>
      <c r="H374" s="116"/>
      <c r="I374" s="116"/>
      <c r="L374" s="170">
        <v>42551</v>
      </c>
      <c r="M374" s="116">
        <v>125.3</v>
      </c>
      <c r="N374" s="116">
        <v>126.95</v>
      </c>
      <c r="O374" s="116">
        <v>124.75</v>
      </c>
      <c r="P374" s="116">
        <v>126.175</v>
      </c>
      <c r="Q374" s="116">
        <v>250.6</v>
      </c>
      <c r="R374">
        <v>73146</v>
      </c>
    </row>
    <row r="375" spans="1:18" x14ac:dyDescent="0.25">
      <c r="A375" s="170">
        <v>42552</v>
      </c>
      <c r="B375" s="116">
        <v>126.47499999999999</v>
      </c>
      <c r="C375" s="116">
        <v>124.77500000000001</v>
      </c>
      <c r="D375" s="116">
        <v>124.05</v>
      </c>
      <c r="E375" s="116">
        <v>125.45</v>
      </c>
      <c r="F375" s="116">
        <v>249.55</v>
      </c>
      <c r="G375">
        <v>10892</v>
      </c>
      <c r="H375" s="116"/>
      <c r="I375" s="116"/>
      <c r="L375" s="170">
        <v>42552</v>
      </c>
      <c r="M375" s="116">
        <v>125</v>
      </c>
      <c r="N375" s="116">
        <v>126.25</v>
      </c>
      <c r="O375" s="116">
        <v>124</v>
      </c>
      <c r="P375" s="116">
        <v>125.52500000000001</v>
      </c>
      <c r="Q375" s="116">
        <v>250</v>
      </c>
      <c r="R375">
        <v>79006</v>
      </c>
    </row>
    <row r="376" spans="1:18" x14ac:dyDescent="0.25">
      <c r="A376" s="170">
        <v>42555</v>
      </c>
      <c r="B376" s="116">
        <v>127.4</v>
      </c>
      <c r="C376" s="116">
        <v>126.9</v>
      </c>
      <c r="D376" s="116">
        <v>125.27500000000001</v>
      </c>
      <c r="E376" s="116">
        <v>125.4</v>
      </c>
      <c r="F376" s="116">
        <v>253.8</v>
      </c>
      <c r="G376">
        <v>18765</v>
      </c>
      <c r="H376" s="116"/>
      <c r="I376" s="116"/>
      <c r="L376" s="170">
        <v>42555</v>
      </c>
      <c r="M376" s="116">
        <v>126.675</v>
      </c>
      <c r="N376" s="116">
        <v>127.4</v>
      </c>
      <c r="O376" s="116">
        <v>124.55</v>
      </c>
      <c r="P376" s="116">
        <v>125.2</v>
      </c>
      <c r="Q376" s="116">
        <v>253.35</v>
      </c>
      <c r="R376">
        <v>88360</v>
      </c>
    </row>
    <row r="377" spans="1:18" x14ac:dyDescent="0.25">
      <c r="A377" s="170">
        <v>42556</v>
      </c>
      <c r="B377" s="116">
        <v>126.97499999999999</v>
      </c>
      <c r="C377" s="116">
        <v>126.45</v>
      </c>
      <c r="D377" s="116">
        <v>125.22499999999999</v>
      </c>
      <c r="E377" s="116">
        <v>126.02500000000001</v>
      </c>
      <c r="F377" s="116">
        <v>252.9</v>
      </c>
      <c r="G377">
        <v>11731</v>
      </c>
      <c r="H377" s="116"/>
      <c r="I377" s="116"/>
      <c r="L377" s="170">
        <v>42556</v>
      </c>
      <c r="M377" s="116">
        <v>126.7</v>
      </c>
      <c r="N377" s="116">
        <v>126.97499999999999</v>
      </c>
      <c r="O377" s="116">
        <v>125.575</v>
      </c>
      <c r="P377" s="116">
        <v>126.175</v>
      </c>
      <c r="Q377" s="116">
        <v>253.4</v>
      </c>
      <c r="R377">
        <v>28709</v>
      </c>
    </row>
    <row r="378" spans="1:18" x14ac:dyDescent="0.25">
      <c r="A378" s="170">
        <v>42558</v>
      </c>
      <c r="B378" s="116">
        <v>128.94999999999999</v>
      </c>
      <c r="C378" s="116">
        <v>127.4</v>
      </c>
      <c r="D378" s="116">
        <v>126.65</v>
      </c>
      <c r="E378" s="116">
        <v>126.97499999999999</v>
      </c>
      <c r="F378" s="116">
        <v>254.8</v>
      </c>
      <c r="G378">
        <v>12356</v>
      </c>
      <c r="H378" s="116"/>
      <c r="I378" s="116"/>
      <c r="L378" s="170">
        <v>42558</v>
      </c>
      <c r="M378" s="116">
        <v>127.47499999999999</v>
      </c>
      <c r="N378" s="116">
        <v>128.9</v>
      </c>
      <c r="O378" s="116">
        <v>126.5</v>
      </c>
      <c r="P378" s="116">
        <v>126.675</v>
      </c>
      <c r="Q378" s="116">
        <v>254.95</v>
      </c>
      <c r="R378">
        <v>100444</v>
      </c>
    </row>
    <row r="379" spans="1:18" x14ac:dyDescent="0.25">
      <c r="A379" s="170">
        <v>42559</v>
      </c>
      <c r="B379" s="116">
        <v>129.69999999999999</v>
      </c>
      <c r="C379" s="116">
        <v>129.05000000000001</v>
      </c>
      <c r="D379" s="116">
        <v>126.5</v>
      </c>
      <c r="E379" s="116">
        <v>127</v>
      </c>
      <c r="F379" s="116">
        <v>258.10000000000002</v>
      </c>
      <c r="G379">
        <v>19399</v>
      </c>
      <c r="H379" s="116"/>
      <c r="I379" s="116"/>
      <c r="L379" s="170">
        <v>42559</v>
      </c>
      <c r="M379" s="116">
        <v>129.1</v>
      </c>
      <c r="N379" s="116">
        <v>129.80000000000001</v>
      </c>
      <c r="O379" s="116">
        <v>126.3</v>
      </c>
      <c r="P379" s="116">
        <v>127.25</v>
      </c>
      <c r="Q379" s="116">
        <v>258.2</v>
      </c>
      <c r="R379">
        <v>65987</v>
      </c>
    </row>
    <row r="380" spans="1:18" x14ac:dyDescent="0.25">
      <c r="A380" s="170">
        <v>42562</v>
      </c>
      <c r="B380" s="116">
        <v>130.625</v>
      </c>
      <c r="C380" s="116">
        <v>129.42500000000001</v>
      </c>
      <c r="D380" s="116">
        <v>128.27500000000001</v>
      </c>
      <c r="E380" s="116">
        <v>130</v>
      </c>
      <c r="F380" s="116">
        <v>258.85000000000002</v>
      </c>
      <c r="G380">
        <v>14906</v>
      </c>
      <c r="H380" s="116"/>
      <c r="I380" s="116"/>
      <c r="L380" s="170">
        <v>42562</v>
      </c>
      <c r="M380" s="116">
        <v>129.9</v>
      </c>
      <c r="N380" s="116">
        <v>130.5</v>
      </c>
      <c r="O380" s="116">
        <v>128.57499999999999</v>
      </c>
      <c r="P380" s="116">
        <v>129.5</v>
      </c>
      <c r="Q380" s="116">
        <v>259.8</v>
      </c>
      <c r="R380">
        <v>279981</v>
      </c>
    </row>
    <row r="381" spans="1:18" x14ac:dyDescent="0.25">
      <c r="A381" s="170">
        <v>42563</v>
      </c>
      <c r="B381" s="116">
        <v>130.35</v>
      </c>
      <c r="C381" s="116">
        <v>129.85</v>
      </c>
      <c r="D381" s="116">
        <v>127.77500000000001</v>
      </c>
      <c r="E381" s="116">
        <v>130.35</v>
      </c>
      <c r="F381" s="116">
        <v>259.7</v>
      </c>
      <c r="G381">
        <v>20197</v>
      </c>
      <c r="H381" s="116"/>
      <c r="I381" s="116"/>
      <c r="L381" s="170">
        <v>42563</v>
      </c>
      <c r="M381" s="116">
        <v>129.69999999999999</v>
      </c>
      <c r="N381" s="116">
        <v>130.82499999999999</v>
      </c>
      <c r="O381" s="116">
        <v>127.5</v>
      </c>
      <c r="P381" s="116">
        <v>130.82499999999999</v>
      </c>
      <c r="Q381" s="116">
        <v>259.39999999999998</v>
      </c>
      <c r="R381">
        <v>67671</v>
      </c>
    </row>
    <row r="382" spans="1:18" x14ac:dyDescent="0.25">
      <c r="A382" s="170">
        <v>42564</v>
      </c>
      <c r="B382" s="116">
        <v>130</v>
      </c>
      <c r="C382" s="116">
        <v>129.80000000000001</v>
      </c>
      <c r="D382" s="116">
        <v>128.5</v>
      </c>
      <c r="E382" s="116">
        <v>129.47499999999999</v>
      </c>
      <c r="F382" s="116">
        <v>259.60000000000002</v>
      </c>
      <c r="G382">
        <v>7971</v>
      </c>
      <c r="H382" s="116"/>
      <c r="I382" s="116"/>
      <c r="L382" s="170">
        <v>42564</v>
      </c>
      <c r="M382" s="116">
        <v>129.67500000000001</v>
      </c>
      <c r="N382" s="116">
        <v>130.02500000000001</v>
      </c>
      <c r="O382" s="116">
        <v>128.42500000000001</v>
      </c>
      <c r="P382" s="116">
        <v>128.52500000000001</v>
      </c>
      <c r="Q382" s="116">
        <v>259.35000000000002</v>
      </c>
      <c r="R382">
        <v>74978</v>
      </c>
    </row>
    <row r="383" spans="1:18" x14ac:dyDescent="0.25">
      <c r="A383" s="170">
        <v>42565</v>
      </c>
      <c r="B383" s="116">
        <v>131.94999999999999</v>
      </c>
      <c r="C383" s="116">
        <v>131.55000000000001</v>
      </c>
      <c r="D383" s="116">
        <v>128.80000000000001</v>
      </c>
      <c r="E383" s="116">
        <v>129.02500000000001</v>
      </c>
      <c r="F383" s="116">
        <v>263.10000000000002</v>
      </c>
      <c r="G383">
        <v>28569</v>
      </c>
      <c r="H383" s="116"/>
      <c r="I383" s="116"/>
      <c r="L383" s="170">
        <v>42565</v>
      </c>
      <c r="M383" s="116">
        <v>131.57499999999999</v>
      </c>
      <c r="N383" s="116">
        <v>131.97499999999999</v>
      </c>
      <c r="O383" s="116">
        <v>128.94999999999999</v>
      </c>
      <c r="P383" s="116">
        <v>130.22499999999999</v>
      </c>
      <c r="Q383" s="116">
        <v>263.14999999999998</v>
      </c>
      <c r="R383">
        <v>74617</v>
      </c>
    </row>
    <row r="384" spans="1:18" x14ac:dyDescent="0.25">
      <c r="A384" s="170">
        <v>42566</v>
      </c>
      <c r="B384" s="116">
        <v>132.5</v>
      </c>
      <c r="C384" s="116">
        <v>131.02500000000001</v>
      </c>
      <c r="D384" s="116">
        <v>129.55000000000001</v>
      </c>
      <c r="E384" s="116">
        <v>132</v>
      </c>
      <c r="F384" s="116">
        <v>262.05</v>
      </c>
      <c r="G384">
        <v>8882</v>
      </c>
      <c r="H384" s="116"/>
      <c r="I384" s="116"/>
      <c r="L384" s="170">
        <v>42566</v>
      </c>
      <c r="M384" s="116">
        <v>131.25</v>
      </c>
      <c r="N384" s="116">
        <v>132.69999999999999</v>
      </c>
      <c r="O384" s="116">
        <v>129.5</v>
      </c>
      <c r="P384" s="116">
        <v>130.02500000000001</v>
      </c>
      <c r="Q384" s="116">
        <v>262.5</v>
      </c>
      <c r="R384">
        <v>49711</v>
      </c>
    </row>
    <row r="385" spans="1:18" x14ac:dyDescent="0.25">
      <c r="A385" s="170">
        <v>42569</v>
      </c>
      <c r="B385" s="116">
        <v>135.82499999999999</v>
      </c>
      <c r="C385" s="116">
        <v>132.69999999999999</v>
      </c>
      <c r="D385" s="116">
        <v>129.875</v>
      </c>
      <c r="E385" s="116">
        <v>133.44999999999999</v>
      </c>
      <c r="F385" s="116">
        <v>265.39999999999998</v>
      </c>
      <c r="G385">
        <v>43379</v>
      </c>
      <c r="H385" s="116"/>
      <c r="I385" s="116"/>
      <c r="L385" s="170">
        <v>42569</v>
      </c>
      <c r="M385" s="116">
        <v>133.25</v>
      </c>
      <c r="N385" s="116">
        <v>136</v>
      </c>
      <c r="O385" s="116">
        <v>129.52500000000001</v>
      </c>
      <c r="P385" s="116">
        <v>129.94999999999999</v>
      </c>
      <c r="Q385" s="116">
        <v>266.5</v>
      </c>
      <c r="R385">
        <v>263016</v>
      </c>
    </row>
    <row r="386" spans="1:18" x14ac:dyDescent="0.25">
      <c r="A386" s="170">
        <v>42570</v>
      </c>
      <c r="B386" s="116">
        <v>134</v>
      </c>
      <c r="C386" s="116">
        <v>131.125</v>
      </c>
      <c r="D386" s="116">
        <v>130.5</v>
      </c>
      <c r="E386" s="116">
        <v>133.19999999999999</v>
      </c>
      <c r="F386" s="116">
        <v>262.25</v>
      </c>
      <c r="G386">
        <v>9938</v>
      </c>
      <c r="H386" s="116"/>
      <c r="I386" s="116"/>
      <c r="L386" s="170">
        <v>42570</v>
      </c>
      <c r="M386" s="116">
        <v>131.44999999999999</v>
      </c>
      <c r="N386" s="116">
        <v>134.4</v>
      </c>
      <c r="O386" s="116">
        <v>131.125</v>
      </c>
      <c r="P386" s="116">
        <v>131.5</v>
      </c>
      <c r="Q386" s="116">
        <v>262.89999999999998</v>
      </c>
      <c r="R386">
        <v>62693</v>
      </c>
    </row>
    <row r="387" spans="1:18" x14ac:dyDescent="0.25">
      <c r="A387" s="170">
        <v>42571</v>
      </c>
      <c r="B387" s="116">
        <v>132.25</v>
      </c>
      <c r="C387" s="116">
        <v>130.92500000000001</v>
      </c>
      <c r="D387" s="116">
        <v>130.44999999999999</v>
      </c>
      <c r="E387" s="116">
        <v>132.17500000000001</v>
      </c>
      <c r="F387" s="116">
        <v>261.85000000000002</v>
      </c>
      <c r="G387">
        <v>7314</v>
      </c>
      <c r="H387" s="116"/>
      <c r="I387" s="116"/>
      <c r="L387" s="170">
        <v>42571</v>
      </c>
      <c r="M387" s="116">
        <v>131.27500000000001</v>
      </c>
      <c r="N387" s="116">
        <v>132.5</v>
      </c>
      <c r="O387" s="116">
        <v>130.25</v>
      </c>
      <c r="P387" s="116">
        <v>131.125</v>
      </c>
      <c r="Q387" s="116">
        <v>262.55</v>
      </c>
      <c r="R387">
        <v>29638</v>
      </c>
    </row>
    <row r="388" spans="1:18" x14ac:dyDescent="0.25">
      <c r="A388" s="170">
        <v>42572</v>
      </c>
      <c r="B388" s="116">
        <v>133</v>
      </c>
      <c r="C388" s="116">
        <v>131.97499999999999</v>
      </c>
      <c r="D388" s="116">
        <v>131</v>
      </c>
      <c r="E388" s="116">
        <v>131.27500000000001</v>
      </c>
      <c r="F388" s="116">
        <v>263.95</v>
      </c>
      <c r="G388">
        <v>6747</v>
      </c>
      <c r="H388" s="116"/>
      <c r="I388" s="116"/>
      <c r="L388" s="170">
        <v>42572</v>
      </c>
      <c r="M388" s="116">
        <v>131.97499999999999</v>
      </c>
      <c r="N388" s="116">
        <v>133.35</v>
      </c>
      <c r="O388" s="116">
        <v>130</v>
      </c>
      <c r="P388" s="116">
        <v>131</v>
      </c>
      <c r="Q388" s="116">
        <v>263.95</v>
      </c>
      <c r="R388">
        <v>52366</v>
      </c>
    </row>
    <row r="389" spans="1:18" x14ac:dyDescent="0.25">
      <c r="A389" s="170">
        <v>42573</v>
      </c>
      <c r="B389" s="116">
        <v>133.94999999999999</v>
      </c>
      <c r="C389" s="116">
        <v>133.4</v>
      </c>
      <c r="D389" s="116">
        <v>131.125</v>
      </c>
      <c r="E389" s="116">
        <v>132.25</v>
      </c>
      <c r="F389" s="116">
        <v>266.8</v>
      </c>
      <c r="G389">
        <v>8049</v>
      </c>
      <c r="H389" s="116"/>
      <c r="I389" s="116"/>
      <c r="L389" s="170">
        <v>42573</v>
      </c>
      <c r="M389" s="116">
        <v>133.72499999999999</v>
      </c>
      <c r="N389" s="116">
        <v>134.07499999999999</v>
      </c>
      <c r="O389" s="116">
        <v>132</v>
      </c>
      <c r="P389" s="116">
        <v>133.47499999999999</v>
      </c>
      <c r="Q389" s="116">
        <v>267.45</v>
      </c>
      <c r="R389">
        <v>31302</v>
      </c>
    </row>
    <row r="390" spans="1:18" x14ac:dyDescent="0.25">
      <c r="A390" s="170">
        <v>42576</v>
      </c>
      <c r="B390" s="116">
        <v>135.94999999999999</v>
      </c>
      <c r="C390" s="116">
        <v>133.94999999999999</v>
      </c>
      <c r="D390" s="116">
        <v>132.80000000000001</v>
      </c>
      <c r="E390" s="116">
        <v>135.25</v>
      </c>
      <c r="F390" s="116">
        <v>267.89999999999998</v>
      </c>
      <c r="G390">
        <v>13324</v>
      </c>
      <c r="H390" s="116"/>
      <c r="I390" s="116"/>
      <c r="L390" s="170">
        <v>42576</v>
      </c>
      <c r="M390" s="116">
        <v>134.17500000000001</v>
      </c>
      <c r="N390" s="116">
        <v>136.02500000000001</v>
      </c>
      <c r="O390" s="116">
        <v>132.4</v>
      </c>
      <c r="P390" s="116">
        <v>133.55000000000001</v>
      </c>
      <c r="Q390" s="116">
        <v>268.35000000000002</v>
      </c>
      <c r="R390">
        <v>72012</v>
      </c>
    </row>
    <row r="391" spans="1:18" x14ac:dyDescent="0.25">
      <c r="A391" s="170">
        <v>42577</v>
      </c>
      <c r="B391" s="116">
        <v>138.19999999999999</v>
      </c>
      <c r="C391" s="116">
        <v>135.82499999999999</v>
      </c>
      <c r="D391" s="116">
        <v>134.875</v>
      </c>
      <c r="E391" s="116">
        <v>136.94999999999999</v>
      </c>
      <c r="F391" s="116">
        <v>271.64999999999998</v>
      </c>
      <c r="G391">
        <v>23991</v>
      </c>
      <c r="H391" s="116"/>
      <c r="I391" s="116"/>
      <c r="L391" s="170">
        <v>42577</v>
      </c>
      <c r="M391" s="116">
        <v>135.6</v>
      </c>
      <c r="N391" s="116">
        <v>138.25</v>
      </c>
      <c r="O391" s="116">
        <v>134.55000000000001</v>
      </c>
      <c r="P391" s="116">
        <v>136</v>
      </c>
      <c r="Q391" s="116">
        <v>271.2</v>
      </c>
      <c r="R391">
        <v>120224</v>
      </c>
    </row>
    <row r="392" spans="1:18" x14ac:dyDescent="0.25">
      <c r="A392" s="170">
        <v>42578</v>
      </c>
      <c r="B392" s="116">
        <v>137.80000000000001</v>
      </c>
      <c r="C392" s="116">
        <v>136.65</v>
      </c>
      <c r="D392" s="116">
        <v>135.57499999999999</v>
      </c>
      <c r="E392" s="116">
        <v>137.80000000000001</v>
      </c>
      <c r="F392" s="116">
        <v>273.3</v>
      </c>
      <c r="G392">
        <v>3827</v>
      </c>
      <c r="H392" s="116"/>
      <c r="I392" s="116"/>
      <c r="L392" s="170">
        <v>42578</v>
      </c>
      <c r="M392" s="116">
        <v>136.30000000000001</v>
      </c>
      <c r="N392" s="116">
        <v>137.5</v>
      </c>
      <c r="O392" s="116">
        <v>135.80000000000001</v>
      </c>
      <c r="P392" s="116">
        <v>137.44999999999999</v>
      </c>
      <c r="Q392" s="116">
        <v>272.60000000000002</v>
      </c>
      <c r="R392">
        <v>36435</v>
      </c>
    </row>
    <row r="393" spans="1:18" x14ac:dyDescent="0.25">
      <c r="A393" s="170">
        <v>42579</v>
      </c>
      <c r="B393" s="116">
        <v>137.97499999999999</v>
      </c>
      <c r="C393" s="116">
        <v>137.17500000000001</v>
      </c>
      <c r="D393" s="116">
        <v>136.02500000000001</v>
      </c>
      <c r="E393" s="116">
        <v>137.44999999999999</v>
      </c>
      <c r="F393" s="116">
        <v>274.35000000000002</v>
      </c>
      <c r="G393">
        <v>16157</v>
      </c>
      <c r="H393" s="116"/>
      <c r="I393" s="116"/>
      <c r="L393" s="170">
        <v>42579</v>
      </c>
      <c r="M393" s="116">
        <v>137.77500000000001</v>
      </c>
      <c r="N393" s="116">
        <v>138.07499999999999</v>
      </c>
      <c r="O393" s="116">
        <v>136.5</v>
      </c>
      <c r="P393" s="116">
        <v>136.5</v>
      </c>
      <c r="Q393" s="116">
        <v>275.55</v>
      </c>
      <c r="R393">
        <v>61804</v>
      </c>
    </row>
    <row r="394" spans="1:18" x14ac:dyDescent="0.25">
      <c r="A394" s="170">
        <v>42580</v>
      </c>
      <c r="B394" s="116">
        <v>137.97499999999999</v>
      </c>
      <c r="C394" s="116">
        <v>133.52500000000001</v>
      </c>
      <c r="D394" s="116">
        <v>132.82499999999999</v>
      </c>
      <c r="E394" s="116">
        <v>137.69999999999999</v>
      </c>
      <c r="F394" s="116">
        <v>267.05</v>
      </c>
      <c r="G394">
        <v>12141</v>
      </c>
      <c r="H394" s="116"/>
      <c r="I394" s="116"/>
      <c r="L394" s="170">
        <v>42580</v>
      </c>
      <c r="M394" s="116">
        <v>134.22499999999999</v>
      </c>
      <c r="N394" s="116">
        <v>138.19999999999999</v>
      </c>
      <c r="O394" s="116">
        <v>133.30000000000001</v>
      </c>
      <c r="P394" s="116">
        <v>136.92500000000001</v>
      </c>
      <c r="Q394" s="116">
        <v>268.45</v>
      </c>
      <c r="R394">
        <v>34604</v>
      </c>
    </row>
    <row r="395" spans="1:18" x14ac:dyDescent="0.25">
      <c r="A395" s="170">
        <v>42583</v>
      </c>
      <c r="B395" s="116">
        <v>136.25</v>
      </c>
      <c r="C395" s="116">
        <v>133.77500000000001</v>
      </c>
      <c r="D395" s="116">
        <v>132.52500000000001</v>
      </c>
      <c r="E395" s="116">
        <v>136</v>
      </c>
      <c r="F395" s="116">
        <v>267.55</v>
      </c>
      <c r="G395">
        <v>4401</v>
      </c>
      <c r="H395" s="116"/>
      <c r="I395" s="116"/>
      <c r="L395" s="170">
        <v>42583</v>
      </c>
      <c r="M395" s="116">
        <v>133.6</v>
      </c>
      <c r="N395" s="116">
        <v>136.5</v>
      </c>
      <c r="O395" s="116">
        <v>132.5</v>
      </c>
      <c r="P395" s="116">
        <v>134.22499999999999</v>
      </c>
      <c r="Q395" s="116">
        <v>267.2</v>
      </c>
      <c r="R395">
        <v>30546</v>
      </c>
    </row>
    <row r="396" spans="1:18" x14ac:dyDescent="0.25">
      <c r="A396" s="170">
        <v>42584</v>
      </c>
      <c r="B396" s="116">
        <v>135.5</v>
      </c>
      <c r="C396" s="116">
        <v>132.27500000000001</v>
      </c>
      <c r="D396" s="116">
        <v>132</v>
      </c>
      <c r="E396" s="116">
        <v>135.5</v>
      </c>
      <c r="F396" s="116">
        <v>264.55</v>
      </c>
      <c r="G396">
        <v>3429</v>
      </c>
      <c r="H396" s="116"/>
      <c r="I396" s="116"/>
      <c r="L396" s="170">
        <v>42584</v>
      </c>
      <c r="M396" s="116">
        <v>132.30000000000001</v>
      </c>
      <c r="N396" s="116">
        <v>135.9</v>
      </c>
      <c r="O396" s="116">
        <v>131.82499999999999</v>
      </c>
      <c r="P396" s="116">
        <v>135.9</v>
      </c>
      <c r="Q396" s="116">
        <v>264.60000000000002</v>
      </c>
      <c r="R396">
        <v>35577</v>
      </c>
    </row>
    <row r="397" spans="1:18" x14ac:dyDescent="0.25">
      <c r="A397" s="170">
        <v>42585</v>
      </c>
      <c r="B397" s="116">
        <v>141.32499999999999</v>
      </c>
      <c r="C397" s="116">
        <v>140.02500000000001</v>
      </c>
      <c r="D397" s="116">
        <v>132</v>
      </c>
      <c r="E397" s="116">
        <v>132.5</v>
      </c>
      <c r="F397" s="116">
        <v>280.05</v>
      </c>
      <c r="G397">
        <v>109566</v>
      </c>
      <c r="H397" s="116"/>
      <c r="I397" s="116"/>
      <c r="L397" s="170">
        <v>42585</v>
      </c>
      <c r="M397" s="116">
        <v>140.02500000000001</v>
      </c>
      <c r="N397" s="116">
        <v>141.5</v>
      </c>
      <c r="O397" s="116">
        <v>132</v>
      </c>
      <c r="P397" s="116">
        <v>132.92500000000001</v>
      </c>
      <c r="Q397" s="116">
        <v>280.05</v>
      </c>
      <c r="R397">
        <v>336446</v>
      </c>
    </row>
    <row r="398" spans="1:18" x14ac:dyDescent="0.25">
      <c r="A398" s="170">
        <v>42586</v>
      </c>
      <c r="B398" s="116">
        <v>143.55000000000001</v>
      </c>
      <c r="C398" s="116">
        <v>140.35</v>
      </c>
      <c r="D398" s="116">
        <v>134.125</v>
      </c>
      <c r="E398" s="116">
        <v>142.44999999999999</v>
      </c>
      <c r="F398" s="116">
        <v>280.7</v>
      </c>
      <c r="G398">
        <v>67375</v>
      </c>
      <c r="H398" s="116"/>
      <c r="I398" s="116"/>
      <c r="L398" s="170">
        <v>42586</v>
      </c>
      <c r="M398" s="116">
        <v>140.75</v>
      </c>
      <c r="N398" s="116">
        <v>143.75</v>
      </c>
      <c r="O398" s="116">
        <v>134.02500000000001</v>
      </c>
      <c r="P398" s="116">
        <v>142.5</v>
      </c>
      <c r="Q398" s="116">
        <v>281.5</v>
      </c>
      <c r="R398">
        <v>336522</v>
      </c>
    </row>
    <row r="399" spans="1:18" x14ac:dyDescent="0.25">
      <c r="A399" s="170">
        <v>42587</v>
      </c>
      <c r="B399" s="116">
        <v>144</v>
      </c>
      <c r="C399" s="116">
        <v>141.27500000000001</v>
      </c>
      <c r="D399" s="116">
        <v>140.75</v>
      </c>
      <c r="E399" s="116">
        <v>141.5</v>
      </c>
      <c r="F399" s="116">
        <v>282.55</v>
      </c>
      <c r="G399">
        <v>19577</v>
      </c>
      <c r="H399" s="116"/>
      <c r="I399" s="116"/>
      <c r="L399" s="170">
        <v>42587</v>
      </c>
      <c r="M399" s="116">
        <v>141.5</v>
      </c>
      <c r="N399" s="116">
        <v>144.05000000000001</v>
      </c>
      <c r="O399" s="116">
        <v>140.5</v>
      </c>
      <c r="P399" s="116">
        <v>142.35</v>
      </c>
      <c r="Q399" s="116">
        <v>283</v>
      </c>
      <c r="R399">
        <v>110239</v>
      </c>
    </row>
    <row r="400" spans="1:18" x14ac:dyDescent="0.25">
      <c r="A400" s="170">
        <v>42590</v>
      </c>
      <c r="B400" s="116">
        <v>143.44999999999999</v>
      </c>
      <c r="C400" s="116">
        <v>142.1</v>
      </c>
      <c r="D400" s="116">
        <v>140.9</v>
      </c>
      <c r="E400" s="116">
        <v>143.44999999999999</v>
      </c>
      <c r="F400" s="116">
        <v>284.2</v>
      </c>
      <c r="G400">
        <v>12839</v>
      </c>
      <c r="H400" s="116"/>
      <c r="I400" s="116"/>
      <c r="L400" s="170">
        <v>42590</v>
      </c>
      <c r="M400" s="116">
        <v>142.65</v>
      </c>
      <c r="N400" s="116">
        <v>143.875</v>
      </c>
      <c r="O400" s="116">
        <v>140.5</v>
      </c>
      <c r="P400" s="116">
        <v>141.875</v>
      </c>
      <c r="Q400" s="116">
        <v>285.3</v>
      </c>
      <c r="R400">
        <v>55264</v>
      </c>
    </row>
    <row r="401" spans="1:18" x14ac:dyDescent="0.25">
      <c r="A401" s="170">
        <v>42591</v>
      </c>
      <c r="B401" s="116">
        <v>145</v>
      </c>
      <c r="C401" s="116">
        <v>144.22499999999999</v>
      </c>
      <c r="D401" s="116">
        <v>141.19999999999999</v>
      </c>
      <c r="E401" s="116">
        <v>141.94999999999999</v>
      </c>
      <c r="F401" s="116">
        <v>288.45</v>
      </c>
      <c r="G401">
        <v>51430</v>
      </c>
      <c r="H401" s="116"/>
      <c r="I401" s="116"/>
      <c r="L401" s="170">
        <v>42591</v>
      </c>
      <c r="M401" s="116">
        <v>144.07499999999999</v>
      </c>
      <c r="N401" s="116">
        <v>145.125</v>
      </c>
      <c r="O401" s="116">
        <v>141.125</v>
      </c>
      <c r="P401" s="116">
        <v>142.75</v>
      </c>
      <c r="Q401" s="116">
        <v>288.14999999999998</v>
      </c>
      <c r="R401">
        <v>102599</v>
      </c>
    </row>
    <row r="402" spans="1:18" x14ac:dyDescent="0.25">
      <c r="A402" s="170">
        <v>42592</v>
      </c>
      <c r="B402" s="116">
        <v>144.97499999999999</v>
      </c>
      <c r="C402" s="116">
        <v>140.92500000000001</v>
      </c>
      <c r="D402" s="116">
        <v>140</v>
      </c>
      <c r="E402" s="116">
        <v>144.77500000000001</v>
      </c>
      <c r="F402" s="116">
        <v>281.85000000000002</v>
      </c>
      <c r="G402">
        <v>29575</v>
      </c>
      <c r="H402" s="116"/>
      <c r="I402" s="116"/>
      <c r="L402" s="170">
        <v>42592</v>
      </c>
      <c r="M402" s="116">
        <v>140.97499999999999</v>
      </c>
      <c r="N402" s="116">
        <v>145.05000000000001</v>
      </c>
      <c r="O402" s="116">
        <v>140.17500000000001</v>
      </c>
      <c r="P402" s="116">
        <v>145</v>
      </c>
      <c r="Q402" s="116">
        <v>281.95</v>
      </c>
      <c r="R402">
        <v>54548</v>
      </c>
    </row>
    <row r="403" spans="1:18" x14ac:dyDescent="0.25">
      <c r="A403" s="170">
        <v>42593</v>
      </c>
      <c r="B403" s="116">
        <v>142</v>
      </c>
      <c r="C403" s="116">
        <v>140.25</v>
      </c>
      <c r="D403" s="116">
        <v>139.92500000000001</v>
      </c>
      <c r="E403" s="116">
        <v>141.27500000000001</v>
      </c>
      <c r="F403" s="116">
        <v>280.5</v>
      </c>
      <c r="G403">
        <v>6105</v>
      </c>
      <c r="H403" s="116"/>
      <c r="I403" s="116"/>
      <c r="L403" s="170">
        <v>42593</v>
      </c>
      <c r="M403" s="116">
        <v>140.5</v>
      </c>
      <c r="N403" s="116">
        <v>142.5</v>
      </c>
      <c r="O403" s="116">
        <v>139.57499999999999</v>
      </c>
      <c r="P403" s="116">
        <v>140.6</v>
      </c>
      <c r="Q403" s="116">
        <v>281</v>
      </c>
      <c r="R403">
        <v>31891</v>
      </c>
    </row>
    <row r="404" spans="1:18" x14ac:dyDescent="0.25">
      <c r="A404" s="170">
        <v>42594</v>
      </c>
      <c r="B404" s="116">
        <v>141.80000000000001</v>
      </c>
      <c r="C404" s="116">
        <v>140.22499999999999</v>
      </c>
      <c r="D404" s="116">
        <v>139.5</v>
      </c>
      <c r="E404" s="116">
        <v>141.02500000000001</v>
      </c>
      <c r="F404" s="116">
        <v>280.45</v>
      </c>
      <c r="G404">
        <v>7904</v>
      </c>
      <c r="H404" s="116"/>
      <c r="I404" s="116"/>
      <c r="L404" s="170">
        <v>42594</v>
      </c>
      <c r="M404" s="116">
        <v>140.6</v>
      </c>
      <c r="N404" s="116">
        <v>141.97499999999999</v>
      </c>
      <c r="O404" s="116">
        <v>140</v>
      </c>
      <c r="P404" s="116">
        <v>141.9</v>
      </c>
      <c r="Q404" s="116">
        <v>281.2</v>
      </c>
      <c r="R404">
        <v>17547</v>
      </c>
    </row>
    <row r="405" spans="1:18" x14ac:dyDescent="0.25">
      <c r="A405" s="170">
        <v>42598</v>
      </c>
      <c r="B405" s="116">
        <v>141.55000000000001</v>
      </c>
      <c r="C405" s="116">
        <v>137.77500000000001</v>
      </c>
      <c r="D405" s="116">
        <v>136.25</v>
      </c>
      <c r="E405" s="116">
        <v>140.19999999999999</v>
      </c>
      <c r="F405" s="116">
        <v>275.55</v>
      </c>
      <c r="G405">
        <v>9955</v>
      </c>
      <c r="H405" s="116"/>
      <c r="I405" s="116"/>
      <c r="L405" s="170">
        <v>42598</v>
      </c>
      <c r="M405" s="116">
        <v>137.47499999999999</v>
      </c>
      <c r="N405" s="116">
        <v>142.44999999999999</v>
      </c>
      <c r="O405" s="116">
        <v>136.4</v>
      </c>
      <c r="P405" s="116">
        <v>140.6</v>
      </c>
      <c r="Q405" s="116">
        <v>274.95</v>
      </c>
      <c r="R405">
        <v>46235</v>
      </c>
    </row>
    <row r="406" spans="1:18" x14ac:dyDescent="0.25">
      <c r="A406" s="170">
        <v>42599</v>
      </c>
      <c r="B406" s="116">
        <v>142</v>
      </c>
      <c r="C406" s="116">
        <v>138.47499999999999</v>
      </c>
      <c r="D406" s="116">
        <v>137.52500000000001</v>
      </c>
      <c r="E406" s="116">
        <v>138.35</v>
      </c>
      <c r="F406" s="116">
        <v>276.95</v>
      </c>
      <c r="G406">
        <v>10807</v>
      </c>
      <c r="H406" s="116"/>
      <c r="I406" s="116"/>
      <c r="L406" s="170">
        <v>42599</v>
      </c>
      <c r="M406" s="116">
        <v>138.47499999999999</v>
      </c>
      <c r="N406" s="116">
        <v>141.9</v>
      </c>
      <c r="O406" s="116">
        <v>137.5</v>
      </c>
      <c r="P406" s="116">
        <v>137.5</v>
      </c>
      <c r="Q406" s="116">
        <v>276.95</v>
      </c>
      <c r="R406">
        <v>36635</v>
      </c>
    </row>
    <row r="407" spans="1:18" x14ac:dyDescent="0.25">
      <c r="A407" s="170">
        <v>42600</v>
      </c>
      <c r="B407" s="116">
        <v>141.5</v>
      </c>
      <c r="C407" s="116">
        <v>138.97499999999999</v>
      </c>
      <c r="D407" s="116">
        <v>137.5</v>
      </c>
      <c r="E407" s="116">
        <v>139.94999999999999</v>
      </c>
      <c r="F407" s="116">
        <v>277.95</v>
      </c>
      <c r="G407">
        <v>5623</v>
      </c>
      <c r="H407" s="116"/>
      <c r="I407" s="116"/>
      <c r="L407" s="170">
        <v>42600</v>
      </c>
      <c r="M407" s="116">
        <v>138.80000000000001</v>
      </c>
      <c r="N407" s="116">
        <v>142</v>
      </c>
      <c r="O407" s="116">
        <v>137.57499999999999</v>
      </c>
      <c r="P407" s="116">
        <v>140</v>
      </c>
      <c r="Q407" s="116">
        <v>277.60000000000002</v>
      </c>
      <c r="R407">
        <v>45786</v>
      </c>
    </row>
    <row r="408" spans="1:18" x14ac:dyDescent="0.25">
      <c r="A408" s="170">
        <v>42601</v>
      </c>
      <c r="B408" s="116">
        <v>140.44999999999999</v>
      </c>
      <c r="C408" s="116">
        <v>138.52500000000001</v>
      </c>
      <c r="D408" s="116">
        <v>137.25</v>
      </c>
      <c r="E408" s="116">
        <v>138.85</v>
      </c>
      <c r="F408" s="116">
        <v>277.05</v>
      </c>
      <c r="G408">
        <v>8542</v>
      </c>
      <c r="H408" s="116"/>
      <c r="I408" s="116"/>
      <c r="L408" s="170">
        <v>42601</v>
      </c>
      <c r="M408" s="116">
        <v>138.625</v>
      </c>
      <c r="N408" s="116">
        <v>139.97499999999999</v>
      </c>
      <c r="O408" s="116">
        <v>137.82499999999999</v>
      </c>
      <c r="P408" s="116">
        <v>138.5</v>
      </c>
      <c r="Q408" s="116">
        <v>277.25</v>
      </c>
      <c r="R408">
        <v>49588</v>
      </c>
    </row>
    <row r="409" spans="1:18" x14ac:dyDescent="0.25">
      <c r="A409" s="170">
        <v>42604</v>
      </c>
      <c r="B409" s="116">
        <v>140</v>
      </c>
      <c r="C409" s="116">
        <v>137.55000000000001</v>
      </c>
      <c r="D409" s="116">
        <v>136.9</v>
      </c>
      <c r="E409" s="116">
        <v>139</v>
      </c>
      <c r="F409" s="116">
        <v>275.10000000000002</v>
      </c>
      <c r="G409">
        <v>12645</v>
      </c>
      <c r="H409" s="116"/>
      <c r="I409" s="116"/>
      <c r="L409" s="170">
        <v>42604</v>
      </c>
      <c r="M409" s="116">
        <v>137.55000000000001</v>
      </c>
      <c r="N409" s="116">
        <v>140</v>
      </c>
      <c r="O409" s="116">
        <v>137</v>
      </c>
      <c r="P409" s="116">
        <v>138.65</v>
      </c>
      <c r="Q409" s="116">
        <v>275.10000000000002</v>
      </c>
      <c r="R409">
        <v>104521</v>
      </c>
    </row>
    <row r="410" spans="1:18" x14ac:dyDescent="0.25">
      <c r="A410" s="170">
        <v>42605</v>
      </c>
      <c r="B410" s="116">
        <v>140.6</v>
      </c>
      <c r="C410" s="116">
        <v>140.4</v>
      </c>
      <c r="D410" s="116">
        <v>137.94999999999999</v>
      </c>
      <c r="E410" s="116">
        <v>138</v>
      </c>
      <c r="F410" s="116">
        <v>280.8</v>
      </c>
      <c r="G410">
        <v>10499</v>
      </c>
      <c r="H410" s="116"/>
      <c r="I410" s="116"/>
      <c r="L410" s="170">
        <v>42605</v>
      </c>
      <c r="M410" s="116">
        <v>140.27500000000001</v>
      </c>
      <c r="N410" s="116">
        <v>141</v>
      </c>
      <c r="O410" s="116">
        <v>137.5</v>
      </c>
      <c r="P410" s="116">
        <v>137.65</v>
      </c>
      <c r="Q410" s="116">
        <v>280.55</v>
      </c>
      <c r="R410">
        <v>46776</v>
      </c>
    </row>
    <row r="411" spans="1:18" x14ac:dyDescent="0.25">
      <c r="A411" s="170">
        <v>42606</v>
      </c>
      <c r="B411" s="116">
        <v>160.52500000000001</v>
      </c>
      <c r="C411" s="116">
        <v>155.67500000000001</v>
      </c>
      <c r="D411" s="116">
        <v>140.6</v>
      </c>
      <c r="E411" s="116">
        <v>141.75</v>
      </c>
      <c r="F411" s="116">
        <v>311.35000000000002</v>
      </c>
      <c r="G411">
        <v>208548</v>
      </c>
      <c r="H411" s="116"/>
      <c r="I411" s="116"/>
      <c r="L411" s="170">
        <v>42606</v>
      </c>
      <c r="M411" s="116">
        <v>155.9</v>
      </c>
      <c r="N411" s="116">
        <v>161</v>
      </c>
      <c r="O411" s="116">
        <v>140.30000000000001</v>
      </c>
      <c r="P411" s="116">
        <v>141</v>
      </c>
      <c r="Q411" s="116">
        <v>311.8</v>
      </c>
      <c r="R411">
        <v>874305</v>
      </c>
    </row>
    <row r="412" spans="1:18" x14ac:dyDescent="0.25">
      <c r="A412" s="170">
        <v>42607</v>
      </c>
      <c r="B412" s="116">
        <v>161.69999999999999</v>
      </c>
      <c r="C412" s="116">
        <v>155.97499999999999</v>
      </c>
      <c r="D412" s="116">
        <v>152.97499999999999</v>
      </c>
      <c r="E412" s="116">
        <v>156.875</v>
      </c>
      <c r="F412" s="116">
        <v>311.95</v>
      </c>
      <c r="G412">
        <v>89153</v>
      </c>
      <c r="H412" s="116"/>
      <c r="I412" s="116"/>
      <c r="L412" s="170">
        <v>42607</v>
      </c>
      <c r="M412" s="116">
        <v>156.19999999999999</v>
      </c>
      <c r="N412" s="116">
        <v>161.82499999999999</v>
      </c>
      <c r="O412" s="116">
        <v>153</v>
      </c>
      <c r="P412" s="116">
        <v>156.52500000000001</v>
      </c>
      <c r="Q412" s="116">
        <v>312.39999999999998</v>
      </c>
      <c r="R412">
        <v>421776</v>
      </c>
    </row>
    <row r="413" spans="1:18" x14ac:dyDescent="0.25">
      <c r="A413" s="170">
        <v>42608</v>
      </c>
      <c r="B413" s="116">
        <v>178.42500000000001</v>
      </c>
      <c r="C413" s="116">
        <v>168.3</v>
      </c>
      <c r="D413" s="116">
        <v>155.5</v>
      </c>
      <c r="E413" s="116">
        <v>158.5</v>
      </c>
      <c r="F413" s="116">
        <v>336.6</v>
      </c>
      <c r="G413">
        <v>841647</v>
      </c>
      <c r="H413" s="116"/>
      <c r="I413" s="116"/>
      <c r="L413" s="170">
        <v>42608</v>
      </c>
      <c r="M413" s="116">
        <v>168.25</v>
      </c>
      <c r="N413" s="116">
        <v>178</v>
      </c>
      <c r="O413" s="116">
        <v>155.92500000000001</v>
      </c>
      <c r="P413" s="116">
        <v>158</v>
      </c>
      <c r="Q413" s="116">
        <v>336.5</v>
      </c>
      <c r="R413">
        <v>4396003</v>
      </c>
    </row>
    <row r="414" spans="1:18" x14ac:dyDescent="0.25">
      <c r="A414" s="170">
        <v>42611</v>
      </c>
      <c r="B414" s="116">
        <v>171.375</v>
      </c>
      <c r="C414" s="116">
        <v>166.8</v>
      </c>
      <c r="D414" s="116">
        <v>158.75</v>
      </c>
      <c r="E414" s="116">
        <v>169</v>
      </c>
      <c r="F414" s="116">
        <v>333.6</v>
      </c>
      <c r="G414">
        <v>210530</v>
      </c>
      <c r="H414" s="116"/>
      <c r="I414" s="116"/>
      <c r="L414" s="170">
        <v>42611</v>
      </c>
      <c r="M414" s="116">
        <v>166.625</v>
      </c>
      <c r="N414" s="116">
        <v>171.2</v>
      </c>
      <c r="O414" s="116">
        <v>143.875</v>
      </c>
      <c r="P414" s="116">
        <v>169.67500000000001</v>
      </c>
      <c r="Q414" s="116">
        <v>333.25</v>
      </c>
      <c r="R414">
        <v>981859</v>
      </c>
    </row>
    <row r="415" spans="1:18" x14ac:dyDescent="0.25">
      <c r="A415" s="170">
        <v>42612</v>
      </c>
      <c r="B415" s="116">
        <v>169.7</v>
      </c>
      <c r="C415" s="116">
        <v>165.35</v>
      </c>
      <c r="D415" s="116">
        <v>164.8</v>
      </c>
      <c r="E415" s="116">
        <v>166</v>
      </c>
      <c r="F415" s="116">
        <v>330.7</v>
      </c>
      <c r="G415">
        <v>65786</v>
      </c>
      <c r="H415" s="116"/>
      <c r="I415" s="116"/>
      <c r="L415" s="170">
        <v>42612</v>
      </c>
      <c r="M415" s="116">
        <v>165.9</v>
      </c>
      <c r="N415" s="116">
        <v>169.75</v>
      </c>
      <c r="O415" s="116">
        <v>165.15</v>
      </c>
      <c r="P415" s="116">
        <v>166.2</v>
      </c>
      <c r="Q415" s="116">
        <v>331.8</v>
      </c>
      <c r="R415">
        <v>331014</v>
      </c>
    </row>
    <row r="416" spans="1:18" x14ac:dyDescent="0.25">
      <c r="A416" s="170">
        <v>42613</v>
      </c>
      <c r="B416" s="116">
        <v>168.07499999999999</v>
      </c>
      <c r="C416" s="116">
        <v>163.42500000000001</v>
      </c>
      <c r="D416" s="116">
        <v>162.5</v>
      </c>
      <c r="E416" s="116">
        <v>167.17500000000001</v>
      </c>
      <c r="F416" s="116">
        <v>326.85000000000002</v>
      </c>
      <c r="G416">
        <v>44744</v>
      </c>
      <c r="H416" s="116"/>
      <c r="I416" s="116"/>
      <c r="L416" s="170">
        <v>42613</v>
      </c>
      <c r="M416" s="116">
        <v>163.875</v>
      </c>
      <c r="N416" s="116">
        <v>168.25</v>
      </c>
      <c r="O416" s="116">
        <v>162.55000000000001</v>
      </c>
      <c r="P416" s="116">
        <v>166.85</v>
      </c>
      <c r="Q416" s="116">
        <v>327.75</v>
      </c>
      <c r="R416">
        <v>175201</v>
      </c>
    </row>
    <row r="417" spans="1:18" x14ac:dyDescent="0.25">
      <c r="A417" s="170">
        <v>42614</v>
      </c>
      <c r="B417" s="116">
        <v>166.42500000000001</v>
      </c>
      <c r="C417" s="116">
        <v>159.72499999999999</v>
      </c>
      <c r="D417" s="116">
        <v>158.5</v>
      </c>
      <c r="E417" s="116">
        <v>163.4</v>
      </c>
      <c r="F417" s="116">
        <v>319.45</v>
      </c>
      <c r="G417">
        <v>43027</v>
      </c>
      <c r="H417" s="116"/>
      <c r="I417" s="116"/>
      <c r="L417" s="170">
        <v>42614</v>
      </c>
      <c r="M417" s="116">
        <v>159.5</v>
      </c>
      <c r="N417" s="116">
        <v>166.375</v>
      </c>
      <c r="O417" s="116">
        <v>158</v>
      </c>
      <c r="P417" s="116">
        <v>163.5</v>
      </c>
      <c r="Q417" s="116">
        <v>319</v>
      </c>
      <c r="R417">
        <v>178172</v>
      </c>
    </row>
    <row r="418" spans="1:18" x14ac:dyDescent="0.25">
      <c r="A418" s="170">
        <v>42615</v>
      </c>
      <c r="B418" s="116">
        <v>160.92500000000001</v>
      </c>
      <c r="C418" s="116">
        <v>157.22499999999999</v>
      </c>
      <c r="D418" s="116">
        <v>156.5</v>
      </c>
      <c r="E418" s="116">
        <v>159.9</v>
      </c>
      <c r="F418" s="116">
        <v>314.45</v>
      </c>
      <c r="G418">
        <v>45747</v>
      </c>
      <c r="H418" s="116"/>
      <c r="I418" s="116"/>
      <c r="L418" s="170">
        <v>42615</v>
      </c>
      <c r="M418" s="116">
        <v>157.6</v>
      </c>
      <c r="N418" s="116">
        <v>160.97499999999999</v>
      </c>
      <c r="O418" s="116">
        <v>156.5</v>
      </c>
      <c r="P418" s="116">
        <v>160.02500000000001</v>
      </c>
      <c r="Q418" s="116">
        <v>315.2</v>
      </c>
      <c r="R418">
        <v>169322</v>
      </c>
    </row>
    <row r="419" spans="1:18" x14ac:dyDescent="0.25">
      <c r="A419" s="170">
        <v>42619</v>
      </c>
      <c r="B419" s="116">
        <v>175.4</v>
      </c>
      <c r="C419" s="116">
        <v>172.4</v>
      </c>
      <c r="D419" s="116">
        <v>157.19999999999999</v>
      </c>
      <c r="E419" s="116">
        <v>159.125</v>
      </c>
      <c r="F419" s="116">
        <v>344.8</v>
      </c>
      <c r="G419">
        <v>185347</v>
      </c>
      <c r="H419" s="116"/>
      <c r="I419" s="116"/>
      <c r="L419" s="170">
        <v>42619</v>
      </c>
      <c r="M419" s="116">
        <v>172.875</v>
      </c>
      <c r="N419" s="116">
        <v>175.85</v>
      </c>
      <c r="O419" s="116">
        <v>157.02500000000001</v>
      </c>
      <c r="P419" s="116">
        <v>158</v>
      </c>
      <c r="Q419" s="116">
        <v>345.75</v>
      </c>
      <c r="R419">
        <v>901640</v>
      </c>
    </row>
    <row r="420" spans="1:18" x14ac:dyDescent="0.25">
      <c r="A420" s="170">
        <v>42620</v>
      </c>
      <c r="B420" s="116">
        <v>179.82499999999999</v>
      </c>
      <c r="C420" s="116">
        <v>176.67500000000001</v>
      </c>
      <c r="D420" s="116">
        <v>169.07499999999999</v>
      </c>
      <c r="E420" s="116">
        <v>172</v>
      </c>
      <c r="F420" s="116">
        <v>353.35</v>
      </c>
      <c r="G420">
        <v>145860</v>
      </c>
      <c r="H420" s="116"/>
      <c r="I420" s="116"/>
      <c r="L420" s="170">
        <v>42620</v>
      </c>
      <c r="M420" s="116">
        <v>176.77500000000001</v>
      </c>
      <c r="N420" s="116">
        <v>179.97499999999999</v>
      </c>
      <c r="O420" s="116">
        <v>168.85</v>
      </c>
      <c r="P420" s="116">
        <v>173.25</v>
      </c>
      <c r="Q420" s="116">
        <v>353.55</v>
      </c>
      <c r="R420">
        <v>763741</v>
      </c>
    </row>
    <row r="421" spans="1:18" x14ac:dyDescent="0.25">
      <c r="A421" s="170">
        <v>42621</v>
      </c>
      <c r="B421" s="116">
        <v>182.45</v>
      </c>
      <c r="C421" s="116">
        <v>173.95</v>
      </c>
      <c r="D421" s="116">
        <v>173.07499999999999</v>
      </c>
      <c r="E421" s="116">
        <v>177.625</v>
      </c>
      <c r="F421" s="116">
        <v>347.9</v>
      </c>
      <c r="G421">
        <v>83697</v>
      </c>
      <c r="H421" s="116"/>
      <c r="I421" s="116"/>
      <c r="L421" s="170">
        <v>42621</v>
      </c>
      <c r="M421" s="116">
        <v>173.85</v>
      </c>
      <c r="N421" s="116">
        <v>182.45</v>
      </c>
      <c r="O421" s="116">
        <v>172.77500000000001</v>
      </c>
      <c r="P421" s="116">
        <v>177.5</v>
      </c>
      <c r="Q421" s="116">
        <v>347.7</v>
      </c>
      <c r="R421">
        <v>376054</v>
      </c>
    </row>
    <row r="422" spans="1:18" x14ac:dyDescent="0.25">
      <c r="A422" s="170">
        <v>42622</v>
      </c>
      <c r="B422" s="116">
        <v>177.5</v>
      </c>
      <c r="C422" s="116">
        <v>175.1</v>
      </c>
      <c r="D422" s="116">
        <v>171.3</v>
      </c>
      <c r="E422" s="116">
        <v>174.875</v>
      </c>
      <c r="F422" s="116">
        <v>350.2</v>
      </c>
      <c r="G422">
        <v>48950</v>
      </c>
      <c r="H422" s="116"/>
      <c r="I422" s="116"/>
      <c r="L422" s="170">
        <v>42622</v>
      </c>
      <c r="M422" s="116">
        <v>175.22499999999999</v>
      </c>
      <c r="N422" s="116">
        <v>177.5</v>
      </c>
      <c r="O422" s="116">
        <v>171.15</v>
      </c>
      <c r="P422" s="116">
        <v>174.9</v>
      </c>
      <c r="Q422" s="116">
        <v>350.45</v>
      </c>
      <c r="R422">
        <v>218152</v>
      </c>
    </row>
    <row r="423" spans="1:18" x14ac:dyDescent="0.25">
      <c r="A423" s="170">
        <v>42625</v>
      </c>
      <c r="B423" s="116">
        <v>174.95</v>
      </c>
      <c r="C423" s="116">
        <v>171.2</v>
      </c>
      <c r="D423" s="116">
        <v>168.77500000000001</v>
      </c>
      <c r="E423" s="116">
        <v>171.97499999999999</v>
      </c>
      <c r="F423" s="116">
        <v>342.4</v>
      </c>
      <c r="G423">
        <v>31486</v>
      </c>
      <c r="H423" s="116"/>
      <c r="I423" s="116"/>
      <c r="L423" s="170">
        <v>42625</v>
      </c>
      <c r="M423" s="116">
        <v>171.35</v>
      </c>
      <c r="N423" s="116">
        <v>174.95</v>
      </c>
      <c r="O423" s="116">
        <v>167.65</v>
      </c>
      <c r="P423" s="116">
        <v>171</v>
      </c>
      <c r="Q423" s="116">
        <v>342.7</v>
      </c>
      <c r="R423">
        <v>152278</v>
      </c>
    </row>
    <row r="424" spans="1:18" x14ac:dyDescent="0.25">
      <c r="A424" s="170">
        <v>42627</v>
      </c>
      <c r="B424" s="116">
        <v>183</v>
      </c>
      <c r="C424" s="116">
        <v>179.6</v>
      </c>
      <c r="D424" s="116">
        <v>171</v>
      </c>
      <c r="E424" s="116">
        <v>171</v>
      </c>
      <c r="F424" s="116">
        <v>359.2</v>
      </c>
      <c r="G424">
        <v>125800</v>
      </c>
      <c r="H424" s="116"/>
      <c r="I424" s="116"/>
      <c r="L424" s="170">
        <v>42627</v>
      </c>
      <c r="M424" s="116">
        <v>180.125</v>
      </c>
      <c r="N424" s="116">
        <v>183</v>
      </c>
      <c r="O424" s="116">
        <v>171.25</v>
      </c>
      <c r="P424" s="116">
        <v>171.25</v>
      </c>
      <c r="Q424" s="116">
        <v>360.25</v>
      </c>
      <c r="R424">
        <v>442363</v>
      </c>
    </row>
    <row r="425" spans="1:18" x14ac:dyDescent="0.25">
      <c r="A425" s="170">
        <v>42628</v>
      </c>
      <c r="B425" s="116">
        <v>190</v>
      </c>
      <c r="C425" s="116">
        <v>188</v>
      </c>
      <c r="D425" s="116">
        <v>179.5</v>
      </c>
      <c r="E425" s="116">
        <v>180.82499999999999</v>
      </c>
      <c r="F425" s="116">
        <v>376</v>
      </c>
      <c r="G425">
        <v>127079</v>
      </c>
      <c r="H425" s="116"/>
      <c r="I425" s="116"/>
      <c r="L425" s="170">
        <v>42628</v>
      </c>
      <c r="M425" s="116">
        <v>188.35</v>
      </c>
      <c r="N425" s="116">
        <v>190.5</v>
      </c>
      <c r="O425" s="116">
        <v>179</v>
      </c>
      <c r="P425" s="116">
        <v>181</v>
      </c>
      <c r="Q425" s="116">
        <v>376.7</v>
      </c>
      <c r="R425">
        <v>565420</v>
      </c>
    </row>
    <row r="426" spans="1:18" x14ac:dyDescent="0.25">
      <c r="A426" s="170">
        <v>42629</v>
      </c>
      <c r="B426" s="116">
        <v>198</v>
      </c>
      <c r="C426" s="116">
        <v>191.625</v>
      </c>
      <c r="D426" s="116">
        <v>186.9</v>
      </c>
      <c r="E426" s="116">
        <v>188.5</v>
      </c>
      <c r="F426" s="116">
        <v>383.25</v>
      </c>
      <c r="G426">
        <v>172723</v>
      </c>
      <c r="H426" s="116"/>
      <c r="I426" s="116"/>
      <c r="L426" s="170">
        <v>42629</v>
      </c>
      <c r="M426" s="116">
        <v>192.67500000000001</v>
      </c>
      <c r="N426" s="116">
        <v>198.1</v>
      </c>
      <c r="O426" s="116">
        <v>186.625</v>
      </c>
      <c r="P426" s="116">
        <v>189.47499999999999</v>
      </c>
      <c r="Q426" s="116">
        <v>385.35</v>
      </c>
      <c r="R426">
        <v>704256</v>
      </c>
    </row>
    <row r="427" spans="1:18" x14ac:dyDescent="0.25">
      <c r="A427" s="170">
        <v>42632</v>
      </c>
      <c r="B427" s="116">
        <v>196.8</v>
      </c>
      <c r="C427" s="116">
        <v>191.625</v>
      </c>
      <c r="D427" s="116">
        <v>189.9</v>
      </c>
      <c r="E427" s="116">
        <v>194.97499999999999</v>
      </c>
      <c r="F427" s="116">
        <v>383.25</v>
      </c>
      <c r="G427">
        <v>70988</v>
      </c>
      <c r="H427" s="116"/>
      <c r="I427" s="116"/>
      <c r="L427" s="170">
        <v>42632</v>
      </c>
      <c r="M427" s="116">
        <v>191.35</v>
      </c>
      <c r="N427" s="116">
        <v>196.375</v>
      </c>
      <c r="O427" s="116">
        <v>189</v>
      </c>
      <c r="P427" s="116">
        <v>195</v>
      </c>
      <c r="Q427" s="116">
        <v>382.7</v>
      </c>
      <c r="R427">
        <v>242520</v>
      </c>
    </row>
    <row r="428" spans="1:18" x14ac:dyDescent="0.25">
      <c r="A428" s="170">
        <v>42633</v>
      </c>
      <c r="B428" s="116">
        <v>192.75</v>
      </c>
      <c r="C428" s="116">
        <v>186.1</v>
      </c>
      <c r="D428" s="116">
        <v>185.35</v>
      </c>
      <c r="E428" s="116">
        <v>191.6</v>
      </c>
      <c r="F428" s="116">
        <v>372.2</v>
      </c>
      <c r="G428">
        <v>23555</v>
      </c>
      <c r="H428" s="116"/>
      <c r="I428" s="116"/>
      <c r="L428" s="170">
        <v>42633</v>
      </c>
      <c r="M428" s="116">
        <v>186.22499999999999</v>
      </c>
      <c r="N428" s="116">
        <v>192.4</v>
      </c>
      <c r="O428" s="116">
        <v>185.6</v>
      </c>
      <c r="P428" s="116">
        <v>192.25</v>
      </c>
      <c r="Q428" s="116">
        <v>372.45</v>
      </c>
      <c r="R428">
        <v>123474</v>
      </c>
    </row>
    <row r="429" spans="1:18" x14ac:dyDescent="0.25">
      <c r="A429" s="170">
        <v>42634</v>
      </c>
      <c r="B429" s="116">
        <v>193.97499999999999</v>
      </c>
      <c r="C429" s="116">
        <v>188.45</v>
      </c>
      <c r="D429" s="116">
        <v>187</v>
      </c>
      <c r="E429" s="116">
        <v>187.02500000000001</v>
      </c>
      <c r="F429" s="116">
        <v>376.9</v>
      </c>
      <c r="G429">
        <v>44996</v>
      </c>
      <c r="H429" s="116"/>
      <c r="I429" s="116"/>
      <c r="L429" s="170">
        <v>42634</v>
      </c>
      <c r="M429" s="116">
        <v>188.3</v>
      </c>
      <c r="N429" s="116">
        <v>193.7</v>
      </c>
      <c r="O429" s="116">
        <v>185.9</v>
      </c>
      <c r="P429" s="116">
        <v>186.52500000000001</v>
      </c>
      <c r="Q429" s="116">
        <v>376.6</v>
      </c>
      <c r="R429">
        <v>163705</v>
      </c>
    </row>
    <row r="430" spans="1:18" x14ac:dyDescent="0.25">
      <c r="A430" s="170">
        <v>42635</v>
      </c>
      <c r="B430" s="116">
        <v>192.5</v>
      </c>
      <c r="C430" s="116">
        <v>187.2</v>
      </c>
      <c r="D430" s="116">
        <v>186.7</v>
      </c>
      <c r="E430" s="116">
        <v>190.92500000000001</v>
      </c>
      <c r="F430" s="116">
        <v>374.4</v>
      </c>
      <c r="G430">
        <v>17762</v>
      </c>
      <c r="H430" s="116"/>
      <c r="I430" s="116"/>
      <c r="L430" s="170">
        <v>42635</v>
      </c>
      <c r="M430" s="116">
        <v>187.32499999999999</v>
      </c>
      <c r="N430" s="116">
        <v>192.95</v>
      </c>
      <c r="O430" s="116">
        <v>186.75</v>
      </c>
      <c r="P430" s="116">
        <v>190.5</v>
      </c>
      <c r="Q430" s="116">
        <v>374.65</v>
      </c>
      <c r="R430">
        <v>87756</v>
      </c>
    </row>
    <row r="431" spans="1:18" x14ac:dyDescent="0.25">
      <c r="A431" s="170">
        <v>42636</v>
      </c>
      <c r="B431" s="116">
        <v>189.5</v>
      </c>
      <c r="C431" s="116">
        <v>184.15</v>
      </c>
      <c r="D431" s="116">
        <v>180.5</v>
      </c>
      <c r="E431" s="116">
        <v>187.52500000000001</v>
      </c>
      <c r="F431" s="116">
        <v>368.3</v>
      </c>
      <c r="G431">
        <v>16083</v>
      </c>
      <c r="H431" s="116"/>
      <c r="I431" s="116"/>
      <c r="L431" s="170">
        <v>42636</v>
      </c>
      <c r="M431" s="116">
        <v>184.47499999999999</v>
      </c>
      <c r="N431" s="116">
        <v>189.4</v>
      </c>
      <c r="O431" s="116">
        <v>183.05</v>
      </c>
      <c r="P431" s="116">
        <v>188.7</v>
      </c>
      <c r="Q431" s="116">
        <v>368.95</v>
      </c>
      <c r="R431">
        <v>87692</v>
      </c>
    </row>
    <row r="432" spans="1:18" x14ac:dyDescent="0.25">
      <c r="A432" s="170">
        <v>42639</v>
      </c>
      <c r="B432" s="116">
        <v>190.5</v>
      </c>
      <c r="C432" s="116">
        <v>188.95</v>
      </c>
      <c r="D432" s="116">
        <v>182.95</v>
      </c>
      <c r="E432" s="116">
        <v>183.2</v>
      </c>
      <c r="F432" s="116">
        <v>377.9</v>
      </c>
      <c r="G432">
        <v>28638</v>
      </c>
      <c r="H432" s="116"/>
      <c r="I432" s="116"/>
      <c r="L432" s="170">
        <v>42639</v>
      </c>
      <c r="M432" s="116">
        <v>189</v>
      </c>
      <c r="N432" s="116">
        <v>190.5</v>
      </c>
      <c r="O432" s="116">
        <v>182.75</v>
      </c>
      <c r="P432" s="116">
        <v>185.3</v>
      </c>
      <c r="Q432" s="116">
        <v>378</v>
      </c>
      <c r="R432">
        <v>111125</v>
      </c>
    </row>
    <row r="433" spans="1:18" x14ac:dyDescent="0.25">
      <c r="A433" s="170">
        <v>42640</v>
      </c>
      <c r="B433" s="116">
        <v>191.5</v>
      </c>
      <c r="C433" s="116">
        <v>187.07499999999999</v>
      </c>
      <c r="D433" s="116">
        <v>186</v>
      </c>
      <c r="E433" s="116">
        <v>190.15</v>
      </c>
      <c r="F433" s="116">
        <v>374.15</v>
      </c>
      <c r="G433">
        <v>23545</v>
      </c>
      <c r="H433" s="116"/>
      <c r="I433" s="116"/>
      <c r="L433" s="170">
        <v>42640</v>
      </c>
      <c r="M433" s="116">
        <v>187.6</v>
      </c>
      <c r="N433" s="116">
        <v>191.97499999999999</v>
      </c>
      <c r="O433" s="116">
        <v>186.52500000000001</v>
      </c>
      <c r="P433" s="116">
        <v>189.22499999999999</v>
      </c>
      <c r="Q433" s="116">
        <v>375.2</v>
      </c>
      <c r="R433">
        <v>97173</v>
      </c>
    </row>
    <row r="434" spans="1:18" x14ac:dyDescent="0.25">
      <c r="A434" s="170">
        <v>42641</v>
      </c>
      <c r="B434" s="116">
        <v>190.6</v>
      </c>
      <c r="C434" s="116">
        <v>186.125</v>
      </c>
      <c r="D434" s="116">
        <v>185.25</v>
      </c>
      <c r="E434" s="116">
        <v>188.25</v>
      </c>
      <c r="F434" s="116">
        <v>372.25</v>
      </c>
      <c r="G434">
        <v>13052</v>
      </c>
      <c r="H434" s="116"/>
      <c r="I434" s="116"/>
      <c r="L434" s="170">
        <v>42641</v>
      </c>
      <c r="M434" s="116">
        <v>185.97499999999999</v>
      </c>
      <c r="N434" s="116">
        <v>190.5</v>
      </c>
      <c r="O434" s="116">
        <v>185.02500000000001</v>
      </c>
      <c r="P434" s="116">
        <v>188.1</v>
      </c>
      <c r="Q434" s="116">
        <v>371.95</v>
      </c>
      <c r="R434">
        <v>51086</v>
      </c>
    </row>
    <row r="435" spans="1:18" x14ac:dyDescent="0.25">
      <c r="A435" s="170">
        <v>42642</v>
      </c>
      <c r="B435" s="116">
        <v>188.1</v>
      </c>
      <c r="C435" s="116">
        <v>176.85</v>
      </c>
      <c r="D435" s="116">
        <v>163.6</v>
      </c>
      <c r="E435" s="116">
        <v>187.125</v>
      </c>
      <c r="F435" s="116">
        <v>353.7</v>
      </c>
      <c r="G435">
        <v>60291</v>
      </c>
      <c r="H435" s="116"/>
      <c r="I435" s="116"/>
      <c r="L435" s="170">
        <v>42642</v>
      </c>
      <c r="M435" s="116">
        <v>177.77500000000001</v>
      </c>
      <c r="N435" s="116">
        <v>188.07499999999999</v>
      </c>
      <c r="O435" s="116">
        <v>163.17500000000001</v>
      </c>
      <c r="P435" s="116">
        <v>187.55</v>
      </c>
      <c r="Q435" s="116">
        <v>355.55</v>
      </c>
      <c r="R435">
        <v>198238</v>
      </c>
    </row>
    <row r="436" spans="1:18" x14ac:dyDescent="0.25">
      <c r="A436" s="170">
        <v>42643</v>
      </c>
      <c r="B436" s="116">
        <v>183.5</v>
      </c>
      <c r="C436" s="116">
        <v>178.05</v>
      </c>
      <c r="D436" s="116">
        <v>174.1</v>
      </c>
      <c r="E436" s="116">
        <v>175.75</v>
      </c>
      <c r="F436" s="116">
        <v>356.1</v>
      </c>
      <c r="G436">
        <v>24121</v>
      </c>
      <c r="H436" s="116"/>
      <c r="I436" s="116"/>
      <c r="L436" s="170">
        <v>42643</v>
      </c>
      <c r="M436" s="116">
        <v>177.95</v>
      </c>
      <c r="N436" s="116">
        <v>184</v>
      </c>
      <c r="O436" s="116">
        <v>172.55</v>
      </c>
      <c r="P436" s="116">
        <v>177</v>
      </c>
      <c r="Q436" s="116">
        <v>355.9</v>
      </c>
      <c r="R436">
        <v>98027</v>
      </c>
    </row>
    <row r="437" spans="1:18" x14ac:dyDescent="0.25">
      <c r="A437" s="170">
        <v>42646</v>
      </c>
      <c r="B437" s="116">
        <v>183</v>
      </c>
      <c r="C437" s="116">
        <v>182.125</v>
      </c>
      <c r="D437" s="116">
        <v>179.55</v>
      </c>
      <c r="E437" s="116">
        <v>182.5</v>
      </c>
      <c r="F437" s="116">
        <v>364.25</v>
      </c>
      <c r="G437">
        <v>17970</v>
      </c>
      <c r="H437" s="116"/>
      <c r="I437" s="116"/>
      <c r="L437" s="170">
        <v>42646</v>
      </c>
      <c r="M437" s="116">
        <v>182.47499999999999</v>
      </c>
      <c r="N437" s="116">
        <v>183.5</v>
      </c>
      <c r="O437" s="116">
        <v>178.65</v>
      </c>
      <c r="P437" s="116">
        <v>182.47499999999999</v>
      </c>
      <c r="Q437" s="116">
        <v>364.95</v>
      </c>
      <c r="R437">
        <v>59305</v>
      </c>
    </row>
    <row r="438" spans="1:18" x14ac:dyDescent="0.25">
      <c r="A438" s="170">
        <v>42647</v>
      </c>
      <c r="B438" s="116">
        <v>184.75</v>
      </c>
      <c r="C438" s="116">
        <v>182.5</v>
      </c>
      <c r="D438" s="116">
        <v>180.5</v>
      </c>
      <c r="E438" s="116">
        <v>183.5</v>
      </c>
      <c r="F438" s="116">
        <v>365</v>
      </c>
      <c r="G438">
        <v>8214</v>
      </c>
      <c r="H438" s="116"/>
      <c r="I438" s="116"/>
      <c r="L438" s="170">
        <v>42647</v>
      </c>
      <c r="M438" s="116">
        <v>182.55</v>
      </c>
      <c r="N438" s="116">
        <v>185.5</v>
      </c>
      <c r="O438" s="116">
        <v>180</v>
      </c>
      <c r="P438" s="116">
        <v>182.47499999999999</v>
      </c>
      <c r="Q438" s="116">
        <v>365.1</v>
      </c>
      <c r="R438">
        <v>33935</v>
      </c>
    </row>
    <row r="439" spans="1:18" x14ac:dyDescent="0.25">
      <c r="A439" s="170">
        <v>42648</v>
      </c>
      <c r="B439" s="116">
        <v>188.95</v>
      </c>
      <c r="C439" s="116">
        <v>184</v>
      </c>
      <c r="D439" s="116">
        <v>181.8</v>
      </c>
      <c r="E439" s="116">
        <v>182.92500000000001</v>
      </c>
      <c r="F439" s="116">
        <v>368</v>
      </c>
      <c r="G439">
        <v>19763</v>
      </c>
      <c r="H439" s="116"/>
      <c r="I439" s="116"/>
      <c r="L439" s="170">
        <v>42648</v>
      </c>
      <c r="M439" s="116">
        <v>183.72499999999999</v>
      </c>
      <c r="N439" s="116">
        <v>188.95</v>
      </c>
      <c r="O439" s="116">
        <v>182.5</v>
      </c>
      <c r="P439" s="116">
        <v>182.55</v>
      </c>
      <c r="Q439" s="116">
        <v>367.45</v>
      </c>
      <c r="R439">
        <v>108511</v>
      </c>
    </row>
    <row r="440" spans="1:18" x14ac:dyDescent="0.25">
      <c r="A440" s="170">
        <v>42649</v>
      </c>
      <c r="B440" s="116">
        <v>186.3</v>
      </c>
      <c r="C440" s="116">
        <v>180.95</v>
      </c>
      <c r="D440" s="116">
        <v>179.55</v>
      </c>
      <c r="E440" s="116">
        <v>185.6</v>
      </c>
      <c r="F440" s="116">
        <v>361.9</v>
      </c>
      <c r="G440">
        <v>11752</v>
      </c>
      <c r="H440" s="116"/>
      <c r="I440" s="116"/>
      <c r="L440" s="170">
        <v>42649</v>
      </c>
      <c r="M440" s="116">
        <v>180.52500000000001</v>
      </c>
      <c r="N440" s="116">
        <v>186</v>
      </c>
      <c r="O440" s="116">
        <v>179</v>
      </c>
      <c r="P440" s="116">
        <v>184.65</v>
      </c>
      <c r="Q440" s="116">
        <v>361.05</v>
      </c>
      <c r="R440">
        <v>44790</v>
      </c>
    </row>
    <row r="441" spans="1:18" x14ac:dyDescent="0.25">
      <c r="A441" s="170">
        <v>42650</v>
      </c>
      <c r="B441" s="116">
        <v>181.85</v>
      </c>
      <c r="C441" s="116">
        <v>178.95</v>
      </c>
      <c r="D441" s="116">
        <v>177</v>
      </c>
      <c r="E441" s="116">
        <v>181</v>
      </c>
      <c r="F441" s="116">
        <v>357.9</v>
      </c>
      <c r="G441">
        <v>15094</v>
      </c>
      <c r="H441" s="116"/>
      <c r="I441" s="116"/>
      <c r="L441" s="170">
        <v>42650</v>
      </c>
      <c r="M441" s="116">
        <v>179.125</v>
      </c>
      <c r="N441" s="116">
        <v>181.55</v>
      </c>
      <c r="O441" s="116">
        <v>178</v>
      </c>
      <c r="P441" s="116">
        <v>181.32499999999999</v>
      </c>
      <c r="Q441" s="116">
        <v>358.25</v>
      </c>
      <c r="R441">
        <v>35342</v>
      </c>
    </row>
    <row r="442" spans="1:18" x14ac:dyDescent="0.25">
      <c r="A442" s="170">
        <v>42653</v>
      </c>
      <c r="B442" s="116">
        <v>188.72499999999999</v>
      </c>
      <c r="C442" s="116">
        <v>185.1</v>
      </c>
      <c r="D442" s="116">
        <v>179.95</v>
      </c>
      <c r="E442" s="116">
        <v>180</v>
      </c>
      <c r="F442" s="116">
        <v>370.2</v>
      </c>
      <c r="G442">
        <v>29763</v>
      </c>
      <c r="H442" s="116"/>
      <c r="I442" s="116"/>
      <c r="L442" s="170">
        <v>42653</v>
      </c>
      <c r="M442" s="116">
        <v>185.42500000000001</v>
      </c>
      <c r="N442" s="116">
        <v>188.75</v>
      </c>
      <c r="O442" s="116">
        <v>179.52500000000001</v>
      </c>
      <c r="P442" s="116">
        <v>180.1</v>
      </c>
      <c r="Q442" s="116">
        <v>370.85</v>
      </c>
      <c r="R442">
        <v>143525</v>
      </c>
    </row>
    <row r="443" spans="1:18" x14ac:dyDescent="0.25">
      <c r="A443" s="170">
        <v>42656</v>
      </c>
      <c r="B443" s="116">
        <v>193.5</v>
      </c>
      <c r="C443" s="116">
        <v>190.27500000000001</v>
      </c>
      <c r="D443" s="116">
        <v>181.55</v>
      </c>
      <c r="E443" s="116">
        <v>182.57499999999999</v>
      </c>
      <c r="F443" s="116">
        <v>380.55</v>
      </c>
      <c r="G443">
        <v>52948</v>
      </c>
      <c r="H443" s="116"/>
      <c r="I443" s="116"/>
      <c r="L443" s="170">
        <v>42656</v>
      </c>
      <c r="M443" s="116">
        <v>190.82499999999999</v>
      </c>
      <c r="N443" s="116">
        <v>193.65</v>
      </c>
      <c r="O443" s="116">
        <v>181.52500000000001</v>
      </c>
      <c r="P443" s="116">
        <v>185</v>
      </c>
      <c r="Q443" s="116">
        <v>381.65</v>
      </c>
      <c r="R443">
        <v>361651</v>
      </c>
    </row>
    <row r="444" spans="1:18" x14ac:dyDescent="0.25">
      <c r="A444" s="170">
        <v>42657</v>
      </c>
      <c r="B444" s="116">
        <v>201.8</v>
      </c>
      <c r="C444" s="116">
        <v>196.22499999999999</v>
      </c>
      <c r="D444" s="116">
        <v>192</v>
      </c>
      <c r="E444" s="116">
        <v>192</v>
      </c>
      <c r="F444" s="116">
        <v>392.45</v>
      </c>
      <c r="G444">
        <v>127614</v>
      </c>
      <c r="H444" s="116"/>
      <c r="I444" s="116"/>
      <c r="L444" s="170">
        <v>42657</v>
      </c>
      <c r="M444" s="116">
        <v>195.2</v>
      </c>
      <c r="N444" s="116">
        <v>201.95</v>
      </c>
      <c r="O444" s="116">
        <v>192.3</v>
      </c>
      <c r="P444" s="116">
        <v>192.5</v>
      </c>
      <c r="Q444" s="116">
        <v>390.4</v>
      </c>
      <c r="R444">
        <v>683449</v>
      </c>
    </row>
    <row r="445" spans="1:18" x14ac:dyDescent="0.25">
      <c r="A445" s="170">
        <v>42660</v>
      </c>
      <c r="B445" s="116">
        <v>196.375</v>
      </c>
      <c r="C445" s="116">
        <v>190.57499999999999</v>
      </c>
      <c r="D445" s="116">
        <v>190.35</v>
      </c>
      <c r="E445" s="116">
        <v>196.3</v>
      </c>
      <c r="F445" s="116">
        <v>381.15</v>
      </c>
      <c r="G445">
        <v>17728</v>
      </c>
      <c r="H445" s="116"/>
      <c r="I445" s="116"/>
      <c r="L445" s="170">
        <v>42660</v>
      </c>
      <c r="M445" s="116">
        <v>190.97499999999999</v>
      </c>
      <c r="N445" s="116">
        <v>196</v>
      </c>
      <c r="O445" s="116">
        <v>190.75</v>
      </c>
      <c r="P445" s="116">
        <v>195.95</v>
      </c>
      <c r="Q445" s="116">
        <v>381.95</v>
      </c>
      <c r="R445">
        <v>121167</v>
      </c>
    </row>
    <row r="446" spans="1:18" x14ac:dyDescent="0.25">
      <c r="A446" s="170">
        <v>42661</v>
      </c>
      <c r="B446" s="116">
        <v>194.625</v>
      </c>
      <c r="C446" s="116">
        <v>190.85</v>
      </c>
      <c r="D446" s="116">
        <v>190.02500000000001</v>
      </c>
      <c r="E446" s="116">
        <v>192</v>
      </c>
      <c r="F446" s="116">
        <v>381.7</v>
      </c>
      <c r="G446">
        <v>10304</v>
      </c>
      <c r="H446" s="116"/>
      <c r="I446" s="116"/>
      <c r="L446" s="170">
        <v>42661</v>
      </c>
      <c r="M446" s="116">
        <v>191.47499999999999</v>
      </c>
      <c r="N446" s="116">
        <v>194.35</v>
      </c>
      <c r="O446" s="116">
        <v>190.3</v>
      </c>
      <c r="P446" s="116">
        <v>191.72499999999999</v>
      </c>
      <c r="Q446" s="116">
        <v>382.95</v>
      </c>
      <c r="R446">
        <v>55067</v>
      </c>
    </row>
    <row r="447" spans="1:18" x14ac:dyDescent="0.25">
      <c r="A447" s="170">
        <v>42662</v>
      </c>
      <c r="B447" s="116">
        <v>193.95</v>
      </c>
      <c r="C447" s="116">
        <v>192.57499999999999</v>
      </c>
      <c r="D447" s="116">
        <v>190</v>
      </c>
      <c r="E447" s="116">
        <v>191.45</v>
      </c>
      <c r="F447" s="116">
        <v>385.15</v>
      </c>
      <c r="G447">
        <v>11118</v>
      </c>
      <c r="H447" s="116"/>
      <c r="I447" s="116"/>
      <c r="L447" s="170">
        <v>42662</v>
      </c>
      <c r="M447" s="116">
        <v>192.8</v>
      </c>
      <c r="N447" s="116">
        <v>194.5</v>
      </c>
      <c r="O447" s="116">
        <v>191.05</v>
      </c>
      <c r="P447" s="116">
        <v>192.85</v>
      </c>
      <c r="Q447" s="116">
        <v>385.6</v>
      </c>
      <c r="R447">
        <v>44139</v>
      </c>
    </row>
    <row r="448" spans="1:18" x14ac:dyDescent="0.25">
      <c r="A448" s="170">
        <v>42663</v>
      </c>
      <c r="B448" s="116">
        <v>195</v>
      </c>
      <c r="C448" s="116">
        <v>190.9</v>
      </c>
      <c r="D448" s="116">
        <v>190.35</v>
      </c>
      <c r="E448" s="116">
        <v>194</v>
      </c>
      <c r="F448" s="116">
        <v>381.8</v>
      </c>
      <c r="G448">
        <v>6622</v>
      </c>
      <c r="H448" s="116"/>
      <c r="I448" s="116"/>
      <c r="L448" s="170">
        <v>42663</v>
      </c>
      <c r="M448" s="116">
        <v>191.22499999999999</v>
      </c>
      <c r="N448" s="116">
        <v>194.85</v>
      </c>
      <c r="O448" s="116">
        <v>190.65</v>
      </c>
      <c r="P448" s="116">
        <v>193.17500000000001</v>
      </c>
      <c r="Q448" s="116">
        <v>382.45</v>
      </c>
      <c r="R448">
        <v>42390</v>
      </c>
    </row>
    <row r="449" spans="1:18" x14ac:dyDescent="0.25">
      <c r="A449" s="170">
        <v>42664</v>
      </c>
      <c r="B449" s="116">
        <v>195.5</v>
      </c>
      <c r="C449" s="116">
        <v>190.75</v>
      </c>
      <c r="D449" s="116">
        <v>190.07499999999999</v>
      </c>
      <c r="E449" s="116">
        <v>191</v>
      </c>
      <c r="F449" s="116">
        <v>381.5</v>
      </c>
      <c r="G449">
        <v>9056</v>
      </c>
      <c r="H449" s="116"/>
      <c r="I449" s="116"/>
      <c r="L449" s="170">
        <v>42664</v>
      </c>
      <c r="M449" s="116">
        <v>191.2</v>
      </c>
      <c r="N449" s="116">
        <v>195.7</v>
      </c>
      <c r="O449" s="116">
        <v>189.77500000000001</v>
      </c>
      <c r="P449" s="116">
        <v>191.4</v>
      </c>
      <c r="Q449" s="116">
        <v>382.4</v>
      </c>
      <c r="R449">
        <v>66085</v>
      </c>
    </row>
    <row r="450" spans="1:18" x14ac:dyDescent="0.25">
      <c r="A450" s="170">
        <v>42667</v>
      </c>
      <c r="B450" s="116">
        <v>201.25</v>
      </c>
      <c r="C450" s="116">
        <v>197.15</v>
      </c>
      <c r="D450" s="116">
        <v>192</v>
      </c>
      <c r="E450" s="116">
        <v>192.5</v>
      </c>
      <c r="F450" s="116">
        <v>394.3</v>
      </c>
      <c r="G450">
        <v>37395</v>
      </c>
      <c r="H450" s="116"/>
      <c r="I450" s="116"/>
      <c r="L450" s="170">
        <v>42667</v>
      </c>
      <c r="M450" s="116">
        <v>197.35</v>
      </c>
      <c r="N450" s="116">
        <v>201</v>
      </c>
      <c r="O450" s="116">
        <v>191.92500000000001</v>
      </c>
      <c r="P450" s="116">
        <v>193.125</v>
      </c>
      <c r="Q450" s="116">
        <v>394.7</v>
      </c>
      <c r="R450">
        <v>286632</v>
      </c>
    </row>
    <row r="451" spans="1:18" x14ac:dyDescent="0.25">
      <c r="A451" s="170">
        <v>42668</v>
      </c>
      <c r="B451" s="116">
        <v>198.77500000000001</v>
      </c>
      <c r="C451" s="116">
        <v>193.25</v>
      </c>
      <c r="D451" s="116">
        <v>192.5</v>
      </c>
      <c r="E451" s="116">
        <v>198.5</v>
      </c>
      <c r="F451" s="116">
        <v>386.5</v>
      </c>
      <c r="G451">
        <v>11599</v>
      </c>
      <c r="H451" s="116"/>
      <c r="I451" s="116"/>
      <c r="L451" s="170">
        <v>42668</v>
      </c>
      <c r="M451" s="116">
        <v>193.27500000000001</v>
      </c>
      <c r="N451" s="116">
        <v>199.7</v>
      </c>
      <c r="O451" s="116">
        <v>192.15</v>
      </c>
      <c r="P451" s="116">
        <v>199.7</v>
      </c>
      <c r="Q451" s="116">
        <v>386.55</v>
      </c>
      <c r="R451">
        <v>84308</v>
      </c>
    </row>
    <row r="452" spans="1:18" x14ac:dyDescent="0.25">
      <c r="A452" s="170">
        <v>42669</v>
      </c>
      <c r="B452" s="116">
        <v>195.75</v>
      </c>
      <c r="C452" s="116">
        <v>193.07499999999999</v>
      </c>
      <c r="D452" s="116">
        <v>191.1</v>
      </c>
      <c r="E452" s="116">
        <v>191.67500000000001</v>
      </c>
      <c r="F452" s="116">
        <v>386.15</v>
      </c>
      <c r="G452">
        <v>10286</v>
      </c>
      <c r="H452" s="116"/>
      <c r="I452" s="116"/>
      <c r="L452" s="170">
        <v>42669</v>
      </c>
      <c r="M452" s="116">
        <v>193.27500000000001</v>
      </c>
      <c r="N452" s="116">
        <v>195.35</v>
      </c>
      <c r="O452" s="116">
        <v>190.95</v>
      </c>
      <c r="P452" s="116">
        <v>193.32499999999999</v>
      </c>
      <c r="Q452" s="116">
        <v>386.55</v>
      </c>
      <c r="R452">
        <v>56087</v>
      </c>
    </row>
    <row r="453" spans="1:18" x14ac:dyDescent="0.25">
      <c r="A453" s="170">
        <v>42670</v>
      </c>
      <c r="B453" s="116">
        <v>194</v>
      </c>
      <c r="C453" s="116">
        <v>191.85</v>
      </c>
      <c r="D453" s="116">
        <v>191.5</v>
      </c>
      <c r="E453" s="116">
        <v>192.05</v>
      </c>
      <c r="F453" s="116">
        <v>383.7</v>
      </c>
      <c r="G453">
        <v>6306</v>
      </c>
      <c r="H453" s="116"/>
      <c r="I453" s="116"/>
      <c r="L453" s="170">
        <v>42670</v>
      </c>
      <c r="M453" s="116">
        <v>191.72499999999999</v>
      </c>
      <c r="N453" s="116">
        <v>194</v>
      </c>
      <c r="O453" s="116">
        <v>190.57499999999999</v>
      </c>
      <c r="P453" s="116">
        <v>193</v>
      </c>
      <c r="Q453" s="116">
        <v>383.45</v>
      </c>
      <c r="R453">
        <v>29496</v>
      </c>
    </row>
    <row r="454" spans="1:18" x14ac:dyDescent="0.25">
      <c r="A454" s="170">
        <v>42671</v>
      </c>
      <c r="B454" s="116">
        <v>197.27500000000001</v>
      </c>
      <c r="C454" s="116">
        <v>193.25</v>
      </c>
      <c r="D454" s="116">
        <v>189.5</v>
      </c>
      <c r="E454" s="116">
        <v>191.85</v>
      </c>
      <c r="F454" s="116">
        <v>386.5</v>
      </c>
      <c r="G454">
        <v>6672</v>
      </c>
      <c r="H454" s="116"/>
      <c r="I454" s="116"/>
      <c r="L454" s="170">
        <v>42671</v>
      </c>
      <c r="M454" s="116">
        <v>192.95</v>
      </c>
      <c r="N454" s="116">
        <v>196.875</v>
      </c>
      <c r="O454" s="116">
        <v>191.72499999999999</v>
      </c>
      <c r="P454" s="116">
        <v>191.72499999999999</v>
      </c>
      <c r="Q454" s="116">
        <v>385.9</v>
      </c>
      <c r="R454">
        <v>45784</v>
      </c>
    </row>
    <row r="455" spans="1:18" x14ac:dyDescent="0.25">
      <c r="A455" s="170">
        <v>42673</v>
      </c>
      <c r="B455" s="116">
        <v>195</v>
      </c>
      <c r="C455" s="116">
        <v>193.77500000000001</v>
      </c>
      <c r="D455" s="116">
        <v>192.47499999999999</v>
      </c>
      <c r="E455" s="116">
        <v>193.7</v>
      </c>
      <c r="F455" s="116">
        <v>387.55</v>
      </c>
      <c r="G455">
        <v>1754</v>
      </c>
      <c r="H455" s="116"/>
      <c r="I455" s="116"/>
      <c r="L455" s="170">
        <v>42673</v>
      </c>
      <c r="M455" s="116">
        <v>193.47499999999999</v>
      </c>
      <c r="N455" s="116">
        <v>195</v>
      </c>
      <c r="O455" s="116">
        <v>192.5</v>
      </c>
      <c r="P455" s="116">
        <v>195</v>
      </c>
      <c r="Q455" s="116">
        <v>386.95</v>
      </c>
      <c r="R455">
        <v>11749</v>
      </c>
    </row>
    <row r="456" spans="1:18" x14ac:dyDescent="0.25">
      <c r="A456" s="170">
        <v>42675</v>
      </c>
      <c r="B456" s="116">
        <v>198.7</v>
      </c>
      <c r="C456" s="116">
        <v>194.05</v>
      </c>
      <c r="D456" s="116">
        <v>192</v>
      </c>
      <c r="E456" s="116">
        <v>193.07499999999999</v>
      </c>
      <c r="F456" s="116">
        <v>388.1</v>
      </c>
      <c r="G456">
        <v>12209</v>
      </c>
      <c r="H456" s="116"/>
      <c r="I456" s="116"/>
      <c r="L456" s="170">
        <v>42675</v>
      </c>
      <c r="M456" s="116">
        <v>194.8</v>
      </c>
      <c r="N456" s="116">
        <v>199.5</v>
      </c>
      <c r="O456" s="116">
        <v>191.77500000000001</v>
      </c>
      <c r="P456" s="116">
        <v>193.5</v>
      </c>
      <c r="Q456" s="116">
        <v>389.6</v>
      </c>
      <c r="R456">
        <v>77144</v>
      </c>
    </row>
    <row r="457" spans="1:18" x14ac:dyDescent="0.25">
      <c r="A457" s="170">
        <v>42676</v>
      </c>
      <c r="B457" s="116">
        <v>196.05</v>
      </c>
      <c r="C457" s="116">
        <v>189.52500000000001</v>
      </c>
      <c r="D457" s="116">
        <v>188.32499999999999</v>
      </c>
      <c r="E457" s="116">
        <v>191.375</v>
      </c>
      <c r="F457" s="116">
        <v>379.05</v>
      </c>
      <c r="G457">
        <v>8557</v>
      </c>
      <c r="H457" s="116"/>
      <c r="I457" s="116"/>
      <c r="L457" s="170">
        <v>42676</v>
      </c>
      <c r="M457" s="116">
        <v>190.15</v>
      </c>
      <c r="N457" s="116">
        <v>195.77500000000001</v>
      </c>
      <c r="O457" s="116">
        <v>188.85</v>
      </c>
      <c r="P457" s="116">
        <v>192.5</v>
      </c>
      <c r="Q457" s="116">
        <v>380.3</v>
      </c>
      <c r="R457">
        <v>65842</v>
      </c>
    </row>
    <row r="458" spans="1:18" x14ac:dyDescent="0.25">
      <c r="A458" s="170">
        <v>42677</v>
      </c>
      <c r="B458" s="116">
        <v>192.95</v>
      </c>
      <c r="C458" s="116">
        <v>183.85</v>
      </c>
      <c r="D458" s="116">
        <v>181.95</v>
      </c>
      <c r="E458" s="116">
        <v>189.52500000000001</v>
      </c>
      <c r="F458" s="116">
        <v>367.7</v>
      </c>
      <c r="G458">
        <v>10191</v>
      </c>
      <c r="H458" s="116"/>
      <c r="I458" s="116"/>
      <c r="L458" s="170">
        <v>42677</v>
      </c>
      <c r="M458" s="116">
        <v>184.375</v>
      </c>
      <c r="N458" s="116">
        <v>193</v>
      </c>
      <c r="O458" s="116">
        <v>181.75</v>
      </c>
      <c r="P458" s="116">
        <v>190</v>
      </c>
      <c r="Q458" s="116">
        <v>368.75</v>
      </c>
      <c r="R458">
        <v>44442</v>
      </c>
    </row>
    <row r="459" spans="1:18" x14ac:dyDescent="0.25">
      <c r="A459" s="170">
        <v>42678</v>
      </c>
      <c r="B459" s="116">
        <v>194.5</v>
      </c>
      <c r="C459" s="116">
        <v>176.875</v>
      </c>
      <c r="D459" s="116">
        <v>175</v>
      </c>
      <c r="E459" s="116">
        <v>191.5</v>
      </c>
      <c r="F459" s="116">
        <v>353.75</v>
      </c>
      <c r="G459">
        <v>17477</v>
      </c>
      <c r="H459" s="116"/>
      <c r="I459" s="116"/>
      <c r="L459" s="170">
        <v>42678</v>
      </c>
      <c r="M459" s="116">
        <v>176.52500000000001</v>
      </c>
      <c r="N459" s="116">
        <v>188.5</v>
      </c>
      <c r="O459" s="116">
        <v>175</v>
      </c>
      <c r="P459" s="116">
        <v>184.95</v>
      </c>
      <c r="Q459" s="116">
        <v>353.05</v>
      </c>
      <c r="R459">
        <v>80960</v>
      </c>
    </row>
    <row r="460" spans="1:18" x14ac:dyDescent="0.25">
      <c r="A460" s="170">
        <v>42681</v>
      </c>
      <c r="B460" s="116">
        <v>184.4</v>
      </c>
      <c r="C460" s="116">
        <v>178.9</v>
      </c>
      <c r="D460" s="116">
        <v>176.875</v>
      </c>
      <c r="E460" s="116">
        <v>176.875</v>
      </c>
      <c r="F460" s="116">
        <v>357.8</v>
      </c>
      <c r="G460">
        <v>14024</v>
      </c>
      <c r="H460" s="116"/>
      <c r="I460" s="116"/>
      <c r="L460" s="170">
        <v>42681</v>
      </c>
      <c r="M460" s="116">
        <v>178.15</v>
      </c>
      <c r="N460" s="116">
        <v>184.5</v>
      </c>
      <c r="O460" s="116">
        <v>177.5</v>
      </c>
      <c r="P460" s="116">
        <v>179.85</v>
      </c>
      <c r="Q460" s="116">
        <v>356.3</v>
      </c>
      <c r="R460">
        <v>51161</v>
      </c>
    </row>
    <row r="461" spans="1:18" x14ac:dyDescent="0.25">
      <c r="A461" s="170">
        <v>42682</v>
      </c>
      <c r="B461" s="116">
        <v>181.17500000000001</v>
      </c>
      <c r="C461" s="116">
        <v>176.25</v>
      </c>
      <c r="D461" s="116">
        <v>175.3</v>
      </c>
      <c r="E461" s="116">
        <v>180.7</v>
      </c>
      <c r="F461" s="116">
        <v>352.5</v>
      </c>
      <c r="G461">
        <v>4507</v>
      </c>
      <c r="H461" s="116"/>
      <c r="I461" s="116"/>
      <c r="L461" s="170">
        <v>42682</v>
      </c>
      <c r="M461" s="116">
        <v>176.35</v>
      </c>
      <c r="N461" s="116">
        <v>181.5</v>
      </c>
      <c r="O461" s="116">
        <v>175</v>
      </c>
      <c r="P461" s="116">
        <v>180</v>
      </c>
      <c r="Q461" s="116">
        <v>352.7</v>
      </c>
      <c r="R461">
        <v>29281</v>
      </c>
    </row>
    <row r="462" spans="1:18" x14ac:dyDescent="0.25">
      <c r="A462" s="170">
        <v>42683</v>
      </c>
      <c r="B462" s="116">
        <v>180.4</v>
      </c>
      <c r="C462" s="116">
        <v>178.85</v>
      </c>
      <c r="D462" s="116">
        <v>154</v>
      </c>
      <c r="E462" s="116">
        <v>172.5</v>
      </c>
      <c r="F462" s="116">
        <v>357.7</v>
      </c>
      <c r="G462">
        <v>22047</v>
      </c>
      <c r="H462" s="116"/>
      <c r="I462" s="116"/>
      <c r="L462" s="170">
        <v>42683</v>
      </c>
      <c r="M462" s="116">
        <v>177.45</v>
      </c>
      <c r="N462" s="116">
        <v>179.42500000000001</v>
      </c>
      <c r="O462" s="116">
        <v>152.5</v>
      </c>
      <c r="P462" s="116">
        <v>170</v>
      </c>
      <c r="Q462" s="116">
        <v>354.9</v>
      </c>
      <c r="R462">
        <v>112904</v>
      </c>
    </row>
    <row r="463" spans="1:18" x14ac:dyDescent="0.25">
      <c r="A463" s="170">
        <v>42684</v>
      </c>
      <c r="B463" s="116">
        <v>185</v>
      </c>
      <c r="C463" s="116">
        <v>179.1</v>
      </c>
      <c r="D463" s="116">
        <v>177.05</v>
      </c>
      <c r="E463" s="116">
        <v>180.5</v>
      </c>
      <c r="F463" s="116">
        <v>358.2</v>
      </c>
      <c r="G463">
        <v>8311</v>
      </c>
      <c r="H463" s="116"/>
      <c r="I463" s="116"/>
      <c r="L463" s="170">
        <v>42684</v>
      </c>
      <c r="M463" s="116">
        <v>178.1</v>
      </c>
      <c r="N463" s="116">
        <v>184.9</v>
      </c>
      <c r="O463" s="116">
        <v>176.77500000000001</v>
      </c>
      <c r="P463" s="116">
        <v>182.5</v>
      </c>
      <c r="Q463" s="116">
        <v>356.2</v>
      </c>
      <c r="R463">
        <v>58826</v>
      </c>
    </row>
    <row r="464" spans="1:18" x14ac:dyDescent="0.25">
      <c r="A464" s="170">
        <v>42685</v>
      </c>
      <c r="B464" s="116">
        <v>184</v>
      </c>
      <c r="C464" s="116">
        <v>181.02500000000001</v>
      </c>
      <c r="D464" s="116">
        <v>174.52500000000001</v>
      </c>
      <c r="E464" s="116">
        <v>175.625</v>
      </c>
      <c r="F464" s="116">
        <v>362.05</v>
      </c>
      <c r="G464">
        <v>15847</v>
      </c>
      <c r="H464" s="116"/>
      <c r="I464" s="116"/>
      <c r="L464" s="170">
        <v>42685</v>
      </c>
      <c r="M464" s="116">
        <v>180.95</v>
      </c>
      <c r="N464" s="116">
        <v>184</v>
      </c>
      <c r="O464" s="116">
        <v>175</v>
      </c>
      <c r="P464" s="116">
        <v>176</v>
      </c>
      <c r="Q464" s="116">
        <v>361.9</v>
      </c>
      <c r="R464">
        <v>103319</v>
      </c>
    </row>
    <row r="465" spans="1:18" x14ac:dyDescent="0.25">
      <c r="A465" s="170">
        <v>42689</v>
      </c>
      <c r="B465" s="116">
        <v>183.17500000000001</v>
      </c>
      <c r="C465" s="116">
        <v>170.375</v>
      </c>
      <c r="D465" s="116">
        <v>168.1</v>
      </c>
      <c r="E465" s="116">
        <v>182.5</v>
      </c>
      <c r="F465" s="116">
        <v>340.75</v>
      </c>
      <c r="G465">
        <v>10386</v>
      </c>
      <c r="H465" s="116"/>
      <c r="I465" s="116"/>
      <c r="L465" s="170">
        <v>42689</v>
      </c>
      <c r="M465" s="116">
        <v>171.15</v>
      </c>
      <c r="N465" s="116">
        <v>184.875</v>
      </c>
      <c r="O465" s="116">
        <v>168.75</v>
      </c>
      <c r="P465" s="116">
        <v>181.4</v>
      </c>
      <c r="Q465" s="116">
        <v>342.3</v>
      </c>
      <c r="R465">
        <v>97412</v>
      </c>
    </row>
    <row r="466" spans="1:18" x14ac:dyDescent="0.25">
      <c r="A466" s="170">
        <v>42690</v>
      </c>
      <c r="B466" s="116">
        <v>177.5</v>
      </c>
      <c r="C466" s="116">
        <v>173.3</v>
      </c>
      <c r="D466" s="116">
        <v>168</v>
      </c>
      <c r="E466" s="116">
        <v>175.4</v>
      </c>
      <c r="F466" s="116">
        <v>346.6</v>
      </c>
      <c r="G466">
        <v>11123</v>
      </c>
      <c r="H466" s="116"/>
      <c r="I466" s="116"/>
      <c r="L466" s="170">
        <v>42690</v>
      </c>
      <c r="M466" s="116">
        <v>174</v>
      </c>
      <c r="N466" s="116">
        <v>177.2</v>
      </c>
      <c r="O466" s="116">
        <v>170</v>
      </c>
      <c r="P466" s="116">
        <v>176.7</v>
      </c>
      <c r="Q466" s="116">
        <v>348</v>
      </c>
      <c r="R466">
        <v>52088</v>
      </c>
    </row>
    <row r="467" spans="1:18" x14ac:dyDescent="0.25">
      <c r="A467" s="170">
        <v>42691</v>
      </c>
      <c r="B467" s="116">
        <v>177.42500000000001</v>
      </c>
      <c r="C467" s="116">
        <v>173.8</v>
      </c>
      <c r="D467" s="116">
        <v>172.375</v>
      </c>
      <c r="E467" s="116">
        <v>176</v>
      </c>
      <c r="F467" s="116">
        <v>347.6</v>
      </c>
      <c r="G467">
        <v>7325</v>
      </c>
      <c r="H467" s="116"/>
      <c r="I467" s="116"/>
      <c r="L467" s="170">
        <v>42691</v>
      </c>
      <c r="M467" s="116">
        <v>173.75</v>
      </c>
      <c r="N467" s="116">
        <v>177</v>
      </c>
      <c r="O467" s="116">
        <v>171.92500000000001</v>
      </c>
      <c r="P467" s="116">
        <v>176.45</v>
      </c>
      <c r="Q467" s="116">
        <v>347.5</v>
      </c>
      <c r="R467">
        <v>48357</v>
      </c>
    </row>
    <row r="468" spans="1:18" x14ac:dyDescent="0.25">
      <c r="A468" s="170">
        <v>42692</v>
      </c>
      <c r="B468" s="116">
        <v>177</v>
      </c>
      <c r="C468" s="116">
        <v>173.3</v>
      </c>
      <c r="D468" s="116">
        <v>168.3</v>
      </c>
      <c r="E468" s="116">
        <v>172.15</v>
      </c>
      <c r="F468" s="116">
        <v>346.6</v>
      </c>
      <c r="G468">
        <v>46850</v>
      </c>
      <c r="H468" s="116"/>
      <c r="I468" s="116"/>
      <c r="L468" s="170">
        <v>42692</v>
      </c>
      <c r="M468" s="116">
        <v>172.95</v>
      </c>
      <c r="N468" s="116">
        <v>177.45</v>
      </c>
      <c r="O468" s="116">
        <v>168.15</v>
      </c>
      <c r="P468" s="116">
        <v>176.875</v>
      </c>
      <c r="Q468" s="116">
        <v>345.9</v>
      </c>
      <c r="R468">
        <v>207286</v>
      </c>
    </row>
    <row r="469" spans="1:18" x14ac:dyDescent="0.25">
      <c r="A469" s="170">
        <v>42695</v>
      </c>
      <c r="B469" s="116">
        <v>175.85</v>
      </c>
      <c r="C469" s="116">
        <v>160.4</v>
      </c>
      <c r="D469" s="116">
        <v>154.5</v>
      </c>
      <c r="E469" s="116">
        <v>175</v>
      </c>
      <c r="F469" s="116">
        <v>320.8</v>
      </c>
      <c r="G469">
        <v>55618</v>
      </c>
      <c r="H469" s="116"/>
      <c r="I469" s="116"/>
      <c r="L469" s="170">
        <v>42695</v>
      </c>
      <c r="M469" s="116">
        <v>160.15</v>
      </c>
      <c r="N469" s="116">
        <v>177</v>
      </c>
      <c r="O469" s="116">
        <v>154.5</v>
      </c>
      <c r="P469" s="116">
        <v>174.8</v>
      </c>
      <c r="Q469" s="116">
        <v>320.3</v>
      </c>
      <c r="R469">
        <v>263817</v>
      </c>
    </row>
    <row r="470" spans="1:18" x14ac:dyDescent="0.25">
      <c r="A470" s="170">
        <v>42696</v>
      </c>
      <c r="B470" s="116">
        <v>165.57499999999999</v>
      </c>
      <c r="C470" s="116">
        <v>164.17500000000001</v>
      </c>
      <c r="D470" s="116">
        <v>158.4</v>
      </c>
      <c r="E470" s="116">
        <v>164.42500000000001</v>
      </c>
      <c r="F470" s="116">
        <v>328.35</v>
      </c>
      <c r="G470">
        <v>10208</v>
      </c>
      <c r="H470" s="116"/>
      <c r="I470" s="116"/>
      <c r="L470" s="170">
        <v>42696</v>
      </c>
      <c r="M470" s="116">
        <v>164.27500000000001</v>
      </c>
      <c r="N470" s="116">
        <v>165.5</v>
      </c>
      <c r="O470" s="116">
        <v>157.55000000000001</v>
      </c>
      <c r="P470" s="116">
        <v>163.9</v>
      </c>
      <c r="Q470" s="116">
        <v>328.55</v>
      </c>
      <c r="R470">
        <v>87444</v>
      </c>
    </row>
    <row r="471" spans="1:18" x14ac:dyDescent="0.25">
      <c r="A471" s="170">
        <v>42697</v>
      </c>
      <c r="B471" s="116">
        <v>173.57499999999999</v>
      </c>
      <c r="C471" s="116">
        <v>171.2</v>
      </c>
      <c r="D471" s="116">
        <v>165.25</v>
      </c>
      <c r="E471" s="116">
        <v>165.25</v>
      </c>
      <c r="F471" s="116">
        <v>342.4</v>
      </c>
      <c r="G471">
        <v>10875</v>
      </c>
      <c r="H471" s="116"/>
      <c r="I471" s="116"/>
      <c r="L471" s="170">
        <v>42697</v>
      </c>
      <c r="M471" s="116">
        <v>170.77500000000001</v>
      </c>
      <c r="N471" s="116">
        <v>173.67500000000001</v>
      </c>
      <c r="O471" s="116">
        <v>164.5</v>
      </c>
      <c r="P471" s="116">
        <v>166</v>
      </c>
      <c r="Q471" s="116">
        <v>341.55</v>
      </c>
      <c r="R471">
        <v>65849</v>
      </c>
    </row>
    <row r="472" spans="1:18" x14ac:dyDescent="0.25">
      <c r="A472" s="170">
        <v>42698</v>
      </c>
      <c r="B472" s="116">
        <v>172.45</v>
      </c>
      <c r="C472" s="116">
        <v>168.7</v>
      </c>
      <c r="D472" s="116">
        <v>168.125</v>
      </c>
      <c r="E472" s="116">
        <v>172</v>
      </c>
      <c r="F472" s="116">
        <v>337.4</v>
      </c>
      <c r="G472">
        <v>5873</v>
      </c>
      <c r="H472" s="116"/>
      <c r="I472" s="116"/>
      <c r="L472" s="170">
        <v>42698</v>
      </c>
      <c r="M472" s="116">
        <v>168.82499999999999</v>
      </c>
      <c r="N472" s="116">
        <v>172.5</v>
      </c>
      <c r="O472" s="116">
        <v>167.2</v>
      </c>
      <c r="P472" s="116">
        <v>171</v>
      </c>
      <c r="Q472" s="116">
        <v>337.65</v>
      </c>
      <c r="R472">
        <v>29295</v>
      </c>
    </row>
    <row r="473" spans="1:18" x14ac:dyDescent="0.25">
      <c r="A473" s="170">
        <v>42699</v>
      </c>
      <c r="B473" s="116">
        <v>175.75</v>
      </c>
      <c r="C473" s="116">
        <v>173.65</v>
      </c>
      <c r="D473" s="116">
        <v>170.27500000000001</v>
      </c>
      <c r="E473" s="116">
        <v>170.47499999999999</v>
      </c>
      <c r="F473" s="116">
        <v>347.3</v>
      </c>
      <c r="G473">
        <v>15355</v>
      </c>
      <c r="H473" s="116"/>
      <c r="I473" s="116"/>
      <c r="L473" s="170">
        <v>42699</v>
      </c>
      <c r="M473" s="116">
        <v>173.47499999999999</v>
      </c>
      <c r="N473" s="116">
        <v>175.92500000000001</v>
      </c>
      <c r="O473" s="116">
        <v>169.85</v>
      </c>
      <c r="P473" s="116">
        <v>169.95</v>
      </c>
      <c r="Q473" s="116">
        <v>346.95</v>
      </c>
      <c r="R473">
        <v>116832</v>
      </c>
    </row>
    <row r="474" spans="1:18" x14ac:dyDescent="0.25">
      <c r="A474" s="170">
        <v>42702</v>
      </c>
      <c r="B474" s="116">
        <v>175</v>
      </c>
      <c r="C474" s="116">
        <v>170</v>
      </c>
      <c r="D474" s="116">
        <v>168.5</v>
      </c>
      <c r="E474" s="116">
        <v>174.125</v>
      </c>
      <c r="F474" s="116">
        <v>340</v>
      </c>
      <c r="G474">
        <v>3879</v>
      </c>
      <c r="H474" s="116"/>
      <c r="I474" s="116"/>
      <c r="L474" s="170">
        <v>42702</v>
      </c>
      <c r="M474" s="116">
        <v>170.2</v>
      </c>
      <c r="N474" s="116">
        <v>175</v>
      </c>
      <c r="O474" s="116">
        <v>168.45</v>
      </c>
      <c r="P474" s="116">
        <v>173</v>
      </c>
      <c r="Q474" s="116">
        <v>340.4</v>
      </c>
      <c r="R474">
        <v>34553</v>
      </c>
    </row>
    <row r="475" spans="1:18" x14ac:dyDescent="0.25">
      <c r="A475" s="170">
        <v>42703</v>
      </c>
      <c r="B475" s="116">
        <v>176</v>
      </c>
      <c r="C475" s="116">
        <v>173.67500000000001</v>
      </c>
      <c r="D475" s="116">
        <v>169.75</v>
      </c>
      <c r="E475" s="116">
        <v>169.75</v>
      </c>
      <c r="F475" s="116">
        <v>347.35</v>
      </c>
      <c r="G475">
        <v>5055</v>
      </c>
      <c r="H475" s="116"/>
      <c r="I475" s="116"/>
      <c r="L475" s="170">
        <v>42703</v>
      </c>
      <c r="M475" s="116">
        <v>173.82499999999999</v>
      </c>
      <c r="N475" s="116">
        <v>175.97499999999999</v>
      </c>
      <c r="O475" s="116">
        <v>169.52500000000001</v>
      </c>
      <c r="P475" s="116">
        <v>170</v>
      </c>
      <c r="Q475" s="116">
        <v>347.65</v>
      </c>
      <c r="R475">
        <v>45054</v>
      </c>
    </row>
    <row r="476" spans="1:18" x14ac:dyDescent="0.25">
      <c r="A476" s="170">
        <v>42704</v>
      </c>
      <c r="B476" s="116">
        <v>180</v>
      </c>
      <c r="C476" s="116">
        <v>176.27500000000001</v>
      </c>
      <c r="D476" s="116">
        <v>171.5</v>
      </c>
      <c r="E476" s="116">
        <v>171.5</v>
      </c>
      <c r="F476" s="116">
        <v>352.55</v>
      </c>
      <c r="G476">
        <v>22778</v>
      </c>
      <c r="H476" s="116"/>
      <c r="I476" s="116"/>
      <c r="L476" s="170">
        <v>42704</v>
      </c>
      <c r="M476" s="116">
        <v>176.17500000000001</v>
      </c>
      <c r="N476" s="116">
        <v>180.22499999999999</v>
      </c>
      <c r="O476" s="116">
        <v>172.1</v>
      </c>
      <c r="P476" s="116">
        <v>174.5</v>
      </c>
      <c r="Q476" s="116">
        <v>352.35</v>
      </c>
      <c r="R476">
        <v>280096</v>
      </c>
    </row>
    <row r="477" spans="1:18" x14ac:dyDescent="0.25">
      <c r="A477" s="170">
        <v>42705</v>
      </c>
      <c r="B477" s="116">
        <v>177.5</v>
      </c>
      <c r="C477" s="116">
        <v>174.875</v>
      </c>
      <c r="D477" s="116">
        <v>174.02500000000001</v>
      </c>
      <c r="E477" s="116">
        <v>177.5</v>
      </c>
      <c r="F477" s="116">
        <v>349.75</v>
      </c>
      <c r="G477">
        <v>20862</v>
      </c>
      <c r="H477" s="116"/>
      <c r="I477" s="116"/>
      <c r="L477" s="170">
        <v>42705</v>
      </c>
      <c r="M477" s="116">
        <v>174.82499999999999</v>
      </c>
      <c r="N477" s="116">
        <v>178.4</v>
      </c>
      <c r="O477" s="116">
        <v>173.97499999999999</v>
      </c>
      <c r="P477" s="116">
        <v>178.4</v>
      </c>
      <c r="Q477" s="116">
        <v>349.65</v>
      </c>
      <c r="R477">
        <v>36705</v>
      </c>
    </row>
    <row r="478" spans="1:18" x14ac:dyDescent="0.25">
      <c r="A478" s="170">
        <v>42706</v>
      </c>
      <c r="B478" s="116">
        <v>177.17500000000001</v>
      </c>
      <c r="C478" s="116">
        <v>174.72499999999999</v>
      </c>
      <c r="D478" s="116">
        <v>172.57499999999999</v>
      </c>
      <c r="E478" s="116">
        <v>173.75</v>
      </c>
      <c r="F478" s="116">
        <v>349.45</v>
      </c>
      <c r="G478">
        <v>6184</v>
      </c>
      <c r="H478" s="116"/>
      <c r="I478" s="116"/>
      <c r="L478" s="170">
        <v>42706</v>
      </c>
      <c r="M478" s="116">
        <v>174.65</v>
      </c>
      <c r="N478" s="116">
        <v>177.47499999999999</v>
      </c>
      <c r="O478" s="116">
        <v>172.2</v>
      </c>
      <c r="P478" s="116">
        <v>172.2</v>
      </c>
      <c r="Q478" s="116">
        <v>349.3</v>
      </c>
      <c r="R478">
        <v>39311</v>
      </c>
    </row>
    <row r="479" spans="1:18" x14ac:dyDescent="0.25">
      <c r="A479" s="170">
        <v>42709</v>
      </c>
      <c r="B479" s="116">
        <v>177.9</v>
      </c>
      <c r="C479" s="116">
        <v>174.875</v>
      </c>
      <c r="D479" s="116">
        <v>172.55</v>
      </c>
      <c r="E479" s="116">
        <v>175</v>
      </c>
      <c r="F479" s="116">
        <v>349.75</v>
      </c>
      <c r="G479">
        <v>6908</v>
      </c>
      <c r="H479" s="116"/>
      <c r="I479" s="116"/>
      <c r="L479" s="170">
        <v>42709</v>
      </c>
      <c r="M479" s="116">
        <v>175.125</v>
      </c>
      <c r="N479" s="116">
        <v>178.27500000000001</v>
      </c>
      <c r="O479" s="116">
        <v>172.05</v>
      </c>
      <c r="P479" s="116">
        <v>174.55</v>
      </c>
      <c r="Q479" s="116">
        <v>350.25</v>
      </c>
      <c r="R479">
        <v>76734</v>
      </c>
    </row>
    <row r="480" spans="1:18" x14ac:dyDescent="0.25">
      <c r="A480" s="170">
        <v>42710</v>
      </c>
      <c r="B480" s="116">
        <v>178.05</v>
      </c>
      <c r="C480" s="116">
        <v>174.05</v>
      </c>
      <c r="D480" s="116">
        <v>173.625</v>
      </c>
      <c r="E480" s="116">
        <v>178.05</v>
      </c>
      <c r="F480" s="116">
        <v>348.1</v>
      </c>
      <c r="G480">
        <v>3005</v>
      </c>
      <c r="H480" s="116"/>
      <c r="I480" s="116"/>
      <c r="L480" s="170">
        <v>42710</v>
      </c>
      <c r="M480" s="116">
        <v>173.72499999999999</v>
      </c>
      <c r="N480" s="116">
        <v>178.8</v>
      </c>
      <c r="O480" s="116">
        <v>172.67500000000001</v>
      </c>
      <c r="P480" s="116">
        <v>174.47499999999999</v>
      </c>
      <c r="Q480" s="116">
        <v>347.45</v>
      </c>
      <c r="R480">
        <v>30686</v>
      </c>
    </row>
    <row r="481" spans="1:18" x14ac:dyDescent="0.25">
      <c r="A481" s="170">
        <v>42711</v>
      </c>
      <c r="B481" s="116">
        <v>176</v>
      </c>
      <c r="C481" s="116">
        <v>175.1</v>
      </c>
      <c r="D481" s="116">
        <v>173.52500000000001</v>
      </c>
      <c r="E481" s="116">
        <v>174.82499999999999</v>
      </c>
      <c r="F481" s="116">
        <v>350.2</v>
      </c>
      <c r="G481">
        <v>8639</v>
      </c>
      <c r="H481" s="116"/>
      <c r="I481" s="116"/>
      <c r="L481" s="170">
        <v>42711</v>
      </c>
      <c r="M481" s="116">
        <v>174.9</v>
      </c>
      <c r="N481" s="116">
        <v>176.85</v>
      </c>
      <c r="O481" s="116">
        <v>173.42500000000001</v>
      </c>
      <c r="P481" s="116">
        <v>175</v>
      </c>
      <c r="Q481" s="116">
        <v>349.8</v>
      </c>
      <c r="R481">
        <v>31721</v>
      </c>
    </row>
    <row r="482" spans="1:18" x14ac:dyDescent="0.25">
      <c r="A482" s="170">
        <v>42712</v>
      </c>
      <c r="B482" s="116">
        <v>176.5</v>
      </c>
      <c r="C482" s="116">
        <v>174.125</v>
      </c>
      <c r="D482" s="116">
        <v>173.52500000000001</v>
      </c>
      <c r="E482" s="116">
        <v>175.75</v>
      </c>
      <c r="F482" s="116">
        <v>348.25</v>
      </c>
      <c r="G482">
        <v>6775</v>
      </c>
      <c r="H482" s="116"/>
      <c r="I482" s="116"/>
      <c r="L482" s="170">
        <v>42712</v>
      </c>
      <c r="M482" s="116">
        <v>174.05</v>
      </c>
      <c r="N482" s="116">
        <v>176.625</v>
      </c>
      <c r="O482" s="116">
        <v>173.55</v>
      </c>
      <c r="P482" s="116">
        <v>175.77500000000001</v>
      </c>
      <c r="Q482" s="116">
        <v>348.1</v>
      </c>
      <c r="R482">
        <v>37555</v>
      </c>
    </row>
    <row r="483" spans="1:18" x14ac:dyDescent="0.25">
      <c r="A483" s="170">
        <v>42713</v>
      </c>
      <c r="B483" s="116">
        <v>177.1</v>
      </c>
      <c r="C483" s="116">
        <v>174.4</v>
      </c>
      <c r="D483" s="116">
        <v>170.625</v>
      </c>
      <c r="E483" s="116">
        <v>175</v>
      </c>
      <c r="F483" s="116">
        <v>348.8</v>
      </c>
      <c r="G483">
        <v>3264</v>
      </c>
      <c r="H483" s="116"/>
      <c r="I483" s="116"/>
      <c r="L483" s="170">
        <v>42713</v>
      </c>
      <c r="M483" s="116">
        <v>174.2</v>
      </c>
      <c r="N483" s="116">
        <v>177.47499999999999</v>
      </c>
      <c r="O483" s="116">
        <v>173.5</v>
      </c>
      <c r="P483" s="116">
        <v>174</v>
      </c>
      <c r="Q483" s="116">
        <v>348.4</v>
      </c>
      <c r="R483">
        <v>34911</v>
      </c>
    </row>
    <row r="484" spans="1:18" x14ac:dyDescent="0.25">
      <c r="A484" s="170">
        <v>42716</v>
      </c>
      <c r="B484" s="116">
        <v>175.52500000000001</v>
      </c>
      <c r="C484" s="116">
        <v>173</v>
      </c>
      <c r="D484" s="116">
        <v>172.5</v>
      </c>
      <c r="E484" s="116">
        <v>174.7</v>
      </c>
      <c r="F484" s="116">
        <v>346</v>
      </c>
      <c r="G484">
        <v>3685</v>
      </c>
      <c r="H484" s="116"/>
      <c r="I484" s="116"/>
      <c r="L484" s="170">
        <v>42716</v>
      </c>
      <c r="M484" s="116">
        <v>173.6</v>
      </c>
      <c r="N484" s="116">
        <v>178.5</v>
      </c>
      <c r="O484" s="116">
        <v>172.55</v>
      </c>
      <c r="P484" s="116">
        <v>178.5</v>
      </c>
      <c r="Q484" s="116">
        <v>347.2</v>
      </c>
      <c r="R484">
        <v>368524</v>
      </c>
    </row>
    <row r="485" spans="1:18" x14ac:dyDescent="0.25">
      <c r="A485" s="170">
        <v>42717</v>
      </c>
      <c r="B485" s="116">
        <v>174.5</v>
      </c>
      <c r="C485" s="116">
        <v>173.2</v>
      </c>
      <c r="D485" s="116">
        <v>171.5</v>
      </c>
      <c r="E485" s="116">
        <v>174.375</v>
      </c>
      <c r="F485" s="116">
        <v>346.4</v>
      </c>
      <c r="G485">
        <v>2858</v>
      </c>
      <c r="H485" s="116"/>
      <c r="I485" s="116"/>
      <c r="L485" s="170">
        <v>42717</v>
      </c>
      <c r="M485" s="116">
        <v>173.05</v>
      </c>
      <c r="N485" s="116">
        <v>174.97499999999999</v>
      </c>
      <c r="O485" s="116">
        <v>170.25</v>
      </c>
      <c r="P485" s="116">
        <v>174.97499999999999</v>
      </c>
      <c r="Q485" s="116">
        <v>346.1</v>
      </c>
      <c r="R485">
        <v>26293</v>
      </c>
    </row>
    <row r="486" spans="1:18" x14ac:dyDescent="0.25">
      <c r="A486" s="170">
        <v>42718</v>
      </c>
      <c r="B486" s="116">
        <v>175.85</v>
      </c>
      <c r="C486" s="116">
        <v>172.82499999999999</v>
      </c>
      <c r="D486" s="116">
        <v>171.5</v>
      </c>
      <c r="E486" s="116">
        <v>174.5</v>
      </c>
      <c r="F486" s="116">
        <v>345.65</v>
      </c>
      <c r="G486">
        <v>2907</v>
      </c>
      <c r="H486" s="116"/>
      <c r="I486" s="116"/>
      <c r="L486" s="170">
        <v>42718</v>
      </c>
      <c r="M486" s="116">
        <v>172.22499999999999</v>
      </c>
      <c r="N486" s="116">
        <v>175.85</v>
      </c>
      <c r="O486" s="116">
        <v>171</v>
      </c>
      <c r="P486" s="116">
        <v>173</v>
      </c>
      <c r="Q486" s="116">
        <v>344.45</v>
      </c>
      <c r="R486">
        <v>129471</v>
      </c>
    </row>
    <row r="487" spans="1:18" x14ac:dyDescent="0.25">
      <c r="A487" s="170">
        <v>42719</v>
      </c>
      <c r="B487" s="116">
        <v>175</v>
      </c>
      <c r="C487" s="116">
        <v>173.42500000000001</v>
      </c>
      <c r="D487" s="116">
        <v>171.125</v>
      </c>
      <c r="E487" s="116">
        <v>171.7</v>
      </c>
      <c r="F487" s="116">
        <v>346.85</v>
      </c>
      <c r="G487">
        <v>4326</v>
      </c>
      <c r="H487" s="116"/>
      <c r="I487" s="116"/>
      <c r="L487" s="170">
        <v>42719</v>
      </c>
      <c r="M487" s="116">
        <v>173</v>
      </c>
      <c r="N487" s="116">
        <v>175</v>
      </c>
      <c r="O487" s="116">
        <v>170.1</v>
      </c>
      <c r="P487" s="116">
        <v>170.1</v>
      </c>
      <c r="Q487" s="116">
        <v>346</v>
      </c>
      <c r="R487">
        <v>22078</v>
      </c>
    </row>
    <row r="488" spans="1:18" x14ac:dyDescent="0.25">
      <c r="A488" s="170">
        <v>42720</v>
      </c>
      <c r="B488" s="116">
        <v>172.45</v>
      </c>
      <c r="C488" s="116">
        <v>171.125</v>
      </c>
      <c r="D488" s="116">
        <v>170.82499999999999</v>
      </c>
      <c r="E488" s="116">
        <v>172.45</v>
      </c>
      <c r="F488" s="116">
        <v>342.25</v>
      </c>
      <c r="G488">
        <v>1750</v>
      </c>
      <c r="H488" s="116"/>
      <c r="I488" s="116"/>
      <c r="L488" s="170">
        <v>42720</v>
      </c>
      <c r="M488" s="116">
        <v>171.52500000000001</v>
      </c>
      <c r="N488" s="116">
        <v>173.95</v>
      </c>
      <c r="O488" s="116">
        <v>170.55</v>
      </c>
      <c r="P488" s="116">
        <v>172.25</v>
      </c>
      <c r="Q488" s="116">
        <v>343.05</v>
      </c>
      <c r="R488">
        <v>40001</v>
      </c>
    </row>
    <row r="489" spans="1:18" x14ac:dyDescent="0.25">
      <c r="A489" s="170">
        <v>42723</v>
      </c>
      <c r="B489" s="116">
        <v>173.95</v>
      </c>
      <c r="C489" s="116">
        <v>172.95</v>
      </c>
      <c r="D489" s="116">
        <v>171.05</v>
      </c>
      <c r="E489" s="116">
        <v>171.55</v>
      </c>
      <c r="F489" s="116">
        <v>345.9</v>
      </c>
      <c r="G489">
        <v>3663</v>
      </c>
      <c r="H489" s="116"/>
      <c r="I489" s="116"/>
      <c r="L489" s="170">
        <v>42723</v>
      </c>
      <c r="M489" s="116">
        <v>172.05</v>
      </c>
      <c r="N489" s="116">
        <v>173.5</v>
      </c>
      <c r="O489" s="116">
        <v>170.125</v>
      </c>
      <c r="P489" s="116">
        <v>170.125</v>
      </c>
      <c r="Q489" s="116">
        <v>344.1</v>
      </c>
      <c r="R489">
        <v>36543</v>
      </c>
    </row>
    <row r="490" spans="1:18" x14ac:dyDescent="0.25">
      <c r="A490" s="170">
        <v>42724</v>
      </c>
      <c r="B490" s="116">
        <v>172.77500000000001</v>
      </c>
      <c r="C490" s="116">
        <v>169.65</v>
      </c>
      <c r="D490" s="116">
        <v>168.875</v>
      </c>
      <c r="E490" s="116">
        <v>171</v>
      </c>
      <c r="F490" s="116">
        <v>339.3</v>
      </c>
      <c r="G490">
        <v>2664</v>
      </c>
      <c r="H490" s="116"/>
      <c r="I490" s="116"/>
      <c r="L490" s="170">
        <v>42724</v>
      </c>
      <c r="M490" s="116">
        <v>169.82499999999999</v>
      </c>
      <c r="N490" s="116">
        <v>172.75</v>
      </c>
      <c r="O490" s="116">
        <v>168.125</v>
      </c>
      <c r="P490" s="116">
        <v>170.52500000000001</v>
      </c>
      <c r="Q490" s="116">
        <v>339.65</v>
      </c>
      <c r="R490">
        <v>49265</v>
      </c>
    </row>
    <row r="491" spans="1:18" x14ac:dyDescent="0.25">
      <c r="A491" s="170">
        <v>42725</v>
      </c>
      <c r="B491" s="116">
        <v>171.07499999999999</v>
      </c>
      <c r="C491" s="116">
        <v>170.3</v>
      </c>
      <c r="D491" s="116">
        <v>168.5</v>
      </c>
      <c r="E491" s="116">
        <v>168.65</v>
      </c>
      <c r="F491" s="116">
        <v>340.6</v>
      </c>
      <c r="G491">
        <v>6356</v>
      </c>
      <c r="H491" s="116"/>
      <c r="I491" s="116"/>
      <c r="L491" s="170">
        <v>42725</v>
      </c>
      <c r="M491" s="116">
        <v>170.875</v>
      </c>
      <c r="N491" s="116">
        <v>172.1</v>
      </c>
      <c r="O491" s="116">
        <v>168.125</v>
      </c>
      <c r="P491" s="116">
        <v>170</v>
      </c>
      <c r="Q491" s="116">
        <v>341.75</v>
      </c>
      <c r="R491">
        <v>38236</v>
      </c>
    </row>
    <row r="492" spans="1:18" x14ac:dyDescent="0.25">
      <c r="A492" s="170">
        <v>42726</v>
      </c>
      <c r="B492" s="116">
        <v>169.45</v>
      </c>
      <c r="C492" s="116">
        <v>164.875</v>
      </c>
      <c r="D492" s="116">
        <v>164.125</v>
      </c>
      <c r="E492" s="116">
        <v>169.3</v>
      </c>
      <c r="F492" s="116">
        <v>329.75</v>
      </c>
      <c r="G492">
        <v>5624</v>
      </c>
      <c r="H492" s="116"/>
      <c r="I492" s="116"/>
      <c r="L492" s="170">
        <v>42726</v>
      </c>
      <c r="M492" s="116">
        <v>165.02500000000001</v>
      </c>
      <c r="N492" s="116">
        <v>171.77500000000001</v>
      </c>
      <c r="O492" s="116">
        <v>164.05</v>
      </c>
      <c r="P492" s="116">
        <v>168.15</v>
      </c>
      <c r="Q492" s="116">
        <v>330.05</v>
      </c>
      <c r="R492">
        <v>51676</v>
      </c>
    </row>
    <row r="493" spans="1:18" x14ac:dyDescent="0.25">
      <c r="A493" s="170">
        <v>42727</v>
      </c>
      <c r="B493" s="116">
        <v>165.27500000000001</v>
      </c>
      <c r="C493" s="116">
        <v>163.44999999999999</v>
      </c>
      <c r="D493" s="116">
        <v>160.52500000000001</v>
      </c>
      <c r="E493" s="116">
        <v>165.27500000000001</v>
      </c>
      <c r="F493" s="116">
        <v>326.89999999999998</v>
      </c>
      <c r="G493">
        <v>5723</v>
      </c>
      <c r="H493" s="116"/>
      <c r="I493" s="116"/>
      <c r="L493" s="170">
        <v>42727</v>
      </c>
      <c r="M493" s="116">
        <v>163.5</v>
      </c>
      <c r="N493" s="116">
        <v>167.55</v>
      </c>
      <c r="O493" s="116">
        <v>160.52500000000001</v>
      </c>
      <c r="P493" s="116">
        <v>167.47499999999999</v>
      </c>
      <c r="Q493" s="116">
        <v>327</v>
      </c>
      <c r="R493">
        <v>38271</v>
      </c>
    </row>
    <row r="494" spans="1:18" x14ac:dyDescent="0.25">
      <c r="A494" s="170">
        <v>42730</v>
      </c>
      <c r="B494" s="116">
        <v>163.42500000000001</v>
      </c>
      <c r="C494" s="116">
        <v>160.69999999999999</v>
      </c>
      <c r="D494" s="116">
        <v>159.5</v>
      </c>
      <c r="E494" s="116">
        <v>162.6</v>
      </c>
      <c r="F494" s="116">
        <v>321.39999999999998</v>
      </c>
      <c r="G494">
        <v>8639</v>
      </c>
      <c r="H494" s="116"/>
      <c r="I494" s="116"/>
      <c r="L494" s="170">
        <v>42730</v>
      </c>
      <c r="M494" s="116">
        <v>161.02500000000001</v>
      </c>
      <c r="N494" s="116">
        <v>163.75</v>
      </c>
      <c r="O494" s="116">
        <v>159.875</v>
      </c>
      <c r="P494" s="116">
        <v>160.52500000000001</v>
      </c>
      <c r="Q494" s="116">
        <v>322.05</v>
      </c>
      <c r="R494">
        <v>35397</v>
      </c>
    </row>
    <row r="495" spans="1:18" x14ac:dyDescent="0.25">
      <c r="A495" s="170">
        <v>42731</v>
      </c>
      <c r="B495" s="116">
        <v>170.5</v>
      </c>
      <c r="C495" s="116">
        <v>168.3</v>
      </c>
      <c r="D495" s="116">
        <v>160</v>
      </c>
      <c r="E495" s="116">
        <v>160.25</v>
      </c>
      <c r="F495" s="116">
        <v>336.6</v>
      </c>
      <c r="G495">
        <v>4497</v>
      </c>
      <c r="H495" s="116"/>
      <c r="I495" s="116"/>
      <c r="L495" s="170">
        <v>42731</v>
      </c>
      <c r="M495" s="116">
        <v>169.32499999999999</v>
      </c>
      <c r="N495" s="116">
        <v>170.4</v>
      </c>
      <c r="O495" s="116">
        <v>160.02500000000001</v>
      </c>
      <c r="P495" s="116">
        <v>160.97499999999999</v>
      </c>
      <c r="Q495" s="116">
        <v>338.65</v>
      </c>
      <c r="R495">
        <v>17190</v>
      </c>
    </row>
    <row r="496" spans="1:18" x14ac:dyDescent="0.25">
      <c r="A496" s="170">
        <v>42732</v>
      </c>
      <c r="B496" s="116">
        <v>172.35</v>
      </c>
      <c r="C496" s="116">
        <v>171.2</v>
      </c>
      <c r="D496" s="116">
        <v>167.55</v>
      </c>
      <c r="E496" s="116">
        <v>169.67500000000001</v>
      </c>
      <c r="F496" s="116">
        <v>342.4</v>
      </c>
      <c r="G496">
        <v>5326</v>
      </c>
      <c r="H496" s="116"/>
      <c r="I496" s="116"/>
      <c r="L496" s="170">
        <v>42732</v>
      </c>
      <c r="M496" s="116">
        <v>171.45</v>
      </c>
      <c r="N496" s="116">
        <v>173.05</v>
      </c>
      <c r="O496" s="116">
        <v>167.5</v>
      </c>
      <c r="P496" s="116">
        <v>171.4</v>
      </c>
      <c r="Q496" s="116">
        <v>342.9</v>
      </c>
      <c r="R496">
        <v>25980</v>
      </c>
    </row>
    <row r="497" spans="1:18" x14ac:dyDescent="0.25">
      <c r="A497" s="170">
        <v>42733</v>
      </c>
      <c r="B497" s="116">
        <v>174.17500000000001</v>
      </c>
      <c r="C497" s="116">
        <v>171.9</v>
      </c>
      <c r="D497" s="116">
        <v>171.05</v>
      </c>
      <c r="E497" s="116">
        <v>171.55</v>
      </c>
      <c r="F497" s="116">
        <v>343.8</v>
      </c>
      <c r="G497">
        <v>2656</v>
      </c>
      <c r="H497" s="116"/>
      <c r="I497" s="116"/>
      <c r="L497" s="170">
        <v>42733</v>
      </c>
      <c r="M497" s="116">
        <v>172.1</v>
      </c>
      <c r="N497" s="116">
        <v>174.07499999999999</v>
      </c>
      <c r="O497" s="116">
        <v>171.27500000000001</v>
      </c>
      <c r="P497" s="116">
        <v>171.27500000000001</v>
      </c>
      <c r="Q497" s="116">
        <v>344.2</v>
      </c>
      <c r="R497">
        <v>14458</v>
      </c>
    </row>
    <row r="498" spans="1:18" x14ac:dyDescent="0.25">
      <c r="A498" s="170">
        <v>42734</v>
      </c>
      <c r="B498" s="116">
        <v>175.45</v>
      </c>
      <c r="C498" s="116">
        <v>175.27500000000001</v>
      </c>
      <c r="D498" s="116">
        <v>172</v>
      </c>
      <c r="E498" s="116">
        <v>173.17500000000001</v>
      </c>
      <c r="F498" s="116">
        <v>350.55</v>
      </c>
      <c r="G498">
        <v>11575</v>
      </c>
      <c r="H498" s="116"/>
      <c r="I498" s="116"/>
      <c r="L498" s="170">
        <v>42734</v>
      </c>
      <c r="M498" s="116">
        <v>175.65</v>
      </c>
      <c r="N498" s="116">
        <v>176</v>
      </c>
      <c r="O498" s="116">
        <v>171.97499999999999</v>
      </c>
      <c r="P498" s="116">
        <v>172</v>
      </c>
      <c r="Q498" s="116">
        <v>351.3</v>
      </c>
      <c r="R498">
        <v>29004</v>
      </c>
    </row>
    <row r="499" spans="1:18" x14ac:dyDescent="0.25">
      <c r="A499" s="170">
        <v>42737</v>
      </c>
      <c r="B499" s="116">
        <v>176.375</v>
      </c>
      <c r="C499" s="116">
        <v>175.5</v>
      </c>
      <c r="D499" s="116">
        <v>173.67500000000001</v>
      </c>
      <c r="E499" s="116">
        <v>175</v>
      </c>
      <c r="F499" s="116">
        <v>351</v>
      </c>
      <c r="G499">
        <v>2681</v>
      </c>
      <c r="H499" s="116"/>
      <c r="I499" s="116"/>
      <c r="L499" s="170">
        <v>42737</v>
      </c>
      <c r="M499" s="116">
        <v>175.5</v>
      </c>
      <c r="N499" s="116">
        <v>176</v>
      </c>
      <c r="O499" s="116">
        <v>174</v>
      </c>
      <c r="P499" s="116">
        <v>175.97499999999999</v>
      </c>
      <c r="Q499" s="116">
        <v>351</v>
      </c>
      <c r="R499">
        <v>6427</v>
      </c>
    </row>
    <row r="500" spans="1:18" x14ac:dyDescent="0.25">
      <c r="A500" s="170">
        <v>42738</v>
      </c>
      <c r="B500" s="116">
        <v>180.5</v>
      </c>
      <c r="C500" s="116">
        <v>177.1</v>
      </c>
      <c r="D500" s="116">
        <v>175.82499999999999</v>
      </c>
      <c r="E500" s="116">
        <v>177.5</v>
      </c>
      <c r="F500" s="116">
        <v>354.2</v>
      </c>
      <c r="G500">
        <v>7919</v>
      </c>
      <c r="H500" s="116"/>
      <c r="I500" s="116"/>
      <c r="L500" s="170">
        <v>42738</v>
      </c>
      <c r="M500" s="116">
        <v>176.82499999999999</v>
      </c>
      <c r="N500" s="116">
        <v>180.47499999999999</v>
      </c>
      <c r="O500" s="116">
        <v>175.625</v>
      </c>
      <c r="P500" s="116">
        <v>175.625</v>
      </c>
      <c r="Q500" s="116">
        <v>353.65</v>
      </c>
      <c r="R500">
        <v>127664</v>
      </c>
    </row>
    <row r="501" spans="1:18" x14ac:dyDescent="0.25">
      <c r="A501" s="170">
        <v>42739</v>
      </c>
      <c r="B501" s="116">
        <v>176.25</v>
      </c>
      <c r="C501" s="116">
        <v>174.6</v>
      </c>
      <c r="D501" s="116">
        <v>174</v>
      </c>
      <c r="E501" s="116">
        <v>175.85</v>
      </c>
      <c r="F501" s="116">
        <v>349.2</v>
      </c>
      <c r="G501">
        <v>3958</v>
      </c>
      <c r="H501" s="116"/>
      <c r="I501" s="116"/>
      <c r="L501" s="170">
        <v>42739</v>
      </c>
      <c r="M501" s="116">
        <v>174.47499999999999</v>
      </c>
      <c r="N501" s="116">
        <v>178.17500000000001</v>
      </c>
      <c r="O501" s="116">
        <v>173.52500000000001</v>
      </c>
      <c r="P501" s="116">
        <v>175.77500000000001</v>
      </c>
      <c r="Q501" s="116">
        <v>348.95</v>
      </c>
      <c r="R501">
        <v>42124</v>
      </c>
    </row>
    <row r="502" spans="1:18" x14ac:dyDescent="0.25">
      <c r="A502" s="170">
        <v>42740</v>
      </c>
      <c r="B502" s="116">
        <v>176.5</v>
      </c>
      <c r="C502" s="116">
        <v>174.05</v>
      </c>
      <c r="D502" s="116">
        <v>173.5</v>
      </c>
      <c r="E502" s="116">
        <v>175.95</v>
      </c>
      <c r="F502" s="116">
        <v>348.1</v>
      </c>
      <c r="G502">
        <v>3852</v>
      </c>
      <c r="H502" s="116"/>
      <c r="I502" s="116"/>
      <c r="L502" s="170">
        <v>42740</v>
      </c>
      <c r="M502" s="116">
        <v>174.02500000000001</v>
      </c>
      <c r="N502" s="116">
        <v>177.2</v>
      </c>
      <c r="O502" s="116">
        <v>173.27500000000001</v>
      </c>
      <c r="P502" s="116">
        <v>176.17500000000001</v>
      </c>
      <c r="Q502" s="116">
        <v>348.05</v>
      </c>
      <c r="R502">
        <v>14925</v>
      </c>
    </row>
    <row r="503" spans="1:18" x14ac:dyDescent="0.25">
      <c r="A503" s="170">
        <v>42741</v>
      </c>
      <c r="B503" s="116">
        <v>175.47499999999999</v>
      </c>
      <c r="C503" s="116">
        <v>173.6</v>
      </c>
      <c r="D503" s="116">
        <v>173.25</v>
      </c>
      <c r="E503" s="116">
        <v>174.95</v>
      </c>
      <c r="F503" s="116">
        <v>347.2</v>
      </c>
      <c r="G503">
        <v>3014</v>
      </c>
      <c r="H503" s="116"/>
      <c r="I503" s="116"/>
      <c r="L503" s="170">
        <v>42741</v>
      </c>
      <c r="M503" s="116">
        <v>174.375</v>
      </c>
      <c r="N503" s="116">
        <v>175.9</v>
      </c>
      <c r="O503" s="116">
        <v>173</v>
      </c>
      <c r="P503" s="116">
        <v>175.7</v>
      </c>
      <c r="Q503" s="116">
        <v>348.75</v>
      </c>
      <c r="R503">
        <v>28536</v>
      </c>
    </row>
    <row r="504" spans="1:18" x14ac:dyDescent="0.25">
      <c r="A504" s="170">
        <v>42744</v>
      </c>
      <c r="B504" s="116">
        <v>174.27500000000001</v>
      </c>
      <c r="C504" s="116">
        <v>172</v>
      </c>
      <c r="D504" s="116">
        <v>171.2</v>
      </c>
      <c r="E504" s="116">
        <v>174.27500000000001</v>
      </c>
      <c r="F504" s="116">
        <v>344</v>
      </c>
      <c r="G504">
        <v>1497</v>
      </c>
      <c r="H504" s="116"/>
      <c r="I504" s="116"/>
      <c r="L504" s="170">
        <v>42744</v>
      </c>
      <c r="M504" s="116">
        <v>171.7</v>
      </c>
      <c r="N504" s="116">
        <v>176.05</v>
      </c>
      <c r="O504" s="116">
        <v>171.05</v>
      </c>
      <c r="P504" s="116">
        <v>173.5</v>
      </c>
      <c r="Q504" s="116">
        <v>343.4</v>
      </c>
      <c r="R504">
        <v>113144</v>
      </c>
    </row>
    <row r="505" spans="1:18" x14ac:dyDescent="0.25">
      <c r="A505" s="170">
        <v>42745</v>
      </c>
      <c r="B505" s="116">
        <v>173.17500000000001</v>
      </c>
      <c r="C505" s="116">
        <v>172.55</v>
      </c>
      <c r="D505" s="116">
        <v>171.8</v>
      </c>
      <c r="E505" s="116">
        <v>172.5</v>
      </c>
      <c r="F505" s="116">
        <v>345.1</v>
      </c>
      <c r="G505">
        <v>1119</v>
      </c>
      <c r="H505" s="116"/>
      <c r="I505" s="116"/>
      <c r="L505" s="170">
        <v>42745</v>
      </c>
      <c r="M505" s="116">
        <v>172.47499999999999</v>
      </c>
      <c r="N505" s="116">
        <v>173.25</v>
      </c>
      <c r="O505" s="116">
        <v>171.5</v>
      </c>
      <c r="P505" s="116">
        <v>171.5</v>
      </c>
      <c r="Q505" s="116">
        <v>344.95</v>
      </c>
      <c r="R505">
        <v>114825</v>
      </c>
    </row>
    <row r="506" spans="1:18" x14ac:dyDescent="0.25">
      <c r="A506" s="170">
        <v>42746</v>
      </c>
      <c r="B506" s="116">
        <v>176.125</v>
      </c>
      <c r="C506" s="116">
        <v>172.2</v>
      </c>
      <c r="D506" s="116">
        <v>171.7</v>
      </c>
      <c r="E506" s="116">
        <v>173.05</v>
      </c>
      <c r="F506" s="116">
        <v>344.4</v>
      </c>
      <c r="G506">
        <v>4034</v>
      </c>
      <c r="H506" s="116"/>
      <c r="I506" s="116"/>
      <c r="L506" s="170">
        <v>42746</v>
      </c>
      <c r="M506" s="116">
        <v>172.55</v>
      </c>
      <c r="N506" s="116">
        <v>175.95</v>
      </c>
      <c r="O506" s="116">
        <v>172.47499999999999</v>
      </c>
      <c r="P506" s="116">
        <v>173.02500000000001</v>
      </c>
      <c r="Q506" s="116">
        <v>345.1</v>
      </c>
      <c r="R506">
        <v>32966</v>
      </c>
    </row>
    <row r="507" spans="1:18" x14ac:dyDescent="0.25">
      <c r="A507" s="170">
        <v>42747</v>
      </c>
      <c r="B507" s="116">
        <v>174.1</v>
      </c>
      <c r="C507" s="116">
        <v>172</v>
      </c>
      <c r="D507" s="116">
        <v>171.4</v>
      </c>
      <c r="E507" s="116">
        <v>173.125</v>
      </c>
      <c r="F507" s="116">
        <v>344</v>
      </c>
      <c r="G507">
        <v>2746</v>
      </c>
      <c r="H507" s="116"/>
      <c r="I507" s="116"/>
      <c r="L507" s="170">
        <v>42747</v>
      </c>
      <c r="M507" s="116">
        <v>171.77500000000001</v>
      </c>
      <c r="N507" s="116">
        <v>174.17500000000001</v>
      </c>
      <c r="O507" s="116">
        <v>171</v>
      </c>
      <c r="P507" s="116">
        <v>172.625</v>
      </c>
      <c r="Q507" s="116">
        <v>343.55</v>
      </c>
      <c r="R507">
        <v>112628</v>
      </c>
    </row>
    <row r="508" spans="1:18" x14ac:dyDescent="0.25">
      <c r="A508" s="170">
        <v>42748</v>
      </c>
      <c r="B508" s="116">
        <v>174.2</v>
      </c>
      <c r="C508" s="116">
        <v>172.67500000000001</v>
      </c>
      <c r="D508" s="116">
        <v>171.05</v>
      </c>
      <c r="E508" s="116">
        <v>171.05</v>
      </c>
      <c r="F508" s="116">
        <v>345.35</v>
      </c>
      <c r="G508">
        <v>8936</v>
      </c>
      <c r="H508" s="116"/>
      <c r="I508" s="116"/>
      <c r="L508" s="170">
        <v>42748</v>
      </c>
      <c r="M508" s="116">
        <v>173.25</v>
      </c>
      <c r="N508" s="116">
        <v>174.625</v>
      </c>
      <c r="O508" s="116">
        <v>171.32499999999999</v>
      </c>
      <c r="P508" s="116">
        <v>172.57499999999999</v>
      </c>
      <c r="Q508" s="116">
        <v>346.5</v>
      </c>
      <c r="R508">
        <v>25488</v>
      </c>
    </row>
    <row r="509" spans="1:18" x14ac:dyDescent="0.25">
      <c r="A509" s="170">
        <v>42751</v>
      </c>
      <c r="B509" s="116">
        <v>174.77500000000001</v>
      </c>
      <c r="C509" s="116">
        <v>171.4</v>
      </c>
      <c r="D509" s="116">
        <v>171</v>
      </c>
      <c r="E509" s="116">
        <v>173</v>
      </c>
      <c r="F509" s="116">
        <v>342.8</v>
      </c>
      <c r="G509">
        <v>2537</v>
      </c>
      <c r="H509" s="116"/>
      <c r="I509" s="116"/>
      <c r="L509" s="170">
        <v>42751</v>
      </c>
      <c r="M509" s="116">
        <v>171.52500000000001</v>
      </c>
      <c r="N509" s="116">
        <v>176.2</v>
      </c>
      <c r="O509" s="116">
        <v>171.25</v>
      </c>
      <c r="P509" s="116">
        <v>174.25</v>
      </c>
      <c r="Q509" s="116">
        <v>343.05</v>
      </c>
      <c r="R509">
        <v>12118</v>
      </c>
    </row>
    <row r="510" spans="1:18" x14ac:dyDescent="0.25">
      <c r="A510" s="170">
        <v>42752</v>
      </c>
      <c r="B510" s="116">
        <v>176.52500000000001</v>
      </c>
      <c r="C510" s="116">
        <v>173.35</v>
      </c>
      <c r="D510" s="116">
        <v>171.6</v>
      </c>
      <c r="E510" s="116">
        <v>172.125</v>
      </c>
      <c r="F510" s="116">
        <v>346.7</v>
      </c>
      <c r="G510">
        <v>5839</v>
      </c>
      <c r="H510" s="116"/>
      <c r="I510" s="116"/>
      <c r="L510" s="170">
        <v>42752</v>
      </c>
      <c r="M510" s="116">
        <v>173.75</v>
      </c>
      <c r="N510" s="116">
        <v>176.45</v>
      </c>
      <c r="O510" s="116">
        <v>171.8</v>
      </c>
      <c r="P510" s="116">
        <v>172.875</v>
      </c>
      <c r="Q510" s="116">
        <v>347.5</v>
      </c>
      <c r="R510">
        <v>127791</v>
      </c>
    </row>
    <row r="511" spans="1:18" x14ac:dyDescent="0.25">
      <c r="A511" s="170">
        <v>42753</v>
      </c>
      <c r="B511" s="116">
        <v>174.25</v>
      </c>
      <c r="C511" s="116">
        <v>172.32499999999999</v>
      </c>
      <c r="D511" s="116">
        <v>171</v>
      </c>
      <c r="E511" s="116">
        <v>173.67500000000001</v>
      </c>
      <c r="F511" s="116">
        <v>344.65</v>
      </c>
      <c r="G511">
        <v>2521</v>
      </c>
      <c r="H511" s="116"/>
      <c r="I511" s="116"/>
      <c r="L511" s="170">
        <v>42753</v>
      </c>
      <c r="M511" s="116">
        <v>172.22499999999999</v>
      </c>
      <c r="N511" s="116">
        <v>175</v>
      </c>
      <c r="O511" s="116">
        <v>171</v>
      </c>
      <c r="P511" s="116">
        <v>172.55</v>
      </c>
      <c r="Q511" s="116">
        <v>344.45</v>
      </c>
      <c r="R511">
        <v>253017</v>
      </c>
    </row>
    <row r="512" spans="1:18" x14ac:dyDescent="0.25">
      <c r="A512" s="170">
        <v>42754</v>
      </c>
      <c r="B512" s="116">
        <v>174.875</v>
      </c>
      <c r="C512" s="116">
        <v>173.52500000000001</v>
      </c>
      <c r="D512" s="116">
        <v>172.2</v>
      </c>
      <c r="E512" s="116">
        <v>173.5</v>
      </c>
      <c r="F512" s="116">
        <v>347.05</v>
      </c>
      <c r="G512">
        <v>887</v>
      </c>
      <c r="H512" s="116"/>
      <c r="I512" s="116"/>
      <c r="L512" s="170">
        <v>42754</v>
      </c>
      <c r="M512" s="116">
        <v>174.125</v>
      </c>
      <c r="N512" s="116">
        <v>175.25</v>
      </c>
      <c r="O512" s="116">
        <v>172.25</v>
      </c>
      <c r="P512" s="116">
        <v>174</v>
      </c>
      <c r="Q512" s="116">
        <v>348.25</v>
      </c>
      <c r="R512">
        <v>22236</v>
      </c>
    </row>
    <row r="513" spans="1:18" x14ac:dyDescent="0.25">
      <c r="A513" s="170">
        <v>42755</v>
      </c>
      <c r="B513" s="116">
        <v>174.625</v>
      </c>
      <c r="C513" s="116">
        <v>172</v>
      </c>
      <c r="D513" s="116">
        <v>171.27500000000001</v>
      </c>
      <c r="E513" s="116">
        <v>173</v>
      </c>
      <c r="F513" s="116">
        <v>344</v>
      </c>
      <c r="G513">
        <v>3303</v>
      </c>
      <c r="H513" s="116"/>
      <c r="I513" s="116"/>
      <c r="L513" s="170">
        <v>42755</v>
      </c>
      <c r="M513" s="116">
        <v>172.47499999999999</v>
      </c>
      <c r="N513" s="116">
        <v>174.5</v>
      </c>
      <c r="O513" s="116">
        <v>171.05</v>
      </c>
      <c r="P513" s="116">
        <v>172.5</v>
      </c>
      <c r="Q513" s="116">
        <v>344.95</v>
      </c>
      <c r="R513">
        <v>41061</v>
      </c>
    </row>
    <row r="514" spans="1:18" x14ac:dyDescent="0.25">
      <c r="A514" s="170">
        <v>42758</v>
      </c>
      <c r="B514" s="116">
        <v>172.65</v>
      </c>
      <c r="C514" s="116">
        <v>172.02500000000001</v>
      </c>
      <c r="D514" s="116">
        <v>170.5</v>
      </c>
      <c r="E514" s="116">
        <v>171.375</v>
      </c>
      <c r="F514" s="116">
        <v>344.05</v>
      </c>
      <c r="G514">
        <v>5558</v>
      </c>
      <c r="H514" s="116"/>
      <c r="I514" s="116"/>
      <c r="L514" s="170">
        <v>42758</v>
      </c>
      <c r="M514" s="116">
        <v>172.5</v>
      </c>
      <c r="N514" s="116">
        <v>173.45</v>
      </c>
      <c r="O514" s="116">
        <v>170</v>
      </c>
      <c r="P514" s="116">
        <v>170.57499999999999</v>
      </c>
      <c r="Q514" s="116">
        <v>345</v>
      </c>
      <c r="R514">
        <v>83233</v>
      </c>
    </row>
    <row r="515" spans="1:18" x14ac:dyDescent="0.25">
      <c r="A515" s="170">
        <v>42759</v>
      </c>
      <c r="B515" s="116">
        <v>175.5</v>
      </c>
      <c r="C515" s="116">
        <v>174.02500000000001</v>
      </c>
      <c r="D515" s="116">
        <v>171.52500000000001</v>
      </c>
      <c r="E515" s="116">
        <v>174</v>
      </c>
      <c r="F515" s="116">
        <v>348.05</v>
      </c>
      <c r="G515">
        <v>3884</v>
      </c>
      <c r="H515" s="116"/>
      <c r="I515" s="116"/>
      <c r="L515" s="170">
        <v>42759</v>
      </c>
      <c r="M515" s="116">
        <v>174.75</v>
      </c>
      <c r="N515" s="116">
        <v>176.45</v>
      </c>
      <c r="O515" s="116">
        <v>171</v>
      </c>
      <c r="P515" s="116">
        <v>172.52500000000001</v>
      </c>
      <c r="Q515" s="116">
        <v>349.5</v>
      </c>
      <c r="R515">
        <v>111597</v>
      </c>
    </row>
    <row r="516" spans="1:18" x14ac:dyDescent="0.25">
      <c r="A516" s="170">
        <v>42760</v>
      </c>
      <c r="B516" s="116">
        <v>175.5</v>
      </c>
      <c r="C516" s="116">
        <v>171.625</v>
      </c>
      <c r="D516" s="116">
        <v>170.125</v>
      </c>
      <c r="E516" s="116">
        <v>175</v>
      </c>
      <c r="F516" s="116">
        <v>343.25</v>
      </c>
      <c r="G516">
        <v>3581</v>
      </c>
      <c r="H516" s="116"/>
      <c r="I516" s="116"/>
      <c r="L516" s="170">
        <v>42760</v>
      </c>
      <c r="M516" s="116">
        <v>172.05</v>
      </c>
      <c r="N516" s="116">
        <v>176.45</v>
      </c>
      <c r="O516" s="116">
        <v>171.02500000000001</v>
      </c>
      <c r="P516" s="116">
        <v>175</v>
      </c>
      <c r="Q516" s="116">
        <v>344.1</v>
      </c>
      <c r="R516">
        <v>480002</v>
      </c>
    </row>
    <row r="517" spans="1:18" x14ac:dyDescent="0.25">
      <c r="A517" s="170">
        <v>42762</v>
      </c>
      <c r="B517" s="116">
        <v>175</v>
      </c>
      <c r="C517" s="116">
        <v>172.22499999999999</v>
      </c>
      <c r="D517" s="116">
        <v>171.32499999999999</v>
      </c>
      <c r="E517" s="116">
        <v>171.75</v>
      </c>
      <c r="F517" s="116">
        <v>344.45</v>
      </c>
      <c r="G517">
        <v>8714</v>
      </c>
      <c r="H517" s="116"/>
      <c r="I517" s="116"/>
      <c r="L517" s="170">
        <v>42762</v>
      </c>
      <c r="M517" s="116">
        <v>171.625</v>
      </c>
      <c r="N517" s="116">
        <v>174.72499999999999</v>
      </c>
      <c r="O517" s="116">
        <v>170.625</v>
      </c>
      <c r="P517" s="116">
        <v>174.72499999999999</v>
      </c>
      <c r="Q517" s="116">
        <v>343.25</v>
      </c>
      <c r="R517">
        <v>35218</v>
      </c>
    </row>
    <row r="518" spans="1:18" x14ac:dyDescent="0.25">
      <c r="A518" s="170">
        <v>42765</v>
      </c>
      <c r="B518" s="116">
        <v>174.1</v>
      </c>
      <c r="C518" s="116">
        <v>172.8</v>
      </c>
      <c r="D518" s="116">
        <v>171.5</v>
      </c>
      <c r="E518" s="116">
        <v>171.5</v>
      </c>
      <c r="F518" s="116">
        <v>345.6</v>
      </c>
      <c r="G518">
        <v>2631</v>
      </c>
      <c r="H518" s="116"/>
      <c r="I518" s="116"/>
      <c r="L518" s="170">
        <v>42765</v>
      </c>
      <c r="M518" s="116">
        <v>172.4</v>
      </c>
      <c r="N518" s="116">
        <v>173.875</v>
      </c>
      <c r="O518" s="116">
        <v>171</v>
      </c>
      <c r="P518" s="116">
        <v>171.17500000000001</v>
      </c>
      <c r="Q518" s="116">
        <v>344.8</v>
      </c>
      <c r="R518">
        <v>21448</v>
      </c>
    </row>
    <row r="519" spans="1:18" x14ac:dyDescent="0.25">
      <c r="A519" s="170">
        <v>42766</v>
      </c>
      <c r="B519" s="116">
        <v>172.3</v>
      </c>
      <c r="C519" s="116">
        <v>168.92500000000001</v>
      </c>
      <c r="D519" s="116">
        <v>168.5</v>
      </c>
      <c r="E519" s="116">
        <v>172.3</v>
      </c>
      <c r="F519" s="116">
        <v>337.85</v>
      </c>
      <c r="G519">
        <v>4070</v>
      </c>
      <c r="H519" s="116"/>
      <c r="I519" s="116"/>
      <c r="L519" s="170">
        <v>42766</v>
      </c>
      <c r="M519" s="116">
        <v>168.7</v>
      </c>
      <c r="N519" s="116">
        <v>174</v>
      </c>
      <c r="O519" s="116">
        <v>168</v>
      </c>
      <c r="P519" s="116">
        <v>173.92500000000001</v>
      </c>
      <c r="Q519" s="116">
        <v>337.4</v>
      </c>
      <c r="R519">
        <v>48934</v>
      </c>
    </row>
    <row r="520" spans="1:18" x14ac:dyDescent="0.25">
      <c r="A520" s="170">
        <v>42767</v>
      </c>
      <c r="B520" s="116">
        <v>171.45</v>
      </c>
      <c r="C520" s="116">
        <v>170.82499999999999</v>
      </c>
      <c r="D520" s="116">
        <v>168.47499999999999</v>
      </c>
      <c r="E520" s="116">
        <v>168.52500000000001</v>
      </c>
      <c r="F520" s="116">
        <v>341.65</v>
      </c>
      <c r="G520">
        <v>1914</v>
      </c>
      <c r="H520" s="116"/>
      <c r="I520" s="116"/>
      <c r="L520" s="170">
        <v>42767</v>
      </c>
      <c r="M520" s="116">
        <v>170.7</v>
      </c>
      <c r="N520" s="116">
        <v>171.97499999999999</v>
      </c>
      <c r="O520" s="116">
        <v>168.1</v>
      </c>
      <c r="P520" s="116">
        <v>168.1</v>
      </c>
      <c r="Q520" s="116">
        <v>341.4</v>
      </c>
      <c r="R520">
        <v>61270</v>
      </c>
    </row>
    <row r="521" spans="1:18" x14ac:dyDescent="0.25">
      <c r="A521" s="170">
        <v>42768</v>
      </c>
      <c r="B521" s="116">
        <v>183.82499999999999</v>
      </c>
      <c r="C521" s="116">
        <v>178.2</v>
      </c>
      <c r="D521" s="116">
        <v>169.625</v>
      </c>
      <c r="E521" s="116">
        <v>169.625</v>
      </c>
      <c r="F521" s="116">
        <v>356.4</v>
      </c>
      <c r="G521">
        <v>37292</v>
      </c>
      <c r="H521" s="116"/>
      <c r="I521" s="116"/>
      <c r="L521" s="170">
        <v>42768</v>
      </c>
      <c r="M521" s="116">
        <v>178.1</v>
      </c>
      <c r="N521" s="116">
        <v>183.97499999999999</v>
      </c>
      <c r="O521" s="116">
        <v>170.02500000000001</v>
      </c>
      <c r="P521" s="116">
        <v>170.65</v>
      </c>
      <c r="Q521" s="116">
        <v>356.2</v>
      </c>
      <c r="R521">
        <v>199387</v>
      </c>
    </row>
    <row r="522" spans="1:18" x14ac:dyDescent="0.25">
      <c r="A522" s="170">
        <v>42769</v>
      </c>
      <c r="B522" s="116">
        <v>182.15</v>
      </c>
      <c r="C522" s="116">
        <v>177.02500000000001</v>
      </c>
      <c r="D522" s="116">
        <v>176.25</v>
      </c>
      <c r="E522" s="116">
        <v>178.5</v>
      </c>
      <c r="F522" s="116">
        <v>354.05</v>
      </c>
      <c r="G522">
        <v>6760</v>
      </c>
      <c r="H522" s="116"/>
      <c r="I522" s="116"/>
      <c r="L522" s="170">
        <v>42769</v>
      </c>
      <c r="M522" s="116">
        <v>177.47499999999999</v>
      </c>
      <c r="N522" s="116">
        <v>182</v>
      </c>
      <c r="O522" s="116">
        <v>176.5</v>
      </c>
      <c r="P522" s="116">
        <v>178.125</v>
      </c>
      <c r="Q522" s="116">
        <v>354.95</v>
      </c>
      <c r="R522">
        <v>88906</v>
      </c>
    </row>
    <row r="523" spans="1:18" x14ac:dyDescent="0.25">
      <c r="A523" s="170">
        <v>42772</v>
      </c>
      <c r="B523" s="116">
        <v>179.42500000000001</v>
      </c>
      <c r="C523" s="116">
        <v>173.75</v>
      </c>
      <c r="D523" s="116">
        <v>173.17500000000001</v>
      </c>
      <c r="E523" s="116">
        <v>179.42500000000001</v>
      </c>
      <c r="F523" s="116">
        <v>347.5</v>
      </c>
      <c r="G523">
        <v>8507</v>
      </c>
      <c r="H523" s="116"/>
      <c r="I523" s="116"/>
      <c r="L523" s="170">
        <v>42772</v>
      </c>
      <c r="M523" s="116">
        <v>174.1</v>
      </c>
      <c r="N523" s="116">
        <v>179.07499999999999</v>
      </c>
      <c r="O523" s="116">
        <v>173.05</v>
      </c>
      <c r="P523" s="116">
        <v>179.05</v>
      </c>
      <c r="Q523" s="116">
        <v>348.2</v>
      </c>
      <c r="R523">
        <v>174131</v>
      </c>
    </row>
    <row r="524" spans="1:18" x14ac:dyDescent="0.25">
      <c r="A524" s="170">
        <v>42773</v>
      </c>
      <c r="B524" s="116">
        <v>178</v>
      </c>
      <c r="C524" s="116">
        <v>174.1</v>
      </c>
      <c r="D524" s="116">
        <v>173.67500000000001</v>
      </c>
      <c r="E524" s="116">
        <v>174.3</v>
      </c>
      <c r="F524" s="116">
        <v>348.2</v>
      </c>
      <c r="G524">
        <v>3841</v>
      </c>
      <c r="H524" s="116"/>
      <c r="I524" s="116"/>
      <c r="L524" s="170">
        <v>42773</v>
      </c>
      <c r="M524" s="116">
        <v>174.375</v>
      </c>
      <c r="N524" s="116">
        <v>178.47499999999999</v>
      </c>
      <c r="O524" s="116">
        <v>173.05</v>
      </c>
      <c r="P524" s="116">
        <v>175.32499999999999</v>
      </c>
      <c r="Q524" s="116">
        <v>348.75</v>
      </c>
      <c r="R524">
        <v>64872</v>
      </c>
    </row>
    <row r="525" spans="1:18" x14ac:dyDescent="0.25">
      <c r="A525" s="170">
        <v>42774</v>
      </c>
      <c r="B525" s="116">
        <v>177.17500000000001</v>
      </c>
      <c r="C525" s="116">
        <v>175.75</v>
      </c>
      <c r="D525" s="116">
        <v>174.85</v>
      </c>
      <c r="E525" s="116">
        <v>174.85</v>
      </c>
      <c r="F525" s="116">
        <v>351.5</v>
      </c>
      <c r="G525">
        <v>3526</v>
      </c>
      <c r="H525" s="116"/>
      <c r="I525" s="116"/>
      <c r="L525" s="170">
        <v>42774</v>
      </c>
      <c r="M525" s="116">
        <v>175.52500000000001</v>
      </c>
      <c r="N525" s="116">
        <v>177.42500000000001</v>
      </c>
      <c r="O525" s="116">
        <v>174.15</v>
      </c>
      <c r="P525" s="116">
        <v>175</v>
      </c>
      <c r="Q525" s="116">
        <v>351.05</v>
      </c>
      <c r="R525">
        <v>38985</v>
      </c>
    </row>
    <row r="526" spans="1:18" x14ac:dyDescent="0.25">
      <c r="A526" s="170">
        <v>42775</v>
      </c>
      <c r="B526" s="116">
        <v>176.85</v>
      </c>
      <c r="C526" s="116">
        <v>174.77500000000001</v>
      </c>
      <c r="D526" s="116">
        <v>174.5</v>
      </c>
      <c r="E526" s="116">
        <v>176.57499999999999</v>
      </c>
      <c r="F526" s="116">
        <v>349.55</v>
      </c>
      <c r="G526">
        <v>305306</v>
      </c>
      <c r="H526" s="116"/>
      <c r="I526" s="116"/>
      <c r="L526" s="170">
        <v>42775</v>
      </c>
      <c r="M526" s="116">
        <v>174.27500000000001</v>
      </c>
      <c r="N526" s="116">
        <v>177.22499999999999</v>
      </c>
      <c r="O526" s="116">
        <v>174</v>
      </c>
      <c r="P526" s="116">
        <v>175.5</v>
      </c>
      <c r="Q526" s="116">
        <v>348.55</v>
      </c>
      <c r="R526">
        <v>381439</v>
      </c>
    </row>
    <row r="527" spans="1:18" x14ac:dyDescent="0.25">
      <c r="A527" s="170">
        <v>42776</v>
      </c>
      <c r="B527" s="116">
        <v>177</v>
      </c>
      <c r="C527" s="116">
        <v>166.45</v>
      </c>
      <c r="D527" s="116">
        <v>165.05</v>
      </c>
      <c r="E527" s="116">
        <v>176.5</v>
      </c>
      <c r="F527" s="116">
        <v>332.9</v>
      </c>
      <c r="G527">
        <v>48961</v>
      </c>
      <c r="H527" s="116"/>
      <c r="I527" s="116"/>
      <c r="L527" s="170">
        <v>42776</v>
      </c>
      <c r="M527" s="116">
        <v>166.22499999999999</v>
      </c>
      <c r="N527" s="116">
        <v>177.17500000000001</v>
      </c>
      <c r="O527" s="116">
        <v>165.05</v>
      </c>
      <c r="P527" s="116">
        <v>176</v>
      </c>
      <c r="Q527" s="116">
        <v>332.45</v>
      </c>
      <c r="R527">
        <v>231271</v>
      </c>
    </row>
    <row r="528" spans="1:18" x14ac:dyDescent="0.25">
      <c r="A528" s="170">
        <v>42779</v>
      </c>
      <c r="B528" s="116">
        <v>167.45</v>
      </c>
      <c r="C528" s="116">
        <v>166.375</v>
      </c>
      <c r="D528" s="116">
        <v>163</v>
      </c>
      <c r="E528" s="116">
        <v>166.95</v>
      </c>
      <c r="F528" s="116">
        <v>332.75</v>
      </c>
      <c r="G528">
        <v>20201</v>
      </c>
      <c r="H528" s="116"/>
      <c r="I528" s="116"/>
      <c r="L528" s="170">
        <v>42779</v>
      </c>
      <c r="M528" s="116">
        <v>166.85</v>
      </c>
      <c r="N528" s="116">
        <v>167.5</v>
      </c>
      <c r="O528" s="116">
        <v>162.57499999999999</v>
      </c>
      <c r="P528" s="116">
        <v>166.25</v>
      </c>
      <c r="Q528" s="116">
        <v>333.7</v>
      </c>
      <c r="R528">
        <v>83718</v>
      </c>
    </row>
    <row r="529" spans="1:18" x14ac:dyDescent="0.25">
      <c r="A529" s="170">
        <v>42780</v>
      </c>
      <c r="B529" s="116">
        <v>167</v>
      </c>
      <c r="C529" s="116">
        <v>165.72499999999999</v>
      </c>
      <c r="D529" s="116">
        <v>164.5</v>
      </c>
      <c r="E529" s="116">
        <v>166.5</v>
      </c>
      <c r="F529" s="116">
        <v>331.45</v>
      </c>
      <c r="G529">
        <v>1798</v>
      </c>
      <c r="H529" s="116"/>
      <c r="I529" s="116"/>
      <c r="L529" s="170">
        <v>42780</v>
      </c>
      <c r="M529" s="116">
        <v>165.77500000000001</v>
      </c>
      <c r="N529" s="116">
        <v>167.97499999999999</v>
      </c>
      <c r="O529" s="116">
        <v>165.25</v>
      </c>
      <c r="P529" s="116">
        <v>167.2</v>
      </c>
      <c r="Q529" s="116">
        <v>331.55</v>
      </c>
      <c r="R529">
        <v>27868</v>
      </c>
    </row>
    <row r="530" spans="1:18" x14ac:dyDescent="0.25">
      <c r="A530" s="170">
        <v>42781</v>
      </c>
      <c r="B530" s="116">
        <v>166.375</v>
      </c>
      <c r="C530" s="116">
        <v>162.625</v>
      </c>
      <c r="D530" s="116">
        <v>162.5</v>
      </c>
      <c r="E530" s="116">
        <v>166.375</v>
      </c>
      <c r="F530" s="116">
        <v>325.25</v>
      </c>
      <c r="G530">
        <v>7072</v>
      </c>
      <c r="H530" s="116"/>
      <c r="I530" s="116"/>
      <c r="L530" s="170">
        <v>42781</v>
      </c>
      <c r="M530" s="116">
        <v>162.35</v>
      </c>
      <c r="N530" s="116">
        <v>166.97499999999999</v>
      </c>
      <c r="O530" s="116">
        <v>162</v>
      </c>
      <c r="P530" s="116">
        <v>166.97499999999999</v>
      </c>
      <c r="Q530" s="116">
        <v>324.7</v>
      </c>
      <c r="R530">
        <v>32390</v>
      </c>
    </row>
    <row r="531" spans="1:18" x14ac:dyDescent="0.25">
      <c r="A531" s="170">
        <v>42782</v>
      </c>
      <c r="B531" s="116">
        <v>166.97499999999999</v>
      </c>
      <c r="C531" s="116">
        <v>165.875</v>
      </c>
      <c r="D531" s="116">
        <v>162.65</v>
      </c>
      <c r="E531" s="116">
        <v>163.55000000000001</v>
      </c>
      <c r="F531" s="116">
        <v>331.75</v>
      </c>
      <c r="G531">
        <v>48776</v>
      </c>
      <c r="H531" s="116"/>
      <c r="I531" s="116"/>
      <c r="L531" s="170">
        <v>42782</v>
      </c>
      <c r="M531" s="116">
        <v>165.9</v>
      </c>
      <c r="N531" s="116">
        <v>166.5</v>
      </c>
      <c r="O531" s="116">
        <v>162.5</v>
      </c>
      <c r="P531" s="116">
        <v>162.5</v>
      </c>
      <c r="Q531" s="116">
        <v>331.8</v>
      </c>
      <c r="R531">
        <v>23619</v>
      </c>
    </row>
    <row r="532" spans="1:18" x14ac:dyDescent="0.25">
      <c r="A532" s="170">
        <v>42783</v>
      </c>
      <c r="B532" s="116">
        <v>167.47499999999999</v>
      </c>
      <c r="C532" s="116">
        <v>166.72499999999999</v>
      </c>
      <c r="D532" s="116">
        <v>165.02500000000001</v>
      </c>
      <c r="E532" s="116">
        <v>166.97499999999999</v>
      </c>
      <c r="F532" s="116">
        <v>333.45</v>
      </c>
      <c r="G532">
        <v>4718</v>
      </c>
      <c r="H532" s="116"/>
      <c r="I532" s="116"/>
      <c r="L532" s="170">
        <v>42783</v>
      </c>
      <c r="M532" s="116">
        <v>166.1</v>
      </c>
      <c r="N532" s="116">
        <v>167.5</v>
      </c>
      <c r="O532" s="116">
        <v>164</v>
      </c>
      <c r="P532" s="116">
        <v>166.85</v>
      </c>
      <c r="Q532" s="116">
        <v>332.2</v>
      </c>
      <c r="R532">
        <v>75388</v>
      </c>
    </row>
    <row r="533" spans="1:18" x14ac:dyDescent="0.25">
      <c r="A533" s="170">
        <v>42786</v>
      </c>
      <c r="B533" s="116">
        <v>166.97499999999999</v>
      </c>
      <c r="C533" s="116">
        <v>166.32499999999999</v>
      </c>
      <c r="D533" s="116">
        <v>165.25</v>
      </c>
      <c r="E533" s="116">
        <v>166.97499999999999</v>
      </c>
      <c r="F533" s="116">
        <v>332.65</v>
      </c>
      <c r="G533">
        <v>5268</v>
      </c>
      <c r="H533" s="116"/>
      <c r="I533" s="116"/>
      <c r="L533" s="170">
        <v>42786</v>
      </c>
      <c r="M533" s="116">
        <v>166.55</v>
      </c>
      <c r="N533" s="116">
        <v>167.45</v>
      </c>
      <c r="O533" s="116">
        <v>165.02500000000001</v>
      </c>
      <c r="P533" s="116">
        <v>166.95</v>
      </c>
      <c r="Q533" s="116">
        <v>333.1</v>
      </c>
      <c r="R533">
        <v>22991</v>
      </c>
    </row>
    <row r="534" spans="1:18" x14ac:dyDescent="0.25">
      <c r="A534" s="170">
        <v>42787</v>
      </c>
      <c r="B534" s="116">
        <v>167.75</v>
      </c>
      <c r="C534" s="116">
        <v>165.7</v>
      </c>
      <c r="D534" s="116">
        <v>165.02500000000001</v>
      </c>
      <c r="E534" s="116">
        <v>167.5</v>
      </c>
      <c r="F534" s="116">
        <v>331.4</v>
      </c>
      <c r="G534">
        <v>36238</v>
      </c>
      <c r="H534" s="116"/>
      <c r="I534" s="116"/>
      <c r="L534" s="170">
        <v>42787</v>
      </c>
      <c r="M534" s="116">
        <v>165.7</v>
      </c>
      <c r="N534" s="116">
        <v>167.45</v>
      </c>
      <c r="O534" s="116">
        <v>165</v>
      </c>
      <c r="P534" s="116">
        <v>166.65</v>
      </c>
      <c r="Q534" s="116">
        <v>331.4</v>
      </c>
      <c r="R534">
        <v>88064</v>
      </c>
    </row>
    <row r="535" spans="1:18" x14ac:dyDescent="0.25">
      <c r="A535" s="170">
        <v>42788</v>
      </c>
      <c r="B535" s="116">
        <v>165.95</v>
      </c>
      <c r="C535" s="116">
        <v>165.22499999999999</v>
      </c>
      <c r="D535" s="116">
        <v>163.72499999999999</v>
      </c>
      <c r="E535" s="116">
        <v>165.5</v>
      </c>
      <c r="F535" s="116">
        <v>330.45</v>
      </c>
      <c r="G535">
        <v>27346</v>
      </c>
      <c r="H535" s="116"/>
      <c r="I535" s="116"/>
      <c r="L535" s="170">
        <v>42788</v>
      </c>
      <c r="M535" s="116">
        <v>165.42500000000001</v>
      </c>
      <c r="N535" s="116">
        <v>166.9</v>
      </c>
      <c r="O535" s="116">
        <v>163.35</v>
      </c>
      <c r="P535" s="116">
        <v>166.9</v>
      </c>
      <c r="Q535" s="116">
        <v>330.85</v>
      </c>
      <c r="R535">
        <v>79676</v>
      </c>
    </row>
    <row r="536" spans="1:18" x14ac:dyDescent="0.25">
      <c r="A536" s="170">
        <v>42789</v>
      </c>
      <c r="B536" s="116">
        <v>166.42500000000001</v>
      </c>
      <c r="C536" s="116">
        <v>165.9</v>
      </c>
      <c r="D536" s="116">
        <v>165.25</v>
      </c>
      <c r="E536" s="116">
        <v>166.125</v>
      </c>
      <c r="F536" s="116">
        <v>331.8</v>
      </c>
      <c r="G536">
        <v>3957</v>
      </c>
      <c r="H536" s="116"/>
      <c r="I536" s="116"/>
      <c r="L536" s="170">
        <v>42789</v>
      </c>
      <c r="M536" s="116">
        <v>166.07499999999999</v>
      </c>
      <c r="N536" s="116">
        <v>166.67500000000001</v>
      </c>
      <c r="O536" s="116">
        <v>165.07499999999999</v>
      </c>
      <c r="P536" s="116">
        <v>166.57499999999999</v>
      </c>
      <c r="Q536" s="116">
        <v>332.15</v>
      </c>
      <c r="R536">
        <v>19496</v>
      </c>
    </row>
    <row r="537" spans="1:18" x14ac:dyDescent="0.25">
      <c r="A537" s="170">
        <v>42793</v>
      </c>
      <c r="B537" s="116">
        <v>166</v>
      </c>
      <c r="C537" s="116">
        <v>164.25</v>
      </c>
      <c r="D537" s="116">
        <v>163.32499999999999</v>
      </c>
      <c r="E537" s="116">
        <v>165.85</v>
      </c>
      <c r="F537" s="116">
        <v>328.5</v>
      </c>
      <c r="G537">
        <v>7933</v>
      </c>
      <c r="H537" s="116"/>
      <c r="I537" s="116"/>
      <c r="L537" s="170">
        <v>42793</v>
      </c>
      <c r="M537" s="116">
        <v>164.77500000000001</v>
      </c>
      <c r="N537" s="116">
        <v>166.52500000000001</v>
      </c>
      <c r="O537" s="116">
        <v>164.02500000000001</v>
      </c>
      <c r="P537" s="116">
        <v>166.52500000000001</v>
      </c>
      <c r="Q537" s="116">
        <v>329.55</v>
      </c>
      <c r="R537">
        <v>20287</v>
      </c>
    </row>
    <row r="538" spans="1:18" x14ac:dyDescent="0.25">
      <c r="A538" s="170">
        <v>42794</v>
      </c>
      <c r="B538" s="116">
        <v>166.75</v>
      </c>
      <c r="C538" s="116">
        <v>165.2</v>
      </c>
      <c r="D538" s="116">
        <v>164.5</v>
      </c>
      <c r="E538" s="116">
        <v>164.97499999999999</v>
      </c>
      <c r="F538" s="116">
        <v>330.4</v>
      </c>
      <c r="G538">
        <v>3515</v>
      </c>
      <c r="H538" s="116"/>
      <c r="I538" s="116"/>
      <c r="L538" s="170">
        <v>42794</v>
      </c>
      <c r="M538" s="116">
        <v>165.17500000000001</v>
      </c>
      <c r="N538" s="116">
        <v>166.5</v>
      </c>
      <c r="O538" s="116">
        <v>164.02500000000001</v>
      </c>
      <c r="P538" s="116">
        <v>164.97499999999999</v>
      </c>
      <c r="Q538" s="116">
        <v>330.35</v>
      </c>
      <c r="R538">
        <v>14651</v>
      </c>
    </row>
    <row r="539" spans="1:18" x14ac:dyDescent="0.25">
      <c r="A539" s="170">
        <v>42795</v>
      </c>
      <c r="B539" s="116">
        <v>166.5</v>
      </c>
      <c r="C539" s="116">
        <v>166.17500000000001</v>
      </c>
      <c r="D539" s="116">
        <v>165</v>
      </c>
      <c r="E539" s="116">
        <v>165.07499999999999</v>
      </c>
      <c r="F539" s="116">
        <v>332.35</v>
      </c>
      <c r="G539">
        <v>3474</v>
      </c>
      <c r="H539" s="116"/>
      <c r="I539" s="116"/>
      <c r="L539" s="170">
        <v>42795</v>
      </c>
      <c r="M539" s="116">
        <v>166.27500000000001</v>
      </c>
      <c r="N539" s="116">
        <v>166.97499999999999</v>
      </c>
      <c r="O539" s="116">
        <v>165</v>
      </c>
      <c r="P539" s="116">
        <v>165.85</v>
      </c>
      <c r="Q539" s="116">
        <v>332.55</v>
      </c>
      <c r="R539">
        <v>26303</v>
      </c>
    </row>
    <row r="540" spans="1:18" x14ac:dyDescent="0.25">
      <c r="A540" s="170">
        <v>42796</v>
      </c>
      <c r="B540" s="116">
        <v>166.97499999999999</v>
      </c>
      <c r="C540" s="116">
        <v>164.47499999999999</v>
      </c>
      <c r="D540" s="116">
        <v>164.02500000000001</v>
      </c>
      <c r="E540" s="116">
        <v>166.9</v>
      </c>
      <c r="F540" s="116">
        <v>328.95</v>
      </c>
      <c r="G540">
        <v>9749</v>
      </c>
      <c r="H540" s="116"/>
      <c r="I540" s="116"/>
      <c r="L540" s="170">
        <v>42796</v>
      </c>
      <c r="M540" s="116">
        <v>164.02500000000001</v>
      </c>
      <c r="N540" s="116">
        <v>167</v>
      </c>
      <c r="O540" s="116">
        <v>163.57499999999999</v>
      </c>
      <c r="P540" s="116">
        <v>166.97499999999999</v>
      </c>
      <c r="Q540" s="116">
        <v>328.05</v>
      </c>
      <c r="R540">
        <v>28847</v>
      </c>
    </row>
    <row r="541" spans="1:18" x14ac:dyDescent="0.25">
      <c r="A541" s="170">
        <v>42797</v>
      </c>
      <c r="B541" s="116">
        <v>164.72499999999999</v>
      </c>
      <c r="C541" s="116">
        <v>164.15</v>
      </c>
      <c r="D541" s="116">
        <v>162.27500000000001</v>
      </c>
      <c r="E541" s="116">
        <v>164</v>
      </c>
      <c r="F541" s="116">
        <v>328.3</v>
      </c>
      <c r="G541">
        <v>2880</v>
      </c>
      <c r="H541" s="116"/>
      <c r="I541" s="116"/>
      <c r="L541" s="170">
        <v>42797</v>
      </c>
      <c r="M541" s="116">
        <v>163.65</v>
      </c>
      <c r="N541" s="116">
        <v>164.97499999999999</v>
      </c>
      <c r="O541" s="116">
        <v>162</v>
      </c>
      <c r="P541" s="116">
        <v>164.82499999999999</v>
      </c>
      <c r="Q541" s="116">
        <v>327.3</v>
      </c>
      <c r="R541">
        <v>29111</v>
      </c>
    </row>
    <row r="542" spans="1:18" x14ac:dyDescent="0.25">
      <c r="A542" s="170">
        <v>42800</v>
      </c>
      <c r="B542" s="116">
        <v>165.97499999999999</v>
      </c>
      <c r="C542" s="116">
        <v>164.4</v>
      </c>
      <c r="D542" s="116">
        <v>164</v>
      </c>
      <c r="E542" s="116">
        <v>164.15</v>
      </c>
      <c r="F542" s="116">
        <v>328.8</v>
      </c>
      <c r="G542">
        <v>3746</v>
      </c>
      <c r="H542" s="116"/>
      <c r="I542" s="116"/>
      <c r="L542" s="170">
        <v>42800</v>
      </c>
      <c r="M542" s="116">
        <v>164.82499999999999</v>
      </c>
      <c r="N542" s="116">
        <v>166.45</v>
      </c>
      <c r="O542" s="116">
        <v>164.02500000000001</v>
      </c>
      <c r="P542" s="116">
        <v>164.3</v>
      </c>
      <c r="Q542" s="116">
        <v>329.65</v>
      </c>
      <c r="R542">
        <v>29149</v>
      </c>
    </row>
    <row r="543" spans="1:18" x14ac:dyDescent="0.25">
      <c r="A543" s="170">
        <v>42801</v>
      </c>
      <c r="B543" s="116">
        <v>165.02500000000001</v>
      </c>
      <c r="C543" s="116">
        <v>163.17500000000001</v>
      </c>
      <c r="D543" s="116">
        <v>162.5</v>
      </c>
      <c r="E543" s="116">
        <v>164.5</v>
      </c>
      <c r="F543" s="116">
        <v>326.35000000000002</v>
      </c>
      <c r="G543">
        <v>4427</v>
      </c>
      <c r="H543" s="116"/>
      <c r="I543" s="116"/>
      <c r="L543" s="170">
        <v>42801</v>
      </c>
      <c r="M543" s="116">
        <v>163.57499999999999</v>
      </c>
      <c r="N543" s="116">
        <v>165.45</v>
      </c>
      <c r="O543" s="116">
        <v>161.5</v>
      </c>
      <c r="P543" s="116">
        <v>164.5</v>
      </c>
      <c r="Q543" s="116">
        <v>327.14999999999998</v>
      </c>
      <c r="R543">
        <v>54480</v>
      </c>
    </row>
    <row r="544" spans="1:18" x14ac:dyDescent="0.25">
      <c r="A544" s="170">
        <v>42802</v>
      </c>
      <c r="B544" s="116">
        <v>164.5</v>
      </c>
      <c r="C544" s="116">
        <v>164.35</v>
      </c>
      <c r="D544" s="116">
        <v>163.42500000000001</v>
      </c>
      <c r="E544" s="116">
        <v>164.25</v>
      </c>
      <c r="F544" s="116">
        <v>328.7</v>
      </c>
      <c r="G544">
        <v>1983</v>
      </c>
      <c r="H544" s="116"/>
      <c r="I544" s="116"/>
      <c r="L544" s="170">
        <v>42802</v>
      </c>
      <c r="M544" s="116">
        <v>164.22499999999999</v>
      </c>
      <c r="N544" s="116">
        <v>165</v>
      </c>
      <c r="O544" s="116">
        <v>162.9</v>
      </c>
      <c r="P544" s="116">
        <v>163.75</v>
      </c>
      <c r="Q544" s="116">
        <v>328.45</v>
      </c>
      <c r="R544">
        <v>19881</v>
      </c>
    </row>
    <row r="545" spans="1:18" x14ac:dyDescent="0.25">
      <c r="A545" s="170">
        <v>42803</v>
      </c>
      <c r="B545" s="116">
        <v>164.1</v>
      </c>
      <c r="C545" s="116">
        <v>163.5</v>
      </c>
      <c r="D545" s="116">
        <v>162.5</v>
      </c>
      <c r="E545" s="116">
        <v>162.5</v>
      </c>
      <c r="F545" s="116">
        <v>327</v>
      </c>
      <c r="G545">
        <v>4817</v>
      </c>
      <c r="H545" s="116"/>
      <c r="I545" s="116"/>
      <c r="L545" s="170">
        <v>42803</v>
      </c>
      <c r="M545" s="116">
        <v>163.17500000000001</v>
      </c>
      <c r="N545" s="116">
        <v>164.07499999999999</v>
      </c>
      <c r="O545" s="116">
        <v>162.75</v>
      </c>
      <c r="P545" s="116">
        <v>163.07499999999999</v>
      </c>
      <c r="Q545" s="116">
        <v>326.35000000000002</v>
      </c>
      <c r="R545">
        <v>38588</v>
      </c>
    </row>
    <row r="546" spans="1:18" x14ac:dyDescent="0.25">
      <c r="A546" s="170">
        <v>42804</v>
      </c>
      <c r="B546" s="116">
        <v>164.5</v>
      </c>
      <c r="C546" s="116">
        <v>163.1</v>
      </c>
      <c r="D546" s="116">
        <v>162.5</v>
      </c>
      <c r="E546" s="116">
        <v>163.5</v>
      </c>
      <c r="F546" s="116">
        <v>326.2</v>
      </c>
      <c r="G546">
        <v>123449</v>
      </c>
      <c r="H546" s="116"/>
      <c r="I546" s="116"/>
      <c r="L546" s="170">
        <v>42804</v>
      </c>
      <c r="M546" s="116">
        <v>163.15</v>
      </c>
      <c r="N546" s="116">
        <v>164.125</v>
      </c>
      <c r="O546" s="116">
        <v>162.5</v>
      </c>
      <c r="P546" s="116">
        <v>163.44999999999999</v>
      </c>
      <c r="Q546" s="116">
        <v>326.3</v>
      </c>
      <c r="R546">
        <v>16789</v>
      </c>
    </row>
    <row r="547" spans="1:18" x14ac:dyDescent="0.25">
      <c r="A547" s="170">
        <v>42808</v>
      </c>
      <c r="B547" s="116">
        <v>164.97499999999999</v>
      </c>
      <c r="C547" s="116">
        <v>159.92500000000001</v>
      </c>
      <c r="D547" s="116">
        <v>157.55000000000001</v>
      </c>
      <c r="E547" s="116">
        <v>164.97499999999999</v>
      </c>
      <c r="F547" s="116">
        <v>319.85000000000002</v>
      </c>
      <c r="G547">
        <v>11438</v>
      </c>
      <c r="H547" s="116"/>
      <c r="I547" s="116"/>
      <c r="L547" s="170">
        <v>42808</v>
      </c>
      <c r="M547" s="116">
        <v>160</v>
      </c>
      <c r="N547" s="116">
        <v>165.875</v>
      </c>
      <c r="O547" s="116">
        <v>157.1</v>
      </c>
      <c r="P547" s="116">
        <v>165</v>
      </c>
      <c r="Q547" s="116">
        <v>320</v>
      </c>
      <c r="R547">
        <v>78693</v>
      </c>
    </row>
    <row r="548" spans="1:18" x14ac:dyDescent="0.25">
      <c r="A548" s="170">
        <v>42809</v>
      </c>
      <c r="B548" s="116">
        <v>164</v>
      </c>
      <c r="C548" s="116">
        <v>162.85</v>
      </c>
      <c r="D548" s="116">
        <v>159.25</v>
      </c>
      <c r="E548" s="116">
        <v>159.5</v>
      </c>
      <c r="F548" s="116">
        <v>325.7</v>
      </c>
      <c r="G548">
        <v>4262</v>
      </c>
      <c r="H548" s="116"/>
      <c r="I548" s="116"/>
      <c r="L548" s="170">
        <v>42809</v>
      </c>
      <c r="M548" s="116">
        <v>163.17500000000001</v>
      </c>
      <c r="N548" s="116">
        <v>164.05</v>
      </c>
      <c r="O548" s="116">
        <v>159</v>
      </c>
      <c r="P548" s="116">
        <v>160.1</v>
      </c>
      <c r="Q548" s="116">
        <v>326.35000000000002</v>
      </c>
      <c r="R548">
        <v>43358</v>
      </c>
    </row>
    <row r="549" spans="1:18" x14ac:dyDescent="0.25">
      <c r="A549" s="170">
        <v>42810</v>
      </c>
      <c r="B549" s="116">
        <v>164.5</v>
      </c>
      <c r="C549" s="116">
        <v>163.82499999999999</v>
      </c>
      <c r="D549" s="116">
        <v>161.5</v>
      </c>
      <c r="E549" s="116">
        <v>162.55000000000001</v>
      </c>
      <c r="F549" s="116">
        <v>327.64999999999998</v>
      </c>
      <c r="G549">
        <v>3726</v>
      </c>
      <c r="H549" s="116"/>
      <c r="I549" s="116"/>
      <c r="L549" s="170">
        <v>42810</v>
      </c>
      <c r="M549" s="116">
        <v>163.57499999999999</v>
      </c>
      <c r="N549" s="116">
        <v>164.72499999999999</v>
      </c>
      <c r="O549" s="116">
        <v>161.6</v>
      </c>
      <c r="P549" s="116">
        <v>163.17500000000001</v>
      </c>
      <c r="Q549" s="116">
        <v>327.14999999999998</v>
      </c>
      <c r="R549">
        <v>46844</v>
      </c>
    </row>
    <row r="550" spans="1:18" x14ac:dyDescent="0.25">
      <c r="A550" s="170">
        <v>42811</v>
      </c>
      <c r="B550" s="116">
        <v>163.97499999999999</v>
      </c>
      <c r="C550" s="116">
        <v>162.52500000000001</v>
      </c>
      <c r="D550" s="116">
        <v>162.125</v>
      </c>
      <c r="E550" s="116">
        <v>162.65</v>
      </c>
      <c r="F550" s="116">
        <v>325.05</v>
      </c>
      <c r="G550">
        <v>5470</v>
      </c>
      <c r="H550" s="116"/>
      <c r="I550" s="116"/>
      <c r="L550" s="170">
        <v>42811</v>
      </c>
      <c r="M550" s="116">
        <v>162.92500000000001</v>
      </c>
      <c r="N550" s="116">
        <v>164.15</v>
      </c>
      <c r="O550" s="116">
        <v>162.30000000000001</v>
      </c>
      <c r="P550" s="116">
        <v>164</v>
      </c>
      <c r="Q550" s="116">
        <v>325.85000000000002</v>
      </c>
      <c r="R550">
        <v>43310</v>
      </c>
    </row>
    <row r="551" spans="1:18" x14ac:dyDescent="0.25">
      <c r="A551" s="170">
        <v>42814</v>
      </c>
      <c r="B551" s="116">
        <v>169</v>
      </c>
      <c r="C551" s="116">
        <v>167.72499999999999</v>
      </c>
      <c r="D551" s="116">
        <v>161.375</v>
      </c>
      <c r="E551" s="116">
        <v>163.25</v>
      </c>
      <c r="F551" s="116">
        <v>335.45</v>
      </c>
      <c r="G551">
        <v>14705</v>
      </c>
      <c r="H551" s="116"/>
      <c r="I551" s="116"/>
      <c r="L551" s="170">
        <v>42814</v>
      </c>
      <c r="M551" s="116">
        <v>168.9</v>
      </c>
      <c r="N551" s="116">
        <v>172.5</v>
      </c>
      <c r="O551" s="116">
        <v>161.5</v>
      </c>
      <c r="P551" s="116">
        <v>164</v>
      </c>
      <c r="Q551" s="116">
        <v>337.8</v>
      </c>
      <c r="R551">
        <v>88121</v>
      </c>
    </row>
    <row r="552" spans="1:18" x14ac:dyDescent="0.25">
      <c r="A552" s="170">
        <v>42815</v>
      </c>
      <c r="B552" s="116">
        <v>171</v>
      </c>
      <c r="C552" s="116">
        <v>169.125</v>
      </c>
      <c r="D552" s="116">
        <v>167.3</v>
      </c>
      <c r="E552" s="116">
        <v>169.97499999999999</v>
      </c>
      <c r="F552" s="116">
        <v>338.25</v>
      </c>
      <c r="G552">
        <v>6190</v>
      </c>
      <c r="H552" s="116"/>
      <c r="I552" s="116"/>
      <c r="L552" s="170">
        <v>42815</v>
      </c>
      <c r="M552" s="116">
        <v>169.47499999999999</v>
      </c>
      <c r="N552" s="116">
        <v>171.5</v>
      </c>
      <c r="O552" s="116">
        <v>166.02500000000001</v>
      </c>
      <c r="P552" s="116">
        <v>171</v>
      </c>
      <c r="Q552" s="116">
        <v>338.95</v>
      </c>
      <c r="R552">
        <v>56389</v>
      </c>
    </row>
    <row r="553" spans="1:18" x14ac:dyDescent="0.25">
      <c r="A553" s="170">
        <v>42816</v>
      </c>
      <c r="B553" s="116">
        <v>169.75</v>
      </c>
      <c r="C553" s="116">
        <v>167.77500000000001</v>
      </c>
      <c r="D553" s="116">
        <v>166.3</v>
      </c>
      <c r="E553" s="116">
        <v>166.6</v>
      </c>
      <c r="F553" s="116">
        <v>335.55</v>
      </c>
      <c r="G553">
        <v>4313</v>
      </c>
      <c r="H553" s="116"/>
      <c r="I553" s="116"/>
      <c r="L553" s="170">
        <v>42816</v>
      </c>
      <c r="M553" s="116">
        <v>168.45</v>
      </c>
      <c r="N553" s="116">
        <v>170.2</v>
      </c>
      <c r="O553" s="116">
        <v>166.2</v>
      </c>
      <c r="P553" s="116">
        <v>167.45</v>
      </c>
      <c r="Q553" s="116">
        <v>336.9</v>
      </c>
      <c r="R553">
        <v>37829</v>
      </c>
    </row>
    <row r="554" spans="1:18" x14ac:dyDescent="0.25">
      <c r="A554" s="170">
        <v>42817</v>
      </c>
      <c r="B554" s="116">
        <v>170.55</v>
      </c>
      <c r="C554" s="116">
        <v>169.4</v>
      </c>
      <c r="D554" s="116">
        <v>167</v>
      </c>
      <c r="E554" s="116">
        <v>168.25</v>
      </c>
      <c r="F554" s="116">
        <v>338.8</v>
      </c>
      <c r="G554">
        <v>9587</v>
      </c>
      <c r="H554" s="116"/>
      <c r="I554" s="116"/>
      <c r="L554" s="170">
        <v>42817</v>
      </c>
      <c r="M554" s="116">
        <v>169.47499999999999</v>
      </c>
      <c r="N554" s="116">
        <v>170.07499999999999</v>
      </c>
      <c r="O554" s="116">
        <v>166.5</v>
      </c>
      <c r="P554" s="116">
        <v>168.72499999999999</v>
      </c>
      <c r="Q554" s="116">
        <v>338.95</v>
      </c>
      <c r="R554">
        <v>44930</v>
      </c>
    </row>
    <row r="555" spans="1:18" x14ac:dyDescent="0.25">
      <c r="A555" s="170">
        <v>42818</v>
      </c>
      <c r="B555" s="116">
        <v>170.5</v>
      </c>
      <c r="C555" s="116">
        <v>169.82499999999999</v>
      </c>
      <c r="D555" s="116">
        <v>166.5</v>
      </c>
      <c r="E555" s="116">
        <v>168.95</v>
      </c>
      <c r="F555" s="116">
        <v>339.65</v>
      </c>
      <c r="G555">
        <v>10536</v>
      </c>
      <c r="H555" s="116"/>
      <c r="I555" s="116"/>
      <c r="L555" s="170">
        <v>42818</v>
      </c>
      <c r="M555" s="116">
        <v>169.17500000000001</v>
      </c>
      <c r="N555" s="116">
        <v>170</v>
      </c>
      <c r="O555" s="116">
        <v>167.625</v>
      </c>
      <c r="P555" s="116">
        <v>168.25</v>
      </c>
      <c r="Q555" s="116">
        <v>338.35</v>
      </c>
      <c r="R555">
        <v>37884</v>
      </c>
    </row>
    <row r="556" spans="1:18" x14ac:dyDescent="0.25">
      <c r="A556" s="170">
        <v>42821</v>
      </c>
      <c r="B556" s="116">
        <v>171.97499999999999</v>
      </c>
      <c r="C556" s="116">
        <v>171.22499999999999</v>
      </c>
      <c r="D556" s="116">
        <v>167.47499999999999</v>
      </c>
      <c r="E556" s="116">
        <v>167.47499999999999</v>
      </c>
      <c r="F556" s="116">
        <v>342.45</v>
      </c>
      <c r="G556">
        <v>11163</v>
      </c>
      <c r="H556" s="116"/>
      <c r="I556" s="116"/>
      <c r="L556" s="170">
        <v>42821</v>
      </c>
      <c r="M556" s="116">
        <v>171.55</v>
      </c>
      <c r="N556" s="116">
        <v>172.17500000000001</v>
      </c>
      <c r="O556" s="116">
        <v>167.52500000000001</v>
      </c>
      <c r="P556" s="116">
        <v>168.5</v>
      </c>
      <c r="Q556" s="116">
        <v>343.1</v>
      </c>
      <c r="R556">
        <v>39960</v>
      </c>
    </row>
    <row r="557" spans="1:18" x14ac:dyDescent="0.25">
      <c r="A557" s="170">
        <v>42822</v>
      </c>
      <c r="B557" s="116">
        <v>172.95</v>
      </c>
      <c r="C557" s="116">
        <v>172.625</v>
      </c>
      <c r="D557" s="116">
        <v>169.875</v>
      </c>
      <c r="E557" s="116">
        <v>170.35</v>
      </c>
      <c r="F557" s="116">
        <v>345.25</v>
      </c>
      <c r="G557">
        <v>12302</v>
      </c>
      <c r="H557" s="116"/>
      <c r="I557" s="116"/>
      <c r="L557" s="170">
        <v>42822</v>
      </c>
      <c r="M557" s="116">
        <v>172.57499999999999</v>
      </c>
      <c r="N557" s="116">
        <v>173.25</v>
      </c>
      <c r="O557" s="116">
        <v>169.5</v>
      </c>
      <c r="P557" s="116">
        <v>169.97499999999999</v>
      </c>
      <c r="Q557" s="116">
        <v>345.15</v>
      </c>
      <c r="R557">
        <v>51745</v>
      </c>
    </row>
    <row r="558" spans="1:18" x14ac:dyDescent="0.25">
      <c r="A558" s="170">
        <v>42823</v>
      </c>
      <c r="B558" s="116">
        <v>176.5</v>
      </c>
      <c r="C558" s="116">
        <v>173.8</v>
      </c>
      <c r="D558" s="116">
        <v>171.5</v>
      </c>
      <c r="E558" s="116">
        <v>173.25</v>
      </c>
      <c r="F558" s="116">
        <v>347.6</v>
      </c>
      <c r="G558">
        <v>22119</v>
      </c>
      <c r="H558" s="116"/>
      <c r="I558" s="116"/>
      <c r="L558" s="170">
        <v>42823</v>
      </c>
      <c r="M558" s="116">
        <v>173.95</v>
      </c>
      <c r="N558" s="116">
        <v>176.625</v>
      </c>
      <c r="O558" s="116">
        <v>170.82499999999999</v>
      </c>
      <c r="P558" s="116">
        <v>173.25</v>
      </c>
      <c r="Q558" s="116">
        <v>347.9</v>
      </c>
      <c r="R558">
        <v>117590</v>
      </c>
    </row>
    <row r="559" spans="1:18" x14ac:dyDescent="0.25">
      <c r="A559" s="170">
        <v>42824</v>
      </c>
      <c r="B559" s="116">
        <v>176</v>
      </c>
      <c r="C559" s="116">
        <v>172.52500000000001</v>
      </c>
      <c r="D559" s="116">
        <v>172.05</v>
      </c>
      <c r="E559" s="116">
        <v>174.5</v>
      </c>
      <c r="F559" s="116">
        <v>345.05</v>
      </c>
      <c r="G559">
        <v>3800</v>
      </c>
      <c r="H559" s="116"/>
      <c r="I559" s="116"/>
      <c r="L559" s="170">
        <v>42824</v>
      </c>
      <c r="M559" s="116">
        <v>172.75</v>
      </c>
      <c r="N559" s="116">
        <v>176.97499999999999</v>
      </c>
      <c r="O559" s="116">
        <v>172.5</v>
      </c>
      <c r="P559" s="116">
        <v>176.95</v>
      </c>
      <c r="Q559" s="116">
        <v>345.5</v>
      </c>
      <c r="R559">
        <v>32602</v>
      </c>
    </row>
    <row r="560" spans="1:18" x14ac:dyDescent="0.25">
      <c r="A560" s="170">
        <v>42825</v>
      </c>
      <c r="B560" s="116">
        <v>175</v>
      </c>
      <c r="C560" s="116">
        <v>173.5</v>
      </c>
      <c r="D560" s="116">
        <v>171.5</v>
      </c>
      <c r="E560" s="116">
        <v>173.07499999999999</v>
      </c>
      <c r="F560" s="116">
        <v>347</v>
      </c>
      <c r="G560">
        <v>3334</v>
      </c>
      <c r="H560" s="116"/>
      <c r="I560" s="116"/>
      <c r="L560" s="170">
        <v>42825</v>
      </c>
      <c r="M560" s="116">
        <v>173.07499999999999</v>
      </c>
      <c r="N560" s="116">
        <v>174.45</v>
      </c>
      <c r="O560" s="116">
        <v>170.5</v>
      </c>
      <c r="P560" s="116">
        <v>173.5</v>
      </c>
      <c r="Q560" s="116">
        <v>346.15</v>
      </c>
      <c r="R560">
        <v>48926</v>
      </c>
    </row>
    <row r="561" spans="1:18" x14ac:dyDescent="0.25">
      <c r="A561" s="170">
        <v>42828</v>
      </c>
      <c r="B561" s="116">
        <v>179.95</v>
      </c>
      <c r="C561" s="116">
        <v>177.7</v>
      </c>
      <c r="D561" s="116">
        <v>171.8</v>
      </c>
      <c r="E561" s="116">
        <v>173.97499999999999</v>
      </c>
      <c r="F561" s="116">
        <v>355.4</v>
      </c>
      <c r="G561">
        <v>16403</v>
      </c>
      <c r="H561" s="116"/>
      <c r="I561" s="116"/>
      <c r="L561" s="170">
        <v>42828</v>
      </c>
      <c r="M561" s="116">
        <v>178.27500000000001</v>
      </c>
      <c r="N561" s="116">
        <v>180</v>
      </c>
      <c r="O561" s="116">
        <v>171.57499999999999</v>
      </c>
      <c r="P561" s="116">
        <v>175.9</v>
      </c>
      <c r="Q561" s="116">
        <v>356.55</v>
      </c>
      <c r="R561">
        <v>73079</v>
      </c>
    </row>
    <row r="562" spans="1:18" x14ac:dyDescent="0.25">
      <c r="A562" s="170">
        <v>42830</v>
      </c>
      <c r="B562" s="116">
        <v>181.5</v>
      </c>
      <c r="C562" s="116">
        <v>179.07499999999999</v>
      </c>
      <c r="D562" s="116">
        <v>176.85</v>
      </c>
      <c r="E562" s="116">
        <v>180</v>
      </c>
      <c r="F562" s="116">
        <v>358.15</v>
      </c>
      <c r="G562">
        <v>5538</v>
      </c>
      <c r="H562" s="116"/>
      <c r="I562" s="116"/>
      <c r="L562" s="170">
        <v>42830</v>
      </c>
      <c r="M562" s="116">
        <v>178.4</v>
      </c>
      <c r="N562" s="116">
        <v>183.75</v>
      </c>
      <c r="O562" s="116">
        <v>175</v>
      </c>
      <c r="P562" s="116">
        <v>180.82499999999999</v>
      </c>
      <c r="Q562" s="116">
        <v>356.8</v>
      </c>
      <c r="R562">
        <v>76434</v>
      </c>
    </row>
    <row r="563" spans="1:18" x14ac:dyDescent="0.25">
      <c r="A563" s="170">
        <v>42831</v>
      </c>
      <c r="B563" s="116">
        <v>179.65</v>
      </c>
      <c r="C563" s="116">
        <v>178.82499999999999</v>
      </c>
      <c r="D563" s="116">
        <v>177.125</v>
      </c>
      <c r="E563" s="116">
        <v>179.07499999999999</v>
      </c>
      <c r="F563" s="116">
        <v>357.65</v>
      </c>
      <c r="G563">
        <v>5127</v>
      </c>
      <c r="H563" s="116"/>
      <c r="I563" s="116"/>
      <c r="L563" s="170">
        <v>42831</v>
      </c>
      <c r="M563" s="116">
        <v>178.7</v>
      </c>
      <c r="N563" s="116">
        <v>179.97499999999999</v>
      </c>
      <c r="O563" s="116">
        <v>176.77500000000001</v>
      </c>
      <c r="P563" s="116">
        <v>178.4</v>
      </c>
      <c r="Q563" s="116">
        <v>357.4</v>
      </c>
      <c r="R563">
        <v>37792</v>
      </c>
    </row>
    <row r="564" spans="1:18" x14ac:dyDescent="0.25">
      <c r="A564" s="170">
        <v>42832</v>
      </c>
      <c r="B564" s="116">
        <v>179.72499999999999</v>
      </c>
      <c r="C564" s="116">
        <v>176.1</v>
      </c>
      <c r="D564" s="116">
        <v>175.5</v>
      </c>
      <c r="E564" s="116">
        <v>179.4</v>
      </c>
      <c r="F564" s="116">
        <v>352.2</v>
      </c>
      <c r="G564">
        <v>49745</v>
      </c>
      <c r="H564" s="116"/>
      <c r="I564" s="116"/>
      <c r="L564" s="170">
        <v>42832</v>
      </c>
      <c r="M564" s="116">
        <v>175.82499999999999</v>
      </c>
      <c r="N564" s="116">
        <v>180.02500000000001</v>
      </c>
      <c r="O564" s="116">
        <v>175.05</v>
      </c>
      <c r="P564" s="116">
        <v>180.02500000000001</v>
      </c>
      <c r="Q564" s="116">
        <v>351.65</v>
      </c>
      <c r="R564">
        <v>40456</v>
      </c>
    </row>
    <row r="565" spans="1:18" x14ac:dyDescent="0.25">
      <c r="A565" s="170">
        <v>42835</v>
      </c>
      <c r="B565" s="116">
        <v>177.5</v>
      </c>
      <c r="C565" s="116">
        <v>170.67500000000001</v>
      </c>
      <c r="D565" s="116">
        <v>170</v>
      </c>
      <c r="E565" s="116">
        <v>175</v>
      </c>
      <c r="F565" s="116">
        <v>341.35</v>
      </c>
      <c r="G565">
        <v>5310</v>
      </c>
      <c r="H565" s="116"/>
      <c r="I565" s="116"/>
      <c r="L565" s="170">
        <v>42835</v>
      </c>
      <c r="M565" s="116">
        <v>170.57499999999999</v>
      </c>
      <c r="N565" s="116">
        <v>178.97499999999999</v>
      </c>
      <c r="O565" s="116">
        <v>169.25</v>
      </c>
      <c r="P565" s="116">
        <v>175.5</v>
      </c>
      <c r="Q565" s="116">
        <v>341.15</v>
      </c>
      <c r="R565">
        <v>79732</v>
      </c>
    </row>
    <row r="566" spans="1:18" x14ac:dyDescent="0.25">
      <c r="A566" s="170">
        <v>42836</v>
      </c>
      <c r="B566" s="116">
        <v>173.5</v>
      </c>
      <c r="C566" s="116">
        <v>171</v>
      </c>
      <c r="D566" s="116">
        <v>170</v>
      </c>
      <c r="E566" s="116">
        <v>170</v>
      </c>
      <c r="F566" s="116">
        <v>342</v>
      </c>
      <c r="G566">
        <v>3971</v>
      </c>
      <c r="H566" s="116"/>
      <c r="I566" s="116"/>
      <c r="L566" s="170">
        <v>42836</v>
      </c>
      <c r="M566" s="116">
        <v>171.17500000000001</v>
      </c>
      <c r="N566" s="116">
        <v>173.77500000000001</v>
      </c>
      <c r="O566" s="116">
        <v>170.05</v>
      </c>
      <c r="P566" s="116">
        <v>172.5</v>
      </c>
      <c r="Q566" s="116">
        <v>342.35</v>
      </c>
      <c r="R566">
        <v>48754</v>
      </c>
    </row>
    <row r="567" spans="1:18" x14ac:dyDescent="0.25">
      <c r="A567" s="170">
        <v>42837</v>
      </c>
      <c r="B567" s="116">
        <v>173.5</v>
      </c>
      <c r="C567" s="116">
        <v>169.5</v>
      </c>
      <c r="D567" s="116">
        <v>168.5</v>
      </c>
      <c r="E567" s="116">
        <v>173.47499999999999</v>
      </c>
      <c r="F567" s="116">
        <v>339</v>
      </c>
      <c r="G567">
        <v>5090</v>
      </c>
      <c r="H567" s="116"/>
      <c r="I567" s="116"/>
      <c r="L567" s="170">
        <v>42837</v>
      </c>
      <c r="M567" s="116">
        <v>169.82499999999999</v>
      </c>
      <c r="N567" s="116">
        <v>174.32499999999999</v>
      </c>
      <c r="O567" s="116">
        <v>168.4</v>
      </c>
      <c r="P567" s="116">
        <v>172.5</v>
      </c>
      <c r="Q567" s="116">
        <v>339.65</v>
      </c>
      <c r="R567">
        <v>58789</v>
      </c>
    </row>
    <row r="568" spans="1:18" x14ac:dyDescent="0.25">
      <c r="A568" s="170">
        <v>42838</v>
      </c>
      <c r="B568" s="116">
        <v>172</v>
      </c>
      <c r="C568" s="116">
        <v>167.7</v>
      </c>
      <c r="D568" s="116">
        <v>166.95</v>
      </c>
      <c r="E568" s="116">
        <v>172</v>
      </c>
      <c r="F568" s="116">
        <v>335.4</v>
      </c>
      <c r="G568">
        <v>6249</v>
      </c>
      <c r="H568" s="116"/>
      <c r="I568" s="116"/>
      <c r="L568" s="170">
        <v>42838</v>
      </c>
      <c r="M568" s="116">
        <v>167.32499999999999</v>
      </c>
      <c r="N568" s="116">
        <v>172.85</v>
      </c>
      <c r="O568" s="116">
        <v>166.85</v>
      </c>
      <c r="P568" s="116">
        <v>172.4</v>
      </c>
      <c r="Q568" s="116">
        <v>334.65</v>
      </c>
      <c r="R568">
        <v>48835</v>
      </c>
    </row>
    <row r="569" spans="1:18" x14ac:dyDescent="0.25">
      <c r="A569" s="170">
        <v>42842</v>
      </c>
      <c r="B569" s="116">
        <v>169.05</v>
      </c>
      <c r="C569" s="116">
        <v>167.15</v>
      </c>
      <c r="D569" s="116">
        <v>165.77500000000001</v>
      </c>
      <c r="E569" s="116">
        <v>168.875</v>
      </c>
      <c r="F569" s="116">
        <v>334.3</v>
      </c>
      <c r="G569">
        <v>2832</v>
      </c>
      <c r="H569" s="116"/>
      <c r="I569" s="116"/>
      <c r="L569" s="170">
        <v>42842</v>
      </c>
      <c r="M569" s="116">
        <v>167.42500000000001</v>
      </c>
      <c r="N569" s="116">
        <v>169.97499999999999</v>
      </c>
      <c r="O569" s="116">
        <v>165.05</v>
      </c>
      <c r="P569" s="116">
        <v>166.97499999999999</v>
      </c>
      <c r="Q569" s="116">
        <v>334.85</v>
      </c>
      <c r="R569">
        <v>90282</v>
      </c>
    </row>
    <row r="570" spans="1:18" x14ac:dyDescent="0.25">
      <c r="A570" s="170">
        <v>42843</v>
      </c>
      <c r="B570" s="116">
        <v>170.22499999999999</v>
      </c>
      <c r="C570" s="116">
        <v>162.77500000000001</v>
      </c>
      <c r="D570" s="116">
        <v>161.125</v>
      </c>
      <c r="E570" s="116">
        <v>169</v>
      </c>
      <c r="F570" s="116">
        <v>325.55</v>
      </c>
      <c r="G570">
        <v>5193</v>
      </c>
      <c r="H570" s="116"/>
      <c r="I570" s="116"/>
      <c r="L570" s="170">
        <v>42843</v>
      </c>
      <c r="M570" s="116">
        <v>163.05000000000001</v>
      </c>
      <c r="N570" s="116">
        <v>170.22499999999999</v>
      </c>
      <c r="O570" s="116">
        <v>162.25</v>
      </c>
      <c r="P570" s="116">
        <v>167.57499999999999</v>
      </c>
      <c r="Q570" s="116">
        <v>326.10000000000002</v>
      </c>
      <c r="R570">
        <v>85773</v>
      </c>
    </row>
    <row r="571" spans="1:18" x14ac:dyDescent="0.25">
      <c r="A571" s="170">
        <v>42844</v>
      </c>
      <c r="B571" s="116">
        <v>167.5</v>
      </c>
      <c r="C571" s="116">
        <v>166.77500000000001</v>
      </c>
      <c r="D571" s="116">
        <v>161.1</v>
      </c>
      <c r="E571" s="116">
        <v>163.375</v>
      </c>
      <c r="F571" s="116">
        <v>333.55</v>
      </c>
      <c r="G571">
        <v>4262</v>
      </c>
      <c r="H571" s="116"/>
      <c r="I571" s="116"/>
      <c r="L571" s="170">
        <v>42844</v>
      </c>
      <c r="M571" s="116">
        <v>167.35</v>
      </c>
      <c r="N571" s="116">
        <v>167.6</v>
      </c>
      <c r="O571" s="116">
        <v>161.65</v>
      </c>
      <c r="P571" s="116">
        <v>164.47499999999999</v>
      </c>
      <c r="Q571" s="116">
        <v>334.7</v>
      </c>
      <c r="R571">
        <v>66034</v>
      </c>
    </row>
    <row r="572" spans="1:18" x14ac:dyDescent="0.25">
      <c r="A572" s="170">
        <v>42845</v>
      </c>
      <c r="B572" s="116">
        <v>169.22499999999999</v>
      </c>
      <c r="C572" s="116">
        <v>166.1</v>
      </c>
      <c r="D572" s="116">
        <v>165.5</v>
      </c>
      <c r="E572" s="116">
        <v>167.75</v>
      </c>
      <c r="F572" s="116">
        <v>332.2</v>
      </c>
      <c r="G572">
        <v>2739</v>
      </c>
      <c r="H572" s="116"/>
      <c r="I572" s="116"/>
      <c r="L572" s="170">
        <v>42845</v>
      </c>
      <c r="M572" s="116">
        <v>166.1</v>
      </c>
      <c r="N572" s="116">
        <v>169.57499999999999</v>
      </c>
      <c r="O572" s="116">
        <v>165.55</v>
      </c>
      <c r="P572" s="116">
        <v>168</v>
      </c>
      <c r="Q572" s="116">
        <v>332.2</v>
      </c>
      <c r="R572">
        <v>25844</v>
      </c>
    </row>
    <row r="573" spans="1:18" x14ac:dyDescent="0.25">
      <c r="A573" s="170">
        <v>42846</v>
      </c>
      <c r="B573" s="116">
        <v>168.75</v>
      </c>
      <c r="C573" s="116">
        <v>167.67500000000001</v>
      </c>
      <c r="D573" s="116">
        <v>166.5</v>
      </c>
      <c r="E573" s="116">
        <v>168.75</v>
      </c>
      <c r="F573" s="116">
        <v>335.35</v>
      </c>
      <c r="G573">
        <v>6811</v>
      </c>
      <c r="H573" s="116"/>
      <c r="I573" s="116"/>
      <c r="L573" s="170">
        <v>42846</v>
      </c>
      <c r="M573" s="116">
        <v>167.55</v>
      </c>
      <c r="N573" s="116">
        <v>169</v>
      </c>
      <c r="O573" s="116">
        <v>166</v>
      </c>
      <c r="P573" s="116">
        <v>166</v>
      </c>
      <c r="Q573" s="116">
        <v>335.1</v>
      </c>
      <c r="R573">
        <v>149083</v>
      </c>
    </row>
    <row r="574" spans="1:18" x14ac:dyDescent="0.25">
      <c r="A574" s="170">
        <v>42849</v>
      </c>
      <c r="B574" s="116">
        <v>168.125</v>
      </c>
      <c r="C574" s="116">
        <v>166.9</v>
      </c>
      <c r="D574" s="116">
        <v>161.5</v>
      </c>
      <c r="E574" s="116">
        <v>167.25</v>
      </c>
      <c r="F574" s="116">
        <v>333.8</v>
      </c>
      <c r="G574">
        <v>10718</v>
      </c>
      <c r="H574" s="116"/>
      <c r="I574" s="116"/>
      <c r="L574" s="170">
        <v>42849</v>
      </c>
      <c r="M574" s="116">
        <v>166.32499999999999</v>
      </c>
      <c r="N574" s="116">
        <v>168.95</v>
      </c>
      <c r="O574" s="116">
        <v>164.47499999999999</v>
      </c>
      <c r="P574" s="116">
        <v>168.32499999999999</v>
      </c>
      <c r="Q574" s="116">
        <v>332.65</v>
      </c>
      <c r="R574">
        <v>59176</v>
      </c>
    </row>
    <row r="575" spans="1:18" x14ac:dyDescent="0.25">
      <c r="A575" s="170">
        <v>42850</v>
      </c>
      <c r="B575" s="116">
        <v>167.02500000000001</v>
      </c>
      <c r="C575" s="116">
        <v>164.6</v>
      </c>
      <c r="D575" s="116">
        <v>164</v>
      </c>
      <c r="E575" s="116">
        <v>167.02500000000001</v>
      </c>
      <c r="F575" s="116">
        <v>329.2</v>
      </c>
      <c r="G575">
        <v>8306</v>
      </c>
      <c r="H575" s="116"/>
      <c r="I575" s="116"/>
      <c r="L575" s="170">
        <v>42850</v>
      </c>
      <c r="M575" s="116">
        <v>164.95</v>
      </c>
      <c r="N575" s="116">
        <v>167.5</v>
      </c>
      <c r="O575" s="116">
        <v>164</v>
      </c>
      <c r="P575" s="116">
        <v>165.1</v>
      </c>
      <c r="Q575" s="116">
        <v>329.9</v>
      </c>
      <c r="R575">
        <v>28567</v>
      </c>
    </row>
    <row r="576" spans="1:18" x14ac:dyDescent="0.25">
      <c r="A576" s="170">
        <v>42851</v>
      </c>
      <c r="B576" s="116">
        <v>165.875</v>
      </c>
      <c r="C576" s="116">
        <v>164.55</v>
      </c>
      <c r="D576" s="116">
        <v>164</v>
      </c>
      <c r="E576" s="116">
        <v>165.6</v>
      </c>
      <c r="F576" s="116">
        <v>329.1</v>
      </c>
      <c r="G576">
        <v>7678</v>
      </c>
      <c r="H576" s="116"/>
      <c r="I576" s="116"/>
      <c r="L576" s="170">
        <v>42851</v>
      </c>
      <c r="M576" s="116">
        <v>164.82499999999999</v>
      </c>
      <c r="N576" s="116">
        <v>167.875</v>
      </c>
      <c r="O576" s="116">
        <v>164.75</v>
      </c>
      <c r="P576" s="116">
        <v>167.875</v>
      </c>
      <c r="Q576" s="116">
        <v>329.65</v>
      </c>
      <c r="R576">
        <v>33142</v>
      </c>
    </row>
    <row r="577" spans="1:18" x14ac:dyDescent="0.25">
      <c r="A577" s="170">
        <v>42852</v>
      </c>
      <c r="B577" s="116">
        <v>165.95</v>
      </c>
      <c r="C577" s="116">
        <v>165.5</v>
      </c>
      <c r="D577" s="116">
        <v>163.97499999999999</v>
      </c>
      <c r="E577" s="116">
        <v>164.7</v>
      </c>
      <c r="F577" s="116">
        <v>331</v>
      </c>
      <c r="G577">
        <v>11094</v>
      </c>
      <c r="H577" s="116"/>
      <c r="I577" s="116"/>
      <c r="L577" s="170">
        <v>42852</v>
      </c>
      <c r="M577" s="116">
        <v>165.32499999999999</v>
      </c>
      <c r="N577" s="116">
        <v>166.45</v>
      </c>
      <c r="O577" s="116">
        <v>163.67500000000001</v>
      </c>
      <c r="P577" s="116">
        <v>163.67500000000001</v>
      </c>
      <c r="Q577" s="116">
        <v>330.65</v>
      </c>
      <c r="R577">
        <v>23105</v>
      </c>
    </row>
    <row r="578" spans="1:18" x14ac:dyDescent="0.25">
      <c r="A578" s="170">
        <v>42853</v>
      </c>
      <c r="B578" s="116">
        <v>166</v>
      </c>
      <c r="C578" s="116">
        <v>164.35</v>
      </c>
      <c r="D578" s="116">
        <v>163.25</v>
      </c>
      <c r="E578" s="116">
        <v>165.5</v>
      </c>
      <c r="F578" s="116">
        <v>328.7</v>
      </c>
      <c r="G578">
        <v>15319</v>
      </c>
      <c r="H578" s="116"/>
      <c r="I578" s="116"/>
      <c r="L578" s="170">
        <v>42853</v>
      </c>
      <c r="M578" s="116">
        <v>164.82499999999999</v>
      </c>
      <c r="N578" s="116">
        <v>167</v>
      </c>
      <c r="O578" s="116">
        <v>163.75</v>
      </c>
      <c r="P578" s="116">
        <v>163.75</v>
      </c>
      <c r="Q578" s="116">
        <v>329.65</v>
      </c>
      <c r="R578">
        <v>13649</v>
      </c>
    </row>
    <row r="579" spans="1:18" x14ac:dyDescent="0.25">
      <c r="A579" s="170">
        <v>42857</v>
      </c>
      <c r="B579" s="116">
        <v>168.42500000000001</v>
      </c>
      <c r="C579" s="116">
        <v>166.15</v>
      </c>
      <c r="D579" s="116">
        <v>163.25</v>
      </c>
      <c r="E579" s="116">
        <v>163.25</v>
      </c>
      <c r="F579" s="116">
        <v>332.3</v>
      </c>
      <c r="G579">
        <v>7885</v>
      </c>
      <c r="H579" s="116"/>
      <c r="I579" s="116"/>
      <c r="L579" s="170">
        <v>42857</v>
      </c>
      <c r="M579" s="116">
        <v>166.57499999999999</v>
      </c>
      <c r="N579" s="116">
        <v>168.25</v>
      </c>
      <c r="O579" s="116">
        <v>164.5</v>
      </c>
      <c r="P579" s="116">
        <v>164.82499999999999</v>
      </c>
      <c r="Q579" s="116">
        <v>333.15</v>
      </c>
      <c r="R579">
        <v>29212</v>
      </c>
    </row>
    <row r="580" spans="1:18" x14ac:dyDescent="0.25">
      <c r="A580" s="170">
        <v>42858</v>
      </c>
      <c r="B580" s="116">
        <v>166.375</v>
      </c>
      <c r="C580" s="116">
        <v>164.4</v>
      </c>
      <c r="D580" s="116">
        <v>163.80000000000001</v>
      </c>
      <c r="E580" s="116">
        <v>166.375</v>
      </c>
      <c r="F580" s="116">
        <v>328.8</v>
      </c>
      <c r="G580">
        <v>2730</v>
      </c>
      <c r="H580" s="116"/>
      <c r="I580" s="116"/>
      <c r="L580" s="170">
        <v>42858</v>
      </c>
      <c r="M580" s="116">
        <v>164.75</v>
      </c>
      <c r="N580" s="116">
        <v>166.52500000000001</v>
      </c>
      <c r="O580" s="116">
        <v>163.47499999999999</v>
      </c>
      <c r="P580" s="116">
        <v>164.05</v>
      </c>
      <c r="Q580" s="116">
        <v>329.5</v>
      </c>
      <c r="R580">
        <v>41006</v>
      </c>
    </row>
    <row r="581" spans="1:18" x14ac:dyDescent="0.25">
      <c r="A581" s="170">
        <v>42859</v>
      </c>
      <c r="B581" s="116">
        <v>166.32499999999999</v>
      </c>
      <c r="C581" s="116">
        <v>165.8</v>
      </c>
      <c r="D581" s="116">
        <v>164</v>
      </c>
      <c r="E581" s="116">
        <v>165.45</v>
      </c>
      <c r="F581" s="116">
        <v>331.6</v>
      </c>
      <c r="G581">
        <v>3366</v>
      </c>
      <c r="H581" s="116"/>
      <c r="I581" s="116"/>
      <c r="L581" s="170">
        <v>42859</v>
      </c>
      <c r="M581" s="116">
        <v>165.97499999999999</v>
      </c>
      <c r="N581" s="116">
        <v>166.65</v>
      </c>
      <c r="O581" s="116">
        <v>163.875</v>
      </c>
      <c r="P581" s="116">
        <v>163.95</v>
      </c>
      <c r="Q581" s="116">
        <v>331.95</v>
      </c>
      <c r="R581">
        <v>31915</v>
      </c>
    </row>
    <row r="582" spans="1:18" x14ac:dyDescent="0.25">
      <c r="A582" s="170">
        <v>42860</v>
      </c>
      <c r="B582" s="116">
        <v>166</v>
      </c>
      <c r="C582" s="116">
        <v>164.72499999999999</v>
      </c>
      <c r="D582" s="116">
        <v>164</v>
      </c>
      <c r="E582" s="116">
        <v>165.5</v>
      </c>
      <c r="F582" s="116">
        <v>329.45</v>
      </c>
      <c r="G582">
        <v>2424</v>
      </c>
      <c r="H582" s="116"/>
      <c r="I582" s="116"/>
      <c r="L582" s="170">
        <v>42860</v>
      </c>
      <c r="M582" s="116">
        <v>164.97499999999999</v>
      </c>
      <c r="N582" s="116">
        <v>166.4</v>
      </c>
      <c r="O582" s="116">
        <v>163.97499999999999</v>
      </c>
      <c r="P582" s="116">
        <v>165.97499999999999</v>
      </c>
      <c r="Q582" s="116">
        <v>329.95</v>
      </c>
      <c r="R582">
        <v>24844</v>
      </c>
    </row>
    <row r="583" spans="1:18" x14ac:dyDescent="0.25">
      <c r="A583" s="170">
        <v>42863</v>
      </c>
      <c r="B583" s="116">
        <v>165.4</v>
      </c>
      <c r="C583" s="116">
        <v>162.82499999999999</v>
      </c>
      <c r="D583" s="116">
        <v>161.97499999999999</v>
      </c>
      <c r="E583" s="116">
        <v>165.22499999999999</v>
      </c>
      <c r="F583" s="116">
        <v>325.64999999999998</v>
      </c>
      <c r="G583">
        <v>4061</v>
      </c>
      <c r="H583" s="116"/>
      <c r="I583" s="116"/>
      <c r="L583" s="170">
        <v>42863</v>
      </c>
      <c r="M583" s="116">
        <v>162.625</v>
      </c>
      <c r="N583" s="116">
        <v>166.02500000000001</v>
      </c>
      <c r="O583" s="116">
        <v>161.55000000000001</v>
      </c>
      <c r="P583" s="116">
        <v>162.875</v>
      </c>
      <c r="Q583" s="116">
        <v>325.25</v>
      </c>
      <c r="R583">
        <v>40841</v>
      </c>
    </row>
    <row r="584" spans="1:18" x14ac:dyDescent="0.25">
      <c r="A584" s="170">
        <v>42864</v>
      </c>
      <c r="B584" s="116">
        <v>165.5</v>
      </c>
      <c r="C584" s="116">
        <v>163.47499999999999</v>
      </c>
      <c r="D584" s="116">
        <v>162.5</v>
      </c>
      <c r="E584" s="116">
        <v>164.5</v>
      </c>
      <c r="F584" s="116">
        <v>326.95</v>
      </c>
      <c r="G584">
        <v>15587</v>
      </c>
      <c r="H584" s="116"/>
      <c r="I584" s="116"/>
      <c r="L584" s="170">
        <v>42864</v>
      </c>
      <c r="M584" s="116">
        <v>164.95</v>
      </c>
      <c r="N584" s="116">
        <v>167.47499999999999</v>
      </c>
      <c r="O584" s="116">
        <v>162.65</v>
      </c>
      <c r="P584" s="116">
        <v>164.9</v>
      </c>
      <c r="Q584" s="116">
        <v>329.9</v>
      </c>
      <c r="R584">
        <v>91404</v>
      </c>
    </row>
    <row r="585" spans="1:18" x14ac:dyDescent="0.25">
      <c r="A585" s="170">
        <v>42865</v>
      </c>
      <c r="B585" s="116">
        <v>166.25</v>
      </c>
      <c r="C585" s="116">
        <v>164.22499999999999</v>
      </c>
      <c r="D585" s="116">
        <v>163.19999999999999</v>
      </c>
      <c r="E585" s="116">
        <v>165.5</v>
      </c>
      <c r="F585" s="116">
        <v>328.45</v>
      </c>
      <c r="G585">
        <v>26229</v>
      </c>
      <c r="H585" s="116"/>
      <c r="I585" s="116"/>
      <c r="L585" s="170">
        <v>42865</v>
      </c>
      <c r="M585" s="116">
        <v>165.32499999999999</v>
      </c>
      <c r="N585" s="116">
        <v>166.47499999999999</v>
      </c>
      <c r="O585" s="116">
        <v>163.27500000000001</v>
      </c>
      <c r="P585" s="116">
        <v>166.47499999999999</v>
      </c>
      <c r="Q585" s="116">
        <v>330.65</v>
      </c>
      <c r="R585">
        <v>107763</v>
      </c>
    </row>
    <row r="586" spans="1:18" x14ac:dyDescent="0.25">
      <c r="A586" s="170">
        <v>42866</v>
      </c>
      <c r="B586" s="116">
        <v>167.1</v>
      </c>
      <c r="C586" s="116">
        <v>164.9</v>
      </c>
      <c r="D586" s="116">
        <v>164.5</v>
      </c>
      <c r="E586" s="116">
        <v>165</v>
      </c>
      <c r="F586" s="116">
        <v>329.8</v>
      </c>
      <c r="G586">
        <v>5344</v>
      </c>
      <c r="H586" s="116"/>
      <c r="I586" s="116"/>
      <c r="L586" s="170">
        <v>42866</v>
      </c>
      <c r="M586" s="116">
        <v>164.7</v>
      </c>
      <c r="N586" s="116">
        <v>166.97499999999999</v>
      </c>
      <c r="O586" s="116">
        <v>164</v>
      </c>
      <c r="P586" s="116">
        <v>166.22499999999999</v>
      </c>
      <c r="Q586" s="116">
        <v>329.4</v>
      </c>
      <c r="R586">
        <v>65021</v>
      </c>
    </row>
    <row r="587" spans="1:18" x14ac:dyDescent="0.25">
      <c r="A587" s="170">
        <v>42867</v>
      </c>
      <c r="B587" s="116">
        <v>167.75</v>
      </c>
      <c r="C587" s="116">
        <v>167.17500000000001</v>
      </c>
      <c r="D587" s="116">
        <v>165.22499999999999</v>
      </c>
      <c r="E587" s="116">
        <v>165.7</v>
      </c>
      <c r="F587" s="116">
        <v>334.35</v>
      </c>
      <c r="G587">
        <v>2707</v>
      </c>
      <c r="H587" s="116"/>
      <c r="I587" s="116"/>
      <c r="L587" s="170">
        <v>42867</v>
      </c>
      <c r="M587" s="116">
        <v>167.6</v>
      </c>
      <c r="N587" s="116">
        <v>168.3</v>
      </c>
      <c r="O587" s="116">
        <v>165.02500000000001</v>
      </c>
      <c r="P587" s="116">
        <v>165.02500000000001</v>
      </c>
      <c r="Q587" s="116">
        <v>335.2</v>
      </c>
      <c r="R587">
        <v>48025</v>
      </c>
    </row>
    <row r="588" spans="1:18" x14ac:dyDescent="0.25">
      <c r="A588" s="170">
        <v>42870</v>
      </c>
      <c r="B588" s="116">
        <v>175.72499999999999</v>
      </c>
      <c r="C588" s="116">
        <v>172.55</v>
      </c>
      <c r="D588" s="116">
        <v>168</v>
      </c>
      <c r="E588" s="116">
        <v>168</v>
      </c>
      <c r="F588" s="116">
        <v>345.1</v>
      </c>
      <c r="G588">
        <v>26191</v>
      </c>
      <c r="H588" s="116"/>
      <c r="I588" s="116"/>
      <c r="L588" s="170">
        <v>42870</v>
      </c>
      <c r="M588" s="116">
        <v>172.7</v>
      </c>
      <c r="N588" s="116">
        <v>177</v>
      </c>
      <c r="O588" s="116">
        <v>167.97499999999999</v>
      </c>
      <c r="P588" s="116">
        <v>168</v>
      </c>
      <c r="Q588" s="116">
        <v>345.4</v>
      </c>
      <c r="R588">
        <v>234756</v>
      </c>
    </row>
    <row r="589" spans="1:18" x14ac:dyDescent="0.25">
      <c r="A589" s="170">
        <v>42871</v>
      </c>
      <c r="B589" s="116">
        <v>177.5</v>
      </c>
      <c r="C589" s="116">
        <v>174.25</v>
      </c>
      <c r="D589" s="116">
        <v>173</v>
      </c>
      <c r="E589" s="116">
        <v>175.05</v>
      </c>
      <c r="F589" s="116">
        <v>348.5</v>
      </c>
      <c r="G589">
        <v>9877</v>
      </c>
      <c r="H589" s="116"/>
      <c r="I589" s="116"/>
      <c r="L589" s="170">
        <v>42871</v>
      </c>
      <c r="M589" s="116">
        <v>174.42500000000001</v>
      </c>
      <c r="N589" s="116">
        <v>177.45</v>
      </c>
      <c r="O589" s="116">
        <v>173.02500000000001</v>
      </c>
      <c r="P589" s="116">
        <v>174.35</v>
      </c>
      <c r="Q589" s="116">
        <v>348.85</v>
      </c>
      <c r="R589">
        <v>132775</v>
      </c>
    </row>
    <row r="590" spans="1:18" x14ac:dyDescent="0.25">
      <c r="A590" s="170">
        <v>42872</v>
      </c>
      <c r="B590" s="116">
        <v>181.52500000000001</v>
      </c>
      <c r="C590" s="116">
        <v>176.375</v>
      </c>
      <c r="D590" s="116">
        <v>174</v>
      </c>
      <c r="E590" s="116">
        <v>175</v>
      </c>
      <c r="F590" s="116">
        <v>352.75</v>
      </c>
      <c r="G590">
        <v>35139</v>
      </c>
      <c r="H590" s="116"/>
      <c r="I590" s="116"/>
      <c r="L590" s="170">
        <v>42872</v>
      </c>
      <c r="M590" s="116">
        <v>176.35</v>
      </c>
      <c r="N590" s="116">
        <v>181.4</v>
      </c>
      <c r="O590" s="116">
        <v>173.5</v>
      </c>
      <c r="P590" s="116">
        <v>174.97499999999999</v>
      </c>
      <c r="Q590" s="116">
        <v>352.7</v>
      </c>
      <c r="R590">
        <v>333492</v>
      </c>
    </row>
    <row r="591" spans="1:18" x14ac:dyDescent="0.25">
      <c r="A591" s="170">
        <v>42873</v>
      </c>
      <c r="B591" s="116">
        <v>176.5</v>
      </c>
      <c r="C591" s="116">
        <v>174</v>
      </c>
      <c r="D591" s="116">
        <v>173.1</v>
      </c>
      <c r="E591" s="116">
        <v>175.1</v>
      </c>
      <c r="F591" s="116">
        <v>348</v>
      </c>
      <c r="G591">
        <v>5046</v>
      </c>
      <c r="H591" s="116"/>
      <c r="I591" s="116"/>
      <c r="L591" s="170">
        <v>42873</v>
      </c>
      <c r="M591" s="116">
        <v>173.32499999999999</v>
      </c>
      <c r="N591" s="116">
        <v>176.5</v>
      </c>
      <c r="O591" s="116">
        <v>172.75</v>
      </c>
      <c r="P591" s="116">
        <v>175.47499999999999</v>
      </c>
      <c r="Q591" s="116">
        <v>346.65</v>
      </c>
      <c r="R591">
        <v>59580</v>
      </c>
    </row>
    <row r="592" spans="1:18" x14ac:dyDescent="0.25">
      <c r="A592" s="170">
        <v>42874</v>
      </c>
      <c r="B592" s="116">
        <v>174.875</v>
      </c>
      <c r="C592" s="116">
        <v>171.55</v>
      </c>
      <c r="D592" s="116">
        <v>170.4</v>
      </c>
      <c r="E592" s="116">
        <v>174.52500000000001</v>
      </c>
      <c r="F592" s="116">
        <v>343.1</v>
      </c>
      <c r="G592">
        <v>4663</v>
      </c>
      <c r="H592" s="116"/>
      <c r="I592" s="116"/>
      <c r="L592" s="170">
        <v>42874</v>
      </c>
      <c r="M592" s="116">
        <v>170.7</v>
      </c>
      <c r="N592" s="116">
        <v>174.875</v>
      </c>
      <c r="O592" s="116">
        <v>169.55</v>
      </c>
      <c r="P592" s="116">
        <v>173.45</v>
      </c>
      <c r="Q592" s="116">
        <v>341.4</v>
      </c>
      <c r="R592">
        <v>39028</v>
      </c>
    </row>
    <row r="593" spans="1:18" x14ac:dyDescent="0.25">
      <c r="A593" s="170">
        <v>42877</v>
      </c>
      <c r="B593" s="116">
        <v>173.5</v>
      </c>
      <c r="C593" s="116">
        <v>172.92500000000001</v>
      </c>
      <c r="D593" s="116">
        <v>171.5</v>
      </c>
      <c r="E593" s="116">
        <v>172</v>
      </c>
      <c r="F593" s="116">
        <v>345.85</v>
      </c>
      <c r="G593">
        <v>7683</v>
      </c>
      <c r="H593" s="116"/>
      <c r="I593" s="116"/>
      <c r="L593" s="170">
        <v>42877</v>
      </c>
      <c r="M593" s="116">
        <v>172.77500000000001</v>
      </c>
      <c r="N593" s="116">
        <v>173.72499999999999</v>
      </c>
      <c r="O593" s="116">
        <v>171.25</v>
      </c>
      <c r="P593" s="116">
        <v>172.45</v>
      </c>
      <c r="Q593" s="116">
        <v>345.55</v>
      </c>
      <c r="R593">
        <v>64770</v>
      </c>
    </row>
    <row r="594" spans="1:18" x14ac:dyDescent="0.25">
      <c r="A594" s="170">
        <v>42878</v>
      </c>
      <c r="B594" s="116">
        <v>177.5</v>
      </c>
      <c r="C594" s="116">
        <v>171.82499999999999</v>
      </c>
      <c r="D594" s="116">
        <v>167</v>
      </c>
      <c r="E594" s="116">
        <v>174.27500000000001</v>
      </c>
      <c r="F594" s="116">
        <v>343.65</v>
      </c>
      <c r="G594">
        <v>13459</v>
      </c>
      <c r="H594" s="116"/>
      <c r="I594" s="116"/>
      <c r="L594" s="170">
        <v>42878</v>
      </c>
      <c r="M594" s="116">
        <v>172.125</v>
      </c>
      <c r="N594" s="116">
        <v>175.42500000000001</v>
      </c>
      <c r="O594" s="116">
        <v>166.57499999999999</v>
      </c>
      <c r="P594" s="116">
        <v>174.45</v>
      </c>
      <c r="Q594" s="116">
        <v>344.25</v>
      </c>
      <c r="R594">
        <v>89864</v>
      </c>
    </row>
    <row r="595" spans="1:18" x14ac:dyDescent="0.25">
      <c r="A595" s="170">
        <v>42879</v>
      </c>
      <c r="B595" s="116">
        <v>172.5</v>
      </c>
      <c r="C595" s="116">
        <v>169.55</v>
      </c>
      <c r="D595" s="116">
        <v>165.4</v>
      </c>
      <c r="E595" s="116">
        <v>172.125</v>
      </c>
      <c r="F595" s="116">
        <v>339.1</v>
      </c>
      <c r="G595">
        <v>14383</v>
      </c>
      <c r="H595" s="116"/>
      <c r="I595" s="116"/>
      <c r="L595" s="170">
        <v>42879</v>
      </c>
      <c r="M595" s="116">
        <v>169.92500000000001</v>
      </c>
      <c r="N595" s="116">
        <v>173.5</v>
      </c>
      <c r="O595" s="116">
        <v>165.7</v>
      </c>
      <c r="P595" s="116">
        <v>169.95</v>
      </c>
      <c r="Q595" s="116">
        <v>339.85</v>
      </c>
      <c r="R595">
        <v>220730</v>
      </c>
    </row>
    <row r="596" spans="1:18" x14ac:dyDescent="0.25">
      <c r="A596" s="170">
        <v>42880</v>
      </c>
      <c r="B596" s="116">
        <v>171.5</v>
      </c>
      <c r="C596" s="116">
        <v>165.02500000000001</v>
      </c>
      <c r="D596" s="116">
        <v>163.75</v>
      </c>
      <c r="E596" s="116">
        <v>169.07499999999999</v>
      </c>
      <c r="F596" s="116">
        <v>330.05</v>
      </c>
      <c r="G596">
        <v>25226</v>
      </c>
      <c r="H596" s="116"/>
      <c r="I596" s="116"/>
      <c r="L596" s="170">
        <v>42880</v>
      </c>
      <c r="M596" s="116">
        <v>165</v>
      </c>
      <c r="N596" s="116">
        <v>172</v>
      </c>
      <c r="O596" s="116">
        <v>164</v>
      </c>
      <c r="P596" s="116">
        <v>169.75</v>
      </c>
      <c r="Q596" s="116">
        <v>330</v>
      </c>
      <c r="R596">
        <v>106964</v>
      </c>
    </row>
    <row r="597" spans="1:18" x14ac:dyDescent="0.25">
      <c r="A597" s="170">
        <v>42881</v>
      </c>
      <c r="B597" s="116">
        <v>168</v>
      </c>
      <c r="C597" s="116">
        <v>167.1</v>
      </c>
      <c r="D597" s="116">
        <v>163.75</v>
      </c>
      <c r="E597" s="116">
        <v>166.52500000000001</v>
      </c>
      <c r="F597" s="116">
        <v>334.2</v>
      </c>
      <c r="G597">
        <v>9844</v>
      </c>
      <c r="H597" s="116"/>
      <c r="I597" s="116"/>
      <c r="L597" s="170">
        <v>42881</v>
      </c>
      <c r="M597" s="116">
        <v>166.85</v>
      </c>
      <c r="N597" s="116">
        <v>168.125</v>
      </c>
      <c r="O597" s="116">
        <v>163</v>
      </c>
      <c r="P597" s="116">
        <v>165.45</v>
      </c>
      <c r="Q597" s="116">
        <v>333.7</v>
      </c>
      <c r="R597">
        <v>84127</v>
      </c>
    </row>
    <row r="598" spans="1:18" x14ac:dyDescent="0.25">
      <c r="A598" s="170">
        <v>42884</v>
      </c>
      <c r="B598" s="116">
        <v>172</v>
      </c>
      <c r="C598" s="116">
        <v>170.6</v>
      </c>
      <c r="D598" s="116">
        <v>167.47499999999999</v>
      </c>
      <c r="E598" s="116">
        <v>167.5</v>
      </c>
      <c r="F598" s="116">
        <v>341.2</v>
      </c>
      <c r="G598">
        <v>28381</v>
      </c>
      <c r="H598" s="116"/>
      <c r="I598" s="116"/>
      <c r="L598" s="170">
        <v>42884</v>
      </c>
      <c r="M598" s="116">
        <v>170.1</v>
      </c>
      <c r="N598" s="116">
        <v>172.5</v>
      </c>
      <c r="O598" s="116">
        <v>165.5</v>
      </c>
      <c r="P598" s="116">
        <v>165.5</v>
      </c>
      <c r="Q598" s="116">
        <v>340.2</v>
      </c>
      <c r="R598">
        <v>97234</v>
      </c>
    </row>
    <row r="599" spans="1:18" x14ac:dyDescent="0.25">
      <c r="A599" s="170">
        <v>42885</v>
      </c>
      <c r="B599" s="116">
        <v>171.5</v>
      </c>
      <c r="C599" s="116">
        <v>169.57499999999999</v>
      </c>
      <c r="D599" s="116">
        <v>168.5</v>
      </c>
      <c r="E599" s="116">
        <v>170.05</v>
      </c>
      <c r="F599" s="116">
        <v>339.15</v>
      </c>
      <c r="G599">
        <v>11692</v>
      </c>
      <c r="H599" s="116"/>
      <c r="I599" s="116"/>
      <c r="L599" s="170">
        <v>42885</v>
      </c>
      <c r="M599" s="116">
        <v>169.42500000000001</v>
      </c>
      <c r="N599" s="116">
        <v>171.6</v>
      </c>
      <c r="O599" s="116">
        <v>167.85</v>
      </c>
      <c r="P599" s="116">
        <v>170.1</v>
      </c>
      <c r="Q599" s="116">
        <v>338.85</v>
      </c>
      <c r="R599">
        <v>98511</v>
      </c>
    </row>
    <row r="600" spans="1:18" x14ac:dyDescent="0.25">
      <c r="A600" s="170">
        <v>42886</v>
      </c>
      <c r="B600" s="116">
        <v>171.75</v>
      </c>
      <c r="C600" s="116">
        <v>168.67500000000001</v>
      </c>
      <c r="D600" s="116">
        <v>167.75</v>
      </c>
      <c r="E600" s="116">
        <v>171.27500000000001</v>
      </c>
      <c r="F600" s="116">
        <v>337.35</v>
      </c>
      <c r="G600">
        <v>26297</v>
      </c>
      <c r="H600" s="116"/>
      <c r="I600" s="116"/>
      <c r="L600" s="170">
        <v>42886</v>
      </c>
      <c r="M600" s="116">
        <v>168.77500000000001</v>
      </c>
      <c r="N600" s="116">
        <v>172.45</v>
      </c>
      <c r="O600" s="116">
        <v>168.05</v>
      </c>
      <c r="P600" s="116">
        <v>171</v>
      </c>
      <c r="Q600" s="116">
        <v>337.55</v>
      </c>
      <c r="R600">
        <v>168665</v>
      </c>
    </row>
    <row r="601" spans="1:18" x14ac:dyDescent="0.25">
      <c r="A601" s="170">
        <v>42887</v>
      </c>
      <c r="B601" s="116">
        <v>166.6</v>
      </c>
      <c r="C601" s="116">
        <v>165.15</v>
      </c>
      <c r="D601" s="116">
        <v>164</v>
      </c>
      <c r="E601" s="116">
        <v>166</v>
      </c>
      <c r="F601" s="116">
        <v>330.3</v>
      </c>
      <c r="G601">
        <v>9779</v>
      </c>
      <c r="H601" s="116"/>
      <c r="I601" s="116"/>
      <c r="L601" s="170">
        <v>42887</v>
      </c>
      <c r="M601" s="116">
        <v>164.95</v>
      </c>
      <c r="N601" s="116">
        <v>167</v>
      </c>
      <c r="O601" s="116">
        <v>164</v>
      </c>
      <c r="P601" s="116">
        <v>165</v>
      </c>
      <c r="Q601" s="116">
        <v>329.9</v>
      </c>
      <c r="R601">
        <v>53209</v>
      </c>
    </row>
    <row r="602" spans="1:18" x14ac:dyDescent="0.25">
      <c r="A602" s="170">
        <v>42888</v>
      </c>
      <c r="B602" s="116">
        <v>166.42500000000001</v>
      </c>
      <c r="C602" s="116">
        <v>165.82499999999999</v>
      </c>
      <c r="D602" s="116">
        <v>163.32499999999999</v>
      </c>
      <c r="E602" s="116">
        <v>165.5</v>
      </c>
      <c r="F602" s="116">
        <v>331.65</v>
      </c>
      <c r="G602">
        <v>7086</v>
      </c>
      <c r="H602" s="116"/>
      <c r="I602" s="116"/>
      <c r="L602" s="170">
        <v>42888</v>
      </c>
      <c r="M602" s="116">
        <v>165.55</v>
      </c>
      <c r="N602" s="116">
        <v>166.95</v>
      </c>
      <c r="O602" s="116">
        <v>164.05</v>
      </c>
      <c r="P602" s="116">
        <v>166.95</v>
      </c>
      <c r="Q602" s="116">
        <v>331.1</v>
      </c>
      <c r="R602">
        <v>32799</v>
      </c>
    </row>
    <row r="603" spans="1:18" x14ac:dyDescent="0.25">
      <c r="A603" s="170">
        <v>42891</v>
      </c>
      <c r="B603" s="116">
        <v>171.75</v>
      </c>
      <c r="C603" s="116">
        <v>169.1</v>
      </c>
      <c r="D603" s="116">
        <v>168.25</v>
      </c>
      <c r="E603" s="116">
        <v>168.3</v>
      </c>
      <c r="F603" s="116">
        <v>338.2</v>
      </c>
      <c r="G603">
        <v>14926</v>
      </c>
      <c r="H603" s="116"/>
      <c r="I603" s="116"/>
      <c r="L603" s="170">
        <v>42891</v>
      </c>
      <c r="M603" s="116">
        <v>168.85</v>
      </c>
      <c r="N603" s="116">
        <v>172.47499999999999</v>
      </c>
      <c r="O603" s="116">
        <v>167.77500000000001</v>
      </c>
      <c r="P603" s="116">
        <v>169.2</v>
      </c>
      <c r="Q603" s="116">
        <v>337.7</v>
      </c>
      <c r="R603">
        <v>89330</v>
      </c>
    </row>
    <row r="604" spans="1:18" x14ac:dyDescent="0.25">
      <c r="A604" s="170">
        <v>42892</v>
      </c>
      <c r="B604" s="116">
        <v>170.57499999999999</v>
      </c>
      <c r="C604" s="116">
        <v>170.125</v>
      </c>
      <c r="D604" s="116">
        <v>168.45</v>
      </c>
      <c r="E604" s="116">
        <v>169.02500000000001</v>
      </c>
      <c r="F604" s="116">
        <v>340.25</v>
      </c>
      <c r="G604">
        <v>4169</v>
      </c>
      <c r="H604" s="116"/>
      <c r="I604" s="116"/>
      <c r="L604" s="170">
        <v>42892</v>
      </c>
      <c r="M604" s="116">
        <v>169.9</v>
      </c>
      <c r="N604" s="116">
        <v>170.75</v>
      </c>
      <c r="O604" s="116">
        <v>168.375</v>
      </c>
      <c r="P604" s="116">
        <v>168.75</v>
      </c>
      <c r="Q604" s="116">
        <v>339.8</v>
      </c>
      <c r="R604">
        <v>23926</v>
      </c>
    </row>
    <row r="605" spans="1:18" x14ac:dyDescent="0.25">
      <c r="A605" s="170">
        <v>42893</v>
      </c>
      <c r="B605" s="116">
        <v>170.5</v>
      </c>
      <c r="C605" s="116">
        <v>169.02500000000001</v>
      </c>
      <c r="D605" s="116">
        <v>168.67500000000001</v>
      </c>
      <c r="E605" s="116">
        <v>170.5</v>
      </c>
      <c r="F605" s="116">
        <v>338.05</v>
      </c>
      <c r="G605">
        <v>1475</v>
      </c>
      <c r="H605" s="116"/>
      <c r="I605" s="116"/>
      <c r="L605" s="170">
        <v>42893</v>
      </c>
      <c r="M605" s="116">
        <v>169.22499999999999</v>
      </c>
      <c r="N605" s="116">
        <v>170.92500000000001</v>
      </c>
      <c r="O605" s="116">
        <v>168.92500000000001</v>
      </c>
      <c r="P605" s="116">
        <v>170.55</v>
      </c>
      <c r="Q605" s="116">
        <v>338.45</v>
      </c>
      <c r="R605">
        <v>26132</v>
      </c>
    </row>
    <row r="606" spans="1:18" x14ac:dyDescent="0.25">
      <c r="A606" s="170">
        <v>42894</v>
      </c>
      <c r="B606" s="116">
        <v>170.92500000000001</v>
      </c>
      <c r="C606" s="116">
        <v>167.7</v>
      </c>
      <c r="D606" s="116">
        <v>167.55</v>
      </c>
      <c r="E606" s="116">
        <v>170.45</v>
      </c>
      <c r="F606" s="116">
        <v>335.4</v>
      </c>
      <c r="G606">
        <v>2976</v>
      </c>
      <c r="H606" s="116"/>
      <c r="I606" s="116"/>
      <c r="L606" s="170">
        <v>42894</v>
      </c>
      <c r="M606" s="116">
        <v>167.67500000000001</v>
      </c>
      <c r="N606" s="116">
        <v>170.92500000000001</v>
      </c>
      <c r="O606" s="116">
        <v>167</v>
      </c>
      <c r="P606" s="116">
        <v>170.8</v>
      </c>
      <c r="Q606" s="116">
        <v>335.35</v>
      </c>
      <c r="R606">
        <v>28489</v>
      </c>
    </row>
    <row r="607" spans="1:18" x14ac:dyDescent="0.25">
      <c r="A607" s="170">
        <v>42895</v>
      </c>
      <c r="B607" s="116">
        <v>169.875</v>
      </c>
      <c r="C607" s="116">
        <v>169.07499999999999</v>
      </c>
      <c r="D607" s="116">
        <v>167.5</v>
      </c>
      <c r="E607" s="116">
        <v>168.57499999999999</v>
      </c>
      <c r="F607" s="116">
        <v>338.15</v>
      </c>
      <c r="G607">
        <v>5984</v>
      </c>
      <c r="H607" s="116"/>
      <c r="I607" s="116"/>
      <c r="L607" s="170">
        <v>42895</v>
      </c>
      <c r="M607" s="116">
        <v>169.2</v>
      </c>
      <c r="N607" s="116">
        <v>170.25</v>
      </c>
      <c r="O607" s="116">
        <v>167.52500000000001</v>
      </c>
      <c r="P607" s="116">
        <v>167.65</v>
      </c>
      <c r="Q607" s="116">
        <v>338.4</v>
      </c>
      <c r="R607">
        <v>50296</v>
      </c>
    </row>
    <row r="608" spans="1:18" x14ac:dyDescent="0.25">
      <c r="A608" s="170">
        <v>42898</v>
      </c>
      <c r="B608" s="116">
        <v>169.55</v>
      </c>
      <c r="C608" s="116">
        <v>168.72499999999999</v>
      </c>
      <c r="D608" s="116">
        <v>167.6</v>
      </c>
      <c r="E608" s="116">
        <v>169.5</v>
      </c>
      <c r="F608" s="116">
        <v>337.45</v>
      </c>
      <c r="G608">
        <v>3486</v>
      </c>
      <c r="H608" s="116"/>
      <c r="I608" s="116"/>
      <c r="L608" s="170">
        <v>42898</v>
      </c>
      <c r="M608" s="116">
        <v>168.375</v>
      </c>
      <c r="N608" s="116">
        <v>169.95</v>
      </c>
      <c r="O608" s="116">
        <v>167.4</v>
      </c>
      <c r="P608" s="116">
        <v>169.95</v>
      </c>
      <c r="Q608" s="116">
        <v>336.75</v>
      </c>
      <c r="R608">
        <v>37527</v>
      </c>
    </row>
    <row r="609" spans="1:18" x14ac:dyDescent="0.25">
      <c r="A609" s="170">
        <v>42899</v>
      </c>
      <c r="B609" s="116">
        <v>172.22499999999999</v>
      </c>
      <c r="C609" s="116">
        <v>169</v>
      </c>
      <c r="D609" s="116">
        <v>168</v>
      </c>
      <c r="E609" s="116">
        <v>168.57499999999999</v>
      </c>
      <c r="F609" s="116">
        <v>338</v>
      </c>
      <c r="G609">
        <v>1978</v>
      </c>
      <c r="H609" s="116"/>
      <c r="I609" s="116"/>
      <c r="L609" s="170">
        <v>42899</v>
      </c>
      <c r="M609" s="116">
        <v>169.27500000000001</v>
      </c>
      <c r="N609" s="116">
        <v>172.25</v>
      </c>
      <c r="O609" s="116">
        <v>168.4</v>
      </c>
      <c r="P609" s="116">
        <v>168.45</v>
      </c>
      <c r="Q609" s="116">
        <v>338.55</v>
      </c>
      <c r="R609">
        <v>27313</v>
      </c>
    </row>
    <row r="610" spans="1:18" x14ac:dyDescent="0.25">
      <c r="A610" s="170">
        <v>42900</v>
      </c>
      <c r="B610" s="116">
        <v>171</v>
      </c>
      <c r="C610" s="116">
        <v>168.72499999999999</v>
      </c>
      <c r="D610" s="116">
        <v>167.67500000000001</v>
      </c>
      <c r="E610" s="116">
        <v>168.45</v>
      </c>
      <c r="F610" s="116">
        <v>337.45</v>
      </c>
      <c r="G610">
        <v>2778</v>
      </c>
      <c r="H610" s="116"/>
      <c r="I610" s="116"/>
      <c r="L610" s="170">
        <v>42900</v>
      </c>
      <c r="M610" s="116">
        <v>169.2</v>
      </c>
      <c r="N610" s="116">
        <v>171.3</v>
      </c>
      <c r="O610" s="116">
        <v>168.55</v>
      </c>
      <c r="P610" s="116">
        <v>169.07499999999999</v>
      </c>
      <c r="Q610" s="116">
        <v>338.4</v>
      </c>
      <c r="R610">
        <v>38287</v>
      </c>
    </row>
    <row r="611" spans="1:18" x14ac:dyDescent="0.25">
      <c r="A611" s="170">
        <v>42901</v>
      </c>
      <c r="B611" s="116">
        <v>170.5</v>
      </c>
      <c r="C611" s="116">
        <v>168.9</v>
      </c>
      <c r="D611" s="116">
        <v>168.25</v>
      </c>
      <c r="E611" s="116">
        <v>169.5</v>
      </c>
      <c r="F611" s="116">
        <v>337.8</v>
      </c>
      <c r="G611">
        <v>2536</v>
      </c>
      <c r="H611" s="116"/>
      <c r="I611" s="116"/>
      <c r="L611" s="170">
        <v>42901</v>
      </c>
      <c r="M611" s="116">
        <v>169</v>
      </c>
      <c r="N611" s="116">
        <v>170.42500000000001</v>
      </c>
      <c r="O611" s="116">
        <v>168.5</v>
      </c>
      <c r="P611" s="116">
        <v>169.85</v>
      </c>
      <c r="Q611" s="116">
        <v>338</v>
      </c>
      <c r="R611">
        <v>26664</v>
      </c>
    </row>
    <row r="612" spans="1:18" x14ac:dyDescent="0.25">
      <c r="A612" s="170">
        <v>42902</v>
      </c>
      <c r="B612" s="116">
        <v>172.75</v>
      </c>
      <c r="C612" s="116">
        <v>169.97499999999999</v>
      </c>
      <c r="D612" s="116">
        <v>169.07499999999999</v>
      </c>
      <c r="E612" s="116">
        <v>170</v>
      </c>
      <c r="F612" s="116">
        <v>339.95</v>
      </c>
      <c r="G612">
        <v>17851</v>
      </c>
      <c r="H612" s="116"/>
      <c r="I612" s="116"/>
      <c r="L612" s="170">
        <v>42902</v>
      </c>
      <c r="M612" s="116">
        <v>170.22499999999999</v>
      </c>
      <c r="N612" s="116">
        <v>173.5</v>
      </c>
      <c r="O612" s="116">
        <v>169.17500000000001</v>
      </c>
      <c r="P612" s="116">
        <v>170</v>
      </c>
      <c r="Q612" s="116">
        <v>340.45</v>
      </c>
      <c r="R612">
        <v>135494</v>
      </c>
    </row>
    <row r="613" spans="1:18" x14ac:dyDescent="0.25">
      <c r="A613" s="170">
        <v>42905</v>
      </c>
      <c r="B613" s="116">
        <v>170.3</v>
      </c>
      <c r="C613" s="116">
        <v>168.2</v>
      </c>
      <c r="D613" s="116">
        <v>167.97499999999999</v>
      </c>
      <c r="E613" s="116">
        <v>170.25</v>
      </c>
      <c r="F613" s="116">
        <v>336.4</v>
      </c>
      <c r="G613">
        <v>2713</v>
      </c>
      <c r="H613" s="116"/>
      <c r="I613" s="116"/>
      <c r="L613" s="170">
        <v>42905</v>
      </c>
      <c r="M613" s="116">
        <v>168.3</v>
      </c>
      <c r="N613" s="116">
        <v>171</v>
      </c>
      <c r="O613" s="116">
        <v>168.02500000000001</v>
      </c>
      <c r="P613" s="116">
        <v>171</v>
      </c>
      <c r="Q613" s="116">
        <v>336.6</v>
      </c>
      <c r="R613">
        <v>46171</v>
      </c>
    </row>
    <row r="614" spans="1:18" x14ac:dyDescent="0.25">
      <c r="A614" s="170">
        <v>42906</v>
      </c>
      <c r="B614" s="116">
        <v>169.45</v>
      </c>
      <c r="C614" s="116">
        <v>168</v>
      </c>
      <c r="D614" s="116">
        <v>167.57499999999999</v>
      </c>
      <c r="E614" s="116">
        <v>168.2</v>
      </c>
      <c r="F614" s="116">
        <v>336</v>
      </c>
      <c r="G614">
        <v>1894</v>
      </c>
      <c r="H614" s="116"/>
      <c r="I614" s="116"/>
      <c r="L614" s="170">
        <v>42906</v>
      </c>
      <c r="M614" s="116">
        <v>168.02500000000001</v>
      </c>
      <c r="N614" s="116">
        <v>169.52500000000001</v>
      </c>
      <c r="O614" s="116">
        <v>167.15</v>
      </c>
      <c r="P614" s="116">
        <v>168</v>
      </c>
      <c r="Q614" s="116">
        <v>336.05</v>
      </c>
      <c r="R614">
        <v>28083</v>
      </c>
    </row>
    <row r="615" spans="1:18" x14ac:dyDescent="0.25">
      <c r="A615" s="170">
        <v>42907</v>
      </c>
      <c r="B615" s="116">
        <v>169.8</v>
      </c>
      <c r="C615" s="116">
        <v>167.17500000000001</v>
      </c>
      <c r="D615" s="116">
        <v>166.6</v>
      </c>
      <c r="E615" s="116">
        <v>169</v>
      </c>
      <c r="F615" s="116">
        <v>334.35</v>
      </c>
      <c r="G615">
        <v>3670</v>
      </c>
      <c r="H615" s="116"/>
      <c r="I615" s="116"/>
      <c r="L615" s="170">
        <v>42907</v>
      </c>
      <c r="M615" s="116">
        <v>167.5</v>
      </c>
      <c r="N615" s="116">
        <v>169.97499999999999</v>
      </c>
      <c r="O615" s="116">
        <v>167</v>
      </c>
      <c r="P615" s="116">
        <v>168.45</v>
      </c>
      <c r="Q615" s="116">
        <v>335</v>
      </c>
      <c r="R615">
        <v>45057</v>
      </c>
    </row>
    <row r="616" spans="1:18" x14ac:dyDescent="0.25">
      <c r="A616" s="170">
        <v>42908</v>
      </c>
      <c r="B616" s="116">
        <v>168.42500000000001</v>
      </c>
      <c r="C616" s="116">
        <v>166.32499999999999</v>
      </c>
      <c r="D616" s="116">
        <v>166</v>
      </c>
      <c r="E616" s="116">
        <v>167.92500000000001</v>
      </c>
      <c r="F616" s="116">
        <v>332.65</v>
      </c>
      <c r="G616">
        <v>3158</v>
      </c>
      <c r="H616" s="116"/>
      <c r="I616" s="116"/>
      <c r="L616" s="170">
        <v>42908</v>
      </c>
      <c r="M616" s="116">
        <v>166.27500000000001</v>
      </c>
      <c r="N616" s="116">
        <v>169.32499999999999</v>
      </c>
      <c r="O616" s="116">
        <v>165.55</v>
      </c>
      <c r="P616" s="116">
        <v>169.32499999999999</v>
      </c>
      <c r="Q616" s="116">
        <v>332.55</v>
      </c>
      <c r="R616">
        <v>18888</v>
      </c>
    </row>
    <row r="617" spans="1:18" x14ac:dyDescent="0.25">
      <c r="A617" s="170">
        <v>42909</v>
      </c>
      <c r="B617" s="116">
        <v>169.5</v>
      </c>
      <c r="C617" s="116">
        <v>167.45</v>
      </c>
      <c r="D617" s="116">
        <v>165.22499999999999</v>
      </c>
      <c r="E617" s="116">
        <v>167.75</v>
      </c>
      <c r="F617" s="116">
        <v>334.9</v>
      </c>
      <c r="G617">
        <v>4676</v>
      </c>
      <c r="H617" s="116"/>
      <c r="I617" s="116"/>
      <c r="L617" s="170">
        <v>42909</v>
      </c>
      <c r="M617" s="116">
        <v>167.4</v>
      </c>
      <c r="N617" s="116">
        <v>169.95</v>
      </c>
      <c r="O617" s="116">
        <v>165.25</v>
      </c>
      <c r="P617" s="116">
        <v>167.5</v>
      </c>
      <c r="Q617" s="116">
        <v>334.8</v>
      </c>
      <c r="R617">
        <v>51332</v>
      </c>
    </row>
    <row r="618" spans="1:18" x14ac:dyDescent="0.25">
      <c r="A618" s="170">
        <v>42913</v>
      </c>
      <c r="B618" s="116">
        <v>169.85</v>
      </c>
      <c r="C618" s="116">
        <v>164.5</v>
      </c>
      <c r="D618" s="116">
        <v>163.75</v>
      </c>
      <c r="E618" s="116">
        <v>169.85</v>
      </c>
      <c r="F618" s="116">
        <v>329</v>
      </c>
      <c r="G618">
        <v>4739</v>
      </c>
      <c r="H618" s="116"/>
      <c r="I618" s="116"/>
      <c r="L618" s="170">
        <v>42913</v>
      </c>
      <c r="M618" s="116">
        <v>164.65</v>
      </c>
      <c r="N618" s="116">
        <v>167.5</v>
      </c>
      <c r="O618" s="116">
        <v>163.57499999999999</v>
      </c>
      <c r="P618" s="116">
        <v>167.4</v>
      </c>
      <c r="Q618" s="116">
        <v>329.3</v>
      </c>
      <c r="R618">
        <v>19090</v>
      </c>
    </row>
    <row r="619" spans="1:18" x14ac:dyDescent="0.25">
      <c r="A619" s="170">
        <v>42914</v>
      </c>
      <c r="B619" s="116">
        <v>164.35</v>
      </c>
      <c r="C619" s="116">
        <v>163.92500000000001</v>
      </c>
      <c r="D619" s="116">
        <v>162.9</v>
      </c>
      <c r="E619" s="116">
        <v>164</v>
      </c>
      <c r="F619" s="116">
        <v>327.85</v>
      </c>
      <c r="G619">
        <v>4294</v>
      </c>
      <c r="H619" s="116"/>
      <c r="I619" s="116"/>
      <c r="L619" s="170">
        <v>42914</v>
      </c>
      <c r="M619" s="116">
        <v>163.4</v>
      </c>
      <c r="N619" s="116">
        <v>165</v>
      </c>
      <c r="O619" s="116">
        <v>162.75</v>
      </c>
      <c r="P619" s="116">
        <v>164.02500000000001</v>
      </c>
      <c r="Q619" s="116">
        <v>326.8</v>
      </c>
      <c r="R619">
        <v>13979</v>
      </c>
    </row>
    <row r="620" spans="1:18" x14ac:dyDescent="0.25">
      <c r="A620" s="170">
        <v>42915</v>
      </c>
      <c r="B620" s="116">
        <v>164.15</v>
      </c>
      <c r="C620" s="116">
        <v>161.65</v>
      </c>
      <c r="D620" s="116">
        <v>160.5</v>
      </c>
      <c r="E620" s="116">
        <v>164.15</v>
      </c>
      <c r="F620" s="116">
        <v>323.3</v>
      </c>
      <c r="G620">
        <v>6093</v>
      </c>
      <c r="H620" s="116"/>
      <c r="I620" s="116"/>
      <c r="L620" s="170">
        <v>42915</v>
      </c>
      <c r="M620" s="116">
        <v>162.75</v>
      </c>
      <c r="N620" s="116">
        <v>164</v>
      </c>
      <c r="O620" s="116">
        <v>162.5</v>
      </c>
      <c r="P620" s="116">
        <v>163.22499999999999</v>
      </c>
      <c r="Q620" s="116">
        <v>325.5</v>
      </c>
      <c r="R620">
        <v>13912</v>
      </c>
    </row>
    <row r="621" spans="1:18" x14ac:dyDescent="0.25">
      <c r="A621" s="170">
        <v>42916</v>
      </c>
      <c r="B621" s="116">
        <v>162.5</v>
      </c>
      <c r="C621" s="116">
        <v>156.57499999999999</v>
      </c>
      <c r="D621" s="116">
        <v>156</v>
      </c>
      <c r="E621" s="116">
        <v>162.5</v>
      </c>
      <c r="F621" s="116">
        <v>313.14999999999998</v>
      </c>
      <c r="G621">
        <v>9598</v>
      </c>
      <c r="H621" s="116"/>
      <c r="I621" s="116"/>
      <c r="L621" s="170">
        <v>42916</v>
      </c>
      <c r="M621" s="116">
        <v>156.35</v>
      </c>
      <c r="N621" s="116">
        <v>163.02500000000001</v>
      </c>
      <c r="O621" s="116">
        <v>155.05000000000001</v>
      </c>
      <c r="P621" s="116">
        <v>162.94999999999999</v>
      </c>
      <c r="Q621" s="116">
        <v>312.7</v>
      </c>
      <c r="R621">
        <v>78661</v>
      </c>
    </row>
    <row r="622" spans="1:18" x14ac:dyDescent="0.25">
      <c r="A622" s="170">
        <v>42919</v>
      </c>
      <c r="B622" s="116">
        <v>161.875</v>
      </c>
      <c r="C622" s="116">
        <v>157.92500000000001</v>
      </c>
      <c r="D622" s="116">
        <v>157</v>
      </c>
      <c r="E622" s="116">
        <v>161.875</v>
      </c>
      <c r="F622" s="116">
        <v>315.85000000000002</v>
      </c>
      <c r="G622">
        <v>6797</v>
      </c>
      <c r="H622" s="116"/>
      <c r="I622" s="116"/>
      <c r="L622" s="170">
        <v>42919</v>
      </c>
      <c r="M622" s="116">
        <v>157.72499999999999</v>
      </c>
      <c r="N622" s="116">
        <v>159.65</v>
      </c>
      <c r="O622" s="116">
        <v>156.5</v>
      </c>
      <c r="P622" s="116">
        <v>159.5</v>
      </c>
      <c r="Q622" s="116">
        <v>315.45</v>
      </c>
      <c r="R622">
        <v>41229</v>
      </c>
    </row>
    <row r="623" spans="1:18" x14ac:dyDescent="0.25">
      <c r="A623" s="170">
        <v>42920</v>
      </c>
      <c r="B623" s="116">
        <v>162.25</v>
      </c>
      <c r="C623" s="116">
        <v>161.32499999999999</v>
      </c>
      <c r="D623" s="116">
        <v>157.5</v>
      </c>
      <c r="E623" s="116">
        <v>159.67500000000001</v>
      </c>
      <c r="F623" s="116">
        <v>322.64999999999998</v>
      </c>
      <c r="G623">
        <v>4763</v>
      </c>
      <c r="H623" s="116"/>
      <c r="I623" s="116"/>
      <c r="L623" s="170">
        <v>42920</v>
      </c>
      <c r="M623" s="116">
        <v>161.52500000000001</v>
      </c>
      <c r="N623" s="116">
        <v>162.44999999999999</v>
      </c>
      <c r="O623" s="116">
        <v>156.625</v>
      </c>
      <c r="P623" s="116">
        <v>159.22499999999999</v>
      </c>
      <c r="Q623" s="116">
        <v>323.05</v>
      </c>
      <c r="R623">
        <v>31903</v>
      </c>
    </row>
    <row r="624" spans="1:18" x14ac:dyDescent="0.25">
      <c r="A624" s="170">
        <v>42921</v>
      </c>
      <c r="B624" s="116">
        <v>163.5</v>
      </c>
      <c r="C624" s="116">
        <v>161.85</v>
      </c>
      <c r="D624" s="116">
        <v>161.22499999999999</v>
      </c>
      <c r="E624" s="116">
        <v>162.5</v>
      </c>
      <c r="F624" s="116">
        <v>323.7</v>
      </c>
      <c r="G624">
        <v>6124</v>
      </c>
      <c r="H624" s="116"/>
      <c r="I624" s="116"/>
      <c r="L624" s="170">
        <v>42921</v>
      </c>
      <c r="M624" s="116">
        <v>161.47499999999999</v>
      </c>
      <c r="N624" s="116">
        <v>164.35</v>
      </c>
      <c r="O624" s="116">
        <v>160.5</v>
      </c>
      <c r="P624" s="116">
        <v>163.95</v>
      </c>
      <c r="Q624" s="116">
        <v>322.95</v>
      </c>
      <c r="R624">
        <v>39092</v>
      </c>
    </row>
    <row r="625" spans="1:18" x14ac:dyDescent="0.25">
      <c r="A625" s="170">
        <v>42922</v>
      </c>
      <c r="B625" s="116">
        <v>163.97499999999999</v>
      </c>
      <c r="C625" s="116">
        <v>162.47499999999999</v>
      </c>
      <c r="D625" s="116">
        <v>161.02500000000001</v>
      </c>
      <c r="E625" s="116">
        <v>162.4</v>
      </c>
      <c r="F625" s="116">
        <v>324.95</v>
      </c>
      <c r="G625">
        <v>2034</v>
      </c>
      <c r="H625" s="116"/>
      <c r="I625" s="116"/>
      <c r="L625" s="170">
        <v>42922</v>
      </c>
      <c r="M625" s="116">
        <v>162.15</v>
      </c>
      <c r="N625" s="116">
        <v>164.5</v>
      </c>
      <c r="O625" s="116">
        <v>161.15</v>
      </c>
      <c r="P625" s="116">
        <v>163.25</v>
      </c>
      <c r="Q625" s="116">
        <v>324.3</v>
      </c>
      <c r="R625">
        <v>21482</v>
      </c>
    </row>
    <row r="626" spans="1:18" x14ac:dyDescent="0.25">
      <c r="A626" s="170">
        <v>42923</v>
      </c>
      <c r="B626" s="116">
        <v>163.4</v>
      </c>
      <c r="C626" s="116">
        <v>161.94999999999999</v>
      </c>
      <c r="D626" s="116">
        <v>161.15</v>
      </c>
      <c r="E626" s="116">
        <v>162.15</v>
      </c>
      <c r="F626" s="116">
        <v>323.89999999999998</v>
      </c>
      <c r="G626">
        <v>3782</v>
      </c>
      <c r="H626" s="116"/>
      <c r="I626" s="116"/>
      <c r="L626" s="170">
        <v>42923</v>
      </c>
      <c r="M626" s="116">
        <v>161.44999999999999</v>
      </c>
      <c r="N626" s="116">
        <v>163</v>
      </c>
      <c r="O626" s="116">
        <v>160.75</v>
      </c>
      <c r="P626" s="116">
        <v>162.02500000000001</v>
      </c>
      <c r="Q626" s="116">
        <v>322.89999999999998</v>
      </c>
      <c r="R626">
        <v>19289</v>
      </c>
    </row>
    <row r="627" spans="1:18" x14ac:dyDescent="0.25">
      <c r="A627" s="170">
        <v>42926</v>
      </c>
      <c r="B627" s="116">
        <v>161.5</v>
      </c>
      <c r="C627" s="116">
        <v>156.07499999999999</v>
      </c>
      <c r="D627" s="116">
        <v>150.5</v>
      </c>
      <c r="E627" s="116">
        <v>161.5</v>
      </c>
      <c r="F627" s="116">
        <v>312.14999999999998</v>
      </c>
      <c r="G627">
        <v>62594</v>
      </c>
      <c r="H627" s="116"/>
      <c r="I627" s="116"/>
      <c r="L627" s="170">
        <v>42926</v>
      </c>
      <c r="M627" s="116">
        <v>156.4</v>
      </c>
      <c r="N627" s="116">
        <v>162.5</v>
      </c>
      <c r="O627" s="116">
        <v>155.97499999999999</v>
      </c>
      <c r="P627" s="116">
        <v>161.5</v>
      </c>
      <c r="Q627" s="116">
        <v>312.8</v>
      </c>
      <c r="R627">
        <v>16923</v>
      </c>
    </row>
    <row r="628" spans="1:18" x14ac:dyDescent="0.25">
      <c r="A628" s="170">
        <v>42927</v>
      </c>
      <c r="B628" s="116">
        <v>168.5</v>
      </c>
      <c r="C628" s="116">
        <v>164.15</v>
      </c>
      <c r="D628" s="116">
        <v>156</v>
      </c>
      <c r="E628" s="116">
        <v>156.19999999999999</v>
      </c>
      <c r="F628" s="116">
        <v>328.3</v>
      </c>
      <c r="G628">
        <v>21754</v>
      </c>
      <c r="H628" s="116"/>
      <c r="I628" s="116"/>
      <c r="L628" s="170">
        <v>42927</v>
      </c>
      <c r="M628" s="116">
        <v>164.72499999999999</v>
      </c>
      <c r="N628" s="116">
        <v>168.75</v>
      </c>
      <c r="O628" s="116">
        <v>156.47499999999999</v>
      </c>
      <c r="P628" s="116">
        <v>158.6</v>
      </c>
      <c r="Q628" s="116">
        <v>329.45</v>
      </c>
      <c r="R628">
        <v>96880</v>
      </c>
    </row>
    <row r="629" spans="1:18" x14ac:dyDescent="0.25">
      <c r="A629" s="170">
        <v>42928</v>
      </c>
      <c r="B629" s="116">
        <v>166.5</v>
      </c>
      <c r="C629" s="116">
        <v>163.67500000000001</v>
      </c>
      <c r="D629" s="116">
        <v>161.75</v>
      </c>
      <c r="E629" s="116">
        <v>166.5</v>
      </c>
      <c r="F629" s="116">
        <v>327.35000000000002</v>
      </c>
      <c r="G629">
        <v>7095</v>
      </c>
      <c r="H629" s="116"/>
      <c r="I629" s="116"/>
      <c r="L629" s="170">
        <v>42928</v>
      </c>
      <c r="M629" s="116">
        <v>163.52500000000001</v>
      </c>
      <c r="N629" s="116">
        <v>166.65</v>
      </c>
      <c r="O629" s="116">
        <v>161.47499999999999</v>
      </c>
      <c r="P629" s="116">
        <v>166.4</v>
      </c>
      <c r="Q629" s="116">
        <v>327.05</v>
      </c>
      <c r="R629">
        <v>27546</v>
      </c>
    </row>
    <row r="630" spans="1:18" x14ac:dyDescent="0.25">
      <c r="A630" s="170">
        <v>42929</v>
      </c>
      <c r="B630" s="116">
        <v>164.75</v>
      </c>
      <c r="C630" s="116">
        <v>161.1</v>
      </c>
      <c r="D630" s="116">
        <v>160.57499999999999</v>
      </c>
      <c r="E630" s="116">
        <v>163.52500000000001</v>
      </c>
      <c r="F630" s="116">
        <v>322.2</v>
      </c>
      <c r="G630">
        <v>7044</v>
      </c>
      <c r="H630" s="116"/>
      <c r="I630" s="116"/>
      <c r="L630" s="170">
        <v>42929</v>
      </c>
      <c r="M630" s="116">
        <v>161.4</v>
      </c>
      <c r="N630" s="116">
        <v>164.67500000000001</v>
      </c>
      <c r="O630" s="116">
        <v>160.69999999999999</v>
      </c>
      <c r="P630" s="116">
        <v>163.57499999999999</v>
      </c>
      <c r="Q630" s="116">
        <v>322.8</v>
      </c>
      <c r="R630">
        <v>64198</v>
      </c>
    </row>
    <row r="631" spans="1:18" x14ac:dyDescent="0.25">
      <c r="A631" s="170">
        <v>42930</v>
      </c>
      <c r="B631" s="116">
        <v>162.92500000000001</v>
      </c>
      <c r="C631" s="116">
        <v>161.1</v>
      </c>
      <c r="D631" s="116">
        <v>160</v>
      </c>
      <c r="E631" s="116">
        <v>161.57499999999999</v>
      </c>
      <c r="F631" s="116">
        <v>322.2</v>
      </c>
      <c r="G631">
        <v>6755</v>
      </c>
      <c r="H631" s="116"/>
      <c r="I631" s="116"/>
      <c r="L631" s="170">
        <v>42930</v>
      </c>
      <c r="M631" s="116">
        <v>161.32499999999999</v>
      </c>
      <c r="N631" s="116">
        <v>163.47499999999999</v>
      </c>
      <c r="O631" s="116">
        <v>160</v>
      </c>
      <c r="P631" s="116">
        <v>163.47499999999999</v>
      </c>
      <c r="Q631" s="116">
        <v>322.64999999999998</v>
      </c>
      <c r="R631">
        <v>21735</v>
      </c>
    </row>
    <row r="632" spans="1:18" x14ac:dyDescent="0.25">
      <c r="A632" s="170">
        <v>42933</v>
      </c>
      <c r="B632" s="116">
        <v>162</v>
      </c>
      <c r="C632" s="116">
        <v>160.69999999999999</v>
      </c>
      <c r="D632" s="116">
        <v>160.02500000000001</v>
      </c>
      <c r="E632" s="116">
        <v>161.94999999999999</v>
      </c>
      <c r="F632" s="116">
        <v>321.39999999999998</v>
      </c>
      <c r="G632">
        <v>5882</v>
      </c>
      <c r="H632" s="116"/>
      <c r="I632" s="116"/>
      <c r="L632" s="170">
        <v>42933</v>
      </c>
      <c r="M632" s="116">
        <v>161.57499999999999</v>
      </c>
      <c r="N632" s="116">
        <v>162.27500000000001</v>
      </c>
      <c r="O632" s="116">
        <v>160.02500000000001</v>
      </c>
      <c r="P632" s="116">
        <v>161.4</v>
      </c>
      <c r="Q632" s="116">
        <v>323.14999999999998</v>
      </c>
      <c r="R632">
        <v>15103</v>
      </c>
    </row>
    <row r="633" spans="1:18" x14ac:dyDescent="0.25">
      <c r="A633" s="170">
        <v>42934</v>
      </c>
      <c r="B633" s="116">
        <v>162.9</v>
      </c>
      <c r="C633" s="116">
        <v>161.67500000000001</v>
      </c>
      <c r="D633" s="116">
        <v>160</v>
      </c>
      <c r="E633" s="116">
        <v>161.5</v>
      </c>
      <c r="F633" s="116">
        <v>323.35000000000002</v>
      </c>
      <c r="G633">
        <v>4299</v>
      </c>
      <c r="H633" s="116"/>
      <c r="I633" s="116"/>
      <c r="L633" s="170">
        <v>42934</v>
      </c>
      <c r="M633" s="116">
        <v>162.47499999999999</v>
      </c>
      <c r="N633" s="116">
        <v>163.47499999999999</v>
      </c>
      <c r="O633" s="116">
        <v>160.125</v>
      </c>
      <c r="P633" s="116">
        <v>161.55000000000001</v>
      </c>
      <c r="Q633" s="116">
        <v>324.95</v>
      </c>
      <c r="R633">
        <v>16904</v>
      </c>
    </row>
    <row r="634" spans="1:18" x14ac:dyDescent="0.25">
      <c r="A634" s="170">
        <v>42935</v>
      </c>
      <c r="B634" s="116">
        <v>163.5</v>
      </c>
      <c r="C634" s="116">
        <v>162.85</v>
      </c>
      <c r="D634" s="116">
        <v>160.77500000000001</v>
      </c>
      <c r="E634" s="116">
        <v>160.97499999999999</v>
      </c>
      <c r="F634" s="116">
        <v>325.7</v>
      </c>
      <c r="G634">
        <v>1679</v>
      </c>
      <c r="H634" s="116"/>
      <c r="I634" s="116"/>
      <c r="L634" s="170">
        <v>42935</v>
      </c>
      <c r="M634" s="116">
        <v>162.75</v>
      </c>
      <c r="N634" s="116">
        <v>164</v>
      </c>
      <c r="O634" s="116">
        <v>160.57499999999999</v>
      </c>
      <c r="P634" s="116">
        <v>164</v>
      </c>
      <c r="Q634" s="116">
        <v>325.5</v>
      </c>
      <c r="R634">
        <v>26752</v>
      </c>
    </row>
    <row r="635" spans="1:18" x14ac:dyDescent="0.25">
      <c r="A635" s="170">
        <v>42936</v>
      </c>
      <c r="B635" s="116">
        <v>162.5</v>
      </c>
      <c r="C635" s="116">
        <v>161.72499999999999</v>
      </c>
      <c r="D635" s="116">
        <v>160.65</v>
      </c>
      <c r="E635" s="116">
        <v>161.55000000000001</v>
      </c>
      <c r="F635" s="116">
        <v>323.45</v>
      </c>
      <c r="G635">
        <v>1904</v>
      </c>
      <c r="H635" s="116"/>
      <c r="I635" s="116"/>
      <c r="L635" s="170">
        <v>42936</v>
      </c>
      <c r="M635" s="116">
        <v>162.125</v>
      </c>
      <c r="N635" s="116">
        <v>164.5</v>
      </c>
      <c r="O635" s="116">
        <v>160.52500000000001</v>
      </c>
      <c r="P635" s="116">
        <v>164.5</v>
      </c>
      <c r="Q635" s="116">
        <v>324.25</v>
      </c>
      <c r="R635">
        <v>20321</v>
      </c>
    </row>
    <row r="636" spans="1:18" x14ac:dyDescent="0.25">
      <c r="A636" s="170">
        <v>42937</v>
      </c>
      <c r="B636" s="116">
        <v>161.625</v>
      </c>
      <c r="C636" s="116">
        <v>160.80000000000001</v>
      </c>
      <c r="D636" s="116">
        <v>160.05000000000001</v>
      </c>
      <c r="E636" s="116">
        <v>161.52500000000001</v>
      </c>
      <c r="F636" s="116">
        <v>321.60000000000002</v>
      </c>
      <c r="G636">
        <v>6842</v>
      </c>
      <c r="H636" s="116"/>
      <c r="I636" s="116"/>
      <c r="L636" s="170">
        <v>42937</v>
      </c>
      <c r="M636" s="116">
        <v>160.80000000000001</v>
      </c>
      <c r="N636" s="116">
        <v>162.5</v>
      </c>
      <c r="O636" s="116">
        <v>160.02500000000001</v>
      </c>
      <c r="P636" s="116">
        <v>161.875</v>
      </c>
      <c r="Q636" s="116">
        <v>321.60000000000002</v>
      </c>
      <c r="R636">
        <v>27181</v>
      </c>
    </row>
    <row r="637" spans="1:18" x14ac:dyDescent="0.25">
      <c r="A637" s="170">
        <v>42940</v>
      </c>
      <c r="B637" s="116">
        <v>160.125</v>
      </c>
      <c r="C637" s="116">
        <v>156.65</v>
      </c>
      <c r="D637" s="116">
        <v>156.27500000000001</v>
      </c>
      <c r="E637" s="116">
        <v>159.27500000000001</v>
      </c>
      <c r="F637" s="116">
        <v>313.3</v>
      </c>
      <c r="G637">
        <v>9106</v>
      </c>
      <c r="H637" s="116"/>
      <c r="I637" s="116"/>
      <c r="L637" s="170">
        <v>42940</v>
      </c>
      <c r="M637" s="116">
        <v>156.97499999999999</v>
      </c>
      <c r="N637" s="116">
        <v>160</v>
      </c>
      <c r="O637" s="116">
        <v>156.5</v>
      </c>
      <c r="P637" s="116">
        <v>160</v>
      </c>
      <c r="Q637" s="116">
        <v>313.95</v>
      </c>
      <c r="R637">
        <v>85360</v>
      </c>
    </row>
    <row r="638" spans="1:18" x14ac:dyDescent="0.25">
      <c r="A638" s="170">
        <v>42941</v>
      </c>
      <c r="B638" s="116">
        <v>158.25</v>
      </c>
      <c r="C638" s="116">
        <v>155.44999999999999</v>
      </c>
      <c r="D638" s="116">
        <v>155</v>
      </c>
      <c r="E638" s="116">
        <v>158.25</v>
      </c>
      <c r="F638" s="116">
        <v>310.89999999999998</v>
      </c>
      <c r="G638">
        <v>7010</v>
      </c>
      <c r="H638" s="116"/>
      <c r="I638" s="116"/>
      <c r="L638" s="170">
        <v>42941</v>
      </c>
      <c r="M638" s="116">
        <v>155.625</v>
      </c>
      <c r="N638" s="116">
        <v>158.5</v>
      </c>
      <c r="O638" s="116">
        <v>155</v>
      </c>
      <c r="P638" s="116">
        <v>158.30000000000001</v>
      </c>
      <c r="Q638" s="116">
        <v>311.25</v>
      </c>
      <c r="R638">
        <v>42076</v>
      </c>
    </row>
    <row r="639" spans="1:18" x14ac:dyDescent="0.25">
      <c r="A639" s="170">
        <v>42942</v>
      </c>
      <c r="B639" s="116">
        <v>157</v>
      </c>
      <c r="C639" s="116">
        <v>155.80000000000001</v>
      </c>
      <c r="D639" s="116">
        <v>155.42500000000001</v>
      </c>
      <c r="E639" s="116">
        <v>156.5</v>
      </c>
      <c r="F639" s="116">
        <v>311.60000000000002</v>
      </c>
      <c r="G639">
        <v>6057</v>
      </c>
      <c r="H639" s="116"/>
      <c r="I639" s="116"/>
      <c r="L639" s="170">
        <v>42942</v>
      </c>
      <c r="M639" s="116">
        <v>155.47499999999999</v>
      </c>
      <c r="N639" s="116">
        <v>157.32499999999999</v>
      </c>
      <c r="O639" s="116">
        <v>155.1</v>
      </c>
      <c r="P639" s="116">
        <v>156.47499999999999</v>
      </c>
      <c r="Q639" s="116">
        <v>310.95</v>
      </c>
      <c r="R639">
        <v>37378</v>
      </c>
    </row>
    <row r="640" spans="1:18" x14ac:dyDescent="0.25">
      <c r="A640" s="170">
        <v>42943</v>
      </c>
      <c r="B640" s="116">
        <v>156</v>
      </c>
      <c r="C640" s="116">
        <v>153.05000000000001</v>
      </c>
      <c r="D640" s="116">
        <v>152.5</v>
      </c>
      <c r="E640" s="116">
        <v>156</v>
      </c>
      <c r="F640" s="116">
        <v>306.10000000000002</v>
      </c>
      <c r="G640">
        <v>5081</v>
      </c>
      <c r="H640" s="116"/>
      <c r="I640" s="116"/>
      <c r="L640" s="170">
        <v>42943</v>
      </c>
      <c r="M640" s="116">
        <v>153.55000000000001</v>
      </c>
      <c r="N640" s="116">
        <v>156.35</v>
      </c>
      <c r="O640" s="116">
        <v>152.5</v>
      </c>
      <c r="P640" s="116">
        <v>156.125</v>
      </c>
      <c r="Q640" s="116">
        <v>307.10000000000002</v>
      </c>
      <c r="R640">
        <v>38295</v>
      </c>
    </row>
    <row r="641" spans="1:18" x14ac:dyDescent="0.25">
      <c r="A641" s="170">
        <v>42944</v>
      </c>
      <c r="B641" s="116">
        <v>157.52500000000001</v>
      </c>
      <c r="C641" s="116">
        <v>156.92500000000001</v>
      </c>
      <c r="D641" s="116">
        <v>152</v>
      </c>
      <c r="E641" s="116">
        <v>153</v>
      </c>
      <c r="F641" s="116">
        <v>313.85000000000002</v>
      </c>
      <c r="G641">
        <v>7657</v>
      </c>
      <c r="H641" s="116"/>
      <c r="I641" s="116"/>
      <c r="L641" s="170">
        <v>42944</v>
      </c>
      <c r="M641" s="116">
        <v>156.80000000000001</v>
      </c>
      <c r="N641" s="116">
        <v>157.77500000000001</v>
      </c>
      <c r="O641" s="116">
        <v>151.05000000000001</v>
      </c>
      <c r="P641" s="116">
        <v>153.5</v>
      </c>
      <c r="Q641" s="116">
        <v>313.60000000000002</v>
      </c>
      <c r="R641">
        <v>38797</v>
      </c>
    </row>
    <row r="642" spans="1:18" x14ac:dyDescent="0.25">
      <c r="A642" s="170">
        <v>42947</v>
      </c>
      <c r="B642" s="116">
        <v>156.4</v>
      </c>
      <c r="C642" s="116">
        <v>154.65</v>
      </c>
      <c r="D642" s="116">
        <v>154.375</v>
      </c>
      <c r="E642" s="116">
        <v>154.44999999999999</v>
      </c>
      <c r="F642" s="116">
        <v>309.3</v>
      </c>
      <c r="G642">
        <v>2175</v>
      </c>
      <c r="H642" s="116"/>
      <c r="I642" s="116"/>
      <c r="L642" s="170">
        <v>42947</v>
      </c>
      <c r="M642" s="116">
        <v>154.94999999999999</v>
      </c>
      <c r="N642" s="116">
        <v>157.44999999999999</v>
      </c>
      <c r="O642" s="116">
        <v>154.65</v>
      </c>
      <c r="P642" s="116">
        <v>157.44999999999999</v>
      </c>
      <c r="Q642" s="116">
        <v>309.89999999999998</v>
      </c>
      <c r="R642">
        <v>21377</v>
      </c>
    </row>
    <row r="643" spans="1:18" x14ac:dyDescent="0.25">
      <c r="A643" s="170">
        <v>42948</v>
      </c>
      <c r="B643" s="116">
        <v>154.5</v>
      </c>
      <c r="C643" s="116">
        <v>152.80000000000001</v>
      </c>
      <c r="D643" s="116">
        <v>152.5</v>
      </c>
      <c r="E643" s="116">
        <v>154.25</v>
      </c>
      <c r="F643" s="116">
        <v>305.60000000000002</v>
      </c>
      <c r="G643">
        <v>2741</v>
      </c>
      <c r="H643" s="116"/>
      <c r="I643" s="116"/>
      <c r="L643" s="170">
        <v>42948</v>
      </c>
      <c r="M643" s="116">
        <v>152.80000000000001</v>
      </c>
      <c r="N643" s="116">
        <v>155.32499999999999</v>
      </c>
      <c r="O643" s="116">
        <v>152.25</v>
      </c>
      <c r="P643" s="116">
        <v>153.75</v>
      </c>
      <c r="Q643" s="116">
        <v>305.60000000000002</v>
      </c>
      <c r="R643">
        <v>19712</v>
      </c>
    </row>
    <row r="644" spans="1:18" x14ac:dyDescent="0.25">
      <c r="A644" s="170">
        <v>42949</v>
      </c>
      <c r="B644" s="116">
        <v>159.5</v>
      </c>
      <c r="C644" s="116">
        <v>157.30000000000001</v>
      </c>
      <c r="D644" s="116">
        <v>152.19999999999999</v>
      </c>
      <c r="E644" s="116">
        <v>152.9</v>
      </c>
      <c r="F644" s="116">
        <v>314.60000000000002</v>
      </c>
      <c r="G644">
        <v>5959</v>
      </c>
      <c r="H644" s="116"/>
      <c r="I644" s="116"/>
      <c r="L644" s="170">
        <v>42949</v>
      </c>
      <c r="M644" s="116">
        <v>156.77500000000001</v>
      </c>
      <c r="N644" s="116">
        <v>158</v>
      </c>
      <c r="O644" s="116">
        <v>152.25</v>
      </c>
      <c r="P644" s="116">
        <v>152.94999999999999</v>
      </c>
      <c r="Q644" s="116">
        <v>313.55</v>
      </c>
      <c r="R644">
        <v>80414</v>
      </c>
    </row>
    <row r="645" spans="1:18" x14ac:dyDescent="0.25">
      <c r="A645" s="170">
        <v>42950</v>
      </c>
      <c r="B645" s="116">
        <v>159.72499999999999</v>
      </c>
      <c r="C645" s="116">
        <v>156.17500000000001</v>
      </c>
      <c r="D645" s="116">
        <v>155.05000000000001</v>
      </c>
      <c r="E645" s="116">
        <v>159.72499999999999</v>
      </c>
      <c r="F645" s="116">
        <v>312.35000000000002</v>
      </c>
      <c r="G645">
        <v>13090</v>
      </c>
      <c r="H645" s="116"/>
      <c r="I645" s="116"/>
      <c r="L645" s="170">
        <v>42950</v>
      </c>
      <c r="M645" s="116">
        <v>156.80000000000001</v>
      </c>
      <c r="N645" s="116">
        <v>159.85</v>
      </c>
      <c r="O645" s="116">
        <v>155.5</v>
      </c>
      <c r="P645" s="116">
        <v>159.69999999999999</v>
      </c>
      <c r="Q645" s="116">
        <v>313.60000000000002</v>
      </c>
      <c r="R645">
        <v>123727</v>
      </c>
    </row>
    <row r="646" spans="1:18" x14ac:dyDescent="0.25">
      <c r="A646" s="170">
        <v>42951</v>
      </c>
      <c r="B646" s="116">
        <v>157</v>
      </c>
      <c r="C646" s="116">
        <v>152.57499999999999</v>
      </c>
      <c r="D646" s="116">
        <v>152.19999999999999</v>
      </c>
      <c r="E646" s="116">
        <v>157</v>
      </c>
      <c r="F646" s="116">
        <v>305.14999999999998</v>
      </c>
      <c r="G646">
        <v>6225</v>
      </c>
      <c r="H646" s="116"/>
      <c r="I646" s="116"/>
      <c r="L646" s="170">
        <v>42951</v>
      </c>
      <c r="M646" s="116">
        <v>152.57499999999999</v>
      </c>
      <c r="N646" s="116">
        <v>157.47499999999999</v>
      </c>
      <c r="O646" s="116">
        <v>152.05000000000001</v>
      </c>
      <c r="P646" s="116">
        <v>157.47499999999999</v>
      </c>
      <c r="Q646" s="116">
        <v>305.14999999999998</v>
      </c>
      <c r="R646">
        <v>55985</v>
      </c>
    </row>
    <row r="647" spans="1:18" x14ac:dyDescent="0.25">
      <c r="A647" s="170">
        <v>42954</v>
      </c>
      <c r="B647" s="116">
        <v>156</v>
      </c>
      <c r="C647" s="116">
        <v>150.625</v>
      </c>
      <c r="D647" s="116">
        <v>150.19999999999999</v>
      </c>
      <c r="E647" s="116">
        <v>156</v>
      </c>
      <c r="F647" s="116">
        <v>301.25</v>
      </c>
      <c r="G647">
        <v>10491</v>
      </c>
      <c r="H647" s="116"/>
      <c r="I647" s="116"/>
      <c r="L647" s="170">
        <v>42954</v>
      </c>
      <c r="M647" s="116">
        <v>150.9</v>
      </c>
      <c r="N647" s="116">
        <v>156.5</v>
      </c>
      <c r="O647" s="116">
        <v>150.1</v>
      </c>
      <c r="P647" s="116">
        <v>156.5</v>
      </c>
      <c r="Q647" s="116">
        <v>301.8</v>
      </c>
      <c r="R647">
        <v>73861</v>
      </c>
    </row>
    <row r="648" spans="1:18" x14ac:dyDescent="0.25">
      <c r="A648" s="170">
        <v>42955</v>
      </c>
      <c r="B648" s="116">
        <v>156.5</v>
      </c>
      <c r="C648" s="116">
        <v>149.15</v>
      </c>
      <c r="D648" s="116">
        <v>148.5</v>
      </c>
      <c r="E648" s="116">
        <v>156.5</v>
      </c>
      <c r="F648" s="116">
        <v>298.3</v>
      </c>
      <c r="G648">
        <v>17862</v>
      </c>
      <c r="H648" s="116"/>
      <c r="I648" s="116"/>
      <c r="L648" s="170">
        <v>42955</v>
      </c>
      <c r="M648" s="116">
        <v>149.02500000000001</v>
      </c>
      <c r="N648" s="116">
        <v>154</v>
      </c>
      <c r="O648" s="116">
        <v>148.5</v>
      </c>
      <c r="P648" s="116">
        <v>153.97499999999999</v>
      </c>
      <c r="Q648" s="116">
        <v>298.05</v>
      </c>
      <c r="R648">
        <v>132743</v>
      </c>
    </row>
    <row r="649" spans="1:18" x14ac:dyDescent="0.25">
      <c r="A649" s="170">
        <v>42956</v>
      </c>
      <c r="B649" s="116">
        <v>149.52500000000001</v>
      </c>
      <c r="C649" s="116">
        <v>146.82499999999999</v>
      </c>
      <c r="D649" s="116">
        <v>146</v>
      </c>
      <c r="E649" s="116">
        <v>148</v>
      </c>
      <c r="F649" s="116">
        <v>293.64999999999998</v>
      </c>
      <c r="G649">
        <v>6421</v>
      </c>
      <c r="H649" s="116"/>
      <c r="I649" s="116"/>
      <c r="L649" s="170">
        <v>42956</v>
      </c>
      <c r="M649" s="116">
        <v>146.80000000000001</v>
      </c>
      <c r="N649" s="116">
        <v>150</v>
      </c>
      <c r="O649" s="116">
        <v>145.80000000000001</v>
      </c>
      <c r="P649" s="116">
        <v>148.5</v>
      </c>
      <c r="Q649" s="116">
        <v>293.60000000000002</v>
      </c>
      <c r="R649">
        <v>44693</v>
      </c>
    </row>
    <row r="650" spans="1:18" x14ac:dyDescent="0.25">
      <c r="A650" s="170">
        <v>42957</v>
      </c>
      <c r="B650" s="116">
        <v>145.5</v>
      </c>
      <c r="C650" s="116">
        <v>142.15</v>
      </c>
      <c r="D650" s="116">
        <v>141</v>
      </c>
      <c r="E650" s="116">
        <v>145.5</v>
      </c>
      <c r="F650" s="116">
        <v>284.3</v>
      </c>
      <c r="G650">
        <v>8297</v>
      </c>
      <c r="H650" s="116"/>
      <c r="I650" s="116"/>
      <c r="L650" s="170">
        <v>42957</v>
      </c>
      <c r="M650" s="116">
        <v>142.44999999999999</v>
      </c>
      <c r="N650" s="116">
        <v>145.05000000000001</v>
      </c>
      <c r="O650" s="116">
        <v>140.5</v>
      </c>
      <c r="P650" s="116">
        <v>145.05000000000001</v>
      </c>
      <c r="Q650" s="116">
        <v>284.89999999999998</v>
      </c>
      <c r="R650">
        <v>82516</v>
      </c>
    </row>
    <row r="651" spans="1:18" x14ac:dyDescent="0.25">
      <c r="A651" s="170">
        <v>42958</v>
      </c>
      <c r="B651" s="116">
        <v>151.44999999999999</v>
      </c>
      <c r="C651" s="116">
        <v>146.80000000000001</v>
      </c>
      <c r="D651" s="116">
        <v>140.55000000000001</v>
      </c>
      <c r="E651" s="116">
        <v>141.22499999999999</v>
      </c>
      <c r="F651" s="116">
        <v>293.60000000000002</v>
      </c>
      <c r="G651">
        <v>13906</v>
      </c>
      <c r="H651" s="116"/>
      <c r="I651" s="116"/>
      <c r="L651" s="170">
        <v>42958</v>
      </c>
      <c r="M651" s="116">
        <v>147.22499999999999</v>
      </c>
      <c r="N651" s="116">
        <v>151.94999999999999</v>
      </c>
      <c r="O651" s="116">
        <v>140</v>
      </c>
      <c r="P651" s="116">
        <v>142</v>
      </c>
      <c r="Q651" s="116">
        <v>294.45</v>
      </c>
      <c r="R651">
        <v>112540</v>
      </c>
    </row>
    <row r="652" spans="1:18" x14ac:dyDescent="0.25">
      <c r="A652" s="170">
        <v>42961</v>
      </c>
      <c r="B652" s="116">
        <v>149.5</v>
      </c>
      <c r="C652" s="116">
        <v>146.67500000000001</v>
      </c>
      <c r="D652" s="116">
        <v>143.25</v>
      </c>
      <c r="E652" s="116">
        <v>147</v>
      </c>
      <c r="F652" s="116">
        <v>293.35000000000002</v>
      </c>
      <c r="G652">
        <v>10180</v>
      </c>
      <c r="H652" s="116"/>
      <c r="I652" s="116"/>
      <c r="L652" s="170">
        <v>42961</v>
      </c>
      <c r="M652" s="116">
        <v>148.25</v>
      </c>
      <c r="N652" s="116">
        <v>149.55000000000001</v>
      </c>
      <c r="O652" s="116">
        <v>143.97499999999999</v>
      </c>
      <c r="P652" s="116">
        <v>145</v>
      </c>
      <c r="Q652" s="116">
        <v>296.5</v>
      </c>
      <c r="R652">
        <v>41380</v>
      </c>
    </row>
    <row r="653" spans="1:18" x14ac:dyDescent="0.25">
      <c r="A653" s="170">
        <v>42963</v>
      </c>
      <c r="B653" s="116">
        <v>148.44999999999999</v>
      </c>
      <c r="C653" s="116">
        <v>146</v>
      </c>
      <c r="D653" s="116">
        <v>145.5</v>
      </c>
      <c r="E653" s="116">
        <v>147.02500000000001</v>
      </c>
      <c r="F653" s="116">
        <v>292</v>
      </c>
      <c r="G653">
        <v>3289</v>
      </c>
      <c r="H653" s="116"/>
      <c r="I653" s="116"/>
      <c r="L653" s="170">
        <v>42963</v>
      </c>
      <c r="M653" s="116">
        <v>146.17500000000001</v>
      </c>
      <c r="N653" s="116">
        <v>148.6</v>
      </c>
      <c r="O653" s="116">
        <v>145.42500000000001</v>
      </c>
      <c r="P653" s="116">
        <v>148.5</v>
      </c>
      <c r="Q653" s="116">
        <v>292.35000000000002</v>
      </c>
      <c r="R653">
        <v>26934</v>
      </c>
    </row>
    <row r="654" spans="1:18" x14ac:dyDescent="0.25">
      <c r="A654" s="170">
        <v>42964</v>
      </c>
      <c r="B654" s="116">
        <v>148.80000000000001</v>
      </c>
      <c r="C654" s="116">
        <v>144.625</v>
      </c>
      <c r="D654" s="116">
        <v>144</v>
      </c>
      <c r="E654" s="116">
        <v>147.19999999999999</v>
      </c>
      <c r="F654" s="116">
        <v>289.25</v>
      </c>
      <c r="G654">
        <v>4235</v>
      </c>
      <c r="H654" s="116"/>
      <c r="I654" s="116"/>
      <c r="L654" s="170">
        <v>42964</v>
      </c>
      <c r="M654" s="116">
        <v>144.80000000000001</v>
      </c>
      <c r="N654" s="116">
        <v>148.55000000000001</v>
      </c>
      <c r="O654" s="116">
        <v>144.05000000000001</v>
      </c>
      <c r="P654" s="116">
        <v>146.69999999999999</v>
      </c>
      <c r="Q654" s="116">
        <v>289.60000000000002</v>
      </c>
      <c r="R654">
        <v>24350</v>
      </c>
    </row>
    <row r="655" spans="1:18" x14ac:dyDescent="0.25">
      <c r="A655" s="170">
        <v>42965</v>
      </c>
      <c r="B655" s="116">
        <v>145</v>
      </c>
      <c r="C655" s="116">
        <v>144.32499999999999</v>
      </c>
      <c r="D655" s="116">
        <v>142.5</v>
      </c>
      <c r="E655" s="116">
        <v>144</v>
      </c>
      <c r="F655" s="116">
        <v>288.64999999999998</v>
      </c>
      <c r="G655">
        <v>4173</v>
      </c>
      <c r="H655" s="116"/>
      <c r="I655" s="116"/>
      <c r="L655" s="170">
        <v>42965</v>
      </c>
      <c r="M655" s="116">
        <v>144.67500000000001</v>
      </c>
      <c r="N655" s="116">
        <v>145.875</v>
      </c>
      <c r="O655" s="116">
        <v>142.5</v>
      </c>
      <c r="P655" s="116">
        <v>144.875</v>
      </c>
      <c r="Q655" s="116">
        <v>289.35000000000002</v>
      </c>
      <c r="R655">
        <v>31761</v>
      </c>
    </row>
    <row r="656" spans="1:18" x14ac:dyDescent="0.25">
      <c r="A656" s="170">
        <v>42968</v>
      </c>
      <c r="B656" s="116">
        <v>144.625</v>
      </c>
      <c r="C656" s="116">
        <v>142.15</v>
      </c>
      <c r="D656" s="116">
        <v>141.5</v>
      </c>
      <c r="E656" s="116">
        <v>143.5</v>
      </c>
      <c r="F656" s="116">
        <v>284.3</v>
      </c>
      <c r="G656">
        <v>2484</v>
      </c>
      <c r="H656" s="116"/>
      <c r="I656" s="116"/>
      <c r="L656" s="170">
        <v>42968</v>
      </c>
      <c r="M656" s="116">
        <v>142.47499999999999</v>
      </c>
      <c r="N656" s="116">
        <v>146.07499999999999</v>
      </c>
      <c r="O656" s="116">
        <v>142.25</v>
      </c>
      <c r="P656" s="116">
        <v>145</v>
      </c>
      <c r="Q656" s="116">
        <v>284.95</v>
      </c>
      <c r="R656">
        <v>22845</v>
      </c>
    </row>
    <row r="657" spans="1:18" x14ac:dyDescent="0.25">
      <c r="A657" s="170">
        <v>42969</v>
      </c>
      <c r="B657" s="116">
        <v>143.9</v>
      </c>
      <c r="C657" s="116">
        <v>140.77500000000001</v>
      </c>
      <c r="D657" s="116">
        <v>139.65</v>
      </c>
      <c r="E657" s="116">
        <v>143.22499999999999</v>
      </c>
      <c r="F657" s="116">
        <v>281.55</v>
      </c>
      <c r="G657">
        <v>14343</v>
      </c>
      <c r="H657" s="116"/>
      <c r="I657" s="116"/>
      <c r="L657" s="170">
        <v>42969</v>
      </c>
      <c r="M657" s="116">
        <v>142.69999999999999</v>
      </c>
      <c r="N657" s="116">
        <v>143.75</v>
      </c>
      <c r="O657" s="116">
        <v>142</v>
      </c>
      <c r="P657" s="116">
        <v>142.5</v>
      </c>
      <c r="Q657" s="116">
        <v>285.39999999999998</v>
      </c>
      <c r="R657">
        <v>91571</v>
      </c>
    </row>
    <row r="658" spans="1:18" x14ac:dyDescent="0.25">
      <c r="A658" s="170">
        <v>42970</v>
      </c>
      <c r="B658" s="116">
        <v>144</v>
      </c>
      <c r="C658" s="116">
        <v>142.5</v>
      </c>
      <c r="D658" s="116">
        <v>141.82499999999999</v>
      </c>
      <c r="E658" s="116">
        <v>142.4</v>
      </c>
      <c r="F658" s="116">
        <v>285</v>
      </c>
      <c r="G658">
        <v>1844</v>
      </c>
      <c r="H658" s="116"/>
      <c r="I658" s="116"/>
      <c r="L658" s="170">
        <v>42970</v>
      </c>
      <c r="M658" s="116">
        <v>142.5</v>
      </c>
      <c r="N658" s="116">
        <v>144.47499999999999</v>
      </c>
      <c r="O658" s="116">
        <v>142.125</v>
      </c>
      <c r="P658" s="116">
        <v>142.4</v>
      </c>
      <c r="Q658" s="116">
        <v>285</v>
      </c>
      <c r="R658">
        <v>53534</v>
      </c>
    </row>
    <row r="659" spans="1:18" x14ac:dyDescent="0.25">
      <c r="A659" s="170">
        <v>42971</v>
      </c>
      <c r="B659" s="116">
        <v>143.75</v>
      </c>
      <c r="C659" s="116">
        <v>142.35</v>
      </c>
      <c r="D659" s="116">
        <v>141.94999999999999</v>
      </c>
      <c r="E659" s="116">
        <v>142.5</v>
      </c>
      <c r="F659" s="116">
        <v>284.7</v>
      </c>
      <c r="G659">
        <v>1955</v>
      </c>
      <c r="H659" s="116"/>
      <c r="I659" s="116"/>
      <c r="L659" s="170">
        <v>42971</v>
      </c>
      <c r="M659" s="116">
        <v>142.32499999999999</v>
      </c>
      <c r="N659" s="116">
        <v>143.65</v>
      </c>
      <c r="O659" s="116">
        <v>142</v>
      </c>
      <c r="P659" s="116">
        <v>143.47499999999999</v>
      </c>
      <c r="Q659" s="116">
        <v>284.64999999999998</v>
      </c>
      <c r="R659">
        <v>64001</v>
      </c>
    </row>
    <row r="660" spans="1:18" x14ac:dyDescent="0.25">
      <c r="A660" s="170">
        <v>42975</v>
      </c>
      <c r="B660" s="116">
        <v>141.92500000000001</v>
      </c>
      <c r="C660" s="116">
        <v>140.69999999999999</v>
      </c>
      <c r="D660" s="116">
        <v>140</v>
      </c>
      <c r="E660" s="116">
        <v>141.92500000000001</v>
      </c>
      <c r="F660" s="116">
        <v>281.39999999999998</v>
      </c>
      <c r="G660">
        <v>2325</v>
      </c>
      <c r="H660" s="116"/>
      <c r="I660" s="116"/>
      <c r="L660" s="170">
        <v>42975</v>
      </c>
      <c r="M660" s="116">
        <v>140.47499999999999</v>
      </c>
      <c r="N660" s="116">
        <v>142.94999999999999</v>
      </c>
      <c r="O660" s="116">
        <v>140</v>
      </c>
      <c r="P660" s="116">
        <v>142.94999999999999</v>
      </c>
      <c r="Q660" s="116">
        <v>280.95</v>
      </c>
      <c r="R660">
        <v>38887</v>
      </c>
    </row>
    <row r="661" spans="1:18" x14ac:dyDescent="0.25">
      <c r="A661" s="170">
        <v>42976</v>
      </c>
      <c r="B661" s="116">
        <v>141.5</v>
      </c>
      <c r="C661" s="116">
        <v>140.19999999999999</v>
      </c>
      <c r="D661" s="116">
        <v>139.75</v>
      </c>
      <c r="E661" s="116">
        <v>140.85</v>
      </c>
      <c r="F661" s="116">
        <v>280.39999999999998</v>
      </c>
      <c r="G661">
        <v>14476</v>
      </c>
      <c r="H661" s="116"/>
      <c r="I661" s="116"/>
      <c r="L661" s="170">
        <v>42976</v>
      </c>
      <c r="M661" s="116">
        <v>140.65</v>
      </c>
      <c r="N661" s="116">
        <v>142.15</v>
      </c>
      <c r="O661" s="116">
        <v>139.52500000000001</v>
      </c>
      <c r="P661" s="116">
        <v>140.44999999999999</v>
      </c>
      <c r="Q661" s="116">
        <v>281.3</v>
      </c>
      <c r="R661">
        <v>50468</v>
      </c>
    </row>
    <row r="662" spans="1:18" x14ac:dyDescent="0.25">
      <c r="A662" s="170">
        <v>42977</v>
      </c>
      <c r="B662" s="116">
        <v>143</v>
      </c>
      <c r="C662" s="116">
        <v>139.47499999999999</v>
      </c>
      <c r="D662" s="116">
        <v>139.1</v>
      </c>
      <c r="E662" s="116">
        <v>143</v>
      </c>
      <c r="F662" s="116">
        <v>278.95</v>
      </c>
      <c r="G662">
        <v>5176</v>
      </c>
      <c r="H662" s="116"/>
      <c r="I662" s="116"/>
      <c r="L662" s="170">
        <v>42977</v>
      </c>
      <c r="M662" s="116">
        <v>139.57499999999999</v>
      </c>
      <c r="N662" s="116">
        <v>142.17500000000001</v>
      </c>
      <c r="O662" s="116">
        <v>138.5</v>
      </c>
      <c r="P662" s="116">
        <v>142</v>
      </c>
      <c r="Q662" s="116">
        <v>279.14999999999998</v>
      </c>
      <c r="R662">
        <v>139267</v>
      </c>
    </row>
    <row r="663" spans="1:18" x14ac:dyDescent="0.25">
      <c r="A663" s="170">
        <v>42978</v>
      </c>
      <c r="B663" s="116">
        <v>139.82499999999999</v>
      </c>
      <c r="C663" s="116">
        <v>138.17500000000001</v>
      </c>
      <c r="D663" s="116">
        <v>137.5</v>
      </c>
      <c r="E663" s="116">
        <v>139.5</v>
      </c>
      <c r="F663" s="116">
        <v>276.35000000000002</v>
      </c>
      <c r="G663">
        <v>6090</v>
      </c>
      <c r="H663" s="116"/>
      <c r="I663" s="116"/>
      <c r="L663" s="170">
        <v>42978</v>
      </c>
      <c r="M663" s="116">
        <v>137.69999999999999</v>
      </c>
      <c r="N663" s="116">
        <v>139.92500000000001</v>
      </c>
      <c r="O663" s="116">
        <v>137.02500000000001</v>
      </c>
      <c r="P663" s="116">
        <v>139.85</v>
      </c>
      <c r="Q663" s="116">
        <v>275.39999999999998</v>
      </c>
      <c r="R663">
        <v>31678</v>
      </c>
    </row>
    <row r="664" spans="1:18" x14ac:dyDescent="0.25">
      <c r="A664" s="170">
        <v>42979</v>
      </c>
      <c r="B664" s="116">
        <v>139.72499999999999</v>
      </c>
      <c r="C664" s="116">
        <v>138.875</v>
      </c>
      <c r="D664" s="116">
        <v>136.52500000000001</v>
      </c>
      <c r="E664" s="116">
        <v>138.5</v>
      </c>
      <c r="F664" s="116">
        <v>277.75</v>
      </c>
      <c r="G664">
        <v>7125</v>
      </c>
      <c r="H664" s="116"/>
      <c r="I664" s="116"/>
      <c r="L664" s="170">
        <v>42979</v>
      </c>
      <c r="M664" s="116">
        <v>138.07499999999999</v>
      </c>
      <c r="N664" s="116">
        <v>140</v>
      </c>
      <c r="O664" s="116">
        <v>136.5</v>
      </c>
      <c r="P664" s="116">
        <v>138.375</v>
      </c>
      <c r="Q664" s="116">
        <v>276.14999999999998</v>
      </c>
      <c r="R664">
        <v>50839</v>
      </c>
    </row>
    <row r="665" spans="1:18" x14ac:dyDescent="0.25">
      <c r="A665" s="170">
        <v>42982</v>
      </c>
      <c r="B665" s="116">
        <v>141.85</v>
      </c>
      <c r="C665" s="116">
        <v>136.55000000000001</v>
      </c>
      <c r="D665" s="116">
        <v>132.5</v>
      </c>
      <c r="E665" s="116">
        <v>141.85</v>
      </c>
      <c r="F665" s="116">
        <v>273.10000000000002</v>
      </c>
      <c r="G665">
        <v>10938</v>
      </c>
      <c r="H665" s="116"/>
      <c r="I665" s="116"/>
      <c r="L665" s="170">
        <v>42982</v>
      </c>
      <c r="M665" s="116">
        <v>137.375</v>
      </c>
      <c r="N665" s="116">
        <v>139.5</v>
      </c>
      <c r="O665" s="116">
        <v>130</v>
      </c>
      <c r="P665" s="116">
        <v>139.5</v>
      </c>
      <c r="Q665" s="116">
        <v>274.75</v>
      </c>
      <c r="R665">
        <v>104171</v>
      </c>
    </row>
    <row r="666" spans="1:18" x14ac:dyDescent="0.25">
      <c r="A666" s="170">
        <v>42983</v>
      </c>
      <c r="B666" s="116">
        <v>139.15</v>
      </c>
      <c r="C666" s="116">
        <v>138.1</v>
      </c>
      <c r="D666" s="116">
        <v>136.375</v>
      </c>
      <c r="E666" s="116">
        <v>137.69999999999999</v>
      </c>
      <c r="F666" s="116">
        <v>276.2</v>
      </c>
      <c r="G666">
        <v>4945</v>
      </c>
      <c r="H666" s="116"/>
      <c r="I666" s="116"/>
      <c r="L666" s="170">
        <v>42983</v>
      </c>
      <c r="M666" s="116">
        <v>137.75</v>
      </c>
      <c r="N666" s="116">
        <v>139.4</v>
      </c>
      <c r="O666" s="116">
        <v>136.55000000000001</v>
      </c>
      <c r="P666" s="116">
        <v>137.47499999999999</v>
      </c>
      <c r="Q666" s="116">
        <v>275.5</v>
      </c>
      <c r="R666">
        <v>69810</v>
      </c>
    </row>
    <row r="667" spans="1:18" x14ac:dyDescent="0.25">
      <c r="A667" s="170">
        <v>42984</v>
      </c>
      <c r="B667" s="116">
        <v>140.55000000000001</v>
      </c>
      <c r="C667" s="116">
        <v>138.9</v>
      </c>
      <c r="D667" s="116">
        <v>137.65</v>
      </c>
      <c r="E667" s="116">
        <v>138.25</v>
      </c>
      <c r="F667" s="116">
        <v>277.8</v>
      </c>
      <c r="G667">
        <v>6186</v>
      </c>
      <c r="H667" s="116"/>
      <c r="I667" s="116"/>
      <c r="L667" s="170">
        <v>42984</v>
      </c>
      <c r="M667" s="116">
        <v>138.85</v>
      </c>
      <c r="N667" s="116">
        <v>140.19999999999999</v>
      </c>
      <c r="O667" s="116">
        <v>136.5</v>
      </c>
      <c r="P667" s="116">
        <v>138.25</v>
      </c>
      <c r="Q667" s="116">
        <v>277.7</v>
      </c>
      <c r="R667">
        <v>36268</v>
      </c>
    </row>
    <row r="668" spans="1:18" x14ac:dyDescent="0.25">
      <c r="A668" s="170">
        <v>42985</v>
      </c>
      <c r="B668" s="116">
        <v>141</v>
      </c>
      <c r="C668" s="116">
        <v>140.19999999999999</v>
      </c>
      <c r="D668" s="116">
        <v>139.17500000000001</v>
      </c>
      <c r="E668" s="116">
        <v>140.5</v>
      </c>
      <c r="F668" s="116">
        <v>280.39999999999998</v>
      </c>
      <c r="G668">
        <v>5568</v>
      </c>
      <c r="H668" s="116"/>
      <c r="I668" s="116"/>
      <c r="L668" s="170">
        <v>42985</v>
      </c>
      <c r="M668" s="116">
        <v>140.625</v>
      </c>
      <c r="N668" s="116">
        <v>141.25</v>
      </c>
      <c r="O668" s="116">
        <v>139.32499999999999</v>
      </c>
      <c r="P668" s="116">
        <v>139.32499999999999</v>
      </c>
      <c r="Q668" s="116">
        <v>281.25</v>
      </c>
      <c r="R668">
        <v>51800</v>
      </c>
    </row>
    <row r="669" spans="1:18" x14ac:dyDescent="0.25">
      <c r="A669" s="170">
        <v>42986</v>
      </c>
      <c r="B669" s="116">
        <v>140.6</v>
      </c>
      <c r="C669" s="116">
        <v>138.6</v>
      </c>
      <c r="D669" s="116">
        <v>138</v>
      </c>
      <c r="E669" s="116">
        <v>140</v>
      </c>
      <c r="F669" s="116">
        <v>277.2</v>
      </c>
      <c r="G669">
        <v>4014</v>
      </c>
      <c r="H669" s="116"/>
      <c r="I669" s="116"/>
      <c r="L669" s="170">
        <v>42986</v>
      </c>
      <c r="M669" s="116">
        <v>139.15</v>
      </c>
      <c r="N669" s="116">
        <v>140.97499999999999</v>
      </c>
      <c r="O669" s="116">
        <v>138.5</v>
      </c>
      <c r="P669" s="116">
        <v>140.97499999999999</v>
      </c>
      <c r="Q669" s="116">
        <v>278.3</v>
      </c>
      <c r="R669">
        <v>29661</v>
      </c>
    </row>
    <row r="670" spans="1:18" x14ac:dyDescent="0.25">
      <c r="A670" s="170">
        <v>42989</v>
      </c>
      <c r="B670" s="116">
        <v>139.30000000000001</v>
      </c>
      <c r="C670" s="116">
        <v>138.82499999999999</v>
      </c>
      <c r="D670" s="116">
        <v>135.625</v>
      </c>
      <c r="E670" s="116">
        <v>137.97499999999999</v>
      </c>
      <c r="F670" s="116">
        <v>277.64999999999998</v>
      </c>
      <c r="G670">
        <v>4668</v>
      </c>
      <c r="H670" s="116"/>
      <c r="I670" s="116"/>
      <c r="L670" s="170">
        <v>42989</v>
      </c>
      <c r="M670" s="116">
        <v>138.94999999999999</v>
      </c>
      <c r="N670" s="116">
        <v>140</v>
      </c>
      <c r="O670" s="116">
        <v>137.1</v>
      </c>
      <c r="P670" s="116">
        <v>138.52500000000001</v>
      </c>
      <c r="Q670" s="116">
        <v>277.89999999999998</v>
      </c>
      <c r="R670">
        <v>31747</v>
      </c>
    </row>
    <row r="671" spans="1:18" x14ac:dyDescent="0.25">
      <c r="A671" s="170">
        <v>42990</v>
      </c>
      <c r="B671" s="116">
        <v>140</v>
      </c>
      <c r="C671" s="116">
        <v>139.02500000000001</v>
      </c>
      <c r="D671" s="116">
        <v>137.80000000000001</v>
      </c>
      <c r="E671" s="116">
        <v>139.15</v>
      </c>
      <c r="F671" s="116">
        <v>278.05</v>
      </c>
      <c r="G671">
        <v>6620</v>
      </c>
      <c r="H671" s="116"/>
      <c r="I671" s="116"/>
      <c r="L671" s="170">
        <v>42990</v>
      </c>
      <c r="M671" s="116">
        <v>139.94999999999999</v>
      </c>
      <c r="N671" s="116">
        <v>140.44999999999999</v>
      </c>
      <c r="O671" s="116">
        <v>138.5</v>
      </c>
      <c r="P671" s="116">
        <v>140.44999999999999</v>
      </c>
      <c r="Q671" s="116">
        <v>279.89999999999998</v>
      </c>
      <c r="R671">
        <v>53652</v>
      </c>
    </row>
    <row r="672" spans="1:18" x14ac:dyDescent="0.25">
      <c r="A672" s="170">
        <v>42991</v>
      </c>
      <c r="B672" s="116">
        <v>140.15</v>
      </c>
      <c r="C672" s="116">
        <v>138.85</v>
      </c>
      <c r="D672" s="116">
        <v>138.4</v>
      </c>
      <c r="E672" s="116">
        <v>140</v>
      </c>
      <c r="F672" s="116">
        <v>277.7</v>
      </c>
      <c r="G672">
        <v>11896</v>
      </c>
      <c r="H672" s="116"/>
      <c r="I672" s="116"/>
      <c r="L672" s="170">
        <v>42991</v>
      </c>
      <c r="M672" s="116">
        <v>139.17500000000001</v>
      </c>
      <c r="N672" s="116">
        <v>141</v>
      </c>
      <c r="O672" s="116">
        <v>137.15</v>
      </c>
      <c r="P672" s="116">
        <v>137.15</v>
      </c>
      <c r="Q672" s="116">
        <v>278.35000000000002</v>
      </c>
      <c r="R672">
        <v>204293</v>
      </c>
    </row>
    <row r="673" spans="1:18" x14ac:dyDescent="0.25">
      <c r="A673" s="170">
        <v>42992</v>
      </c>
      <c r="B673" s="116">
        <v>140</v>
      </c>
      <c r="C673" s="116">
        <v>138.67500000000001</v>
      </c>
      <c r="D673" s="116">
        <v>136</v>
      </c>
      <c r="E673" s="116">
        <v>139.94999999999999</v>
      </c>
      <c r="F673" s="116">
        <v>277.35000000000002</v>
      </c>
      <c r="G673">
        <v>4778</v>
      </c>
      <c r="H673" s="116"/>
      <c r="I673" s="116"/>
      <c r="L673" s="170">
        <v>42992</v>
      </c>
      <c r="M673" s="116">
        <v>138.9</v>
      </c>
      <c r="N673" s="116">
        <v>140.75</v>
      </c>
      <c r="O673" s="116">
        <v>137.69999999999999</v>
      </c>
      <c r="P673" s="116">
        <v>139.19999999999999</v>
      </c>
      <c r="Q673" s="116">
        <v>277.8</v>
      </c>
      <c r="R673">
        <v>47027</v>
      </c>
    </row>
    <row r="674" spans="1:18" x14ac:dyDescent="0.25">
      <c r="A674" s="170">
        <v>42993</v>
      </c>
      <c r="B674" s="116">
        <v>145</v>
      </c>
      <c r="C674" s="116">
        <v>142.35</v>
      </c>
      <c r="D674" s="116">
        <v>139.75</v>
      </c>
      <c r="E674" s="116">
        <v>140.44999999999999</v>
      </c>
      <c r="F674" s="116">
        <v>284.7</v>
      </c>
      <c r="G674">
        <v>21674</v>
      </c>
      <c r="H674" s="116"/>
      <c r="I674" s="116"/>
      <c r="L674" s="170">
        <v>42993</v>
      </c>
      <c r="M674" s="116">
        <v>142.85</v>
      </c>
      <c r="N674" s="116">
        <v>144.82499999999999</v>
      </c>
      <c r="O674" s="116">
        <v>139</v>
      </c>
      <c r="P674" s="116">
        <v>139.32499999999999</v>
      </c>
      <c r="Q674" s="116">
        <v>285.7</v>
      </c>
      <c r="R674">
        <v>352116</v>
      </c>
    </row>
    <row r="675" spans="1:18" x14ac:dyDescent="0.25">
      <c r="A675" s="170">
        <v>42996</v>
      </c>
      <c r="B675" s="116">
        <v>146.625</v>
      </c>
      <c r="C675" s="116">
        <v>144.07499999999999</v>
      </c>
      <c r="D675" s="116">
        <v>139.5</v>
      </c>
      <c r="E675" s="116">
        <v>144.32499999999999</v>
      </c>
      <c r="F675" s="116">
        <v>288.14999999999998</v>
      </c>
      <c r="G675">
        <v>11220</v>
      </c>
      <c r="H675" s="116"/>
      <c r="I675" s="116"/>
      <c r="L675" s="170">
        <v>42996</v>
      </c>
      <c r="M675" s="116">
        <v>144.42500000000001</v>
      </c>
      <c r="N675" s="116">
        <v>146.6</v>
      </c>
      <c r="O675" s="116">
        <v>143.25</v>
      </c>
      <c r="P675" s="116">
        <v>143.27500000000001</v>
      </c>
      <c r="Q675" s="116">
        <v>288.85000000000002</v>
      </c>
      <c r="R675">
        <v>116473</v>
      </c>
    </row>
    <row r="676" spans="1:18" x14ac:dyDescent="0.25">
      <c r="A676" s="170">
        <v>42997</v>
      </c>
      <c r="B676" s="116">
        <v>146.69999999999999</v>
      </c>
      <c r="C676" s="116">
        <v>144.875</v>
      </c>
      <c r="D676" s="116">
        <v>144.5</v>
      </c>
      <c r="E676" s="116">
        <v>145.85</v>
      </c>
      <c r="F676" s="116">
        <v>289.75</v>
      </c>
      <c r="G676">
        <v>9045</v>
      </c>
      <c r="H676" s="116"/>
      <c r="I676" s="116"/>
      <c r="L676" s="170">
        <v>42997</v>
      </c>
      <c r="M676" s="116">
        <v>145.15</v>
      </c>
      <c r="N676" s="116">
        <v>146.72499999999999</v>
      </c>
      <c r="O676" s="116">
        <v>144.42500000000001</v>
      </c>
      <c r="P676" s="116">
        <v>145.85</v>
      </c>
      <c r="Q676" s="116">
        <v>290.3</v>
      </c>
      <c r="R676">
        <v>71088</v>
      </c>
    </row>
    <row r="677" spans="1:18" x14ac:dyDescent="0.25">
      <c r="A677" s="170">
        <v>42998</v>
      </c>
      <c r="B677" s="116">
        <v>147.5</v>
      </c>
      <c r="C677" s="116">
        <v>145.30000000000001</v>
      </c>
      <c r="D677" s="116">
        <v>144.5</v>
      </c>
      <c r="E677" s="116">
        <v>146.42500000000001</v>
      </c>
      <c r="F677" s="116">
        <v>290.60000000000002</v>
      </c>
      <c r="G677">
        <v>8022</v>
      </c>
      <c r="H677" s="116"/>
      <c r="I677" s="116"/>
      <c r="L677" s="170">
        <v>42998</v>
      </c>
      <c r="M677" s="116">
        <v>144.97499999999999</v>
      </c>
      <c r="N677" s="116">
        <v>147.42500000000001</v>
      </c>
      <c r="O677" s="116">
        <v>144.42500000000001</v>
      </c>
      <c r="P677" s="116">
        <v>145.25</v>
      </c>
      <c r="Q677" s="116">
        <v>289.95</v>
      </c>
      <c r="R677">
        <v>65115</v>
      </c>
    </row>
    <row r="678" spans="1:18" x14ac:dyDescent="0.25">
      <c r="A678" s="170">
        <v>42999</v>
      </c>
      <c r="B678" s="116">
        <v>146.75</v>
      </c>
      <c r="C678" s="116">
        <v>144.1</v>
      </c>
      <c r="D678" s="116">
        <v>140.77500000000001</v>
      </c>
      <c r="E678" s="116">
        <v>146.5</v>
      </c>
      <c r="F678" s="116">
        <v>288.2</v>
      </c>
      <c r="G678">
        <v>18580</v>
      </c>
      <c r="H678" s="116"/>
      <c r="I678" s="116"/>
      <c r="L678" s="170">
        <v>42999</v>
      </c>
      <c r="M678" s="116">
        <v>144.5</v>
      </c>
      <c r="N678" s="116">
        <v>146.75</v>
      </c>
      <c r="O678" s="116">
        <v>142.44999999999999</v>
      </c>
      <c r="P678" s="116">
        <v>144.52500000000001</v>
      </c>
      <c r="Q678" s="116">
        <v>289</v>
      </c>
      <c r="R678">
        <v>71419</v>
      </c>
    </row>
    <row r="679" spans="1:18" x14ac:dyDescent="0.25">
      <c r="A679" s="170">
        <v>43000</v>
      </c>
      <c r="B679" s="116">
        <v>145</v>
      </c>
      <c r="C679" s="116">
        <v>139.77500000000001</v>
      </c>
      <c r="D679" s="116">
        <v>139</v>
      </c>
      <c r="E679" s="116">
        <v>143.875</v>
      </c>
      <c r="F679" s="116">
        <v>279.55</v>
      </c>
      <c r="G679">
        <v>8909</v>
      </c>
      <c r="H679" s="116"/>
      <c r="I679" s="116"/>
      <c r="L679" s="170">
        <v>43000</v>
      </c>
      <c r="M679" s="116">
        <v>139.69999999999999</v>
      </c>
      <c r="N679" s="116">
        <v>146</v>
      </c>
      <c r="O679" s="116">
        <v>138.17500000000001</v>
      </c>
      <c r="P679" s="116">
        <v>142.6</v>
      </c>
      <c r="Q679" s="116">
        <v>279.39999999999998</v>
      </c>
      <c r="R679">
        <v>61749</v>
      </c>
    </row>
    <row r="680" spans="1:18" x14ac:dyDescent="0.25">
      <c r="A680" s="170">
        <v>43003</v>
      </c>
      <c r="B680" s="116">
        <v>140.22499999999999</v>
      </c>
      <c r="C680" s="116">
        <v>137.05000000000001</v>
      </c>
      <c r="D680" s="116">
        <v>133.6</v>
      </c>
      <c r="E680" s="116">
        <v>140.15</v>
      </c>
      <c r="F680" s="116">
        <v>274.10000000000002</v>
      </c>
      <c r="G680">
        <v>9127</v>
      </c>
      <c r="H680" s="116"/>
      <c r="I680" s="116"/>
      <c r="L680" s="170">
        <v>43003</v>
      </c>
      <c r="M680" s="116">
        <v>137.1</v>
      </c>
      <c r="N680" s="116">
        <v>141.625</v>
      </c>
      <c r="O680" s="116">
        <v>132.52500000000001</v>
      </c>
      <c r="P680" s="116">
        <v>141.625</v>
      </c>
      <c r="Q680" s="116">
        <v>274.2</v>
      </c>
      <c r="R680">
        <v>39297</v>
      </c>
    </row>
    <row r="681" spans="1:18" x14ac:dyDescent="0.25">
      <c r="A681" s="170">
        <v>43004</v>
      </c>
      <c r="B681" s="116">
        <v>138.75</v>
      </c>
      <c r="C681" s="116">
        <v>136.07499999999999</v>
      </c>
      <c r="D681" s="116">
        <v>134</v>
      </c>
      <c r="E681" s="116">
        <v>138.75</v>
      </c>
      <c r="F681" s="116">
        <v>272.14999999999998</v>
      </c>
      <c r="G681">
        <v>7332</v>
      </c>
      <c r="H681" s="116"/>
      <c r="I681" s="116"/>
      <c r="L681" s="170">
        <v>43004</v>
      </c>
      <c r="M681" s="116">
        <v>135.67500000000001</v>
      </c>
      <c r="N681" s="116">
        <v>138.75</v>
      </c>
      <c r="O681" s="116">
        <v>135</v>
      </c>
      <c r="P681" s="116">
        <v>135.15</v>
      </c>
      <c r="Q681" s="116">
        <v>271.35000000000002</v>
      </c>
      <c r="R681">
        <v>39156</v>
      </c>
    </row>
    <row r="682" spans="1:18" x14ac:dyDescent="0.25">
      <c r="A682" s="170">
        <v>43005</v>
      </c>
      <c r="B682" s="116">
        <v>137.5</v>
      </c>
      <c r="C682" s="116">
        <v>133.15</v>
      </c>
      <c r="D682" s="116">
        <v>132.75</v>
      </c>
      <c r="E682" s="116">
        <v>137.5</v>
      </c>
      <c r="F682" s="116">
        <v>266.3</v>
      </c>
      <c r="G682">
        <v>6726</v>
      </c>
      <c r="H682" s="116"/>
      <c r="I682" s="116"/>
      <c r="L682" s="170">
        <v>43005</v>
      </c>
      <c r="M682" s="116">
        <v>133.07499999999999</v>
      </c>
      <c r="N682" s="116">
        <v>136.97499999999999</v>
      </c>
      <c r="O682" s="116">
        <v>132.5</v>
      </c>
      <c r="P682" s="116">
        <v>135.125</v>
      </c>
      <c r="Q682" s="116">
        <v>266.14999999999998</v>
      </c>
      <c r="R682">
        <v>30749</v>
      </c>
    </row>
    <row r="683" spans="1:18" x14ac:dyDescent="0.25">
      <c r="A683" s="170">
        <v>43006</v>
      </c>
      <c r="B683" s="116">
        <v>134</v>
      </c>
      <c r="C683" s="116">
        <v>129.80000000000001</v>
      </c>
      <c r="D683" s="116">
        <v>127.5</v>
      </c>
      <c r="E683" s="116">
        <v>132.25</v>
      </c>
      <c r="F683" s="116">
        <v>259.60000000000002</v>
      </c>
      <c r="G683">
        <v>13991</v>
      </c>
      <c r="H683" s="116"/>
      <c r="I683" s="116"/>
      <c r="L683" s="170">
        <v>43006</v>
      </c>
      <c r="M683" s="116">
        <v>131</v>
      </c>
      <c r="N683" s="116">
        <v>134</v>
      </c>
      <c r="O683" s="116">
        <v>129.5</v>
      </c>
      <c r="P683" s="116">
        <v>133.07499999999999</v>
      </c>
      <c r="Q683" s="116">
        <v>262</v>
      </c>
      <c r="R683">
        <v>47970</v>
      </c>
    </row>
    <row r="684" spans="1:18" x14ac:dyDescent="0.25">
      <c r="A684" s="170">
        <v>43007</v>
      </c>
      <c r="B684" s="116">
        <v>141.44999999999999</v>
      </c>
      <c r="C684" s="116">
        <v>139.94999999999999</v>
      </c>
      <c r="D684" s="116">
        <v>134.32499999999999</v>
      </c>
      <c r="E684" s="116">
        <v>134.32499999999999</v>
      </c>
      <c r="F684" s="116">
        <v>279.89999999999998</v>
      </c>
      <c r="G684">
        <v>8228</v>
      </c>
      <c r="H684" s="116"/>
      <c r="I684" s="116"/>
      <c r="L684" s="170">
        <v>43007</v>
      </c>
      <c r="M684" s="116">
        <v>139.55000000000001</v>
      </c>
      <c r="N684" s="116">
        <v>141</v>
      </c>
      <c r="O684" s="116">
        <v>130.30000000000001</v>
      </c>
      <c r="P684" s="116">
        <v>130.30000000000001</v>
      </c>
      <c r="Q684" s="116">
        <v>279.10000000000002</v>
      </c>
      <c r="R684">
        <v>76450</v>
      </c>
    </row>
    <row r="685" spans="1:18" x14ac:dyDescent="0.25">
      <c r="A685" s="170">
        <v>43011</v>
      </c>
      <c r="B685" s="116">
        <v>142.5</v>
      </c>
      <c r="C685" s="116">
        <v>137.97499999999999</v>
      </c>
      <c r="D685" s="116">
        <v>137</v>
      </c>
      <c r="E685" s="116">
        <v>141</v>
      </c>
      <c r="F685" s="116">
        <v>275.95</v>
      </c>
      <c r="G685">
        <v>3167</v>
      </c>
      <c r="H685" s="116"/>
      <c r="I685" s="116"/>
      <c r="L685" s="170">
        <v>43011</v>
      </c>
      <c r="M685" s="116">
        <v>137.15</v>
      </c>
      <c r="N685" s="116">
        <v>144.42500000000001</v>
      </c>
      <c r="O685" s="116">
        <v>136</v>
      </c>
      <c r="P685" s="116">
        <v>141</v>
      </c>
      <c r="Q685" s="116">
        <v>274.3</v>
      </c>
      <c r="R685">
        <v>25165</v>
      </c>
    </row>
    <row r="686" spans="1:18" x14ac:dyDescent="0.25">
      <c r="A686" s="170">
        <v>43012</v>
      </c>
      <c r="B686" s="116">
        <v>139.47499999999999</v>
      </c>
      <c r="C686" s="116">
        <v>136.80000000000001</v>
      </c>
      <c r="D686" s="116">
        <v>136</v>
      </c>
      <c r="E686" s="116">
        <v>138</v>
      </c>
      <c r="F686" s="116">
        <v>273.60000000000002</v>
      </c>
      <c r="G686">
        <v>1896</v>
      </c>
      <c r="H686" s="116"/>
      <c r="I686" s="116"/>
      <c r="L686" s="170">
        <v>43012</v>
      </c>
      <c r="M686" s="116">
        <v>136.97499999999999</v>
      </c>
      <c r="N686" s="116">
        <v>139.875</v>
      </c>
      <c r="O686" s="116">
        <v>136.4</v>
      </c>
      <c r="P686" s="116">
        <v>139.875</v>
      </c>
      <c r="Q686" s="116">
        <v>273.95</v>
      </c>
      <c r="R686">
        <v>15033</v>
      </c>
    </row>
    <row r="687" spans="1:18" x14ac:dyDescent="0.25">
      <c r="A687" s="170">
        <v>43013</v>
      </c>
      <c r="B687" s="116">
        <v>140</v>
      </c>
      <c r="C687" s="116">
        <v>138.57499999999999</v>
      </c>
      <c r="D687" s="116">
        <v>137</v>
      </c>
      <c r="E687" s="116">
        <v>137.47499999999999</v>
      </c>
      <c r="F687" s="116">
        <v>277.14999999999998</v>
      </c>
      <c r="G687">
        <v>4252</v>
      </c>
      <c r="H687" s="116"/>
      <c r="I687" s="116"/>
      <c r="L687" s="170">
        <v>43013</v>
      </c>
      <c r="M687" s="116">
        <v>139.6</v>
      </c>
      <c r="N687" s="116">
        <v>143.5</v>
      </c>
      <c r="O687" s="116">
        <v>136</v>
      </c>
      <c r="P687" s="116">
        <v>137.02500000000001</v>
      </c>
      <c r="Q687" s="116">
        <v>279.2</v>
      </c>
      <c r="R687">
        <v>29981</v>
      </c>
    </row>
    <row r="688" spans="1:18" x14ac:dyDescent="0.25">
      <c r="A688" s="170">
        <v>43014</v>
      </c>
      <c r="B688" s="116">
        <v>142.72499999999999</v>
      </c>
      <c r="C688" s="116">
        <v>142.27500000000001</v>
      </c>
      <c r="D688" s="116">
        <v>139.85</v>
      </c>
      <c r="E688" s="116">
        <v>141</v>
      </c>
      <c r="F688" s="116">
        <v>284.55</v>
      </c>
      <c r="G688">
        <v>5212</v>
      </c>
      <c r="H688" s="116"/>
      <c r="I688" s="116"/>
      <c r="L688" s="170">
        <v>43014</v>
      </c>
      <c r="M688" s="116">
        <v>141.82499999999999</v>
      </c>
      <c r="N688" s="116">
        <v>143.19999999999999</v>
      </c>
      <c r="O688" s="116">
        <v>139.72499999999999</v>
      </c>
      <c r="P688" s="116">
        <v>139.875</v>
      </c>
      <c r="Q688" s="116">
        <v>283.64999999999998</v>
      </c>
      <c r="R688">
        <v>61913</v>
      </c>
    </row>
    <row r="689" spans="1:18" x14ac:dyDescent="0.25">
      <c r="A689" s="170">
        <v>43017</v>
      </c>
      <c r="B689" s="116">
        <v>142.07499999999999</v>
      </c>
      <c r="C689" s="116">
        <v>140.57499999999999</v>
      </c>
      <c r="D689" s="116">
        <v>140</v>
      </c>
      <c r="E689" s="116">
        <v>142</v>
      </c>
      <c r="F689" s="116">
        <v>281.14999999999998</v>
      </c>
      <c r="G689">
        <v>3294</v>
      </c>
      <c r="H689" s="116"/>
      <c r="I689" s="116"/>
      <c r="L689" s="170">
        <v>43017</v>
      </c>
      <c r="M689" s="116">
        <v>140.82499999999999</v>
      </c>
      <c r="N689" s="116">
        <v>142.5</v>
      </c>
      <c r="O689" s="116">
        <v>139.07499999999999</v>
      </c>
      <c r="P689" s="116">
        <v>140.07499999999999</v>
      </c>
      <c r="Q689" s="116">
        <v>281.64999999999998</v>
      </c>
      <c r="R689">
        <v>22664</v>
      </c>
    </row>
    <row r="690" spans="1:18" x14ac:dyDescent="0.25">
      <c r="A690" s="170">
        <v>43018</v>
      </c>
      <c r="B690" s="116">
        <v>142.94999999999999</v>
      </c>
      <c r="C690" s="116">
        <v>140</v>
      </c>
      <c r="D690" s="116">
        <v>139.27500000000001</v>
      </c>
      <c r="E690" s="116">
        <v>140</v>
      </c>
      <c r="F690" s="116">
        <v>280</v>
      </c>
      <c r="G690">
        <v>2461</v>
      </c>
      <c r="H690" s="116"/>
      <c r="I690" s="116"/>
      <c r="L690" s="170">
        <v>43018</v>
      </c>
      <c r="M690" s="116">
        <v>139.52500000000001</v>
      </c>
      <c r="N690" s="116">
        <v>143.5</v>
      </c>
      <c r="O690" s="116">
        <v>139.25</v>
      </c>
      <c r="P690" s="116">
        <v>140.44999999999999</v>
      </c>
      <c r="Q690" s="116">
        <v>279.05</v>
      </c>
      <c r="R690">
        <v>30057</v>
      </c>
    </row>
    <row r="691" spans="1:18" x14ac:dyDescent="0.25">
      <c r="A691" s="170">
        <v>43019</v>
      </c>
      <c r="B691" s="116">
        <v>141.30000000000001</v>
      </c>
      <c r="C691" s="116">
        <v>138.07499999999999</v>
      </c>
      <c r="D691" s="116">
        <v>138</v>
      </c>
      <c r="E691" s="116">
        <v>140</v>
      </c>
      <c r="F691" s="116">
        <v>276.14999999999998</v>
      </c>
      <c r="G691">
        <v>2573</v>
      </c>
      <c r="H691" s="116"/>
      <c r="I691" s="116"/>
      <c r="L691" s="170">
        <v>43019</v>
      </c>
      <c r="M691" s="116">
        <v>138.65</v>
      </c>
      <c r="N691" s="116">
        <v>141.52500000000001</v>
      </c>
      <c r="O691" s="116">
        <v>138</v>
      </c>
      <c r="P691" s="116">
        <v>140</v>
      </c>
      <c r="Q691" s="116">
        <v>277.3</v>
      </c>
      <c r="R691">
        <v>20758</v>
      </c>
    </row>
    <row r="692" spans="1:18" x14ac:dyDescent="0.25">
      <c r="A692" s="170">
        <v>43020</v>
      </c>
      <c r="B692" s="116">
        <v>140</v>
      </c>
      <c r="C692" s="116">
        <v>137.52500000000001</v>
      </c>
      <c r="D692" s="116">
        <v>137.07499999999999</v>
      </c>
      <c r="E692" s="116">
        <v>140</v>
      </c>
      <c r="F692" s="116">
        <v>275.05</v>
      </c>
      <c r="G692">
        <v>1717</v>
      </c>
      <c r="H692" s="116"/>
      <c r="I692" s="116"/>
      <c r="L692" s="170">
        <v>43020</v>
      </c>
      <c r="M692" s="116">
        <v>137.57499999999999</v>
      </c>
      <c r="N692" s="116">
        <v>143.44999999999999</v>
      </c>
      <c r="O692" s="116">
        <v>137</v>
      </c>
      <c r="P692" s="116">
        <v>139.44999999999999</v>
      </c>
      <c r="Q692" s="116">
        <v>275.14999999999998</v>
      </c>
      <c r="R692">
        <v>22790</v>
      </c>
    </row>
    <row r="693" spans="1:18" x14ac:dyDescent="0.25">
      <c r="A693" s="170">
        <v>43021</v>
      </c>
      <c r="B693" s="116">
        <v>139.05000000000001</v>
      </c>
      <c r="C693" s="116">
        <v>138.02500000000001</v>
      </c>
      <c r="D693" s="116">
        <v>137.75</v>
      </c>
      <c r="E693" s="116">
        <v>137.77500000000001</v>
      </c>
      <c r="F693" s="116">
        <v>276.05</v>
      </c>
      <c r="G693">
        <v>3079</v>
      </c>
      <c r="H693" s="116"/>
      <c r="I693" s="116"/>
      <c r="L693" s="170">
        <v>43021</v>
      </c>
      <c r="M693" s="116">
        <v>138.55000000000001</v>
      </c>
      <c r="N693" s="116">
        <v>139.375</v>
      </c>
      <c r="O693" s="116">
        <v>137.75</v>
      </c>
      <c r="P693" s="116">
        <v>139</v>
      </c>
      <c r="Q693" s="116">
        <v>277.10000000000002</v>
      </c>
      <c r="R693">
        <v>30462</v>
      </c>
    </row>
    <row r="694" spans="1:18" x14ac:dyDescent="0.25">
      <c r="A694" s="170">
        <v>43024</v>
      </c>
      <c r="B694" s="116">
        <v>143.4</v>
      </c>
      <c r="C694" s="116">
        <v>141.07499999999999</v>
      </c>
      <c r="D694" s="116">
        <v>133.875</v>
      </c>
      <c r="E694" s="116">
        <v>139.07499999999999</v>
      </c>
      <c r="F694" s="116">
        <v>282.14999999999998</v>
      </c>
      <c r="G694">
        <v>16766</v>
      </c>
      <c r="H694" s="116"/>
      <c r="I694" s="116"/>
      <c r="L694" s="170">
        <v>43024</v>
      </c>
      <c r="M694" s="116">
        <v>140.9</v>
      </c>
      <c r="N694" s="116">
        <v>143</v>
      </c>
      <c r="O694" s="116">
        <v>138.5</v>
      </c>
      <c r="P694" s="116">
        <v>139.47499999999999</v>
      </c>
      <c r="Q694" s="116">
        <v>281.8</v>
      </c>
      <c r="R694">
        <v>179014</v>
      </c>
    </row>
    <row r="695" spans="1:18" x14ac:dyDescent="0.25">
      <c r="A695" s="170">
        <v>43025</v>
      </c>
      <c r="B695" s="116">
        <v>141.17500000000001</v>
      </c>
      <c r="C695" s="116">
        <v>137.35</v>
      </c>
      <c r="D695" s="116">
        <v>137</v>
      </c>
      <c r="E695" s="116">
        <v>140.19999999999999</v>
      </c>
      <c r="F695" s="116">
        <v>274.7</v>
      </c>
      <c r="G695">
        <v>403507</v>
      </c>
      <c r="H695" s="116"/>
      <c r="I695" s="116"/>
      <c r="L695" s="170">
        <v>43025</v>
      </c>
      <c r="M695" s="116">
        <v>137.94999999999999</v>
      </c>
      <c r="N695" s="116">
        <v>141.57499999999999</v>
      </c>
      <c r="O695" s="116">
        <v>137.5</v>
      </c>
      <c r="P695" s="116">
        <v>140.125</v>
      </c>
      <c r="Q695" s="116">
        <v>275.89999999999998</v>
      </c>
      <c r="R695">
        <v>81654</v>
      </c>
    </row>
    <row r="696" spans="1:18" x14ac:dyDescent="0.25">
      <c r="A696" s="170">
        <v>43026</v>
      </c>
      <c r="B696" s="116">
        <v>140</v>
      </c>
      <c r="C696" s="116">
        <v>137.44999999999999</v>
      </c>
      <c r="D696" s="116">
        <v>137</v>
      </c>
      <c r="E696" s="116">
        <v>137.97499999999999</v>
      </c>
      <c r="F696" s="116">
        <v>274.89999999999998</v>
      </c>
      <c r="G696">
        <v>5376</v>
      </c>
      <c r="H696" s="116"/>
      <c r="I696" s="116"/>
      <c r="L696" s="170">
        <v>43026</v>
      </c>
      <c r="M696" s="116">
        <v>137.47499999999999</v>
      </c>
      <c r="N696" s="116">
        <v>140</v>
      </c>
      <c r="O696" s="116">
        <v>137.05000000000001</v>
      </c>
      <c r="P696" s="116">
        <v>138.30000000000001</v>
      </c>
      <c r="Q696" s="116">
        <v>274.95</v>
      </c>
      <c r="R696">
        <v>49034</v>
      </c>
    </row>
    <row r="697" spans="1:18" x14ac:dyDescent="0.25">
      <c r="A697" s="170">
        <v>43027</v>
      </c>
      <c r="B697" s="116">
        <v>137.875</v>
      </c>
      <c r="C697" s="116">
        <v>137.125</v>
      </c>
      <c r="D697" s="116">
        <v>136</v>
      </c>
      <c r="E697" s="116">
        <v>137.625</v>
      </c>
      <c r="F697" s="116">
        <v>274.25</v>
      </c>
      <c r="G697">
        <v>1761</v>
      </c>
      <c r="H697" s="116"/>
      <c r="I697" s="116"/>
      <c r="L697" s="170">
        <v>43027</v>
      </c>
      <c r="M697" s="116">
        <v>136.35</v>
      </c>
      <c r="N697" s="116">
        <v>137.44999999999999</v>
      </c>
      <c r="O697" s="116">
        <v>136</v>
      </c>
      <c r="P697" s="116">
        <v>136.35</v>
      </c>
      <c r="Q697" s="116">
        <v>272.7</v>
      </c>
      <c r="R697">
        <v>17870</v>
      </c>
    </row>
    <row r="698" spans="1:18" x14ac:dyDescent="0.25">
      <c r="A698" s="170">
        <v>43031</v>
      </c>
      <c r="B698" s="116">
        <v>139.35</v>
      </c>
      <c r="C698" s="116">
        <v>136.97499999999999</v>
      </c>
      <c r="D698" s="116">
        <v>136.27500000000001</v>
      </c>
      <c r="E698" s="116">
        <v>138.47499999999999</v>
      </c>
      <c r="F698" s="116">
        <v>273.95</v>
      </c>
      <c r="G698">
        <v>52778</v>
      </c>
      <c r="H698" s="116"/>
      <c r="I698" s="116"/>
      <c r="L698" s="170">
        <v>43031</v>
      </c>
      <c r="M698" s="116">
        <v>137.1</v>
      </c>
      <c r="N698" s="116">
        <v>137.97499999999999</v>
      </c>
      <c r="O698" s="116">
        <v>136.19999999999999</v>
      </c>
      <c r="P698" s="116">
        <v>136.5</v>
      </c>
      <c r="Q698" s="116">
        <v>274.2</v>
      </c>
      <c r="R698">
        <v>34247</v>
      </c>
    </row>
    <row r="699" spans="1:18" x14ac:dyDescent="0.25">
      <c r="A699" s="170">
        <v>43032</v>
      </c>
      <c r="B699" s="116">
        <v>138.97499999999999</v>
      </c>
      <c r="C699" s="116">
        <v>137.44999999999999</v>
      </c>
      <c r="D699" s="116">
        <v>136.6</v>
      </c>
      <c r="E699" s="116">
        <v>138.44999999999999</v>
      </c>
      <c r="F699" s="116">
        <v>274.89999999999998</v>
      </c>
      <c r="G699">
        <v>2776</v>
      </c>
      <c r="H699" s="116"/>
      <c r="I699" s="116"/>
      <c r="L699" s="170">
        <v>43032</v>
      </c>
      <c r="M699" s="116">
        <v>137.5</v>
      </c>
      <c r="N699" s="116">
        <v>138.5</v>
      </c>
      <c r="O699" s="116">
        <v>136.57499999999999</v>
      </c>
      <c r="P699" s="116">
        <v>137.69999999999999</v>
      </c>
      <c r="Q699" s="116">
        <v>275</v>
      </c>
      <c r="R699">
        <v>179652</v>
      </c>
    </row>
    <row r="700" spans="1:18" x14ac:dyDescent="0.25">
      <c r="A700" s="170">
        <v>43033</v>
      </c>
      <c r="B700" s="116">
        <v>142.47499999999999</v>
      </c>
      <c r="C700" s="116">
        <v>139.4</v>
      </c>
      <c r="D700" s="116">
        <v>138.25</v>
      </c>
      <c r="E700" s="116">
        <v>138.25</v>
      </c>
      <c r="F700" s="116">
        <v>278.8</v>
      </c>
      <c r="G700">
        <v>445909</v>
      </c>
      <c r="H700" s="116"/>
      <c r="I700" s="116"/>
      <c r="L700" s="170">
        <v>43033</v>
      </c>
      <c r="M700" s="116">
        <v>139.6</v>
      </c>
      <c r="N700" s="116">
        <v>142.5</v>
      </c>
      <c r="O700" s="116">
        <v>137.44999999999999</v>
      </c>
      <c r="P700" s="116">
        <v>138.77500000000001</v>
      </c>
      <c r="Q700" s="116">
        <v>279.2</v>
      </c>
      <c r="R700">
        <v>900546</v>
      </c>
    </row>
    <row r="701" spans="1:18" x14ac:dyDescent="0.25">
      <c r="A701" s="170">
        <v>43034</v>
      </c>
      <c r="B701" s="116">
        <v>142.5</v>
      </c>
      <c r="C701" s="116">
        <v>138.02500000000001</v>
      </c>
      <c r="D701" s="116">
        <v>137.5</v>
      </c>
      <c r="E701" s="116">
        <v>140.375</v>
      </c>
      <c r="F701" s="116">
        <v>276.05</v>
      </c>
      <c r="G701">
        <v>13540</v>
      </c>
      <c r="H701" s="116"/>
      <c r="I701" s="116"/>
      <c r="L701" s="170">
        <v>43034</v>
      </c>
      <c r="M701" s="116">
        <v>137.69999999999999</v>
      </c>
      <c r="N701" s="116">
        <v>142.25</v>
      </c>
      <c r="O701" s="116">
        <v>137.5</v>
      </c>
      <c r="P701" s="116">
        <v>140.69999999999999</v>
      </c>
      <c r="Q701" s="116">
        <v>275.39999999999998</v>
      </c>
      <c r="R701">
        <v>93932</v>
      </c>
    </row>
    <row r="702" spans="1:18" x14ac:dyDescent="0.25">
      <c r="A702" s="170">
        <v>43035</v>
      </c>
      <c r="B702" s="116">
        <v>144.15</v>
      </c>
      <c r="C702" s="116">
        <v>141.92500000000001</v>
      </c>
      <c r="D702" s="116">
        <v>138.42500000000001</v>
      </c>
      <c r="E702" s="116">
        <v>138.57499999999999</v>
      </c>
      <c r="F702" s="116">
        <v>283.85000000000002</v>
      </c>
      <c r="G702">
        <v>47223</v>
      </c>
      <c r="H702" s="116"/>
      <c r="I702" s="116"/>
      <c r="L702" s="170">
        <v>43035</v>
      </c>
      <c r="M702" s="116">
        <v>142.27500000000001</v>
      </c>
      <c r="N702" s="116">
        <v>144.6</v>
      </c>
      <c r="O702" s="116">
        <v>137.5</v>
      </c>
      <c r="P702" s="116">
        <v>137.5</v>
      </c>
      <c r="Q702" s="116">
        <v>284.55</v>
      </c>
      <c r="R702">
        <v>287732</v>
      </c>
    </row>
    <row r="703" spans="1:18" x14ac:dyDescent="0.25">
      <c r="A703" s="170">
        <v>43038</v>
      </c>
      <c r="B703" s="116">
        <v>144.22499999999999</v>
      </c>
      <c r="C703" s="116">
        <v>142.375</v>
      </c>
      <c r="D703" s="116">
        <v>140.75</v>
      </c>
      <c r="E703" s="116">
        <v>143.42500000000001</v>
      </c>
      <c r="F703" s="116">
        <v>284.75</v>
      </c>
      <c r="G703">
        <v>15195</v>
      </c>
      <c r="H703" s="116"/>
      <c r="I703" s="116"/>
      <c r="L703" s="170">
        <v>43038</v>
      </c>
      <c r="M703" s="116">
        <v>142.6</v>
      </c>
      <c r="N703" s="116">
        <v>144.77500000000001</v>
      </c>
      <c r="O703" s="116">
        <v>141.5</v>
      </c>
      <c r="P703" s="116">
        <v>144.77500000000001</v>
      </c>
      <c r="Q703" s="116">
        <v>285.2</v>
      </c>
      <c r="R703">
        <v>78482</v>
      </c>
    </row>
    <row r="704" spans="1:18" x14ac:dyDescent="0.25">
      <c r="A704" s="170">
        <v>43039</v>
      </c>
      <c r="B704" s="116">
        <v>145.30000000000001</v>
      </c>
      <c r="C704" s="116">
        <v>142.57499999999999</v>
      </c>
      <c r="D704" s="116">
        <v>141.15</v>
      </c>
      <c r="E704" s="116">
        <v>142.375</v>
      </c>
      <c r="F704" s="116">
        <v>285.14999999999998</v>
      </c>
      <c r="G704">
        <v>37066</v>
      </c>
      <c r="H704" s="116"/>
      <c r="I704" s="116"/>
      <c r="L704" s="170">
        <v>43039</v>
      </c>
      <c r="M704" s="116">
        <v>143.05000000000001</v>
      </c>
      <c r="N704" s="116">
        <v>146</v>
      </c>
      <c r="O704" s="116">
        <v>141.5</v>
      </c>
      <c r="P704" s="116">
        <v>143</v>
      </c>
      <c r="Q704" s="116">
        <v>286.10000000000002</v>
      </c>
      <c r="R704">
        <v>81878</v>
      </c>
    </row>
    <row r="705" spans="1:18" x14ac:dyDescent="0.25">
      <c r="A705" s="170">
        <v>43040</v>
      </c>
      <c r="B705" s="116">
        <v>147.92500000000001</v>
      </c>
      <c r="C705" s="116">
        <v>142.625</v>
      </c>
      <c r="D705" s="116">
        <v>142.125</v>
      </c>
      <c r="E705" s="116">
        <v>144.02500000000001</v>
      </c>
      <c r="F705" s="116">
        <v>285.25</v>
      </c>
      <c r="G705">
        <v>88554</v>
      </c>
      <c r="H705" s="116"/>
      <c r="I705" s="116"/>
      <c r="L705" s="170">
        <v>43040</v>
      </c>
      <c r="M705" s="116">
        <v>142.07499999999999</v>
      </c>
      <c r="N705" s="116">
        <v>148.47499999999999</v>
      </c>
      <c r="O705" s="116">
        <v>141.05000000000001</v>
      </c>
      <c r="P705" s="116">
        <v>141.05000000000001</v>
      </c>
      <c r="Q705" s="116">
        <v>284.14999999999998</v>
      </c>
      <c r="R705">
        <v>2978789</v>
      </c>
    </row>
    <row r="706" spans="1:18" x14ac:dyDescent="0.25">
      <c r="A706" s="170">
        <v>43041</v>
      </c>
      <c r="B706" s="116">
        <v>145.75</v>
      </c>
      <c r="C706" s="116">
        <v>144.94999999999999</v>
      </c>
      <c r="D706" s="116">
        <v>141.05000000000001</v>
      </c>
      <c r="E706" s="116">
        <v>142.97499999999999</v>
      </c>
      <c r="F706" s="116">
        <v>289.89999999999998</v>
      </c>
      <c r="G706">
        <v>40101</v>
      </c>
      <c r="H706" s="116"/>
      <c r="I706" s="116"/>
      <c r="L706" s="170">
        <v>43041</v>
      </c>
      <c r="M706" s="116">
        <v>144.77500000000001</v>
      </c>
      <c r="N706" s="116">
        <v>145.75</v>
      </c>
      <c r="O706" s="116">
        <v>141.65</v>
      </c>
      <c r="P706" s="116">
        <v>143.75</v>
      </c>
      <c r="Q706" s="116">
        <v>289.55</v>
      </c>
      <c r="R706">
        <v>749588</v>
      </c>
    </row>
    <row r="707" spans="1:18" x14ac:dyDescent="0.25">
      <c r="A707" s="170">
        <v>43042</v>
      </c>
      <c r="B707" s="116">
        <v>152.9</v>
      </c>
      <c r="C707" s="116">
        <v>150.55000000000001</v>
      </c>
      <c r="D707" s="116">
        <v>144.4</v>
      </c>
      <c r="E707" s="116">
        <v>145.52500000000001</v>
      </c>
      <c r="F707" s="116">
        <v>301.10000000000002</v>
      </c>
      <c r="G707">
        <v>121826</v>
      </c>
      <c r="H707" s="116"/>
      <c r="I707" s="116"/>
      <c r="L707" s="170">
        <v>43042</v>
      </c>
      <c r="M707" s="116">
        <v>150.57499999999999</v>
      </c>
      <c r="N707" s="116">
        <v>152.5</v>
      </c>
      <c r="O707" s="116">
        <v>144</v>
      </c>
      <c r="P707" s="116">
        <v>145.5</v>
      </c>
      <c r="Q707" s="116">
        <v>301.14999999999998</v>
      </c>
      <c r="R707">
        <v>703421</v>
      </c>
    </row>
    <row r="708" spans="1:18" x14ac:dyDescent="0.25">
      <c r="A708" s="170">
        <v>43045</v>
      </c>
      <c r="B708" s="116">
        <v>153.625</v>
      </c>
      <c r="C708" s="116">
        <v>151.17500000000001</v>
      </c>
      <c r="D708" s="116">
        <v>147.5</v>
      </c>
      <c r="E708" s="116">
        <v>150.55000000000001</v>
      </c>
      <c r="F708" s="116">
        <v>302.35000000000002</v>
      </c>
      <c r="G708">
        <v>55298</v>
      </c>
      <c r="H708" s="116"/>
      <c r="I708" s="116"/>
      <c r="L708" s="170">
        <v>43045</v>
      </c>
      <c r="M708" s="116">
        <v>151.35</v>
      </c>
      <c r="N708" s="116">
        <v>154</v>
      </c>
      <c r="O708" s="116">
        <v>149.02500000000001</v>
      </c>
      <c r="P708" s="116">
        <v>150.30000000000001</v>
      </c>
      <c r="Q708" s="116">
        <v>302.7</v>
      </c>
      <c r="R708">
        <v>236142</v>
      </c>
    </row>
    <row r="709" spans="1:18" x14ac:dyDescent="0.25">
      <c r="A709" s="170">
        <v>43046</v>
      </c>
      <c r="B709" s="116">
        <v>154.67500000000001</v>
      </c>
      <c r="C709" s="116">
        <v>148.625</v>
      </c>
      <c r="D709" s="116">
        <v>147.5</v>
      </c>
      <c r="E709" s="116">
        <v>151.82499999999999</v>
      </c>
      <c r="F709" s="116">
        <v>297.25</v>
      </c>
      <c r="G709">
        <v>59686</v>
      </c>
      <c r="H709" s="116"/>
      <c r="I709" s="116"/>
      <c r="L709" s="170">
        <v>43046</v>
      </c>
      <c r="M709" s="116">
        <v>148.9</v>
      </c>
      <c r="N709" s="116">
        <v>154.5</v>
      </c>
      <c r="O709" s="116">
        <v>146.85</v>
      </c>
      <c r="P709" s="116">
        <v>152.32499999999999</v>
      </c>
      <c r="Q709" s="116">
        <v>297.8</v>
      </c>
      <c r="R709">
        <v>218053</v>
      </c>
    </row>
    <row r="710" spans="1:18" x14ac:dyDescent="0.25">
      <c r="A710" s="170">
        <v>43047</v>
      </c>
      <c r="B710" s="116">
        <v>150.47499999999999</v>
      </c>
      <c r="C710" s="116">
        <v>146.69999999999999</v>
      </c>
      <c r="D710" s="116">
        <v>144.97499999999999</v>
      </c>
      <c r="E710" s="116">
        <v>149.82499999999999</v>
      </c>
      <c r="F710" s="116">
        <v>293.39999999999998</v>
      </c>
      <c r="G710">
        <v>24024</v>
      </c>
      <c r="H710" s="116"/>
      <c r="I710" s="116"/>
      <c r="L710" s="170">
        <v>43047</v>
      </c>
      <c r="M710" s="116">
        <v>146.82499999999999</v>
      </c>
      <c r="N710" s="116">
        <v>149.9</v>
      </c>
      <c r="O710" s="116">
        <v>144.5</v>
      </c>
      <c r="P710" s="116">
        <v>149.69999999999999</v>
      </c>
      <c r="Q710" s="116">
        <v>293.64999999999998</v>
      </c>
      <c r="R710">
        <v>64692</v>
      </c>
    </row>
    <row r="711" spans="1:18" x14ac:dyDescent="0.25">
      <c r="A711" s="170">
        <v>43048</v>
      </c>
      <c r="B711" s="116">
        <v>150.5</v>
      </c>
      <c r="C711" s="116">
        <v>147.02500000000001</v>
      </c>
      <c r="D711" s="116">
        <v>142.5</v>
      </c>
      <c r="E711" s="116">
        <v>148.94999999999999</v>
      </c>
      <c r="F711" s="116">
        <v>294.05</v>
      </c>
      <c r="G711">
        <v>36720</v>
      </c>
      <c r="H711" s="116"/>
      <c r="I711" s="116"/>
      <c r="L711" s="170">
        <v>43048</v>
      </c>
      <c r="M711" s="116">
        <v>146.625</v>
      </c>
      <c r="N711" s="116">
        <v>150.69999999999999</v>
      </c>
      <c r="O711" s="116">
        <v>145.07499999999999</v>
      </c>
      <c r="P711" s="116">
        <v>146.85</v>
      </c>
      <c r="Q711" s="116">
        <v>293.25</v>
      </c>
      <c r="R711">
        <v>167969</v>
      </c>
    </row>
    <row r="712" spans="1:18" x14ac:dyDescent="0.25">
      <c r="A712" s="170">
        <v>43049</v>
      </c>
      <c r="B712" s="116">
        <v>150.19999999999999</v>
      </c>
      <c r="C712" s="116">
        <v>149.55000000000001</v>
      </c>
      <c r="D712" s="116">
        <v>143</v>
      </c>
      <c r="E712" s="116">
        <v>143</v>
      </c>
      <c r="F712" s="116">
        <v>299.10000000000002</v>
      </c>
      <c r="G712">
        <v>20309</v>
      </c>
      <c r="H712" s="116"/>
      <c r="I712" s="116"/>
      <c r="L712" s="170">
        <v>43049</v>
      </c>
      <c r="M712" s="116">
        <v>149.67500000000001</v>
      </c>
      <c r="N712" s="116">
        <v>151.5</v>
      </c>
      <c r="O712" s="116">
        <v>146.02500000000001</v>
      </c>
      <c r="P712" s="116">
        <v>146.44999999999999</v>
      </c>
      <c r="Q712" s="116">
        <v>299.35000000000002</v>
      </c>
      <c r="R712">
        <v>157685</v>
      </c>
    </row>
    <row r="713" spans="1:18" x14ac:dyDescent="0.25">
      <c r="A713" s="170">
        <v>43052</v>
      </c>
      <c r="B713" s="116">
        <v>151.5</v>
      </c>
      <c r="C713" s="116">
        <v>147.77500000000001</v>
      </c>
      <c r="D713" s="116">
        <v>147</v>
      </c>
      <c r="E713" s="116">
        <v>150.5</v>
      </c>
      <c r="F713" s="116">
        <v>295.55</v>
      </c>
      <c r="G713">
        <v>12460</v>
      </c>
      <c r="H713" s="116"/>
      <c r="I713" s="116"/>
      <c r="L713" s="170">
        <v>43052</v>
      </c>
      <c r="M713" s="116">
        <v>147.625</v>
      </c>
      <c r="N713" s="116">
        <v>152</v>
      </c>
      <c r="O713" s="116">
        <v>147.05000000000001</v>
      </c>
      <c r="P713" s="116">
        <v>149.94999999999999</v>
      </c>
      <c r="Q713" s="116">
        <v>295.25</v>
      </c>
      <c r="R713">
        <v>85638</v>
      </c>
    </row>
    <row r="714" spans="1:18" x14ac:dyDescent="0.25">
      <c r="A714" s="170">
        <v>43053</v>
      </c>
      <c r="B714" s="116">
        <v>149.5</v>
      </c>
      <c r="C714" s="116">
        <v>145.19999999999999</v>
      </c>
      <c r="D714" s="116">
        <v>144</v>
      </c>
      <c r="E714" s="116">
        <v>146.05000000000001</v>
      </c>
      <c r="F714" s="116">
        <v>290.39999999999998</v>
      </c>
      <c r="G714">
        <v>7710</v>
      </c>
      <c r="H714" s="116"/>
      <c r="I714" s="116"/>
      <c r="L714" s="170">
        <v>43053</v>
      </c>
      <c r="M714" s="116">
        <v>145.17500000000001</v>
      </c>
      <c r="N714" s="116">
        <v>149.35</v>
      </c>
      <c r="O714" s="116">
        <v>144.5</v>
      </c>
      <c r="P714" s="116">
        <v>148.85</v>
      </c>
      <c r="Q714" s="116">
        <v>290.35000000000002</v>
      </c>
      <c r="R714">
        <v>81660</v>
      </c>
    </row>
    <row r="715" spans="1:18" x14ac:dyDescent="0.25">
      <c r="A715" s="170">
        <v>43054</v>
      </c>
      <c r="B715" s="116">
        <v>145.5</v>
      </c>
      <c r="C715" s="116">
        <v>143.32499999999999</v>
      </c>
      <c r="D715" s="116">
        <v>142.5</v>
      </c>
      <c r="E715" s="116">
        <v>145.5</v>
      </c>
      <c r="F715" s="116">
        <v>286.64999999999998</v>
      </c>
      <c r="G715">
        <v>4811</v>
      </c>
      <c r="H715" s="116"/>
      <c r="I715" s="116"/>
      <c r="L715" s="170">
        <v>43054</v>
      </c>
      <c r="M715" s="116">
        <v>143.4</v>
      </c>
      <c r="N715" s="116">
        <v>145.92500000000001</v>
      </c>
      <c r="O715" s="116">
        <v>141.55000000000001</v>
      </c>
      <c r="P715" s="116">
        <v>141.55000000000001</v>
      </c>
      <c r="Q715" s="116">
        <v>286.8</v>
      </c>
      <c r="R715">
        <v>46551</v>
      </c>
    </row>
    <row r="716" spans="1:18" x14ac:dyDescent="0.25">
      <c r="A716" s="170">
        <v>43055</v>
      </c>
      <c r="B716" s="116">
        <v>145</v>
      </c>
      <c r="C716" s="116">
        <v>144</v>
      </c>
      <c r="D716" s="116">
        <v>143</v>
      </c>
      <c r="E716" s="116">
        <v>143.97499999999999</v>
      </c>
      <c r="F716" s="116">
        <v>288</v>
      </c>
      <c r="G716">
        <v>5725</v>
      </c>
      <c r="H716" s="116"/>
      <c r="I716" s="116"/>
      <c r="L716" s="170">
        <v>43055</v>
      </c>
      <c r="M716" s="116">
        <v>143.6</v>
      </c>
      <c r="N716" s="116">
        <v>145</v>
      </c>
      <c r="O716" s="116">
        <v>142.77500000000001</v>
      </c>
      <c r="P716" s="116">
        <v>144.5</v>
      </c>
      <c r="Q716" s="116">
        <v>287.2</v>
      </c>
      <c r="R716">
        <v>37959</v>
      </c>
    </row>
    <row r="717" spans="1:18" x14ac:dyDescent="0.25">
      <c r="A717" s="170">
        <v>43056</v>
      </c>
      <c r="B717" s="116">
        <v>145.4</v>
      </c>
      <c r="C717" s="116">
        <v>143.4</v>
      </c>
      <c r="D717" s="116">
        <v>143.05000000000001</v>
      </c>
      <c r="E717" s="116">
        <v>145.4</v>
      </c>
      <c r="F717" s="116">
        <v>286.8</v>
      </c>
      <c r="G717">
        <v>14033</v>
      </c>
      <c r="H717" s="116"/>
      <c r="I717" s="116"/>
      <c r="L717" s="170">
        <v>43056</v>
      </c>
      <c r="M717" s="116">
        <v>143.07499999999999</v>
      </c>
      <c r="N717" s="116">
        <v>145.1</v>
      </c>
      <c r="O717" s="116">
        <v>142.67500000000001</v>
      </c>
      <c r="P717" s="116">
        <v>144.82499999999999</v>
      </c>
      <c r="Q717" s="116">
        <v>286.14999999999998</v>
      </c>
      <c r="R717">
        <v>52967</v>
      </c>
    </row>
    <row r="718" spans="1:18" x14ac:dyDescent="0.25">
      <c r="A718" s="170">
        <v>43059</v>
      </c>
      <c r="B718" s="116">
        <v>144.875</v>
      </c>
      <c r="C718" s="116">
        <v>143.42500000000001</v>
      </c>
      <c r="D718" s="116">
        <v>142.52500000000001</v>
      </c>
      <c r="E718" s="116">
        <v>144.85</v>
      </c>
      <c r="F718" s="116">
        <v>286.85000000000002</v>
      </c>
      <c r="G718">
        <v>4091</v>
      </c>
      <c r="H718" s="116"/>
      <c r="I718" s="116"/>
      <c r="L718" s="170">
        <v>43059</v>
      </c>
      <c r="M718" s="116">
        <v>143.52500000000001</v>
      </c>
      <c r="N718" s="116">
        <v>144.47499999999999</v>
      </c>
      <c r="O718" s="116">
        <v>142.25</v>
      </c>
      <c r="P718" s="116">
        <v>142.5</v>
      </c>
      <c r="Q718" s="116">
        <v>287.05</v>
      </c>
      <c r="R718">
        <v>38173</v>
      </c>
    </row>
    <row r="719" spans="1:18" x14ac:dyDescent="0.25">
      <c r="A719" s="170">
        <v>43060</v>
      </c>
      <c r="B719" s="116">
        <v>147.5</v>
      </c>
      <c r="C719" s="116">
        <v>144.30000000000001</v>
      </c>
      <c r="D719" s="116">
        <v>143.5</v>
      </c>
      <c r="E719" s="116">
        <v>146.5</v>
      </c>
      <c r="F719" s="116">
        <v>288.60000000000002</v>
      </c>
      <c r="G719">
        <v>7856</v>
      </c>
      <c r="H719" s="116"/>
      <c r="I719" s="116"/>
      <c r="L719" s="170">
        <v>43060</v>
      </c>
      <c r="M719" s="116">
        <v>143.875</v>
      </c>
      <c r="N719" s="116">
        <v>147.44999999999999</v>
      </c>
      <c r="O719" s="116">
        <v>143</v>
      </c>
      <c r="P719" s="116">
        <v>143.82499999999999</v>
      </c>
      <c r="Q719" s="116">
        <v>287.75</v>
      </c>
      <c r="R719">
        <v>111856</v>
      </c>
    </row>
    <row r="720" spans="1:18" x14ac:dyDescent="0.25">
      <c r="A720" s="170">
        <v>43061</v>
      </c>
      <c r="B720" s="116">
        <v>144.85</v>
      </c>
      <c r="C720" s="116">
        <v>143.69999999999999</v>
      </c>
      <c r="D720" s="116">
        <v>143.25</v>
      </c>
      <c r="E720" s="116">
        <v>144.65</v>
      </c>
      <c r="F720" s="116">
        <v>287.39999999999998</v>
      </c>
      <c r="G720">
        <v>4275</v>
      </c>
      <c r="H720" s="116"/>
      <c r="I720" s="116"/>
      <c r="L720" s="170">
        <v>43061</v>
      </c>
      <c r="M720" s="116">
        <v>143.07499999999999</v>
      </c>
      <c r="N720" s="116">
        <v>145.32499999999999</v>
      </c>
      <c r="O720" s="116">
        <v>142.5</v>
      </c>
      <c r="P720" s="116">
        <v>144.75</v>
      </c>
      <c r="Q720" s="116">
        <v>286.14999999999998</v>
      </c>
      <c r="R720">
        <v>56922</v>
      </c>
    </row>
    <row r="721" spans="1:18" x14ac:dyDescent="0.25">
      <c r="A721" s="170">
        <v>43062</v>
      </c>
      <c r="B721" s="116">
        <v>144.22499999999999</v>
      </c>
      <c r="C721" s="116">
        <v>143.625</v>
      </c>
      <c r="D721" s="116">
        <v>142.72499999999999</v>
      </c>
      <c r="E721" s="116">
        <v>143.5</v>
      </c>
      <c r="F721" s="116">
        <v>287.25</v>
      </c>
      <c r="G721">
        <v>2413</v>
      </c>
      <c r="H721" s="116"/>
      <c r="I721" s="116"/>
      <c r="L721" s="170">
        <v>43062</v>
      </c>
      <c r="M721" s="116">
        <v>143.47499999999999</v>
      </c>
      <c r="N721" s="116">
        <v>144.15</v>
      </c>
      <c r="O721" s="116">
        <v>142.375</v>
      </c>
      <c r="P721" s="116">
        <v>143.97499999999999</v>
      </c>
      <c r="Q721" s="116">
        <v>286.95</v>
      </c>
      <c r="R721">
        <v>37699</v>
      </c>
    </row>
    <row r="722" spans="1:18" x14ac:dyDescent="0.25">
      <c r="A722" s="170">
        <v>43063</v>
      </c>
      <c r="B722" s="116">
        <v>146.4</v>
      </c>
      <c r="C722" s="116">
        <v>144.67500000000001</v>
      </c>
      <c r="D722" s="116">
        <v>142.77500000000001</v>
      </c>
      <c r="E722" s="116">
        <v>143.5</v>
      </c>
      <c r="F722" s="116">
        <v>289.35000000000002</v>
      </c>
      <c r="G722">
        <v>5135</v>
      </c>
      <c r="H722" s="116"/>
      <c r="I722" s="116"/>
      <c r="L722" s="170">
        <v>43063</v>
      </c>
      <c r="M722" s="116">
        <v>144.67500000000001</v>
      </c>
      <c r="N722" s="116">
        <v>146.80000000000001</v>
      </c>
      <c r="O722" s="116">
        <v>142.65</v>
      </c>
      <c r="P722" s="116">
        <v>142.65</v>
      </c>
      <c r="Q722" s="116">
        <v>289.35000000000002</v>
      </c>
      <c r="R722">
        <v>138203</v>
      </c>
    </row>
    <row r="723" spans="1:18" x14ac:dyDescent="0.25">
      <c r="A723" s="170">
        <v>43066</v>
      </c>
      <c r="B723" s="116">
        <v>145.67500000000001</v>
      </c>
      <c r="C723" s="116">
        <v>143.75</v>
      </c>
      <c r="D723" s="116">
        <v>143</v>
      </c>
      <c r="E723" s="116">
        <v>145.5</v>
      </c>
      <c r="F723" s="116">
        <v>287.5</v>
      </c>
      <c r="G723">
        <v>7001</v>
      </c>
      <c r="H723" s="116"/>
      <c r="I723" s="116"/>
      <c r="L723" s="170">
        <v>43066</v>
      </c>
      <c r="M723" s="116">
        <v>143.17500000000001</v>
      </c>
      <c r="N723" s="116">
        <v>145.97499999999999</v>
      </c>
      <c r="O723" s="116">
        <v>142.75</v>
      </c>
      <c r="P723" s="116">
        <v>145.80000000000001</v>
      </c>
      <c r="Q723" s="116">
        <v>286.35000000000002</v>
      </c>
      <c r="R723">
        <v>68008</v>
      </c>
    </row>
    <row r="724" spans="1:18" x14ac:dyDescent="0.25">
      <c r="A724" s="170">
        <v>43067</v>
      </c>
      <c r="B724" s="116">
        <v>145.44999999999999</v>
      </c>
      <c r="C724" s="116">
        <v>144.1</v>
      </c>
      <c r="D724" s="116">
        <v>143.02500000000001</v>
      </c>
      <c r="E724" s="116">
        <v>143.75</v>
      </c>
      <c r="F724" s="116">
        <v>288.2</v>
      </c>
      <c r="G724">
        <v>3658</v>
      </c>
      <c r="H724" s="116"/>
      <c r="I724" s="116"/>
      <c r="L724" s="170">
        <v>43067</v>
      </c>
      <c r="M724" s="116">
        <v>144.07499999999999</v>
      </c>
      <c r="N724" s="116">
        <v>145.92500000000001</v>
      </c>
      <c r="O724" s="116">
        <v>142.80000000000001</v>
      </c>
      <c r="P724" s="116">
        <v>142.80000000000001</v>
      </c>
      <c r="Q724" s="116">
        <v>288.14999999999998</v>
      </c>
      <c r="R724">
        <v>52671</v>
      </c>
    </row>
    <row r="725" spans="1:18" x14ac:dyDescent="0.25">
      <c r="A725" s="170">
        <v>43068</v>
      </c>
      <c r="B725" s="116">
        <v>147</v>
      </c>
      <c r="C725" s="116">
        <v>144.97499999999999</v>
      </c>
      <c r="D725" s="116">
        <v>143.32499999999999</v>
      </c>
      <c r="E725" s="116">
        <v>145</v>
      </c>
      <c r="F725" s="116">
        <v>289.95</v>
      </c>
      <c r="G725">
        <v>9288</v>
      </c>
      <c r="H725" s="116"/>
      <c r="I725" s="116"/>
      <c r="L725" s="170">
        <v>43068</v>
      </c>
      <c r="M725" s="116">
        <v>145.375</v>
      </c>
      <c r="N725" s="116">
        <v>146.75</v>
      </c>
      <c r="O725" s="116">
        <v>143.375</v>
      </c>
      <c r="P725" s="116">
        <v>144.07499999999999</v>
      </c>
      <c r="Q725" s="116">
        <v>290.75</v>
      </c>
      <c r="R725">
        <v>112586</v>
      </c>
    </row>
    <row r="726" spans="1:18" x14ac:dyDescent="0.25">
      <c r="A726" s="170">
        <v>43069</v>
      </c>
      <c r="B726" s="116">
        <v>153</v>
      </c>
      <c r="C726" s="116">
        <v>144.85</v>
      </c>
      <c r="D726" s="116">
        <v>140.75</v>
      </c>
      <c r="E726" s="116">
        <v>146.25</v>
      </c>
      <c r="F726" s="116">
        <v>289.7</v>
      </c>
      <c r="G726">
        <v>45561</v>
      </c>
      <c r="H726" s="116"/>
      <c r="I726" s="116"/>
      <c r="L726" s="170">
        <v>43069</v>
      </c>
      <c r="M726" s="116">
        <v>143.30000000000001</v>
      </c>
      <c r="N726" s="116">
        <v>152.75</v>
      </c>
      <c r="O726" s="116">
        <v>141.92500000000001</v>
      </c>
      <c r="P726" s="116">
        <v>145</v>
      </c>
      <c r="Q726" s="116">
        <v>286.60000000000002</v>
      </c>
      <c r="R726">
        <v>425200</v>
      </c>
    </row>
    <row r="727" spans="1:18" x14ac:dyDescent="0.25">
      <c r="A727" s="170">
        <v>43070</v>
      </c>
      <c r="B727" s="116">
        <v>148.5</v>
      </c>
      <c r="C727" s="116">
        <v>144.27500000000001</v>
      </c>
      <c r="D727" s="116">
        <v>144</v>
      </c>
      <c r="E727" s="116">
        <v>145.65</v>
      </c>
      <c r="F727" s="116">
        <v>288.55</v>
      </c>
      <c r="G727">
        <v>14206</v>
      </c>
      <c r="H727" s="116"/>
      <c r="I727" s="116"/>
      <c r="L727" s="170">
        <v>43070</v>
      </c>
      <c r="M727" s="116">
        <v>144.1</v>
      </c>
      <c r="N727" s="116">
        <v>148.19999999999999</v>
      </c>
      <c r="O727" s="116">
        <v>143.47499999999999</v>
      </c>
      <c r="P727" s="116">
        <v>144.5</v>
      </c>
      <c r="Q727" s="116">
        <v>288.2</v>
      </c>
      <c r="R727">
        <v>101945</v>
      </c>
    </row>
    <row r="728" spans="1:18" x14ac:dyDescent="0.25">
      <c r="A728" s="170">
        <v>43073</v>
      </c>
      <c r="B728" s="116">
        <v>146.35</v>
      </c>
      <c r="C728" s="116">
        <v>144.85</v>
      </c>
      <c r="D728" s="116">
        <v>143.5</v>
      </c>
      <c r="E728" s="116">
        <v>144.27500000000001</v>
      </c>
      <c r="F728" s="116">
        <v>289.7</v>
      </c>
      <c r="G728">
        <v>8362</v>
      </c>
      <c r="H728" s="116"/>
      <c r="I728" s="116"/>
      <c r="L728" s="170">
        <v>43073</v>
      </c>
      <c r="M728" s="116">
        <v>145.05000000000001</v>
      </c>
      <c r="N728" s="116">
        <v>146.19999999999999</v>
      </c>
      <c r="O728" s="116">
        <v>143.82499999999999</v>
      </c>
      <c r="P728" s="116">
        <v>144</v>
      </c>
      <c r="Q728" s="116">
        <v>290.10000000000002</v>
      </c>
      <c r="R728">
        <v>51341</v>
      </c>
    </row>
    <row r="729" spans="1:18" x14ac:dyDescent="0.25">
      <c r="A729" s="170">
        <v>43074</v>
      </c>
      <c r="B729" s="116">
        <v>147.97499999999999</v>
      </c>
      <c r="C729" s="116">
        <v>146.4</v>
      </c>
      <c r="D729" s="116">
        <v>142.5</v>
      </c>
      <c r="E729" s="116">
        <v>144.65</v>
      </c>
      <c r="F729" s="116">
        <v>292.8</v>
      </c>
      <c r="G729">
        <v>7950</v>
      </c>
      <c r="H729" s="116"/>
      <c r="I729" s="116"/>
      <c r="L729" s="170">
        <v>43074</v>
      </c>
      <c r="M729" s="116">
        <v>145.27500000000001</v>
      </c>
      <c r="N729" s="116">
        <v>147.44999999999999</v>
      </c>
      <c r="O729" s="116">
        <v>142.6</v>
      </c>
      <c r="P729" s="116">
        <v>142.6</v>
      </c>
      <c r="Q729" s="116">
        <v>290.55</v>
      </c>
      <c r="R729">
        <v>179998</v>
      </c>
    </row>
    <row r="730" spans="1:18" x14ac:dyDescent="0.25">
      <c r="A730" s="170">
        <v>43075</v>
      </c>
      <c r="B730" s="116">
        <v>148.1</v>
      </c>
      <c r="C730" s="116">
        <v>146.44999999999999</v>
      </c>
      <c r="D730" s="116">
        <v>144.05000000000001</v>
      </c>
      <c r="E730" s="116">
        <v>144.05000000000001</v>
      </c>
      <c r="F730" s="116">
        <v>292.89999999999998</v>
      </c>
      <c r="G730">
        <v>11938</v>
      </c>
      <c r="H730" s="116"/>
      <c r="I730" s="116"/>
      <c r="L730" s="170">
        <v>43075</v>
      </c>
      <c r="M730" s="116">
        <v>147.17500000000001</v>
      </c>
      <c r="N730" s="116">
        <v>148.75</v>
      </c>
      <c r="O730" s="116">
        <v>144.9</v>
      </c>
      <c r="P730" s="116">
        <v>145</v>
      </c>
      <c r="Q730" s="116">
        <v>294.35000000000002</v>
      </c>
      <c r="R730">
        <v>99215</v>
      </c>
    </row>
    <row r="731" spans="1:18" x14ac:dyDescent="0.25">
      <c r="A731" s="170">
        <v>43076</v>
      </c>
      <c r="B731" s="116">
        <v>151.65</v>
      </c>
      <c r="C731" s="116">
        <v>148.67500000000001</v>
      </c>
      <c r="D731" s="116">
        <v>146.02500000000001</v>
      </c>
      <c r="E731" s="116">
        <v>148.5</v>
      </c>
      <c r="F731" s="116">
        <v>297.35000000000002</v>
      </c>
      <c r="G731">
        <v>23453</v>
      </c>
      <c r="H731" s="116"/>
      <c r="I731" s="116"/>
      <c r="L731" s="170">
        <v>43076</v>
      </c>
      <c r="M731" s="116">
        <v>148.75</v>
      </c>
      <c r="N731" s="116">
        <v>152</v>
      </c>
      <c r="O731" s="116">
        <v>147.47499999999999</v>
      </c>
      <c r="P731" s="116">
        <v>148.5</v>
      </c>
      <c r="Q731" s="116">
        <v>297.5</v>
      </c>
      <c r="R731">
        <v>218594</v>
      </c>
    </row>
    <row r="732" spans="1:18" x14ac:dyDescent="0.25">
      <c r="A732" s="170">
        <v>43077</v>
      </c>
      <c r="B732" s="116">
        <v>151.52500000000001</v>
      </c>
      <c r="C732" s="116">
        <v>149.07499999999999</v>
      </c>
      <c r="D732" s="116">
        <v>148.57499999999999</v>
      </c>
      <c r="E732" s="116">
        <v>150.97499999999999</v>
      </c>
      <c r="F732" s="116">
        <v>298.14999999999998</v>
      </c>
      <c r="G732">
        <v>5647</v>
      </c>
      <c r="H732" s="116"/>
      <c r="I732" s="116"/>
      <c r="L732" s="170">
        <v>43077</v>
      </c>
      <c r="M732" s="116">
        <v>149.22499999999999</v>
      </c>
      <c r="N732" s="116">
        <v>152.19999999999999</v>
      </c>
      <c r="O732" s="116">
        <v>148.52500000000001</v>
      </c>
      <c r="P732" s="116">
        <v>149.625</v>
      </c>
      <c r="Q732" s="116">
        <v>298.45</v>
      </c>
      <c r="R732">
        <v>106270</v>
      </c>
    </row>
    <row r="733" spans="1:18" x14ac:dyDescent="0.25">
      <c r="A733" s="170">
        <v>43080</v>
      </c>
      <c r="B733" s="116">
        <v>150.5</v>
      </c>
      <c r="C733" s="116">
        <v>149.55000000000001</v>
      </c>
      <c r="D733" s="116">
        <v>147.52500000000001</v>
      </c>
      <c r="E733" s="116">
        <v>149.72499999999999</v>
      </c>
      <c r="F733" s="116">
        <v>299.10000000000002</v>
      </c>
      <c r="G733">
        <v>5686</v>
      </c>
      <c r="H733" s="116"/>
      <c r="I733" s="116"/>
      <c r="L733" s="170">
        <v>43080</v>
      </c>
      <c r="M733" s="116">
        <v>150</v>
      </c>
      <c r="N733" s="116">
        <v>150.97499999999999</v>
      </c>
      <c r="O733" s="116">
        <v>146.42500000000001</v>
      </c>
      <c r="P733" s="116">
        <v>149.9</v>
      </c>
      <c r="Q733" s="116">
        <v>300</v>
      </c>
      <c r="R733">
        <v>125310</v>
      </c>
    </row>
    <row r="734" spans="1:18" x14ac:dyDescent="0.25">
      <c r="A734" s="170">
        <v>43081</v>
      </c>
      <c r="B734" s="116">
        <v>152.5</v>
      </c>
      <c r="C734" s="116">
        <v>149.19999999999999</v>
      </c>
      <c r="D734" s="116">
        <v>148.5</v>
      </c>
      <c r="E734" s="116">
        <v>149.97499999999999</v>
      </c>
      <c r="F734" s="116">
        <v>298.39999999999998</v>
      </c>
      <c r="G734">
        <v>10011</v>
      </c>
      <c r="H734" s="116"/>
      <c r="I734" s="116"/>
      <c r="L734" s="170">
        <v>43081</v>
      </c>
      <c r="M734" s="116">
        <v>149</v>
      </c>
      <c r="N734" s="116">
        <v>152.94999999999999</v>
      </c>
      <c r="O734" s="116">
        <v>147.92500000000001</v>
      </c>
      <c r="P734" s="116">
        <v>149.5</v>
      </c>
      <c r="Q734" s="116">
        <v>298</v>
      </c>
      <c r="R734">
        <v>162240</v>
      </c>
    </row>
    <row r="735" spans="1:18" x14ac:dyDescent="0.25">
      <c r="A735" s="170">
        <v>43082</v>
      </c>
      <c r="B735" s="116">
        <v>154.125</v>
      </c>
      <c r="C735" s="116">
        <v>149</v>
      </c>
      <c r="D735" s="116">
        <v>148.4</v>
      </c>
      <c r="E735" s="116">
        <v>151.9</v>
      </c>
      <c r="F735" s="116">
        <v>298</v>
      </c>
      <c r="G735">
        <v>18938</v>
      </c>
      <c r="H735" s="116"/>
      <c r="I735" s="116"/>
      <c r="L735" s="170">
        <v>43082</v>
      </c>
      <c r="M735" s="116">
        <v>148.67500000000001</v>
      </c>
      <c r="N735" s="116">
        <v>154.19999999999999</v>
      </c>
      <c r="O735" s="116">
        <v>148.05000000000001</v>
      </c>
      <c r="P735" s="116">
        <v>151.44999999999999</v>
      </c>
      <c r="Q735" s="116">
        <v>297.35000000000002</v>
      </c>
      <c r="R735">
        <v>204426</v>
      </c>
    </row>
    <row r="736" spans="1:18" x14ac:dyDescent="0.25">
      <c r="A736" s="170">
        <v>43083</v>
      </c>
      <c r="B736" s="116">
        <v>150.72499999999999</v>
      </c>
      <c r="C736" s="116">
        <v>147.875</v>
      </c>
      <c r="D736" s="116">
        <v>146.05000000000001</v>
      </c>
      <c r="E736" s="116">
        <v>150.22499999999999</v>
      </c>
      <c r="F736" s="116">
        <v>295.75</v>
      </c>
      <c r="G736">
        <v>334187</v>
      </c>
      <c r="H736" s="116"/>
      <c r="I736" s="116"/>
      <c r="L736" s="170">
        <v>43083</v>
      </c>
      <c r="M736" s="116">
        <v>147.67500000000001</v>
      </c>
      <c r="N736" s="116">
        <v>150.80000000000001</v>
      </c>
      <c r="O736" s="116">
        <v>146.05000000000001</v>
      </c>
      <c r="P736" s="116">
        <v>149.97499999999999</v>
      </c>
      <c r="Q736" s="116">
        <v>295.35000000000002</v>
      </c>
      <c r="R736">
        <v>473160</v>
      </c>
    </row>
    <row r="737" spans="1:18" x14ac:dyDescent="0.25">
      <c r="A737" s="170">
        <v>43084</v>
      </c>
      <c r="B737" s="116">
        <v>149.97499999999999</v>
      </c>
      <c r="C737" s="116">
        <v>147.75</v>
      </c>
      <c r="D737" s="116">
        <v>146.625</v>
      </c>
      <c r="E737" s="116">
        <v>146.625</v>
      </c>
      <c r="F737" s="116">
        <v>295.5</v>
      </c>
      <c r="G737">
        <v>5539</v>
      </c>
      <c r="H737" s="116"/>
      <c r="I737" s="116"/>
      <c r="L737" s="170">
        <v>43084</v>
      </c>
      <c r="M737" s="116">
        <v>147.55000000000001</v>
      </c>
      <c r="N737" s="116">
        <v>149.44999999999999</v>
      </c>
      <c r="O737" s="116">
        <v>147.30000000000001</v>
      </c>
      <c r="P737" s="116">
        <v>148.17500000000001</v>
      </c>
      <c r="Q737" s="116">
        <v>295.10000000000002</v>
      </c>
      <c r="R737">
        <v>56461</v>
      </c>
    </row>
    <row r="738" spans="1:18" x14ac:dyDescent="0.25">
      <c r="A738" s="170">
        <v>43087</v>
      </c>
      <c r="B738" s="116">
        <v>153.32499999999999</v>
      </c>
      <c r="C738" s="116">
        <v>152.02500000000001</v>
      </c>
      <c r="D738" s="116">
        <v>144.75</v>
      </c>
      <c r="E738" s="116">
        <v>146.5</v>
      </c>
      <c r="F738" s="116">
        <v>304.05</v>
      </c>
      <c r="G738">
        <v>30744</v>
      </c>
      <c r="H738" s="116"/>
      <c r="I738" s="116"/>
      <c r="L738" s="170">
        <v>43087</v>
      </c>
      <c r="M738" s="116">
        <v>152.9</v>
      </c>
      <c r="N738" s="116">
        <v>154</v>
      </c>
      <c r="O738" s="116">
        <v>143.9</v>
      </c>
      <c r="P738" s="116">
        <v>147.42500000000001</v>
      </c>
      <c r="Q738" s="116">
        <v>305.8</v>
      </c>
      <c r="R738">
        <v>253168</v>
      </c>
    </row>
    <row r="739" spans="1:18" x14ac:dyDescent="0.25">
      <c r="A739" s="170">
        <v>43088</v>
      </c>
      <c r="B739" s="116">
        <v>154.5</v>
      </c>
      <c r="C739" s="116">
        <v>153.02500000000001</v>
      </c>
      <c r="D739" s="116">
        <v>151</v>
      </c>
      <c r="E739" s="116">
        <v>153.5</v>
      </c>
      <c r="F739" s="116">
        <v>306.05</v>
      </c>
      <c r="G739">
        <v>12954</v>
      </c>
      <c r="H739" s="116"/>
      <c r="I739" s="116"/>
      <c r="L739" s="170">
        <v>43088</v>
      </c>
      <c r="M739" s="116">
        <v>153.94999999999999</v>
      </c>
      <c r="N739" s="116">
        <v>155.65</v>
      </c>
      <c r="O739" s="116">
        <v>151</v>
      </c>
      <c r="P739" s="116">
        <v>154.82499999999999</v>
      </c>
      <c r="Q739" s="116">
        <v>307.89999999999998</v>
      </c>
      <c r="R739">
        <v>155009</v>
      </c>
    </row>
    <row r="740" spans="1:18" x14ac:dyDescent="0.25">
      <c r="A740" s="170">
        <v>43089</v>
      </c>
      <c r="B740" s="116">
        <v>161</v>
      </c>
      <c r="C740" s="116">
        <v>160.22499999999999</v>
      </c>
      <c r="D740" s="116">
        <v>153.625</v>
      </c>
      <c r="E740" s="116">
        <v>153.625</v>
      </c>
      <c r="F740" s="116">
        <v>320.45</v>
      </c>
      <c r="G740">
        <v>47717</v>
      </c>
      <c r="H740" s="116"/>
      <c r="I740" s="116"/>
      <c r="L740" s="170">
        <v>43089</v>
      </c>
      <c r="M740" s="116">
        <v>160.19999999999999</v>
      </c>
      <c r="N740" s="116">
        <v>161</v>
      </c>
      <c r="O740" s="116">
        <v>153.92500000000001</v>
      </c>
      <c r="P740" s="116">
        <v>153.92500000000001</v>
      </c>
      <c r="Q740" s="116">
        <v>320.39999999999998</v>
      </c>
      <c r="R740">
        <v>396520</v>
      </c>
    </row>
    <row r="741" spans="1:18" x14ac:dyDescent="0.25">
      <c r="A741" s="170">
        <v>43090</v>
      </c>
      <c r="B741" s="116">
        <v>165.97499999999999</v>
      </c>
      <c r="C741" s="116">
        <v>162.5</v>
      </c>
      <c r="D741" s="116">
        <v>160.5</v>
      </c>
      <c r="E741" s="116">
        <v>161</v>
      </c>
      <c r="F741" s="116">
        <v>325</v>
      </c>
      <c r="G741">
        <v>32216</v>
      </c>
      <c r="H741" s="116"/>
      <c r="I741" s="116"/>
      <c r="L741" s="170">
        <v>43090</v>
      </c>
      <c r="M741" s="116">
        <v>160.82499999999999</v>
      </c>
      <c r="N741" s="116">
        <v>166.17500000000001</v>
      </c>
      <c r="O741" s="116">
        <v>160.1</v>
      </c>
      <c r="P741" s="116">
        <v>161.5</v>
      </c>
      <c r="Q741" s="116">
        <v>321.64999999999998</v>
      </c>
      <c r="R741">
        <v>219940</v>
      </c>
    </row>
    <row r="742" spans="1:18" x14ac:dyDescent="0.25">
      <c r="A742" s="170">
        <v>43091</v>
      </c>
      <c r="B742" s="116">
        <v>164.97499999999999</v>
      </c>
      <c r="C742" s="116">
        <v>161.02500000000001</v>
      </c>
      <c r="D742" s="116">
        <v>160.42500000000001</v>
      </c>
      <c r="E742" s="116">
        <v>162.55000000000001</v>
      </c>
      <c r="F742" s="116">
        <v>322.05</v>
      </c>
      <c r="G742">
        <v>26680</v>
      </c>
      <c r="H742" s="116"/>
      <c r="I742" s="116"/>
      <c r="L742" s="170">
        <v>43091</v>
      </c>
      <c r="M742" s="116">
        <v>159.52500000000001</v>
      </c>
      <c r="N742" s="116">
        <v>164.5</v>
      </c>
      <c r="O742" s="116">
        <v>156.9</v>
      </c>
      <c r="P742" s="116">
        <v>164</v>
      </c>
      <c r="Q742" s="116">
        <v>319.05</v>
      </c>
      <c r="R742">
        <v>111682</v>
      </c>
    </row>
    <row r="743" spans="1:18" x14ac:dyDescent="0.25">
      <c r="A743" s="170">
        <v>43095</v>
      </c>
      <c r="B743" s="116">
        <v>162.35</v>
      </c>
      <c r="C743" s="116">
        <v>160.77500000000001</v>
      </c>
      <c r="D743" s="116">
        <v>159.80000000000001</v>
      </c>
      <c r="E743" s="116">
        <v>162.35</v>
      </c>
      <c r="F743" s="116">
        <v>321.55</v>
      </c>
      <c r="G743">
        <v>14541</v>
      </c>
      <c r="H743" s="116"/>
      <c r="I743" s="116"/>
      <c r="L743" s="170">
        <v>43095</v>
      </c>
      <c r="M743" s="116">
        <v>160.47499999999999</v>
      </c>
      <c r="N743" s="116">
        <v>162.44999999999999</v>
      </c>
      <c r="O743" s="116">
        <v>159.32499999999999</v>
      </c>
      <c r="P743" s="116">
        <v>162.44999999999999</v>
      </c>
      <c r="Q743" s="116">
        <v>320.95</v>
      </c>
      <c r="R743">
        <v>73961</v>
      </c>
    </row>
    <row r="744" spans="1:18" x14ac:dyDescent="0.25">
      <c r="A744" s="170">
        <v>43096</v>
      </c>
      <c r="B744" s="116">
        <v>164.65</v>
      </c>
      <c r="C744" s="116">
        <v>162.07499999999999</v>
      </c>
      <c r="D744" s="116">
        <v>161</v>
      </c>
      <c r="E744" s="116">
        <v>161.02500000000001</v>
      </c>
      <c r="F744" s="116">
        <v>324.14999999999998</v>
      </c>
      <c r="G744">
        <v>17188</v>
      </c>
      <c r="H744" s="116"/>
      <c r="I744" s="116"/>
      <c r="L744" s="170">
        <v>43096</v>
      </c>
      <c r="M744" s="116">
        <v>162.875</v>
      </c>
      <c r="N744" s="116">
        <v>165.25</v>
      </c>
      <c r="O744" s="116">
        <v>160.875</v>
      </c>
      <c r="P744" s="116">
        <v>162.44999999999999</v>
      </c>
      <c r="Q744" s="116">
        <v>325.75</v>
      </c>
      <c r="R744">
        <v>142694</v>
      </c>
    </row>
    <row r="745" spans="1:18" x14ac:dyDescent="0.25">
      <c r="A745" s="170">
        <v>43097</v>
      </c>
      <c r="B745" s="116">
        <v>169.85</v>
      </c>
      <c r="C745" s="116">
        <v>167.02500000000001</v>
      </c>
      <c r="D745" s="116">
        <v>163.5</v>
      </c>
      <c r="E745" s="116">
        <v>164.5</v>
      </c>
      <c r="F745" s="116">
        <v>334.05</v>
      </c>
      <c r="G745">
        <v>41088</v>
      </c>
      <c r="H745" s="116"/>
      <c r="I745" s="116"/>
      <c r="L745" s="170">
        <v>43097</v>
      </c>
      <c r="M745" s="116">
        <v>167.42500000000001</v>
      </c>
      <c r="N745" s="116">
        <v>169.95</v>
      </c>
      <c r="O745" s="116">
        <v>163.1</v>
      </c>
      <c r="P745" s="116">
        <v>164.82499999999999</v>
      </c>
      <c r="Q745" s="116">
        <v>334.85</v>
      </c>
      <c r="R745">
        <v>340207</v>
      </c>
    </row>
    <row r="746" spans="1:18" x14ac:dyDescent="0.25">
      <c r="A746" s="170">
        <v>43098</v>
      </c>
      <c r="B746" s="116">
        <v>170.375</v>
      </c>
      <c r="C746" s="116">
        <v>166.95</v>
      </c>
      <c r="D746" s="116">
        <v>166.5</v>
      </c>
      <c r="E746" s="116">
        <v>168.22499999999999</v>
      </c>
      <c r="F746" s="116">
        <v>333.9</v>
      </c>
      <c r="G746">
        <v>14184</v>
      </c>
      <c r="H746" s="116"/>
      <c r="I746" s="116"/>
      <c r="L746" s="170">
        <v>43098</v>
      </c>
      <c r="M746" s="116">
        <v>168.2</v>
      </c>
      <c r="N746" s="116">
        <v>170.5</v>
      </c>
      <c r="O746" s="116">
        <v>166.75</v>
      </c>
      <c r="P746" s="116">
        <v>168.9</v>
      </c>
      <c r="Q746" s="116">
        <v>336.4</v>
      </c>
      <c r="R746">
        <v>111259</v>
      </c>
    </row>
    <row r="747" spans="1:18" x14ac:dyDescent="0.25">
      <c r="A747" s="170">
        <v>43101</v>
      </c>
      <c r="B747" s="116">
        <v>172</v>
      </c>
      <c r="C747" s="116">
        <v>168.9</v>
      </c>
      <c r="D747" s="116">
        <v>167.17500000000001</v>
      </c>
      <c r="E747" s="116">
        <v>169.97499999999999</v>
      </c>
      <c r="F747" s="116">
        <v>337.8</v>
      </c>
      <c r="G747">
        <v>11514</v>
      </c>
      <c r="H747" s="116"/>
      <c r="I747" s="116"/>
      <c r="L747" s="170">
        <v>43101</v>
      </c>
      <c r="M747" s="116">
        <v>168.42500000000001</v>
      </c>
      <c r="N747" s="116">
        <v>172</v>
      </c>
      <c r="O747" s="116">
        <v>167.32499999999999</v>
      </c>
      <c r="P747" s="116">
        <v>169.95</v>
      </c>
      <c r="Q747" s="116">
        <v>336.85</v>
      </c>
      <c r="R747">
        <v>94223</v>
      </c>
    </row>
    <row r="748" spans="1:18" x14ac:dyDescent="0.25">
      <c r="A748" s="170">
        <v>43102</v>
      </c>
      <c r="B748" s="116">
        <v>169.82499999999999</v>
      </c>
      <c r="C748" s="116">
        <v>164.47499999999999</v>
      </c>
      <c r="D748" s="116">
        <v>164</v>
      </c>
      <c r="E748" s="116">
        <v>167.625</v>
      </c>
      <c r="F748" s="116">
        <v>328.95</v>
      </c>
      <c r="G748">
        <v>14469</v>
      </c>
      <c r="H748" s="116"/>
      <c r="I748" s="116"/>
      <c r="L748" s="170">
        <v>43102</v>
      </c>
      <c r="M748" s="116">
        <v>164.375</v>
      </c>
      <c r="N748" s="116">
        <v>169.95</v>
      </c>
      <c r="O748" s="116">
        <v>163.52500000000001</v>
      </c>
      <c r="P748" s="116">
        <v>169.95</v>
      </c>
      <c r="Q748" s="116">
        <v>328.75</v>
      </c>
      <c r="R748">
        <v>67352</v>
      </c>
    </row>
    <row r="749" spans="1:18" x14ac:dyDescent="0.25">
      <c r="A749" s="170">
        <v>43103</v>
      </c>
      <c r="B749" s="116">
        <v>167.47499999999999</v>
      </c>
      <c r="C749" s="116">
        <v>164.95</v>
      </c>
      <c r="D749" s="116">
        <v>162.72499999999999</v>
      </c>
      <c r="E749" s="116">
        <v>164.75</v>
      </c>
      <c r="F749" s="116">
        <v>329.9</v>
      </c>
      <c r="G749">
        <v>14229</v>
      </c>
      <c r="H749" s="116"/>
      <c r="I749" s="116"/>
      <c r="L749" s="170">
        <v>43103</v>
      </c>
      <c r="M749" s="116">
        <v>164.875</v>
      </c>
      <c r="N749" s="116">
        <v>166</v>
      </c>
      <c r="O749" s="116">
        <v>161.19999999999999</v>
      </c>
      <c r="P749" s="116">
        <v>163.05000000000001</v>
      </c>
      <c r="Q749" s="116">
        <v>329.75</v>
      </c>
      <c r="R749">
        <v>44354</v>
      </c>
    </row>
    <row r="750" spans="1:18" x14ac:dyDescent="0.25">
      <c r="A750" s="170">
        <v>43104</v>
      </c>
      <c r="B750" s="116">
        <v>166.5</v>
      </c>
      <c r="C750" s="116">
        <v>165.82499999999999</v>
      </c>
      <c r="D750" s="116">
        <v>164.42500000000001</v>
      </c>
      <c r="E750" s="116">
        <v>166.15</v>
      </c>
      <c r="F750" s="116">
        <v>331.65</v>
      </c>
      <c r="G750">
        <v>18414</v>
      </c>
      <c r="H750" s="116"/>
      <c r="I750" s="116"/>
      <c r="L750" s="170">
        <v>43104</v>
      </c>
      <c r="M750" s="116">
        <v>165.875</v>
      </c>
      <c r="N750" s="116">
        <v>166.5</v>
      </c>
      <c r="O750" s="116">
        <v>163.55000000000001</v>
      </c>
      <c r="P750" s="116">
        <v>165</v>
      </c>
      <c r="Q750" s="116">
        <v>331.75</v>
      </c>
      <c r="R750">
        <v>87231</v>
      </c>
    </row>
    <row r="751" spans="1:18" x14ac:dyDescent="0.25">
      <c r="A751" s="170">
        <v>43105</v>
      </c>
      <c r="B751" s="116">
        <v>166.75</v>
      </c>
      <c r="C751" s="116">
        <v>164.2</v>
      </c>
      <c r="D751" s="116">
        <v>164</v>
      </c>
      <c r="E751" s="116">
        <v>166.75</v>
      </c>
      <c r="F751" s="116">
        <v>328.4</v>
      </c>
      <c r="G751">
        <v>10024</v>
      </c>
      <c r="H751" s="116"/>
      <c r="I751" s="116"/>
      <c r="L751" s="170">
        <v>43105</v>
      </c>
      <c r="M751" s="116">
        <v>164.55</v>
      </c>
      <c r="N751" s="116">
        <v>167.375</v>
      </c>
      <c r="O751" s="116">
        <v>163.5</v>
      </c>
      <c r="P751" s="116">
        <v>166.5</v>
      </c>
      <c r="Q751" s="116">
        <v>329.1</v>
      </c>
      <c r="R751">
        <v>50065</v>
      </c>
    </row>
    <row r="752" spans="1:18" x14ac:dyDescent="0.25">
      <c r="A752" s="170">
        <v>43108</v>
      </c>
      <c r="B752" s="116">
        <v>167.5</v>
      </c>
      <c r="C752" s="116">
        <v>166.02500000000001</v>
      </c>
      <c r="D752" s="116">
        <v>163.52500000000001</v>
      </c>
      <c r="E752" s="116">
        <v>167.5</v>
      </c>
      <c r="F752" s="116">
        <v>332.05</v>
      </c>
      <c r="G752">
        <v>9859</v>
      </c>
      <c r="H752" s="116"/>
      <c r="I752" s="116"/>
      <c r="L752" s="170">
        <v>43108</v>
      </c>
      <c r="M752" s="116">
        <v>166.1</v>
      </c>
      <c r="N752" s="116">
        <v>167.375</v>
      </c>
      <c r="O752" s="116">
        <v>162.9</v>
      </c>
      <c r="P752" s="116">
        <v>163.27500000000001</v>
      </c>
      <c r="Q752" s="116">
        <v>332.2</v>
      </c>
      <c r="R752">
        <v>44291</v>
      </c>
    </row>
    <row r="753" spans="1:18" x14ac:dyDescent="0.25">
      <c r="A753" s="170">
        <v>43109</v>
      </c>
      <c r="B753" s="116">
        <v>169.97499999999999</v>
      </c>
      <c r="C753" s="116">
        <v>168.07499999999999</v>
      </c>
      <c r="D753" s="116">
        <v>164.75</v>
      </c>
      <c r="E753" s="116">
        <v>166</v>
      </c>
      <c r="F753" s="116">
        <v>336.15</v>
      </c>
      <c r="G753">
        <v>20311</v>
      </c>
      <c r="H753" s="116"/>
      <c r="I753" s="116"/>
      <c r="L753" s="170">
        <v>43109</v>
      </c>
      <c r="M753" s="116">
        <v>167.72499999999999</v>
      </c>
      <c r="N753" s="116">
        <v>168.8</v>
      </c>
      <c r="O753" s="116">
        <v>164.5</v>
      </c>
      <c r="P753" s="116">
        <v>167.45</v>
      </c>
      <c r="Q753" s="116">
        <v>335.45</v>
      </c>
      <c r="R753">
        <v>70792</v>
      </c>
    </row>
    <row r="754" spans="1:18" x14ac:dyDescent="0.25">
      <c r="A754" s="170">
        <v>43110</v>
      </c>
      <c r="B754" s="116">
        <v>169.97499999999999</v>
      </c>
      <c r="C754" s="116">
        <v>168.67500000000001</v>
      </c>
      <c r="D754" s="116">
        <v>166.5</v>
      </c>
      <c r="E754" s="116">
        <v>167</v>
      </c>
      <c r="F754" s="116">
        <v>337.35</v>
      </c>
      <c r="G754">
        <v>12160</v>
      </c>
      <c r="H754" s="116"/>
      <c r="I754" s="116"/>
      <c r="L754" s="170">
        <v>43110</v>
      </c>
      <c r="M754" s="116">
        <v>167.72499999999999</v>
      </c>
      <c r="N754" s="116">
        <v>169.85</v>
      </c>
      <c r="O754" s="116">
        <v>166</v>
      </c>
      <c r="P754" s="116">
        <v>166</v>
      </c>
      <c r="Q754" s="116">
        <v>335.45</v>
      </c>
      <c r="R754">
        <v>45075</v>
      </c>
    </row>
    <row r="755" spans="1:18" x14ac:dyDescent="0.25">
      <c r="A755" s="170">
        <v>43111</v>
      </c>
      <c r="B755" s="116">
        <v>169.05</v>
      </c>
      <c r="C755" s="116">
        <v>168.22499999999999</v>
      </c>
      <c r="D755" s="116">
        <v>166.25</v>
      </c>
      <c r="E755" s="116">
        <v>167.42500000000001</v>
      </c>
      <c r="F755" s="116">
        <v>336.45</v>
      </c>
      <c r="G755">
        <v>10258</v>
      </c>
      <c r="H755" s="116"/>
      <c r="I755" s="116"/>
      <c r="L755" s="170">
        <v>43111</v>
      </c>
      <c r="M755" s="116">
        <v>168.05</v>
      </c>
      <c r="N755" s="116">
        <v>169</v>
      </c>
      <c r="O755" s="116">
        <v>165.85</v>
      </c>
      <c r="P755" s="116">
        <v>167.5</v>
      </c>
      <c r="Q755" s="116">
        <v>336.1</v>
      </c>
      <c r="R755">
        <v>49294</v>
      </c>
    </row>
    <row r="756" spans="1:18" x14ac:dyDescent="0.25">
      <c r="A756" s="170">
        <v>43112</v>
      </c>
      <c r="B756" s="116">
        <v>169.97499999999999</v>
      </c>
      <c r="C756" s="116">
        <v>169.07499999999999</v>
      </c>
      <c r="D756" s="116">
        <v>165.02500000000001</v>
      </c>
      <c r="E756" s="116">
        <v>168.82499999999999</v>
      </c>
      <c r="F756" s="116">
        <v>338.15</v>
      </c>
      <c r="G756">
        <v>9909</v>
      </c>
      <c r="H756" s="116"/>
      <c r="I756" s="116"/>
      <c r="L756" s="170">
        <v>43112</v>
      </c>
      <c r="M756" s="116">
        <v>168</v>
      </c>
      <c r="N756" s="116">
        <v>169.75</v>
      </c>
      <c r="O756" s="116">
        <v>165.55</v>
      </c>
      <c r="P756" s="116">
        <v>168.77500000000001</v>
      </c>
      <c r="Q756" s="116">
        <v>336</v>
      </c>
      <c r="R756">
        <v>77161</v>
      </c>
    </row>
    <row r="757" spans="1:18" x14ac:dyDescent="0.25">
      <c r="A757" s="170">
        <v>43115</v>
      </c>
      <c r="B757" s="116">
        <v>169.17500000000001</v>
      </c>
      <c r="C757" s="116">
        <v>166.5</v>
      </c>
      <c r="D757" s="116">
        <v>165.7</v>
      </c>
      <c r="E757" s="116">
        <v>168.95</v>
      </c>
      <c r="F757" s="116">
        <v>333</v>
      </c>
      <c r="G757">
        <v>6517</v>
      </c>
      <c r="H757" s="116"/>
      <c r="I757" s="116"/>
      <c r="L757" s="170">
        <v>43115</v>
      </c>
      <c r="M757" s="116">
        <v>166.07499999999999</v>
      </c>
      <c r="N757" s="116">
        <v>169.72499999999999</v>
      </c>
      <c r="O757" s="116">
        <v>164.65</v>
      </c>
      <c r="P757" s="116">
        <v>167</v>
      </c>
      <c r="Q757" s="116">
        <v>332.15</v>
      </c>
      <c r="R757">
        <v>41691</v>
      </c>
    </row>
    <row r="758" spans="1:18" x14ac:dyDescent="0.25">
      <c r="A758" s="170">
        <v>43116</v>
      </c>
      <c r="B758" s="116">
        <v>166.5</v>
      </c>
      <c r="C758" s="116">
        <v>159.72499999999999</v>
      </c>
      <c r="D758" s="116">
        <v>158.625</v>
      </c>
      <c r="E758" s="116">
        <v>166.5</v>
      </c>
      <c r="F758" s="116">
        <v>319.45</v>
      </c>
      <c r="G758">
        <v>11362</v>
      </c>
      <c r="H758" s="116"/>
      <c r="I758" s="116"/>
      <c r="L758" s="170">
        <v>43116</v>
      </c>
      <c r="M758" s="116">
        <v>159.17500000000001</v>
      </c>
      <c r="N758" s="116">
        <v>167.67500000000001</v>
      </c>
      <c r="O758" s="116">
        <v>158.125</v>
      </c>
      <c r="P758" s="116">
        <v>166</v>
      </c>
      <c r="Q758" s="116">
        <v>318.35000000000002</v>
      </c>
      <c r="R758">
        <v>65113</v>
      </c>
    </row>
    <row r="759" spans="1:18" x14ac:dyDescent="0.25">
      <c r="A759" s="170">
        <v>43117</v>
      </c>
      <c r="B759" s="116">
        <v>165.8</v>
      </c>
      <c r="C759" s="116">
        <v>163.82499999999999</v>
      </c>
      <c r="D759" s="116">
        <v>160.875</v>
      </c>
      <c r="E759" s="116">
        <v>165</v>
      </c>
      <c r="F759" s="116">
        <v>327.64999999999998</v>
      </c>
      <c r="G759">
        <v>18811</v>
      </c>
      <c r="H759" s="116"/>
      <c r="I759" s="116"/>
      <c r="L759" s="170">
        <v>43117</v>
      </c>
      <c r="M759" s="116">
        <v>164.27500000000001</v>
      </c>
      <c r="N759" s="116">
        <v>166.25</v>
      </c>
      <c r="O759" s="116">
        <v>160.57499999999999</v>
      </c>
      <c r="P759" s="116">
        <v>165.5</v>
      </c>
      <c r="Q759" s="116">
        <v>328.55</v>
      </c>
      <c r="R759">
        <v>201834</v>
      </c>
    </row>
    <row r="760" spans="1:18" x14ac:dyDescent="0.25">
      <c r="A760" s="170">
        <v>43118</v>
      </c>
      <c r="B760" s="116">
        <v>166.22499999999999</v>
      </c>
      <c r="C760" s="116">
        <v>159.94999999999999</v>
      </c>
      <c r="D760" s="116">
        <v>159.5</v>
      </c>
      <c r="E760" s="116">
        <v>166.22499999999999</v>
      </c>
      <c r="F760" s="116">
        <v>319.89999999999998</v>
      </c>
      <c r="G760">
        <v>12713</v>
      </c>
      <c r="H760" s="116"/>
      <c r="I760" s="116"/>
      <c r="L760" s="170">
        <v>43118</v>
      </c>
      <c r="M760" s="116">
        <v>160.02500000000001</v>
      </c>
      <c r="N760" s="116">
        <v>166.2</v>
      </c>
      <c r="O760" s="116">
        <v>159</v>
      </c>
      <c r="P760" s="116">
        <v>165.75</v>
      </c>
      <c r="Q760" s="116">
        <v>320.05</v>
      </c>
      <c r="R760">
        <v>44894</v>
      </c>
    </row>
    <row r="761" spans="1:18" x14ac:dyDescent="0.25">
      <c r="A761" s="170">
        <v>43119</v>
      </c>
      <c r="B761" s="116">
        <v>163.5</v>
      </c>
      <c r="C761" s="116">
        <v>162.1</v>
      </c>
      <c r="D761" s="116">
        <v>158.9</v>
      </c>
      <c r="E761" s="116">
        <v>159.92500000000001</v>
      </c>
      <c r="F761" s="116">
        <v>324.2</v>
      </c>
      <c r="G761">
        <v>7356</v>
      </c>
      <c r="H761" s="116"/>
      <c r="I761" s="116"/>
      <c r="L761" s="170">
        <v>43119</v>
      </c>
      <c r="M761" s="116">
        <v>163.07499999999999</v>
      </c>
      <c r="N761" s="116">
        <v>164.5</v>
      </c>
      <c r="O761" s="116">
        <v>157.6</v>
      </c>
      <c r="P761" s="116">
        <v>159.02500000000001</v>
      </c>
      <c r="Q761" s="116">
        <v>326.14999999999998</v>
      </c>
      <c r="R761">
        <v>81055</v>
      </c>
    </row>
    <row r="762" spans="1:18" x14ac:dyDescent="0.25">
      <c r="A762" s="170">
        <v>43122</v>
      </c>
      <c r="B762" s="116">
        <v>165.375</v>
      </c>
      <c r="C762" s="116">
        <v>162.19999999999999</v>
      </c>
      <c r="D762" s="116">
        <v>161.1</v>
      </c>
      <c r="E762" s="116">
        <v>164.375</v>
      </c>
      <c r="F762" s="116">
        <v>324.39999999999998</v>
      </c>
      <c r="G762">
        <v>12216</v>
      </c>
      <c r="H762" s="116"/>
      <c r="I762" s="116"/>
      <c r="L762" s="170">
        <v>43122</v>
      </c>
      <c r="M762" s="116">
        <v>162</v>
      </c>
      <c r="N762" s="116">
        <v>164.97499999999999</v>
      </c>
      <c r="O762" s="116">
        <v>160.625</v>
      </c>
      <c r="P762" s="116">
        <v>163.5</v>
      </c>
      <c r="Q762" s="116">
        <v>324</v>
      </c>
      <c r="R762">
        <v>47006</v>
      </c>
    </row>
    <row r="763" spans="1:18" x14ac:dyDescent="0.25">
      <c r="A763" s="170">
        <v>43123</v>
      </c>
      <c r="B763" s="116">
        <v>164.9</v>
      </c>
      <c r="C763" s="116">
        <v>163.02500000000001</v>
      </c>
      <c r="D763" s="116">
        <v>160</v>
      </c>
      <c r="E763" s="116">
        <v>164.82499999999999</v>
      </c>
      <c r="F763" s="116">
        <v>326.05</v>
      </c>
      <c r="G763">
        <v>14534</v>
      </c>
      <c r="H763" s="116"/>
      <c r="I763" s="116"/>
      <c r="L763" s="170">
        <v>43123</v>
      </c>
      <c r="M763" s="116">
        <v>163.05000000000001</v>
      </c>
      <c r="N763" s="116">
        <v>164.5</v>
      </c>
      <c r="O763" s="116">
        <v>162.05000000000001</v>
      </c>
      <c r="P763" s="116">
        <v>162.625</v>
      </c>
      <c r="Q763" s="116">
        <v>326.10000000000002</v>
      </c>
      <c r="R763">
        <v>40613</v>
      </c>
    </row>
    <row r="764" spans="1:18" x14ac:dyDescent="0.25">
      <c r="A764" s="170">
        <v>43124</v>
      </c>
      <c r="B764" s="116">
        <v>164.45</v>
      </c>
      <c r="C764" s="116">
        <v>163.17500000000001</v>
      </c>
      <c r="D764" s="116">
        <v>161.44999999999999</v>
      </c>
      <c r="E764" s="116">
        <v>163</v>
      </c>
      <c r="F764" s="116">
        <v>326.35000000000002</v>
      </c>
      <c r="G764">
        <v>5807</v>
      </c>
      <c r="H764" s="116"/>
      <c r="I764" s="116"/>
      <c r="L764" s="170">
        <v>43124</v>
      </c>
      <c r="M764" s="116">
        <v>163.32499999999999</v>
      </c>
      <c r="N764" s="116">
        <v>164.8</v>
      </c>
      <c r="O764" s="116">
        <v>161.05000000000001</v>
      </c>
      <c r="P764" s="116">
        <v>163.05000000000001</v>
      </c>
      <c r="Q764" s="116">
        <v>326.64999999999998</v>
      </c>
      <c r="R764">
        <v>61091</v>
      </c>
    </row>
    <row r="765" spans="1:18" x14ac:dyDescent="0.25">
      <c r="A765" s="170">
        <v>43125</v>
      </c>
      <c r="B765" s="116">
        <v>162.25</v>
      </c>
      <c r="C765" s="116">
        <v>158.80000000000001</v>
      </c>
      <c r="D765" s="116">
        <v>158.44999999999999</v>
      </c>
      <c r="E765" s="116">
        <v>161.75</v>
      </c>
      <c r="F765" s="116">
        <v>317.60000000000002</v>
      </c>
      <c r="G765">
        <v>4328</v>
      </c>
      <c r="H765" s="116"/>
      <c r="I765" s="116"/>
      <c r="L765" s="170">
        <v>43125</v>
      </c>
      <c r="M765" s="116">
        <v>158.1</v>
      </c>
      <c r="N765" s="116">
        <v>164.5</v>
      </c>
      <c r="O765" s="116">
        <v>157.52500000000001</v>
      </c>
      <c r="P765" s="116">
        <v>164.5</v>
      </c>
      <c r="Q765" s="116">
        <v>316.2</v>
      </c>
      <c r="R765">
        <v>58304</v>
      </c>
    </row>
    <row r="766" spans="1:18" x14ac:dyDescent="0.25">
      <c r="A766" s="170">
        <v>43129</v>
      </c>
      <c r="B766" s="116">
        <v>162.47499999999999</v>
      </c>
      <c r="C766" s="116">
        <v>160.17500000000001</v>
      </c>
      <c r="D766" s="116">
        <v>154.77500000000001</v>
      </c>
      <c r="E766" s="116">
        <v>159.5</v>
      </c>
      <c r="F766" s="116">
        <v>320.35000000000002</v>
      </c>
      <c r="G766">
        <v>9843</v>
      </c>
      <c r="H766" s="116"/>
      <c r="I766" s="116"/>
      <c r="L766" s="170">
        <v>43129</v>
      </c>
      <c r="M766" s="116">
        <v>160.67500000000001</v>
      </c>
      <c r="N766" s="116">
        <v>163.69999999999999</v>
      </c>
      <c r="O766" s="116">
        <v>154.52500000000001</v>
      </c>
      <c r="P766" s="116">
        <v>157.5</v>
      </c>
      <c r="Q766" s="116">
        <v>321.35000000000002</v>
      </c>
      <c r="R766">
        <v>76208</v>
      </c>
    </row>
    <row r="767" spans="1:18" x14ac:dyDescent="0.25">
      <c r="A767" s="170">
        <v>43130</v>
      </c>
      <c r="B767" s="116">
        <v>159.5</v>
      </c>
      <c r="C767" s="116">
        <v>155.67500000000001</v>
      </c>
      <c r="D767" s="116">
        <v>153</v>
      </c>
      <c r="E767" s="116">
        <v>157.57499999999999</v>
      </c>
      <c r="F767" s="116">
        <v>311.35000000000002</v>
      </c>
      <c r="G767">
        <v>7698</v>
      </c>
      <c r="H767" s="116"/>
      <c r="I767" s="116"/>
      <c r="L767" s="170">
        <v>43130</v>
      </c>
      <c r="M767" s="116">
        <v>155.875</v>
      </c>
      <c r="N767" s="116">
        <v>160</v>
      </c>
      <c r="O767" s="116">
        <v>152.875</v>
      </c>
      <c r="P767" s="116">
        <v>160</v>
      </c>
      <c r="Q767" s="116">
        <v>311.75</v>
      </c>
      <c r="R767">
        <v>67827</v>
      </c>
    </row>
    <row r="768" spans="1:18" x14ac:dyDescent="0.25">
      <c r="A768" s="170">
        <v>43131</v>
      </c>
      <c r="B768" s="116">
        <v>155.69999999999999</v>
      </c>
      <c r="C768" s="116">
        <v>153.625</v>
      </c>
      <c r="D768" s="116">
        <v>152</v>
      </c>
      <c r="E768" s="116">
        <v>154.125</v>
      </c>
      <c r="F768" s="116">
        <v>307.25</v>
      </c>
      <c r="G768">
        <v>10097</v>
      </c>
      <c r="H768" s="116"/>
      <c r="I768" s="116"/>
      <c r="L768" s="170">
        <v>43131</v>
      </c>
      <c r="M768" s="116">
        <v>153.65</v>
      </c>
      <c r="N768" s="116">
        <v>155.52500000000001</v>
      </c>
      <c r="O768" s="116">
        <v>151.5</v>
      </c>
      <c r="P768" s="116">
        <v>152.65</v>
      </c>
      <c r="Q768" s="116">
        <v>307.3</v>
      </c>
      <c r="R768">
        <v>32860</v>
      </c>
    </row>
    <row r="769" spans="1:18" x14ac:dyDescent="0.25">
      <c r="A769" s="170">
        <v>43132</v>
      </c>
      <c r="B769" s="116">
        <v>156.47499999999999</v>
      </c>
      <c r="C769" s="116">
        <v>155.25</v>
      </c>
      <c r="D769" s="116">
        <v>150</v>
      </c>
      <c r="E769" s="116">
        <v>152.75</v>
      </c>
      <c r="F769" s="116">
        <v>310.5</v>
      </c>
      <c r="G769">
        <v>6417</v>
      </c>
      <c r="H769" s="116"/>
      <c r="I769" s="116"/>
      <c r="L769" s="170">
        <v>43132</v>
      </c>
      <c r="M769" s="116">
        <v>155.77500000000001</v>
      </c>
      <c r="N769" s="116">
        <v>156.44999999999999</v>
      </c>
      <c r="O769" s="116">
        <v>149.5</v>
      </c>
      <c r="P769" s="116">
        <v>152.57499999999999</v>
      </c>
      <c r="Q769" s="116">
        <v>311.55</v>
      </c>
      <c r="R769">
        <v>50413</v>
      </c>
    </row>
    <row r="770" spans="1:18" x14ac:dyDescent="0.25">
      <c r="A770" s="170">
        <v>43133</v>
      </c>
      <c r="B770" s="116">
        <v>154</v>
      </c>
      <c r="C770" s="116">
        <v>151.30000000000001</v>
      </c>
      <c r="D770" s="116">
        <v>150.5</v>
      </c>
      <c r="E770" s="116">
        <v>154</v>
      </c>
      <c r="F770" s="116">
        <v>302.60000000000002</v>
      </c>
      <c r="G770">
        <v>20191</v>
      </c>
      <c r="H770" s="116"/>
      <c r="I770" s="116"/>
      <c r="L770" s="170">
        <v>43133</v>
      </c>
      <c r="M770" s="116">
        <v>152.02500000000001</v>
      </c>
      <c r="N770" s="116">
        <v>156.125</v>
      </c>
      <c r="O770" s="116">
        <v>150.02500000000001</v>
      </c>
      <c r="P770" s="116">
        <v>152.52500000000001</v>
      </c>
      <c r="Q770" s="116">
        <v>304.05</v>
      </c>
      <c r="R770">
        <v>138200</v>
      </c>
    </row>
    <row r="771" spans="1:18" x14ac:dyDescent="0.25">
      <c r="A771" s="170">
        <v>43136</v>
      </c>
      <c r="B771" s="116">
        <v>150.6</v>
      </c>
      <c r="C771" s="116">
        <v>148.94999999999999</v>
      </c>
      <c r="D771" s="116">
        <v>146.6</v>
      </c>
      <c r="E771" s="116">
        <v>150.02500000000001</v>
      </c>
      <c r="F771" s="116">
        <v>297.89999999999998</v>
      </c>
      <c r="G771">
        <v>10200</v>
      </c>
      <c r="H771" s="116"/>
      <c r="I771" s="116"/>
      <c r="L771" s="170">
        <v>43136</v>
      </c>
      <c r="M771" s="116">
        <v>149.1</v>
      </c>
      <c r="N771" s="116">
        <v>150.94999999999999</v>
      </c>
      <c r="O771" s="116">
        <v>146.57499999999999</v>
      </c>
      <c r="P771" s="116">
        <v>150.25</v>
      </c>
      <c r="Q771" s="116">
        <v>298.2</v>
      </c>
      <c r="R771">
        <v>67641</v>
      </c>
    </row>
    <row r="772" spans="1:18" x14ac:dyDescent="0.25">
      <c r="A772" s="170">
        <v>43137</v>
      </c>
      <c r="B772" s="116">
        <v>149.5</v>
      </c>
      <c r="C772" s="116">
        <v>146.02500000000001</v>
      </c>
      <c r="D772" s="116">
        <v>143</v>
      </c>
      <c r="E772" s="116">
        <v>148.94999999999999</v>
      </c>
      <c r="F772" s="116">
        <v>292.05</v>
      </c>
      <c r="G772">
        <v>5803</v>
      </c>
      <c r="H772" s="116"/>
      <c r="I772" s="116"/>
      <c r="L772" s="170">
        <v>43137</v>
      </c>
      <c r="M772" s="116">
        <v>145.57499999999999</v>
      </c>
      <c r="N772" s="116">
        <v>149.75</v>
      </c>
      <c r="O772" s="116">
        <v>140.55000000000001</v>
      </c>
      <c r="P772" s="116">
        <v>142.5</v>
      </c>
      <c r="Q772" s="116">
        <v>291.14999999999998</v>
      </c>
      <c r="R772">
        <v>69360</v>
      </c>
    </row>
    <row r="773" spans="1:18" x14ac:dyDescent="0.25">
      <c r="A773" s="170">
        <v>43138</v>
      </c>
      <c r="B773" s="116">
        <v>151.25</v>
      </c>
      <c r="C773" s="116">
        <v>150.19999999999999</v>
      </c>
      <c r="D773" s="116">
        <v>147.30000000000001</v>
      </c>
      <c r="E773" s="116">
        <v>147.5</v>
      </c>
      <c r="F773" s="116">
        <v>300.39999999999998</v>
      </c>
      <c r="G773">
        <v>2228</v>
      </c>
      <c r="H773" s="116"/>
      <c r="I773" s="116"/>
      <c r="L773" s="170">
        <v>43138</v>
      </c>
      <c r="M773" s="116">
        <v>149.77500000000001</v>
      </c>
      <c r="N773" s="116">
        <v>151.47499999999999</v>
      </c>
      <c r="O773" s="116">
        <v>147.22499999999999</v>
      </c>
      <c r="P773" s="116">
        <v>151</v>
      </c>
      <c r="Q773" s="116">
        <v>299.55</v>
      </c>
      <c r="R773">
        <v>31492</v>
      </c>
    </row>
    <row r="774" spans="1:18" x14ac:dyDescent="0.25">
      <c r="A774" s="170">
        <v>43139</v>
      </c>
      <c r="B774" s="116">
        <v>154.5</v>
      </c>
      <c r="C774" s="116">
        <v>152.17500000000001</v>
      </c>
      <c r="D774" s="116">
        <v>146.375</v>
      </c>
      <c r="E774" s="116">
        <v>148.94999999999999</v>
      </c>
      <c r="F774" s="116">
        <v>304.35000000000002</v>
      </c>
      <c r="G774">
        <v>5956</v>
      </c>
      <c r="H774" s="116"/>
      <c r="I774" s="116"/>
      <c r="L774" s="170">
        <v>43139</v>
      </c>
      <c r="M774" s="116">
        <v>151.4</v>
      </c>
      <c r="N774" s="116">
        <v>154.75</v>
      </c>
      <c r="O774" s="116">
        <v>146.5</v>
      </c>
      <c r="P774" s="116">
        <v>151.44999999999999</v>
      </c>
      <c r="Q774" s="116">
        <v>302.8</v>
      </c>
      <c r="R774">
        <v>53180</v>
      </c>
    </row>
    <row r="775" spans="1:18" x14ac:dyDescent="0.25">
      <c r="A775" s="170">
        <v>43140</v>
      </c>
      <c r="B775" s="116">
        <v>154.97499999999999</v>
      </c>
      <c r="C775" s="116">
        <v>149.82499999999999</v>
      </c>
      <c r="D775" s="116">
        <v>148.125</v>
      </c>
      <c r="E775" s="116">
        <v>148.5</v>
      </c>
      <c r="F775" s="116">
        <v>299.64999999999998</v>
      </c>
      <c r="G775">
        <v>11848</v>
      </c>
      <c r="H775" s="116"/>
      <c r="I775" s="116"/>
      <c r="L775" s="170">
        <v>43140</v>
      </c>
      <c r="M775" s="116">
        <v>150.25</v>
      </c>
      <c r="N775" s="116">
        <v>155</v>
      </c>
      <c r="O775" s="116">
        <v>147.57499999999999</v>
      </c>
      <c r="P775" s="116">
        <v>151</v>
      </c>
      <c r="Q775" s="116">
        <v>300.5</v>
      </c>
      <c r="R775">
        <v>171665</v>
      </c>
    </row>
    <row r="776" spans="1:18" x14ac:dyDescent="0.25">
      <c r="A776" s="170">
        <v>43143</v>
      </c>
      <c r="B776" s="116">
        <v>169.625</v>
      </c>
      <c r="C776" s="116">
        <v>158.82499999999999</v>
      </c>
      <c r="D776" s="116">
        <v>149.44999999999999</v>
      </c>
      <c r="E776" s="116">
        <v>149.44999999999999</v>
      </c>
      <c r="F776" s="116">
        <v>317.64999999999998</v>
      </c>
      <c r="G776">
        <v>28217</v>
      </c>
      <c r="H776" s="116"/>
      <c r="I776" s="116"/>
      <c r="L776" s="170">
        <v>43143</v>
      </c>
      <c r="M776" s="116">
        <v>159.15</v>
      </c>
      <c r="N776" s="116">
        <v>170</v>
      </c>
      <c r="O776" s="116">
        <v>148.1</v>
      </c>
      <c r="P776" s="116">
        <v>149.5</v>
      </c>
      <c r="Q776" s="116">
        <v>318.3</v>
      </c>
      <c r="R776">
        <v>199414</v>
      </c>
    </row>
    <row r="777" spans="1:18" x14ac:dyDescent="0.25">
      <c r="A777" s="170">
        <v>43145</v>
      </c>
      <c r="B777" s="116">
        <v>162.15</v>
      </c>
      <c r="C777" s="116">
        <v>159.25</v>
      </c>
      <c r="D777" s="116">
        <v>157</v>
      </c>
      <c r="E777" s="116">
        <v>159.6</v>
      </c>
      <c r="F777" s="116">
        <v>318.5</v>
      </c>
      <c r="G777">
        <v>7788</v>
      </c>
      <c r="H777" s="116"/>
      <c r="I777" s="116"/>
      <c r="L777" s="170">
        <v>43145</v>
      </c>
      <c r="M777" s="116">
        <v>159.375</v>
      </c>
      <c r="N777" s="116">
        <v>162.15</v>
      </c>
      <c r="O777" s="116">
        <v>157.05000000000001</v>
      </c>
      <c r="P777" s="116">
        <v>159.15</v>
      </c>
      <c r="Q777" s="116">
        <v>318.75</v>
      </c>
      <c r="R777">
        <v>81313</v>
      </c>
    </row>
    <row r="778" spans="1:18" x14ac:dyDescent="0.25">
      <c r="A778" s="170">
        <v>43146</v>
      </c>
      <c r="B778" s="116">
        <v>160</v>
      </c>
      <c r="C778" s="116">
        <v>159.15</v>
      </c>
      <c r="D778" s="116">
        <v>156.72499999999999</v>
      </c>
      <c r="E778" s="116">
        <v>158.92500000000001</v>
      </c>
      <c r="F778" s="116">
        <v>318.3</v>
      </c>
      <c r="G778">
        <v>32501</v>
      </c>
      <c r="H778" s="116"/>
      <c r="I778" s="116"/>
      <c r="L778" s="170">
        <v>43146</v>
      </c>
      <c r="M778" s="116">
        <v>159.35</v>
      </c>
      <c r="N778" s="116">
        <v>160.32499999999999</v>
      </c>
      <c r="O778" s="116">
        <v>156.94999999999999</v>
      </c>
      <c r="P778" s="116">
        <v>158.02500000000001</v>
      </c>
      <c r="Q778" s="116">
        <v>318.7</v>
      </c>
      <c r="R778">
        <v>176190</v>
      </c>
    </row>
    <row r="779" spans="1:18" x14ac:dyDescent="0.25">
      <c r="A779" s="170">
        <v>43147</v>
      </c>
      <c r="B779" s="116">
        <v>158.32499999999999</v>
      </c>
      <c r="C779" s="116">
        <v>153.875</v>
      </c>
      <c r="D779" s="116">
        <v>152.52500000000001</v>
      </c>
      <c r="E779" s="116">
        <v>158.19999999999999</v>
      </c>
      <c r="F779" s="116">
        <v>307.75</v>
      </c>
      <c r="G779">
        <v>3441</v>
      </c>
      <c r="H779" s="116"/>
      <c r="I779" s="116"/>
      <c r="L779" s="170">
        <v>43147</v>
      </c>
      <c r="M779" s="116">
        <v>153.9</v>
      </c>
      <c r="N779" s="116">
        <v>160.47499999999999</v>
      </c>
      <c r="O779" s="116">
        <v>152.5</v>
      </c>
      <c r="P779" s="116">
        <v>159.52500000000001</v>
      </c>
      <c r="Q779" s="116">
        <v>307.8</v>
      </c>
      <c r="R779">
        <v>37369</v>
      </c>
    </row>
    <row r="780" spans="1:18" x14ac:dyDescent="0.25">
      <c r="A780" s="170">
        <v>43150</v>
      </c>
      <c r="B780" s="116">
        <v>155</v>
      </c>
      <c r="C780" s="116">
        <v>149.94999999999999</v>
      </c>
      <c r="D780" s="116">
        <v>148.69999999999999</v>
      </c>
      <c r="E780" s="116">
        <v>154.80000000000001</v>
      </c>
      <c r="F780" s="116">
        <v>299.89999999999998</v>
      </c>
      <c r="G780">
        <v>5880</v>
      </c>
      <c r="H780" s="116"/>
      <c r="I780" s="116"/>
      <c r="L780" s="170">
        <v>43150</v>
      </c>
      <c r="M780" s="116">
        <v>149.85</v>
      </c>
      <c r="N780" s="116">
        <v>155.75</v>
      </c>
      <c r="O780" s="116">
        <v>148.52500000000001</v>
      </c>
      <c r="P780" s="116">
        <v>152.55000000000001</v>
      </c>
      <c r="Q780" s="116">
        <v>299.7</v>
      </c>
      <c r="R780">
        <v>46368</v>
      </c>
    </row>
    <row r="781" spans="1:18" x14ac:dyDescent="0.25">
      <c r="A781" s="170">
        <v>43151</v>
      </c>
      <c r="B781" s="116">
        <v>152.5</v>
      </c>
      <c r="C781" s="116">
        <v>152.44999999999999</v>
      </c>
      <c r="D781" s="116">
        <v>149.17500000000001</v>
      </c>
      <c r="E781" s="116">
        <v>149.30000000000001</v>
      </c>
      <c r="F781" s="116">
        <v>304.89999999999998</v>
      </c>
      <c r="G781">
        <v>2578</v>
      </c>
      <c r="H781" s="116"/>
      <c r="I781" s="116"/>
      <c r="L781" s="170">
        <v>43151</v>
      </c>
      <c r="M781" s="116">
        <v>152.27500000000001</v>
      </c>
      <c r="N781" s="116">
        <v>153.27500000000001</v>
      </c>
      <c r="O781" s="116">
        <v>149.5</v>
      </c>
      <c r="P781" s="116">
        <v>149.80000000000001</v>
      </c>
      <c r="Q781" s="116">
        <v>304.55</v>
      </c>
      <c r="R781">
        <v>18923</v>
      </c>
    </row>
    <row r="782" spans="1:18" x14ac:dyDescent="0.25">
      <c r="A782" s="170">
        <v>43152</v>
      </c>
      <c r="B782" s="116">
        <v>152.97499999999999</v>
      </c>
      <c r="C782" s="116">
        <v>151.05000000000001</v>
      </c>
      <c r="D782" s="116">
        <v>150.5</v>
      </c>
      <c r="E782" s="116">
        <v>152.5</v>
      </c>
      <c r="F782" s="116">
        <v>302.10000000000002</v>
      </c>
      <c r="G782">
        <v>2938</v>
      </c>
      <c r="H782" s="116"/>
      <c r="I782" s="116"/>
      <c r="L782" s="170">
        <v>43152</v>
      </c>
      <c r="M782" s="116">
        <v>151.25</v>
      </c>
      <c r="N782" s="116">
        <v>154.47499999999999</v>
      </c>
      <c r="O782" s="116">
        <v>150.02500000000001</v>
      </c>
      <c r="P782" s="116">
        <v>154.47499999999999</v>
      </c>
      <c r="Q782" s="116">
        <v>302.5</v>
      </c>
      <c r="R782">
        <v>21377</v>
      </c>
    </row>
    <row r="783" spans="1:18" x14ac:dyDescent="0.25">
      <c r="A783" s="170">
        <v>43153</v>
      </c>
      <c r="B783" s="116">
        <v>153.22499999999999</v>
      </c>
      <c r="C783" s="116">
        <v>150.9</v>
      </c>
      <c r="D783" s="116">
        <v>149.75</v>
      </c>
      <c r="E783" s="116">
        <v>150</v>
      </c>
      <c r="F783" s="116">
        <v>301.8</v>
      </c>
      <c r="G783">
        <v>14626</v>
      </c>
      <c r="H783" s="116"/>
      <c r="I783" s="116"/>
      <c r="L783" s="170">
        <v>43153</v>
      </c>
      <c r="M783" s="116">
        <v>151.94999999999999</v>
      </c>
      <c r="N783" s="116">
        <v>153</v>
      </c>
      <c r="O783" s="116">
        <v>149.02500000000001</v>
      </c>
      <c r="P783" s="116">
        <v>152.42500000000001</v>
      </c>
      <c r="Q783" s="116">
        <v>303.89999999999998</v>
      </c>
      <c r="R783">
        <v>23532</v>
      </c>
    </row>
    <row r="784" spans="1:18" x14ac:dyDescent="0.25">
      <c r="A784" s="170">
        <v>43154</v>
      </c>
      <c r="B784" s="116">
        <v>153.5</v>
      </c>
      <c r="C784" s="116">
        <v>152.69999999999999</v>
      </c>
      <c r="D784" s="116">
        <v>151</v>
      </c>
      <c r="E784" s="116">
        <v>153.27500000000001</v>
      </c>
      <c r="F784" s="116">
        <v>305.39999999999998</v>
      </c>
      <c r="G784">
        <v>1435</v>
      </c>
      <c r="H784" s="116"/>
      <c r="I784" s="116"/>
      <c r="L784" s="170">
        <v>43154</v>
      </c>
      <c r="M784" s="116">
        <v>152.82499999999999</v>
      </c>
      <c r="N784" s="116">
        <v>153.9</v>
      </c>
      <c r="O784" s="116">
        <v>150.05000000000001</v>
      </c>
      <c r="P784" s="116">
        <v>150.05000000000001</v>
      </c>
      <c r="Q784" s="116">
        <v>305.64999999999998</v>
      </c>
      <c r="R784">
        <v>18640</v>
      </c>
    </row>
    <row r="785" spans="1:18" x14ac:dyDescent="0.25">
      <c r="A785" s="170">
        <v>43157</v>
      </c>
      <c r="B785" s="116">
        <v>158.69999999999999</v>
      </c>
      <c r="C785" s="116">
        <v>157.6</v>
      </c>
      <c r="D785" s="116">
        <v>152.5</v>
      </c>
      <c r="E785" s="116">
        <v>153.5</v>
      </c>
      <c r="F785" s="116">
        <v>315.2</v>
      </c>
      <c r="G785">
        <v>3144</v>
      </c>
      <c r="H785" s="116"/>
      <c r="I785" s="116"/>
      <c r="L785" s="170">
        <v>43157</v>
      </c>
      <c r="M785" s="116">
        <v>157.9</v>
      </c>
      <c r="N785" s="116">
        <v>158.85</v>
      </c>
      <c r="O785" s="116">
        <v>152.42500000000001</v>
      </c>
      <c r="P785" s="116">
        <v>152.9</v>
      </c>
      <c r="Q785" s="116">
        <v>315.8</v>
      </c>
      <c r="R785">
        <v>86653</v>
      </c>
    </row>
    <row r="786" spans="1:18" x14ac:dyDescent="0.25">
      <c r="A786" s="170">
        <v>43158</v>
      </c>
      <c r="B786" s="116">
        <v>159.97499999999999</v>
      </c>
      <c r="C786" s="116">
        <v>158.67500000000001</v>
      </c>
      <c r="D786" s="116">
        <v>155.02500000000001</v>
      </c>
      <c r="E786" s="116">
        <v>157.19999999999999</v>
      </c>
      <c r="F786" s="116">
        <v>317.35000000000002</v>
      </c>
      <c r="G786">
        <v>2978</v>
      </c>
      <c r="H786" s="116"/>
      <c r="I786" s="116"/>
      <c r="L786" s="170">
        <v>43158</v>
      </c>
      <c r="M786" s="116">
        <v>159.6</v>
      </c>
      <c r="N786" s="116">
        <v>160.5</v>
      </c>
      <c r="O786" s="116">
        <v>155.02500000000001</v>
      </c>
      <c r="P786" s="116">
        <v>157.5</v>
      </c>
      <c r="Q786" s="116">
        <v>319.2</v>
      </c>
      <c r="R786">
        <v>34411</v>
      </c>
    </row>
    <row r="787" spans="1:18" x14ac:dyDescent="0.25">
      <c r="A787" s="170">
        <v>43159</v>
      </c>
      <c r="B787" s="116">
        <v>158.9</v>
      </c>
      <c r="C787" s="116">
        <v>158.32499999999999</v>
      </c>
      <c r="D787" s="116">
        <v>154.02500000000001</v>
      </c>
      <c r="E787" s="116">
        <v>157</v>
      </c>
      <c r="F787" s="116">
        <v>316.64999999999998</v>
      </c>
      <c r="G787">
        <v>3745</v>
      </c>
      <c r="H787" s="116"/>
      <c r="I787" s="116"/>
      <c r="L787" s="170">
        <v>43159</v>
      </c>
      <c r="M787" s="116">
        <v>157.57499999999999</v>
      </c>
      <c r="N787" s="116">
        <v>159.44999999999999</v>
      </c>
      <c r="O787" s="116">
        <v>153.77500000000001</v>
      </c>
      <c r="P787" s="116">
        <v>158.5</v>
      </c>
      <c r="Q787" s="116">
        <v>315.14999999999998</v>
      </c>
      <c r="R787">
        <v>99614</v>
      </c>
    </row>
    <row r="788" spans="1:18" x14ac:dyDescent="0.25">
      <c r="A788" s="170">
        <v>43160</v>
      </c>
      <c r="B788" s="116">
        <v>159.94999999999999</v>
      </c>
      <c r="C788" s="116">
        <v>159.375</v>
      </c>
      <c r="D788" s="116">
        <v>156.75</v>
      </c>
      <c r="E788" s="116">
        <v>159</v>
      </c>
      <c r="F788" s="116">
        <v>318.75</v>
      </c>
      <c r="G788">
        <v>3248</v>
      </c>
      <c r="H788" s="116"/>
      <c r="I788" s="116"/>
      <c r="L788" s="170">
        <v>43160</v>
      </c>
      <c r="M788" s="116">
        <v>159.82499999999999</v>
      </c>
      <c r="N788" s="116">
        <v>160.47499999999999</v>
      </c>
      <c r="O788" s="116">
        <v>156.55000000000001</v>
      </c>
      <c r="P788" s="116">
        <v>157.5</v>
      </c>
      <c r="Q788" s="116">
        <v>319.64999999999998</v>
      </c>
      <c r="R788">
        <v>63592</v>
      </c>
    </row>
    <row r="789" spans="1:18" x14ac:dyDescent="0.25">
      <c r="A789" s="170">
        <v>43164</v>
      </c>
      <c r="B789" s="116">
        <v>159.27500000000001</v>
      </c>
      <c r="C789" s="116">
        <v>158.67500000000001</v>
      </c>
      <c r="D789" s="116">
        <v>155.9</v>
      </c>
      <c r="E789" s="116">
        <v>156.5</v>
      </c>
      <c r="F789" s="116">
        <v>317.35000000000002</v>
      </c>
      <c r="G789">
        <v>2316</v>
      </c>
      <c r="H789" s="116"/>
      <c r="I789" s="116"/>
      <c r="L789" s="170">
        <v>43164</v>
      </c>
      <c r="M789" s="116">
        <v>158.625</v>
      </c>
      <c r="N789" s="116">
        <v>159.92500000000001</v>
      </c>
      <c r="O789" s="116">
        <v>155.82499999999999</v>
      </c>
      <c r="P789" s="116">
        <v>157.52500000000001</v>
      </c>
      <c r="Q789" s="116">
        <v>317.25</v>
      </c>
      <c r="R789">
        <v>44129</v>
      </c>
    </row>
    <row r="790" spans="1:18" x14ac:dyDescent="0.25">
      <c r="A790" s="170">
        <v>43165</v>
      </c>
      <c r="B790" s="116">
        <v>159.15</v>
      </c>
      <c r="C790" s="116">
        <v>153.80000000000001</v>
      </c>
      <c r="D790" s="116">
        <v>152.52500000000001</v>
      </c>
      <c r="E790" s="116">
        <v>158.35</v>
      </c>
      <c r="F790" s="116">
        <v>307.60000000000002</v>
      </c>
      <c r="G790">
        <v>6782</v>
      </c>
      <c r="H790" s="116"/>
      <c r="I790" s="116"/>
      <c r="L790" s="170">
        <v>43165</v>
      </c>
      <c r="M790" s="116">
        <v>153.92500000000001</v>
      </c>
      <c r="N790" s="116">
        <v>159.375</v>
      </c>
      <c r="O790" s="116">
        <v>152.5</v>
      </c>
      <c r="P790" s="116">
        <v>159</v>
      </c>
      <c r="Q790" s="116">
        <v>307.85000000000002</v>
      </c>
      <c r="R790">
        <v>44925</v>
      </c>
    </row>
    <row r="791" spans="1:18" x14ac:dyDescent="0.25">
      <c r="A791" s="170">
        <v>43166</v>
      </c>
      <c r="B791" s="116">
        <v>154.94999999999999</v>
      </c>
      <c r="C791" s="116">
        <v>153.72499999999999</v>
      </c>
      <c r="D791" s="116">
        <v>151.5</v>
      </c>
      <c r="E791" s="116">
        <v>151.5</v>
      </c>
      <c r="F791" s="116">
        <v>307.45</v>
      </c>
      <c r="G791">
        <v>8935</v>
      </c>
      <c r="H791" s="116"/>
      <c r="I791" s="116"/>
      <c r="L791" s="170">
        <v>43166</v>
      </c>
      <c r="M791" s="116">
        <v>153.30000000000001</v>
      </c>
      <c r="N791" s="116">
        <v>154</v>
      </c>
      <c r="O791" s="116">
        <v>151.5</v>
      </c>
      <c r="P791" s="116">
        <v>154</v>
      </c>
      <c r="Q791" s="116">
        <v>306.60000000000002</v>
      </c>
      <c r="R791">
        <v>41316</v>
      </c>
    </row>
    <row r="792" spans="1:18" x14ac:dyDescent="0.25">
      <c r="A792" s="170">
        <v>43167</v>
      </c>
      <c r="B792" s="116">
        <v>154.32499999999999</v>
      </c>
      <c r="C792" s="116">
        <v>153.35</v>
      </c>
      <c r="D792" s="116">
        <v>150.97499999999999</v>
      </c>
      <c r="E792" s="116">
        <v>151.625</v>
      </c>
      <c r="F792" s="116">
        <v>306.7</v>
      </c>
      <c r="G792">
        <v>13868</v>
      </c>
      <c r="H792" s="116"/>
      <c r="I792" s="116"/>
      <c r="L792" s="170">
        <v>43167</v>
      </c>
      <c r="M792" s="116">
        <v>153.47499999999999</v>
      </c>
      <c r="N792" s="116">
        <v>154.9</v>
      </c>
      <c r="O792" s="116">
        <v>151.25</v>
      </c>
      <c r="P792" s="116">
        <v>151.6</v>
      </c>
      <c r="Q792" s="116">
        <v>306.95</v>
      </c>
      <c r="R792">
        <v>30277</v>
      </c>
    </row>
    <row r="793" spans="1:18" x14ac:dyDescent="0.25">
      <c r="A793" s="170">
        <v>43168</v>
      </c>
      <c r="B793" s="116">
        <v>153.25</v>
      </c>
      <c r="C793" s="116">
        <v>150.1</v>
      </c>
      <c r="D793" s="116">
        <v>149.6</v>
      </c>
      <c r="E793" s="116">
        <v>152.80000000000001</v>
      </c>
      <c r="F793" s="116">
        <v>300.2</v>
      </c>
      <c r="G793">
        <v>2608</v>
      </c>
      <c r="H793" s="116"/>
      <c r="I793" s="116"/>
      <c r="L793" s="170">
        <v>43168</v>
      </c>
      <c r="M793" s="116">
        <v>150.30000000000001</v>
      </c>
      <c r="N793" s="116">
        <v>154.47499999999999</v>
      </c>
      <c r="O793" s="116">
        <v>150</v>
      </c>
      <c r="P793" s="116">
        <v>152.52500000000001</v>
      </c>
      <c r="Q793" s="116">
        <v>300.60000000000002</v>
      </c>
      <c r="R793">
        <v>16564</v>
      </c>
    </row>
    <row r="794" spans="1:18" x14ac:dyDescent="0.25">
      <c r="A794" s="170">
        <v>43171</v>
      </c>
      <c r="B794" s="116">
        <v>152.47499999999999</v>
      </c>
      <c r="C794" s="116">
        <v>150.625</v>
      </c>
      <c r="D794" s="116">
        <v>150.25</v>
      </c>
      <c r="E794" s="116">
        <v>152.47499999999999</v>
      </c>
      <c r="F794" s="116">
        <v>301.25</v>
      </c>
      <c r="G794">
        <v>1882</v>
      </c>
      <c r="H794" s="116"/>
      <c r="I794" s="116"/>
      <c r="L794" s="170">
        <v>43171</v>
      </c>
      <c r="M794" s="116">
        <v>150.77500000000001</v>
      </c>
      <c r="N794" s="116">
        <v>152.94999999999999</v>
      </c>
      <c r="O794" s="116">
        <v>150.5</v>
      </c>
      <c r="P794" s="116">
        <v>150.52500000000001</v>
      </c>
      <c r="Q794" s="116">
        <v>301.55</v>
      </c>
      <c r="R794">
        <v>47978</v>
      </c>
    </row>
    <row r="795" spans="1:18" x14ac:dyDescent="0.25">
      <c r="A795" s="170">
        <v>43172</v>
      </c>
      <c r="B795" s="116">
        <v>154.9</v>
      </c>
      <c r="C795" s="116">
        <v>151.57499999999999</v>
      </c>
      <c r="D795" s="116">
        <v>150.32499999999999</v>
      </c>
      <c r="E795" s="116">
        <v>151.5</v>
      </c>
      <c r="F795" s="116">
        <v>303.14999999999998</v>
      </c>
      <c r="G795">
        <v>5440</v>
      </c>
      <c r="H795" s="116"/>
      <c r="I795" s="116"/>
      <c r="L795" s="170">
        <v>43172</v>
      </c>
      <c r="M795" s="116">
        <v>151.375</v>
      </c>
      <c r="N795" s="116">
        <v>155.5</v>
      </c>
      <c r="O795" s="116">
        <v>150.5</v>
      </c>
      <c r="P795" s="116">
        <v>150.57499999999999</v>
      </c>
      <c r="Q795" s="116">
        <v>302.75</v>
      </c>
      <c r="R795">
        <v>34789</v>
      </c>
    </row>
    <row r="796" spans="1:18" x14ac:dyDescent="0.25">
      <c r="A796" s="170">
        <v>43173</v>
      </c>
      <c r="B796" s="116">
        <v>152</v>
      </c>
      <c r="C796" s="116">
        <v>151.35</v>
      </c>
      <c r="D796" s="116">
        <v>150.5</v>
      </c>
      <c r="E796" s="116">
        <v>151.55000000000001</v>
      </c>
      <c r="F796" s="116">
        <v>302.7</v>
      </c>
      <c r="G796">
        <v>2348</v>
      </c>
      <c r="H796" s="116"/>
      <c r="I796" s="116"/>
      <c r="L796" s="170">
        <v>43173</v>
      </c>
      <c r="M796" s="116">
        <v>150.82499999999999</v>
      </c>
      <c r="N796" s="116">
        <v>152.47499999999999</v>
      </c>
      <c r="O796" s="116">
        <v>150.05000000000001</v>
      </c>
      <c r="P796" s="116">
        <v>151.375</v>
      </c>
      <c r="Q796" s="116">
        <v>301.64999999999998</v>
      </c>
      <c r="R796">
        <v>38904</v>
      </c>
    </row>
    <row r="797" spans="1:18" x14ac:dyDescent="0.25">
      <c r="A797" s="170">
        <v>43174</v>
      </c>
      <c r="B797" s="116">
        <v>151.1</v>
      </c>
      <c r="C797" s="116">
        <v>148.9</v>
      </c>
      <c r="D797" s="116">
        <v>147.97499999999999</v>
      </c>
      <c r="E797" s="116">
        <v>150.17500000000001</v>
      </c>
      <c r="F797" s="116">
        <v>297.8</v>
      </c>
      <c r="G797">
        <v>2615</v>
      </c>
      <c r="H797" s="116"/>
      <c r="I797" s="116"/>
      <c r="L797" s="170">
        <v>43174</v>
      </c>
      <c r="M797" s="116">
        <v>149.02500000000001</v>
      </c>
      <c r="N797" s="116">
        <v>151.4</v>
      </c>
      <c r="O797" s="116">
        <v>147.5</v>
      </c>
      <c r="P797" s="116">
        <v>150.94999999999999</v>
      </c>
      <c r="Q797" s="116">
        <v>298.05</v>
      </c>
      <c r="R797">
        <v>204639</v>
      </c>
    </row>
    <row r="798" spans="1:18" x14ac:dyDescent="0.25">
      <c r="A798" s="170">
        <v>43175</v>
      </c>
      <c r="B798" s="116">
        <v>150.125</v>
      </c>
      <c r="C798" s="116">
        <v>147.97499999999999</v>
      </c>
      <c r="D798" s="116">
        <v>145.75</v>
      </c>
      <c r="E798" s="116">
        <v>150.1</v>
      </c>
      <c r="F798" s="116">
        <v>295.95</v>
      </c>
      <c r="G798">
        <v>11717</v>
      </c>
      <c r="H798" s="116"/>
      <c r="I798" s="116"/>
      <c r="L798" s="170">
        <v>43175</v>
      </c>
      <c r="M798" s="116">
        <v>147.57499999999999</v>
      </c>
      <c r="N798" s="116">
        <v>150.65</v>
      </c>
      <c r="O798" s="116">
        <v>145.25</v>
      </c>
      <c r="P798" s="116">
        <v>148.94999999999999</v>
      </c>
      <c r="Q798" s="116">
        <v>295.14999999999998</v>
      </c>
      <c r="R798">
        <v>51988</v>
      </c>
    </row>
    <row r="799" spans="1:18" x14ac:dyDescent="0.25">
      <c r="A799" s="170">
        <v>43178</v>
      </c>
      <c r="B799" s="116">
        <v>148.82499999999999</v>
      </c>
      <c r="C799" s="116">
        <v>144.72499999999999</v>
      </c>
      <c r="D799" s="116">
        <v>144.05000000000001</v>
      </c>
      <c r="E799" s="116">
        <v>147.75</v>
      </c>
      <c r="F799" s="116">
        <v>289.45</v>
      </c>
      <c r="G799">
        <v>2517</v>
      </c>
      <c r="H799" s="116"/>
      <c r="I799" s="116"/>
      <c r="L799" s="170">
        <v>43178</v>
      </c>
      <c r="M799" s="116">
        <v>144.67500000000001</v>
      </c>
      <c r="N799" s="116">
        <v>149.5</v>
      </c>
      <c r="O799" s="116">
        <v>143.92500000000001</v>
      </c>
      <c r="P799" s="116">
        <v>147.5</v>
      </c>
      <c r="Q799" s="116">
        <v>289.35000000000002</v>
      </c>
      <c r="R799">
        <v>44132</v>
      </c>
    </row>
    <row r="800" spans="1:18" x14ac:dyDescent="0.25">
      <c r="A800" s="170">
        <v>43179</v>
      </c>
      <c r="B800" s="116">
        <v>145</v>
      </c>
      <c r="C800" s="116">
        <v>142.875</v>
      </c>
      <c r="D800" s="116">
        <v>142.55000000000001</v>
      </c>
      <c r="E800" s="116">
        <v>144.97499999999999</v>
      </c>
      <c r="F800" s="116">
        <v>285.75</v>
      </c>
      <c r="G800">
        <v>2219</v>
      </c>
      <c r="H800" s="116"/>
      <c r="I800" s="116"/>
      <c r="L800" s="170">
        <v>43179</v>
      </c>
      <c r="M800" s="116">
        <v>142.65</v>
      </c>
      <c r="N800" s="116">
        <v>145.25</v>
      </c>
      <c r="O800" s="116">
        <v>142</v>
      </c>
      <c r="P800" s="116">
        <v>143.69999999999999</v>
      </c>
      <c r="Q800" s="116">
        <v>285.3</v>
      </c>
      <c r="R800">
        <v>27081</v>
      </c>
    </row>
    <row r="801" spans="1:18" x14ac:dyDescent="0.25">
      <c r="A801" s="170">
        <v>43180</v>
      </c>
      <c r="B801" s="116">
        <v>146.875</v>
      </c>
      <c r="C801" s="116">
        <v>146.32499999999999</v>
      </c>
      <c r="D801" s="116">
        <v>143.52500000000001</v>
      </c>
      <c r="E801" s="116">
        <v>144.19999999999999</v>
      </c>
      <c r="F801" s="116">
        <v>292.64999999999998</v>
      </c>
      <c r="G801">
        <v>3045</v>
      </c>
      <c r="H801" s="116"/>
      <c r="I801" s="116"/>
      <c r="L801" s="170">
        <v>43180</v>
      </c>
      <c r="M801" s="116">
        <v>146.47499999999999</v>
      </c>
      <c r="N801" s="116">
        <v>147.5</v>
      </c>
      <c r="O801" s="116">
        <v>143.5</v>
      </c>
      <c r="P801" s="116">
        <v>144</v>
      </c>
      <c r="Q801" s="116">
        <v>292.95</v>
      </c>
      <c r="R801">
        <v>34459</v>
      </c>
    </row>
    <row r="802" spans="1:18" x14ac:dyDescent="0.25">
      <c r="A802" s="170">
        <v>43181</v>
      </c>
      <c r="B802" s="116">
        <v>148</v>
      </c>
      <c r="C802" s="116">
        <v>143.92500000000001</v>
      </c>
      <c r="D802" s="116">
        <v>143.69999999999999</v>
      </c>
      <c r="E802" s="116">
        <v>148</v>
      </c>
      <c r="F802" s="116">
        <v>287.85000000000002</v>
      </c>
      <c r="G802">
        <v>2240</v>
      </c>
      <c r="H802" s="116"/>
      <c r="I802" s="116"/>
      <c r="L802" s="170">
        <v>43181</v>
      </c>
      <c r="M802" s="116">
        <v>144.6</v>
      </c>
      <c r="N802" s="116">
        <v>148.5</v>
      </c>
      <c r="O802" s="116">
        <v>143.42500000000001</v>
      </c>
      <c r="P802" s="116">
        <v>147</v>
      </c>
      <c r="Q802" s="116">
        <v>289.2</v>
      </c>
      <c r="R802">
        <v>26795</v>
      </c>
    </row>
    <row r="803" spans="1:18" x14ac:dyDescent="0.25">
      <c r="A803" s="170">
        <v>43182</v>
      </c>
      <c r="B803" s="116">
        <v>144.75</v>
      </c>
      <c r="C803" s="116">
        <v>143.72499999999999</v>
      </c>
      <c r="D803" s="116">
        <v>140.57499999999999</v>
      </c>
      <c r="E803" s="116">
        <v>143.875</v>
      </c>
      <c r="F803" s="116">
        <v>287.45</v>
      </c>
      <c r="G803">
        <v>3565</v>
      </c>
      <c r="H803" s="116"/>
      <c r="I803" s="116"/>
      <c r="L803" s="170">
        <v>43182</v>
      </c>
      <c r="M803" s="116">
        <v>144.02500000000001</v>
      </c>
      <c r="N803" s="116">
        <v>144.75</v>
      </c>
      <c r="O803" s="116">
        <v>140.5</v>
      </c>
      <c r="P803" s="116">
        <v>143</v>
      </c>
      <c r="Q803" s="116">
        <v>288.05</v>
      </c>
      <c r="R803">
        <v>29406</v>
      </c>
    </row>
    <row r="804" spans="1:18" x14ac:dyDescent="0.25">
      <c r="A804" s="170">
        <v>43185</v>
      </c>
      <c r="B804" s="116">
        <v>145</v>
      </c>
      <c r="C804" s="116">
        <v>144.75</v>
      </c>
      <c r="D804" s="116">
        <v>140.32499999999999</v>
      </c>
      <c r="E804" s="116">
        <v>142</v>
      </c>
      <c r="F804" s="116">
        <v>289.5</v>
      </c>
      <c r="G804">
        <v>3537</v>
      </c>
      <c r="H804" s="116"/>
      <c r="I804" s="116"/>
      <c r="L804" s="170">
        <v>43185</v>
      </c>
      <c r="M804" s="116">
        <v>144.77500000000001</v>
      </c>
      <c r="N804" s="116">
        <v>145.5</v>
      </c>
      <c r="O804" s="116">
        <v>140.52500000000001</v>
      </c>
      <c r="P804" s="116">
        <v>141.5</v>
      </c>
      <c r="Q804" s="116">
        <v>289.55</v>
      </c>
      <c r="R804">
        <v>75501</v>
      </c>
    </row>
    <row r="805" spans="1:18" x14ac:dyDescent="0.25">
      <c r="A805" s="170">
        <v>43186</v>
      </c>
      <c r="B805" s="116">
        <v>153.4</v>
      </c>
      <c r="C805" s="116">
        <v>152.47499999999999</v>
      </c>
      <c r="D805" s="116">
        <v>144.1</v>
      </c>
      <c r="E805" s="116">
        <v>145</v>
      </c>
      <c r="F805" s="116">
        <v>304.95</v>
      </c>
      <c r="G805">
        <v>6278</v>
      </c>
      <c r="H805" s="116"/>
      <c r="I805" s="116"/>
      <c r="L805" s="170">
        <v>43186</v>
      </c>
      <c r="M805" s="116">
        <v>152.57499999999999</v>
      </c>
      <c r="N805" s="116">
        <v>154.5</v>
      </c>
      <c r="O805" s="116">
        <v>143.72499999999999</v>
      </c>
      <c r="P805" s="116">
        <v>145</v>
      </c>
      <c r="Q805" s="116">
        <v>305.14999999999998</v>
      </c>
      <c r="R805">
        <v>98155</v>
      </c>
    </row>
    <row r="806" spans="1:18" x14ac:dyDescent="0.25">
      <c r="A806" s="170">
        <v>43187</v>
      </c>
      <c r="B806" s="116">
        <v>155.22499999999999</v>
      </c>
      <c r="C806" s="116">
        <v>154.6</v>
      </c>
      <c r="D806" s="116">
        <v>151</v>
      </c>
      <c r="E806" s="116">
        <v>151</v>
      </c>
      <c r="F806" s="116">
        <v>309.2</v>
      </c>
      <c r="G806">
        <v>3030</v>
      </c>
      <c r="H806" s="116"/>
      <c r="I806" s="116"/>
      <c r="L806" s="170">
        <v>43187</v>
      </c>
      <c r="M806" s="116">
        <v>155.05000000000001</v>
      </c>
      <c r="N806" s="116">
        <v>155.5</v>
      </c>
      <c r="O806" s="116">
        <v>150.5</v>
      </c>
      <c r="P806" s="116">
        <v>151.05000000000001</v>
      </c>
      <c r="Q806" s="116">
        <v>310.10000000000002</v>
      </c>
      <c r="R806">
        <v>96230</v>
      </c>
    </row>
    <row r="807" spans="1:18" x14ac:dyDescent="0.25">
      <c r="A807" s="170">
        <v>43192</v>
      </c>
      <c r="B807" s="116">
        <v>157.47499999999999</v>
      </c>
      <c r="C807" s="116">
        <v>155.625</v>
      </c>
      <c r="D807" s="116">
        <v>154.5</v>
      </c>
      <c r="E807" s="116">
        <v>154.85</v>
      </c>
      <c r="F807" s="116">
        <v>311.25</v>
      </c>
      <c r="G807">
        <v>7096</v>
      </c>
      <c r="H807" s="116"/>
      <c r="I807" s="116"/>
      <c r="L807" s="170">
        <v>43192</v>
      </c>
      <c r="M807" s="116">
        <v>156.19999999999999</v>
      </c>
      <c r="N807" s="116">
        <v>158.47499999999999</v>
      </c>
      <c r="O807" s="116">
        <v>154</v>
      </c>
      <c r="P807" s="116">
        <v>155</v>
      </c>
      <c r="Q807" s="116">
        <v>312.39999999999998</v>
      </c>
      <c r="R807">
        <v>34032</v>
      </c>
    </row>
    <row r="808" spans="1:18" x14ac:dyDescent="0.25">
      <c r="A808" s="170">
        <v>43193</v>
      </c>
      <c r="B808" s="116">
        <v>159.5</v>
      </c>
      <c r="C808" s="116">
        <v>157.57499999999999</v>
      </c>
      <c r="D808" s="116">
        <v>153.30000000000001</v>
      </c>
      <c r="E808" s="116">
        <v>156.1</v>
      </c>
      <c r="F808" s="116">
        <v>315.14999999999998</v>
      </c>
      <c r="G808">
        <v>7760</v>
      </c>
      <c r="H808" s="116"/>
      <c r="I808" s="116"/>
      <c r="L808" s="170">
        <v>43193</v>
      </c>
      <c r="M808" s="116">
        <v>157.875</v>
      </c>
      <c r="N808" s="116">
        <v>160.30000000000001</v>
      </c>
      <c r="O808" s="116">
        <v>155.27500000000001</v>
      </c>
      <c r="P808" s="116">
        <v>155.27500000000001</v>
      </c>
      <c r="Q808" s="116">
        <v>315.75</v>
      </c>
      <c r="R808">
        <v>50306</v>
      </c>
    </row>
    <row r="809" spans="1:18" x14ac:dyDescent="0.25">
      <c r="A809" s="170">
        <v>43194</v>
      </c>
      <c r="B809" s="116">
        <v>159.35</v>
      </c>
      <c r="C809" s="116">
        <v>155.44999999999999</v>
      </c>
      <c r="D809" s="116">
        <v>155.07499999999999</v>
      </c>
      <c r="E809" s="116">
        <v>158.72499999999999</v>
      </c>
      <c r="F809" s="116">
        <v>310.89999999999998</v>
      </c>
      <c r="G809">
        <v>1077</v>
      </c>
      <c r="H809" s="116"/>
      <c r="I809" s="116"/>
      <c r="L809" s="170">
        <v>43194</v>
      </c>
      <c r="M809" s="116">
        <v>155.75</v>
      </c>
      <c r="N809" s="116">
        <v>159.92500000000001</v>
      </c>
      <c r="O809" s="116">
        <v>154.75</v>
      </c>
      <c r="P809" s="116">
        <v>159.92500000000001</v>
      </c>
      <c r="Q809" s="116">
        <v>311.5</v>
      </c>
      <c r="R809">
        <v>18044</v>
      </c>
    </row>
    <row r="810" spans="1:18" x14ac:dyDescent="0.25">
      <c r="A810" s="170">
        <v>43195</v>
      </c>
      <c r="B810" s="116">
        <v>157.30000000000001</v>
      </c>
      <c r="C810" s="116">
        <v>153.30000000000001</v>
      </c>
      <c r="D810" s="116">
        <v>153</v>
      </c>
      <c r="E810" s="116">
        <v>157.30000000000001</v>
      </c>
      <c r="F810" s="116">
        <v>306.60000000000002</v>
      </c>
      <c r="G810">
        <v>2813</v>
      </c>
      <c r="H810" s="116"/>
      <c r="I810" s="116"/>
      <c r="L810" s="170">
        <v>43195</v>
      </c>
      <c r="M810" s="116">
        <v>154.17500000000001</v>
      </c>
      <c r="N810" s="116">
        <v>157.05000000000001</v>
      </c>
      <c r="O810" s="116">
        <v>153.02500000000001</v>
      </c>
      <c r="P810" s="116">
        <v>156.5</v>
      </c>
      <c r="Q810" s="116">
        <v>308.35000000000002</v>
      </c>
      <c r="R810">
        <v>27545</v>
      </c>
    </row>
    <row r="811" spans="1:18" x14ac:dyDescent="0.25">
      <c r="A811" s="170">
        <v>43196</v>
      </c>
      <c r="B811" s="116">
        <v>155.5</v>
      </c>
      <c r="C811" s="116">
        <v>154.125</v>
      </c>
      <c r="D811" s="116">
        <v>153.57499999999999</v>
      </c>
      <c r="E811" s="116">
        <v>154</v>
      </c>
      <c r="F811" s="116">
        <v>308.25</v>
      </c>
      <c r="G811">
        <v>1143</v>
      </c>
      <c r="H811" s="116"/>
      <c r="I811" s="116"/>
      <c r="L811" s="170">
        <v>43196</v>
      </c>
      <c r="M811" s="116">
        <v>154.42500000000001</v>
      </c>
      <c r="N811" s="116">
        <v>155.44999999999999</v>
      </c>
      <c r="O811" s="116">
        <v>153.5</v>
      </c>
      <c r="P811" s="116">
        <v>155.15</v>
      </c>
      <c r="Q811" s="116">
        <v>308.85000000000002</v>
      </c>
      <c r="R811">
        <v>13327</v>
      </c>
    </row>
    <row r="812" spans="1:18" x14ac:dyDescent="0.25">
      <c r="A812" s="170">
        <v>43199</v>
      </c>
      <c r="B812" s="116">
        <v>156.375</v>
      </c>
      <c r="C812" s="116">
        <v>155.80000000000001</v>
      </c>
      <c r="D812" s="116">
        <v>154.55000000000001</v>
      </c>
      <c r="E812" s="116">
        <v>155.17500000000001</v>
      </c>
      <c r="F812" s="116">
        <v>311.60000000000002</v>
      </c>
      <c r="G812">
        <v>741</v>
      </c>
      <c r="H812" s="116"/>
      <c r="I812" s="116"/>
      <c r="L812" s="170">
        <v>43199</v>
      </c>
      <c r="M812" s="116">
        <v>155.4</v>
      </c>
      <c r="N812" s="116">
        <v>156</v>
      </c>
      <c r="O812" s="116">
        <v>154.02500000000001</v>
      </c>
      <c r="P812" s="116">
        <v>155.5</v>
      </c>
      <c r="Q812" s="116">
        <v>310.8</v>
      </c>
      <c r="R812">
        <v>15270</v>
      </c>
    </row>
    <row r="813" spans="1:18" x14ac:dyDescent="0.25">
      <c r="A813" s="170">
        <v>43200</v>
      </c>
      <c r="B813" s="116">
        <v>156.85</v>
      </c>
      <c r="C813" s="116">
        <v>152.97499999999999</v>
      </c>
      <c r="D813" s="116">
        <v>150.17500000000001</v>
      </c>
      <c r="E813" s="116">
        <v>155.375</v>
      </c>
      <c r="F813" s="116">
        <v>305.95</v>
      </c>
      <c r="G813">
        <v>18782</v>
      </c>
      <c r="H813" s="116"/>
      <c r="I813" s="116"/>
      <c r="L813" s="170">
        <v>43200</v>
      </c>
      <c r="M813" s="116">
        <v>156.32499999999999</v>
      </c>
      <c r="N813" s="116">
        <v>158.5</v>
      </c>
      <c r="O813" s="116">
        <v>154.5</v>
      </c>
      <c r="P813" s="116">
        <v>155.52500000000001</v>
      </c>
      <c r="Q813" s="116">
        <v>312.64999999999998</v>
      </c>
      <c r="R813">
        <v>50531</v>
      </c>
    </row>
    <row r="814" spans="1:18" x14ac:dyDescent="0.25">
      <c r="A814" s="170">
        <v>43201</v>
      </c>
      <c r="B814" s="116">
        <v>157.75</v>
      </c>
      <c r="C814" s="116">
        <v>157.17500000000001</v>
      </c>
      <c r="D814" s="116">
        <v>154.4</v>
      </c>
      <c r="E814" s="116">
        <v>154.4</v>
      </c>
      <c r="F814" s="116">
        <v>314.35000000000002</v>
      </c>
      <c r="G814">
        <v>2996</v>
      </c>
      <c r="H814" s="116"/>
      <c r="I814" s="116"/>
      <c r="L814" s="170">
        <v>43201</v>
      </c>
      <c r="M814" s="116">
        <v>156.77500000000001</v>
      </c>
      <c r="N814" s="116">
        <v>157.55000000000001</v>
      </c>
      <c r="O814" s="116">
        <v>154.52500000000001</v>
      </c>
      <c r="P814" s="116">
        <v>154.52500000000001</v>
      </c>
      <c r="Q814" s="116">
        <v>313.55</v>
      </c>
      <c r="R814">
        <v>28663</v>
      </c>
    </row>
    <row r="815" spans="1:18" x14ac:dyDescent="0.25">
      <c r="A815" s="170">
        <v>43202</v>
      </c>
      <c r="B815" s="116">
        <v>157</v>
      </c>
      <c r="C815" s="116">
        <v>156.17500000000001</v>
      </c>
      <c r="D815" s="116">
        <v>155.02500000000001</v>
      </c>
      <c r="E815" s="116">
        <v>155.02500000000001</v>
      </c>
      <c r="F815" s="116">
        <v>312.35000000000002</v>
      </c>
      <c r="G815">
        <v>2503</v>
      </c>
      <c r="H815" s="116"/>
      <c r="I815" s="116"/>
      <c r="L815" s="170">
        <v>43202</v>
      </c>
      <c r="M815" s="116">
        <v>156.19999999999999</v>
      </c>
      <c r="N815" s="116">
        <v>157.05000000000001</v>
      </c>
      <c r="O815" s="116">
        <v>155.82499999999999</v>
      </c>
      <c r="P815" s="116">
        <v>157</v>
      </c>
      <c r="Q815" s="116">
        <v>312.39999999999998</v>
      </c>
      <c r="R815">
        <v>36874</v>
      </c>
    </row>
    <row r="816" spans="1:18" x14ac:dyDescent="0.25">
      <c r="A816" s="170">
        <v>43203</v>
      </c>
      <c r="B816" s="116">
        <v>157.75</v>
      </c>
      <c r="C816" s="116">
        <v>156.97499999999999</v>
      </c>
      <c r="D816" s="116">
        <v>155.32499999999999</v>
      </c>
      <c r="E816" s="116">
        <v>156.25</v>
      </c>
      <c r="F816" s="116">
        <v>313.95</v>
      </c>
      <c r="G816">
        <v>1144</v>
      </c>
      <c r="H816" s="116"/>
      <c r="I816" s="116"/>
      <c r="L816" s="170">
        <v>43203</v>
      </c>
      <c r="M816" s="116">
        <v>156.94999999999999</v>
      </c>
      <c r="N816" s="116">
        <v>157.72499999999999</v>
      </c>
      <c r="O816" s="116">
        <v>155.22499999999999</v>
      </c>
      <c r="P816" s="116">
        <v>155.22499999999999</v>
      </c>
      <c r="Q816" s="116">
        <v>313.89999999999998</v>
      </c>
      <c r="R816">
        <v>25150</v>
      </c>
    </row>
    <row r="817" spans="1:18" x14ac:dyDescent="0.25">
      <c r="A817" s="170">
        <v>43206</v>
      </c>
      <c r="B817" s="116">
        <v>157.30000000000001</v>
      </c>
      <c r="C817" s="116">
        <v>155.85</v>
      </c>
      <c r="D817" s="116">
        <v>155.02500000000001</v>
      </c>
      <c r="E817" s="116">
        <v>155.55000000000001</v>
      </c>
      <c r="F817" s="116">
        <v>311.7</v>
      </c>
      <c r="G817">
        <v>1747</v>
      </c>
      <c r="H817" s="116"/>
      <c r="I817" s="116"/>
      <c r="L817" s="170">
        <v>43206</v>
      </c>
      <c r="M817" s="116">
        <v>155.47499999999999</v>
      </c>
      <c r="N817" s="116">
        <v>157.5</v>
      </c>
      <c r="O817" s="116">
        <v>155</v>
      </c>
      <c r="P817" s="116">
        <v>157</v>
      </c>
      <c r="Q817" s="116">
        <v>310.95</v>
      </c>
      <c r="R817">
        <v>22720</v>
      </c>
    </row>
    <row r="818" spans="1:18" x14ac:dyDescent="0.25">
      <c r="A818" s="170">
        <v>43207</v>
      </c>
      <c r="B818" s="116">
        <v>158.4</v>
      </c>
      <c r="C818" s="116">
        <v>157.47499999999999</v>
      </c>
      <c r="D818" s="116">
        <v>155.97499999999999</v>
      </c>
      <c r="E818" s="116">
        <v>156.625</v>
      </c>
      <c r="F818" s="116">
        <v>314.95</v>
      </c>
      <c r="G818">
        <v>2800</v>
      </c>
      <c r="H818" s="116"/>
      <c r="I818" s="116"/>
      <c r="L818" s="170">
        <v>43207</v>
      </c>
      <c r="M818" s="116">
        <v>157.6</v>
      </c>
      <c r="N818" s="116">
        <v>158.875</v>
      </c>
      <c r="O818" s="116">
        <v>155.5</v>
      </c>
      <c r="P818" s="116">
        <v>155.5</v>
      </c>
      <c r="Q818" s="116">
        <v>315.2</v>
      </c>
      <c r="R818">
        <v>28502</v>
      </c>
    </row>
    <row r="819" spans="1:18" x14ac:dyDescent="0.25">
      <c r="A819" s="170">
        <v>43208</v>
      </c>
      <c r="B819" s="116">
        <v>160.5</v>
      </c>
      <c r="C819" s="116">
        <v>159.80000000000001</v>
      </c>
      <c r="D819" s="116">
        <v>158.52500000000001</v>
      </c>
      <c r="E819" s="116">
        <v>158.52500000000001</v>
      </c>
      <c r="F819" s="116">
        <v>319.60000000000002</v>
      </c>
      <c r="G819">
        <v>4327</v>
      </c>
      <c r="H819" s="116"/>
      <c r="I819" s="116"/>
      <c r="L819" s="170">
        <v>43208</v>
      </c>
      <c r="M819" s="116">
        <v>159.92500000000001</v>
      </c>
      <c r="N819" s="116">
        <v>160.5</v>
      </c>
      <c r="O819" s="116">
        <v>157.9</v>
      </c>
      <c r="P819" s="116">
        <v>157.9</v>
      </c>
      <c r="Q819" s="116">
        <v>319.85000000000002</v>
      </c>
      <c r="R819">
        <v>32298</v>
      </c>
    </row>
    <row r="820" spans="1:18" x14ac:dyDescent="0.25">
      <c r="A820" s="170">
        <v>43209</v>
      </c>
      <c r="B820" s="116">
        <v>162.47499999999999</v>
      </c>
      <c r="C820" s="116">
        <v>160.05000000000001</v>
      </c>
      <c r="D820" s="116">
        <v>159</v>
      </c>
      <c r="E820" s="116">
        <v>160.9</v>
      </c>
      <c r="F820" s="116">
        <v>320.10000000000002</v>
      </c>
      <c r="G820">
        <v>2855</v>
      </c>
      <c r="H820" s="116"/>
      <c r="I820" s="116"/>
      <c r="L820" s="170">
        <v>43209</v>
      </c>
      <c r="M820" s="116">
        <v>160.69999999999999</v>
      </c>
      <c r="N820" s="116">
        <v>163.97499999999999</v>
      </c>
      <c r="O820" s="116">
        <v>159.35</v>
      </c>
      <c r="P820" s="116">
        <v>160</v>
      </c>
      <c r="Q820" s="116">
        <v>321.39999999999998</v>
      </c>
      <c r="R820">
        <v>242556</v>
      </c>
    </row>
    <row r="821" spans="1:18" x14ac:dyDescent="0.25">
      <c r="A821" s="170">
        <v>43210</v>
      </c>
      <c r="B821" s="116">
        <v>160</v>
      </c>
      <c r="C821" s="116">
        <v>157.9</v>
      </c>
      <c r="D821" s="116">
        <v>149.1</v>
      </c>
      <c r="E821" s="116">
        <v>154.72499999999999</v>
      </c>
      <c r="F821" s="116">
        <v>315.8</v>
      </c>
      <c r="G821">
        <v>31473</v>
      </c>
      <c r="H821" s="116"/>
      <c r="I821" s="116"/>
      <c r="L821" s="170">
        <v>43210</v>
      </c>
      <c r="M821" s="116">
        <v>157.82499999999999</v>
      </c>
      <c r="N821" s="116">
        <v>159.17500000000001</v>
      </c>
      <c r="O821" s="116">
        <v>149.32499999999999</v>
      </c>
      <c r="P821" s="116">
        <v>151.5</v>
      </c>
      <c r="Q821" s="116">
        <v>315.64999999999998</v>
      </c>
      <c r="R821">
        <v>313875</v>
      </c>
    </row>
    <row r="822" spans="1:18" x14ac:dyDescent="0.25">
      <c r="A822" s="170">
        <v>43213</v>
      </c>
      <c r="B822" s="116">
        <v>158.25</v>
      </c>
      <c r="C822" s="116">
        <v>155</v>
      </c>
      <c r="D822" s="116">
        <v>154.625</v>
      </c>
      <c r="E822" s="116">
        <v>157.72499999999999</v>
      </c>
      <c r="F822" s="116">
        <v>310</v>
      </c>
      <c r="G822">
        <v>9019</v>
      </c>
      <c r="H822" s="116"/>
      <c r="I822" s="116"/>
      <c r="L822" s="170">
        <v>43213</v>
      </c>
      <c r="M822" s="116">
        <v>155.30000000000001</v>
      </c>
      <c r="N822" s="116">
        <v>158.5</v>
      </c>
      <c r="O822" s="116">
        <v>154.75</v>
      </c>
      <c r="P822" s="116">
        <v>156.15</v>
      </c>
      <c r="Q822" s="116">
        <v>310.60000000000002</v>
      </c>
      <c r="R822">
        <v>42808</v>
      </c>
    </row>
    <row r="823" spans="1:18" x14ac:dyDescent="0.25">
      <c r="A823" s="170">
        <v>43214</v>
      </c>
      <c r="B823" s="116">
        <v>157.05000000000001</v>
      </c>
      <c r="C823" s="116">
        <v>153.375</v>
      </c>
      <c r="D823" s="116">
        <v>152</v>
      </c>
      <c r="E823" s="116">
        <v>157.05000000000001</v>
      </c>
      <c r="F823" s="116">
        <v>306.75</v>
      </c>
      <c r="G823">
        <v>21166</v>
      </c>
      <c r="H823" s="116"/>
      <c r="I823" s="116"/>
      <c r="L823" s="170">
        <v>43214</v>
      </c>
      <c r="M823" s="116">
        <v>154.22499999999999</v>
      </c>
      <c r="N823" s="116">
        <v>157.15</v>
      </c>
      <c r="O823" s="116">
        <v>152.32499999999999</v>
      </c>
      <c r="P823" s="116">
        <v>156.92500000000001</v>
      </c>
      <c r="Q823" s="116">
        <v>308.45</v>
      </c>
      <c r="R823">
        <v>69297</v>
      </c>
    </row>
    <row r="824" spans="1:18" x14ac:dyDescent="0.25">
      <c r="A824" s="170">
        <v>43215</v>
      </c>
      <c r="B824" s="116">
        <v>161.875</v>
      </c>
      <c r="C824" s="116">
        <v>159.65</v>
      </c>
      <c r="D824" s="116">
        <v>155</v>
      </c>
      <c r="E824" s="116">
        <v>157</v>
      </c>
      <c r="F824" s="116">
        <v>319.3</v>
      </c>
      <c r="G824">
        <v>19430</v>
      </c>
      <c r="H824" s="116"/>
      <c r="I824" s="116"/>
      <c r="L824" s="170">
        <v>43215</v>
      </c>
      <c r="M824" s="116">
        <v>161.875</v>
      </c>
      <c r="N824" s="116">
        <v>163</v>
      </c>
      <c r="O824" s="116">
        <v>155.02500000000001</v>
      </c>
      <c r="P824" s="116">
        <v>157.22499999999999</v>
      </c>
      <c r="Q824" s="116">
        <v>323.75</v>
      </c>
      <c r="R824">
        <v>218332</v>
      </c>
    </row>
    <row r="825" spans="1:18" x14ac:dyDescent="0.25">
      <c r="A825" s="170">
        <v>43216</v>
      </c>
      <c r="B825" s="116">
        <v>161.05000000000001</v>
      </c>
      <c r="C825" s="116">
        <v>158.67500000000001</v>
      </c>
      <c r="D825" s="116">
        <v>157</v>
      </c>
      <c r="E825" s="116">
        <v>159.97499999999999</v>
      </c>
      <c r="F825" s="116">
        <v>317.35000000000002</v>
      </c>
      <c r="G825">
        <v>4287</v>
      </c>
      <c r="H825" s="116"/>
      <c r="I825" s="116"/>
      <c r="L825" s="170">
        <v>43216</v>
      </c>
      <c r="M825" s="116">
        <v>158.32499999999999</v>
      </c>
      <c r="N825" s="116">
        <v>162</v>
      </c>
      <c r="O825" s="116">
        <v>156.5</v>
      </c>
      <c r="P825" s="116">
        <v>161.875</v>
      </c>
      <c r="Q825" s="116">
        <v>316.64999999999998</v>
      </c>
      <c r="R825">
        <v>105277</v>
      </c>
    </row>
    <row r="826" spans="1:18" x14ac:dyDescent="0.25">
      <c r="A826" s="170">
        <v>43217</v>
      </c>
      <c r="B826" s="116">
        <v>161.5</v>
      </c>
      <c r="C826" s="116">
        <v>160.05000000000001</v>
      </c>
      <c r="D826" s="116">
        <v>158.625</v>
      </c>
      <c r="E826" s="116">
        <v>158.625</v>
      </c>
      <c r="F826" s="116">
        <v>320.10000000000002</v>
      </c>
      <c r="G826">
        <v>3404</v>
      </c>
      <c r="H826" s="116"/>
      <c r="I826" s="116"/>
      <c r="L826" s="170">
        <v>43217</v>
      </c>
      <c r="M826" s="116">
        <v>160.47499999999999</v>
      </c>
      <c r="N826" s="116">
        <v>161.5</v>
      </c>
      <c r="O826" s="116">
        <v>158</v>
      </c>
      <c r="P826" s="116">
        <v>159.375</v>
      </c>
      <c r="Q826" s="116">
        <v>320.95</v>
      </c>
      <c r="R826">
        <v>56375</v>
      </c>
    </row>
    <row r="827" spans="1:18" x14ac:dyDescent="0.25">
      <c r="A827" s="170">
        <v>43220</v>
      </c>
      <c r="B827" s="116">
        <v>161.75</v>
      </c>
      <c r="C827" s="116">
        <v>159.625</v>
      </c>
      <c r="D827" s="116">
        <v>159.17500000000001</v>
      </c>
      <c r="E827" s="116">
        <v>161</v>
      </c>
      <c r="F827" s="116">
        <v>319.25</v>
      </c>
      <c r="G827">
        <v>1870</v>
      </c>
      <c r="H827" s="116"/>
      <c r="I827" s="116"/>
      <c r="L827" s="170">
        <v>43220</v>
      </c>
      <c r="M827" s="116">
        <v>160.02500000000001</v>
      </c>
      <c r="N827" s="116">
        <v>162.375</v>
      </c>
      <c r="O827" s="116">
        <v>159.75</v>
      </c>
      <c r="P827" s="116">
        <v>160</v>
      </c>
      <c r="Q827" s="116">
        <v>320.05</v>
      </c>
      <c r="R827">
        <v>16434</v>
      </c>
    </row>
    <row r="828" spans="1:18" x14ac:dyDescent="0.25">
      <c r="A828" s="170">
        <v>43222</v>
      </c>
      <c r="B828" s="116">
        <v>160.625</v>
      </c>
      <c r="C828" s="116">
        <v>159.375</v>
      </c>
      <c r="D828" s="116">
        <v>158.625</v>
      </c>
      <c r="E828" s="116">
        <v>158.625</v>
      </c>
      <c r="F828" s="116">
        <v>318.75</v>
      </c>
      <c r="G828">
        <v>1140</v>
      </c>
      <c r="H828" s="116"/>
      <c r="I828" s="116"/>
      <c r="L828" s="170">
        <v>43222</v>
      </c>
      <c r="M828" s="116">
        <v>160.05000000000001</v>
      </c>
      <c r="N828" s="116">
        <v>160.75</v>
      </c>
      <c r="O828" s="116">
        <v>158.5</v>
      </c>
      <c r="P828" s="116">
        <v>160.02500000000001</v>
      </c>
      <c r="Q828" s="116">
        <v>320.10000000000002</v>
      </c>
      <c r="R828">
        <v>11398</v>
      </c>
    </row>
    <row r="829" spans="1:18" x14ac:dyDescent="0.25">
      <c r="A829" s="170">
        <v>43223</v>
      </c>
      <c r="B829" s="116">
        <v>161.4</v>
      </c>
      <c r="C829" s="116">
        <v>158.4</v>
      </c>
      <c r="D829" s="116">
        <v>158.02500000000001</v>
      </c>
      <c r="E829" s="116">
        <v>160.1</v>
      </c>
      <c r="F829" s="116">
        <v>316.8</v>
      </c>
      <c r="G829">
        <v>2325</v>
      </c>
      <c r="H829" s="116"/>
      <c r="I829" s="116"/>
      <c r="L829" s="170">
        <v>43223</v>
      </c>
      <c r="M829" s="116">
        <v>159.19999999999999</v>
      </c>
      <c r="N829" s="116">
        <v>161.55000000000001</v>
      </c>
      <c r="O829" s="116">
        <v>157.55000000000001</v>
      </c>
      <c r="P829" s="116">
        <v>158.44999999999999</v>
      </c>
      <c r="Q829" s="116">
        <v>318.39999999999998</v>
      </c>
      <c r="R829">
        <v>31263</v>
      </c>
    </row>
    <row r="830" spans="1:18" x14ac:dyDescent="0.25">
      <c r="A830" s="170">
        <v>43224</v>
      </c>
      <c r="B830" s="116">
        <v>167.75</v>
      </c>
      <c r="C830" s="116">
        <v>161.875</v>
      </c>
      <c r="D830" s="116">
        <v>157.75</v>
      </c>
      <c r="E830" s="116">
        <v>158.02500000000001</v>
      </c>
      <c r="F830" s="116">
        <v>323.75</v>
      </c>
      <c r="G830">
        <v>12014</v>
      </c>
      <c r="H830" s="116"/>
      <c r="I830" s="116"/>
      <c r="L830" s="170">
        <v>43224</v>
      </c>
      <c r="M830" s="116">
        <v>161.6</v>
      </c>
      <c r="N830" s="116">
        <v>168.32499999999999</v>
      </c>
      <c r="O830" s="116">
        <v>157.55000000000001</v>
      </c>
      <c r="P830" s="116">
        <v>160.27500000000001</v>
      </c>
      <c r="Q830" s="116">
        <v>323.2</v>
      </c>
      <c r="R830">
        <v>69435</v>
      </c>
    </row>
    <row r="831" spans="1:18" x14ac:dyDescent="0.25">
      <c r="A831" s="170">
        <v>43227</v>
      </c>
      <c r="B831" s="116">
        <v>163.17500000000001</v>
      </c>
      <c r="C831" s="116">
        <v>162.35</v>
      </c>
      <c r="D831" s="116">
        <v>160.5</v>
      </c>
      <c r="E831" s="116">
        <v>162.80000000000001</v>
      </c>
      <c r="F831" s="116">
        <v>324.7</v>
      </c>
      <c r="G831">
        <v>4648</v>
      </c>
      <c r="H831" s="116"/>
      <c r="I831" s="116"/>
      <c r="L831" s="170">
        <v>43227</v>
      </c>
      <c r="M831" s="116">
        <v>161.27500000000001</v>
      </c>
      <c r="N831" s="116">
        <v>163.80000000000001</v>
      </c>
      <c r="O831" s="116">
        <v>159.72499999999999</v>
      </c>
      <c r="P831" s="116">
        <v>161.5</v>
      </c>
      <c r="Q831" s="116">
        <v>322.55</v>
      </c>
      <c r="R831">
        <v>62475</v>
      </c>
    </row>
    <row r="832" spans="1:18" x14ac:dyDescent="0.25">
      <c r="A832" s="170">
        <v>43228</v>
      </c>
      <c r="B832" s="116">
        <v>161.85</v>
      </c>
      <c r="C832" s="116">
        <v>160.67500000000001</v>
      </c>
      <c r="D832" s="116">
        <v>160.5</v>
      </c>
      <c r="E832" s="116">
        <v>161.85</v>
      </c>
      <c r="F832" s="116">
        <v>321.35000000000002</v>
      </c>
      <c r="G832">
        <v>2558</v>
      </c>
      <c r="H832" s="116"/>
      <c r="I832" s="116"/>
      <c r="L832" s="170">
        <v>43228</v>
      </c>
      <c r="M832" s="116">
        <v>160.55000000000001</v>
      </c>
      <c r="N832" s="116">
        <v>162.5</v>
      </c>
      <c r="O832" s="116">
        <v>159.6</v>
      </c>
      <c r="P832" s="116">
        <v>161.30000000000001</v>
      </c>
      <c r="Q832" s="116">
        <v>321.10000000000002</v>
      </c>
      <c r="R832">
        <v>12578</v>
      </c>
    </row>
    <row r="833" spans="1:18" x14ac:dyDescent="0.25">
      <c r="A833" s="170">
        <v>43229</v>
      </c>
      <c r="B833" s="116">
        <v>165.35</v>
      </c>
      <c r="C833" s="116">
        <v>162.27500000000001</v>
      </c>
      <c r="D833" s="116">
        <v>160.44999999999999</v>
      </c>
      <c r="E833" s="116">
        <v>160.5</v>
      </c>
      <c r="F833" s="116">
        <v>324.55</v>
      </c>
      <c r="G833">
        <v>10131</v>
      </c>
      <c r="H833" s="116"/>
      <c r="I833" s="116"/>
      <c r="L833" s="170">
        <v>43229</v>
      </c>
      <c r="M833" s="116">
        <v>161.75</v>
      </c>
      <c r="N833" s="116">
        <v>165.4</v>
      </c>
      <c r="O833" s="116">
        <v>159.42500000000001</v>
      </c>
      <c r="P833" s="116">
        <v>160.1</v>
      </c>
      <c r="Q833" s="116">
        <v>323.5</v>
      </c>
      <c r="R833">
        <v>35672</v>
      </c>
    </row>
    <row r="834" spans="1:18" x14ac:dyDescent="0.25">
      <c r="A834" s="170">
        <v>43230</v>
      </c>
      <c r="B834" s="116">
        <v>164.65</v>
      </c>
      <c r="C834" s="116">
        <v>161.02500000000001</v>
      </c>
      <c r="D834" s="116">
        <v>160.5</v>
      </c>
      <c r="E834" s="116">
        <v>161</v>
      </c>
      <c r="F834" s="116">
        <v>322.05</v>
      </c>
      <c r="G834">
        <v>8371</v>
      </c>
      <c r="H834" s="116"/>
      <c r="I834" s="116"/>
      <c r="L834" s="170">
        <v>43230</v>
      </c>
      <c r="M834" s="116">
        <v>162</v>
      </c>
      <c r="N834" s="116">
        <v>165</v>
      </c>
      <c r="O834" s="116">
        <v>160</v>
      </c>
      <c r="P834" s="116">
        <v>161.625</v>
      </c>
      <c r="Q834" s="116">
        <v>324</v>
      </c>
      <c r="R834">
        <v>36507</v>
      </c>
    </row>
    <row r="835" spans="1:18" x14ac:dyDescent="0.25">
      <c r="A835" s="170">
        <v>43231</v>
      </c>
      <c r="B835" s="116">
        <v>163</v>
      </c>
      <c r="C835" s="116">
        <v>160.05000000000001</v>
      </c>
      <c r="D835" s="116">
        <v>160</v>
      </c>
      <c r="E835" s="116">
        <v>161.375</v>
      </c>
      <c r="F835" s="116">
        <v>320.10000000000002</v>
      </c>
      <c r="G835">
        <v>4540</v>
      </c>
      <c r="H835" s="116"/>
      <c r="I835" s="116"/>
      <c r="L835" s="170">
        <v>43231</v>
      </c>
      <c r="M835" s="116">
        <v>160</v>
      </c>
      <c r="N835" s="116">
        <v>163.25</v>
      </c>
      <c r="O835" s="116">
        <v>159.5</v>
      </c>
      <c r="P835" s="116">
        <v>163.17500000000001</v>
      </c>
      <c r="Q835" s="116">
        <v>320</v>
      </c>
      <c r="R835">
        <v>26100</v>
      </c>
    </row>
    <row r="836" spans="1:18" x14ac:dyDescent="0.25">
      <c r="A836" s="170">
        <v>43234</v>
      </c>
      <c r="B836" s="116">
        <v>166.5</v>
      </c>
      <c r="C836" s="116">
        <v>157.44999999999999</v>
      </c>
      <c r="D836" s="116">
        <v>154</v>
      </c>
      <c r="E836" s="116">
        <v>160.02500000000001</v>
      </c>
      <c r="F836" s="116">
        <v>314.89999999999998</v>
      </c>
      <c r="G836">
        <v>8539</v>
      </c>
      <c r="H836" s="116"/>
      <c r="I836" s="116"/>
      <c r="L836" s="170">
        <v>43234</v>
      </c>
      <c r="M836" s="116">
        <v>158.02500000000001</v>
      </c>
      <c r="N836" s="116">
        <v>167.7</v>
      </c>
      <c r="O836" s="116">
        <v>153.75</v>
      </c>
      <c r="P836" s="116">
        <v>160</v>
      </c>
      <c r="Q836" s="116">
        <v>316.05</v>
      </c>
      <c r="R836">
        <v>117717</v>
      </c>
    </row>
    <row r="837" spans="1:18" x14ac:dyDescent="0.25">
      <c r="A837" s="170">
        <v>43235</v>
      </c>
      <c r="B837" s="116">
        <v>159.75</v>
      </c>
      <c r="C837" s="116">
        <v>158.35</v>
      </c>
      <c r="D837" s="116">
        <v>156.25</v>
      </c>
      <c r="E837" s="116">
        <v>156.25</v>
      </c>
      <c r="F837" s="116">
        <v>316.7</v>
      </c>
      <c r="G837">
        <v>5348</v>
      </c>
      <c r="H837" s="116"/>
      <c r="I837" s="116"/>
      <c r="L837" s="170">
        <v>43235</v>
      </c>
      <c r="M837" s="116">
        <v>157.97499999999999</v>
      </c>
      <c r="N837" s="116">
        <v>159.77500000000001</v>
      </c>
      <c r="O837" s="116">
        <v>156.25</v>
      </c>
      <c r="P837" s="116">
        <v>158</v>
      </c>
      <c r="Q837" s="116">
        <v>315.95</v>
      </c>
      <c r="R837">
        <v>31083</v>
      </c>
    </row>
    <row r="838" spans="1:18" x14ac:dyDescent="0.25">
      <c r="A838" s="170">
        <v>43236</v>
      </c>
      <c r="B838" s="116">
        <v>158.67500000000001</v>
      </c>
      <c r="C838" s="116">
        <v>157.1</v>
      </c>
      <c r="D838" s="116">
        <v>157</v>
      </c>
      <c r="E838" s="116">
        <v>157.5</v>
      </c>
      <c r="F838" s="116">
        <v>314.2</v>
      </c>
      <c r="G838">
        <v>1695</v>
      </c>
      <c r="H838" s="116"/>
      <c r="I838" s="116"/>
      <c r="L838" s="170">
        <v>43236</v>
      </c>
      <c r="M838" s="116">
        <v>157.625</v>
      </c>
      <c r="N838" s="116">
        <v>158.42500000000001</v>
      </c>
      <c r="O838" s="116">
        <v>155.02500000000001</v>
      </c>
      <c r="P838" s="116">
        <v>157.82499999999999</v>
      </c>
      <c r="Q838" s="116">
        <v>315.25</v>
      </c>
      <c r="R838">
        <v>22179</v>
      </c>
    </row>
    <row r="839" spans="1:18" x14ac:dyDescent="0.25">
      <c r="A839" s="170">
        <v>43237</v>
      </c>
      <c r="B839" s="116">
        <v>160</v>
      </c>
      <c r="C839" s="116">
        <v>158.27500000000001</v>
      </c>
      <c r="D839" s="116">
        <v>157</v>
      </c>
      <c r="E839" s="116">
        <v>157.17500000000001</v>
      </c>
      <c r="F839" s="116">
        <v>316.55</v>
      </c>
      <c r="G839">
        <v>10306</v>
      </c>
      <c r="H839" s="116"/>
      <c r="I839" s="116"/>
      <c r="L839" s="170">
        <v>43237</v>
      </c>
      <c r="M839" s="116">
        <v>158.92500000000001</v>
      </c>
      <c r="N839" s="116">
        <v>159.92500000000001</v>
      </c>
      <c r="O839" s="116">
        <v>156.52500000000001</v>
      </c>
      <c r="P839" s="116">
        <v>159.92500000000001</v>
      </c>
      <c r="Q839" s="116">
        <v>317.85000000000002</v>
      </c>
      <c r="R839">
        <v>31957</v>
      </c>
    </row>
    <row r="840" spans="1:18" x14ac:dyDescent="0.25">
      <c r="A840" s="170">
        <v>43238</v>
      </c>
      <c r="B840" s="116">
        <v>160.5</v>
      </c>
      <c r="C840" s="116">
        <v>157.97499999999999</v>
      </c>
      <c r="D840" s="116">
        <v>157</v>
      </c>
      <c r="E840" s="116">
        <v>157.5</v>
      </c>
      <c r="F840" s="116">
        <v>315.95</v>
      </c>
      <c r="G840">
        <v>3968</v>
      </c>
      <c r="H840" s="116"/>
      <c r="I840" s="116"/>
      <c r="L840" s="170">
        <v>43238</v>
      </c>
      <c r="M840" s="116">
        <v>157.92500000000001</v>
      </c>
      <c r="N840" s="116">
        <v>159.875</v>
      </c>
      <c r="O840" s="116">
        <v>157.52500000000001</v>
      </c>
      <c r="P840" s="116">
        <v>158.92500000000001</v>
      </c>
      <c r="Q840" s="116">
        <v>315.85000000000002</v>
      </c>
      <c r="R840">
        <v>16908</v>
      </c>
    </row>
    <row r="841" spans="1:18" x14ac:dyDescent="0.25">
      <c r="A841" s="170">
        <v>43241</v>
      </c>
      <c r="B841" s="116">
        <v>159</v>
      </c>
      <c r="C841" s="116">
        <v>152.75</v>
      </c>
      <c r="D841" s="116">
        <v>152.02500000000001</v>
      </c>
      <c r="E841" s="116">
        <v>157.52500000000001</v>
      </c>
      <c r="F841" s="116">
        <v>305.5</v>
      </c>
      <c r="G841">
        <v>6257</v>
      </c>
      <c r="H841" s="116"/>
      <c r="I841" s="116"/>
      <c r="L841" s="170">
        <v>43241</v>
      </c>
      <c r="M841" s="116">
        <v>153.1</v>
      </c>
      <c r="N841" s="116">
        <v>158.02500000000001</v>
      </c>
      <c r="O841" s="116">
        <v>152.52500000000001</v>
      </c>
      <c r="P841" s="116">
        <v>155.52500000000001</v>
      </c>
      <c r="Q841" s="116">
        <v>306.2</v>
      </c>
      <c r="R841">
        <v>49525</v>
      </c>
    </row>
    <row r="842" spans="1:18" x14ac:dyDescent="0.25">
      <c r="A842" s="170">
        <v>43242</v>
      </c>
      <c r="B842" s="116">
        <v>153.6</v>
      </c>
      <c r="C842" s="116">
        <v>151.42500000000001</v>
      </c>
      <c r="D842" s="116">
        <v>150</v>
      </c>
      <c r="E842" s="116">
        <v>153.5</v>
      </c>
      <c r="F842" s="116">
        <v>302.85000000000002</v>
      </c>
      <c r="G842">
        <v>4150</v>
      </c>
      <c r="H842" s="116"/>
      <c r="I842" s="116"/>
      <c r="L842" s="170">
        <v>43242</v>
      </c>
      <c r="M842" s="116">
        <v>151.6</v>
      </c>
      <c r="N842" s="116">
        <v>153.77500000000001</v>
      </c>
      <c r="O842" s="116">
        <v>149.125</v>
      </c>
      <c r="P842" s="116">
        <v>153.05000000000001</v>
      </c>
      <c r="Q842" s="116">
        <v>303.2</v>
      </c>
      <c r="R842">
        <v>19448</v>
      </c>
    </row>
    <row r="843" spans="1:18" x14ac:dyDescent="0.25">
      <c r="A843" s="170">
        <v>43243</v>
      </c>
      <c r="B843" s="116">
        <v>152.94999999999999</v>
      </c>
      <c r="C843" s="116">
        <v>150.47499999999999</v>
      </c>
      <c r="D843" s="116">
        <v>148.67500000000001</v>
      </c>
      <c r="E843" s="116">
        <v>152.47499999999999</v>
      </c>
      <c r="F843" s="116">
        <v>300.95</v>
      </c>
      <c r="G843">
        <v>2558</v>
      </c>
      <c r="H843" s="116"/>
      <c r="I843" s="116"/>
      <c r="L843" s="170">
        <v>43243</v>
      </c>
      <c r="M843" s="116">
        <v>149.92500000000001</v>
      </c>
      <c r="N843" s="116">
        <v>152.92500000000001</v>
      </c>
      <c r="O843" s="116">
        <v>148.02500000000001</v>
      </c>
      <c r="P843" s="116">
        <v>151.47499999999999</v>
      </c>
      <c r="Q843" s="116">
        <v>299.85000000000002</v>
      </c>
      <c r="R843">
        <v>12701</v>
      </c>
    </row>
    <row r="844" spans="1:18" x14ac:dyDescent="0.25">
      <c r="A844" s="170">
        <v>43244</v>
      </c>
      <c r="B844" s="116">
        <v>150.17500000000001</v>
      </c>
      <c r="C844" s="116">
        <v>147</v>
      </c>
      <c r="D844" s="116">
        <v>145.27500000000001</v>
      </c>
      <c r="E844" s="116">
        <v>149.625</v>
      </c>
      <c r="F844" s="116">
        <v>294</v>
      </c>
      <c r="G844">
        <v>3128</v>
      </c>
      <c r="H844" s="116"/>
      <c r="I844" s="116"/>
      <c r="L844" s="170">
        <v>43244</v>
      </c>
      <c r="M844" s="116">
        <v>147.375</v>
      </c>
      <c r="N844" s="116">
        <v>151.77500000000001</v>
      </c>
      <c r="O844" s="116">
        <v>145.6</v>
      </c>
      <c r="P844" s="116">
        <v>149.80000000000001</v>
      </c>
      <c r="Q844" s="116">
        <v>294.75</v>
      </c>
      <c r="R844">
        <v>20201</v>
      </c>
    </row>
    <row r="845" spans="1:18" x14ac:dyDescent="0.25">
      <c r="A845" s="170">
        <v>43245</v>
      </c>
      <c r="B845" s="116">
        <v>150.65</v>
      </c>
      <c r="C845" s="116">
        <v>147.625</v>
      </c>
      <c r="D845" s="116">
        <v>146.42500000000001</v>
      </c>
      <c r="E845" s="116">
        <v>149.92500000000001</v>
      </c>
      <c r="F845" s="116">
        <v>295.25</v>
      </c>
      <c r="G845">
        <v>6399</v>
      </c>
      <c r="H845" s="116"/>
      <c r="I845" s="116"/>
      <c r="L845" s="170">
        <v>43245</v>
      </c>
      <c r="M845" s="116">
        <v>146.625</v>
      </c>
      <c r="N845" s="116">
        <v>150.80000000000001</v>
      </c>
      <c r="O845" s="116">
        <v>144.55000000000001</v>
      </c>
      <c r="P845" s="116">
        <v>147.375</v>
      </c>
      <c r="Q845" s="116">
        <v>293.25</v>
      </c>
      <c r="R845">
        <v>31036</v>
      </c>
    </row>
    <row r="846" spans="1:18" x14ac:dyDescent="0.25">
      <c r="A846" s="170">
        <v>43248</v>
      </c>
      <c r="B846" s="116">
        <v>148</v>
      </c>
      <c r="C846" s="116">
        <v>145.52500000000001</v>
      </c>
      <c r="D846" s="116">
        <v>141</v>
      </c>
      <c r="E846" s="116">
        <v>147.72499999999999</v>
      </c>
      <c r="F846" s="116">
        <v>291.05</v>
      </c>
      <c r="G846">
        <v>20516</v>
      </c>
      <c r="H846" s="116"/>
      <c r="I846" s="116"/>
      <c r="L846" s="170">
        <v>43248</v>
      </c>
      <c r="M846" s="116">
        <v>144.92500000000001</v>
      </c>
      <c r="N846" s="116">
        <v>149.5</v>
      </c>
      <c r="O846" s="116">
        <v>140.92500000000001</v>
      </c>
      <c r="P846" s="116">
        <v>147</v>
      </c>
      <c r="Q846" s="116">
        <v>289.85000000000002</v>
      </c>
      <c r="R846">
        <v>174128</v>
      </c>
    </row>
    <row r="847" spans="1:18" x14ac:dyDescent="0.25">
      <c r="A847" s="170">
        <v>43249</v>
      </c>
      <c r="B847" s="116">
        <v>145.1</v>
      </c>
      <c r="C847" s="116">
        <v>143.30000000000001</v>
      </c>
      <c r="D847" s="116">
        <v>142.69999999999999</v>
      </c>
      <c r="E847" s="116">
        <v>143.69999999999999</v>
      </c>
      <c r="F847" s="116">
        <v>286.60000000000002</v>
      </c>
      <c r="G847">
        <v>4337</v>
      </c>
      <c r="H847" s="116"/>
      <c r="I847" s="116"/>
      <c r="L847" s="170">
        <v>43249</v>
      </c>
      <c r="M847" s="116">
        <v>143.80000000000001</v>
      </c>
      <c r="N847" s="116">
        <v>145.75</v>
      </c>
      <c r="O847" s="116">
        <v>142.72499999999999</v>
      </c>
      <c r="P847" s="116">
        <v>144.5</v>
      </c>
      <c r="Q847" s="116">
        <v>287.60000000000002</v>
      </c>
      <c r="R847">
        <v>33990</v>
      </c>
    </row>
    <row r="848" spans="1:18" x14ac:dyDescent="0.25">
      <c r="A848" s="170">
        <v>43250</v>
      </c>
      <c r="B848" s="116">
        <v>145.42500000000001</v>
      </c>
      <c r="C848" s="116">
        <v>142.19999999999999</v>
      </c>
      <c r="D848" s="116">
        <v>141.65</v>
      </c>
      <c r="E848" s="116">
        <v>145</v>
      </c>
      <c r="F848" s="116">
        <v>284.39999999999998</v>
      </c>
      <c r="G848">
        <v>2872</v>
      </c>
      <c r="H848" s="116"/>
      <c r="I848" s="116"/>
      <c r="L848" s="170">
        <v>43250</v>
      </c>
      <c r="M848" s="116">
        <v>142.07499999999999</v>
      </c>
      <c r="N848" s="116">
        <v>145.5</v>
      </c>
      <c r="O848" s="116">
        <v>141.05000000000001</v>
      </c>
      <c r="P848" s="116">
        <v>142.57499999999999</v>
      </c>
      <c r="Q848" s="116">
        <v>284.14999999999998</v>
      </c>
      <c r="R848">
        <v>17713</v>
      </c>
    </row>
    <row r="849" spans="1:18" x14ac:dyDescent="0.25">
      <c r="A849" s="170">
        <v>43251</v>
      </c>
      <c r="B849" s="116">
        <v>142.125</v>
      </c>
      <c r="C849" s="116">
        <v>139.52500000000001</v>
      </c>
      <c r="D849" s="116">
        <v>139</v>
      </c>
      <c r="E849" s="116">
        <v>142.125</v>
      </c>
      <c r="F849" s="116">
        <v>279.05</v>
      </c>
      <c r="G849">
        <v>3588</v>
      </c>
      <c r="H849" s="116"/>
      <c r="I849" s="116"/>
      <c r="L849" s="170">
        <v>43251</v>
      </c>
      <c r="M849" s="116">
        <v>139.92500000000001</v>
      </c>
      <c r="N849" s="116">
        <v>144</v>
      </c>
      <c r="O849" s="116">
        <v>139.30000000000001</v>
      </c>
      <c r="P849" s="116">
        <v>142.4</v>
      </c>
      <c r="Q849" s="116">
        <v>279.85000000000002</v>
      </c>
      <c r="R849">
        <v>31502</v>
      </c>
    </row>
    <row r="850" spans="1:18" x14ac:dyDescent="0.25">
      <c r="A850" s="170">
        <v>43252</v>
      </c>
      <c r="B850" s="116">
        <v>139.5</v>
      </c>
      <c r="C850" s="116">
        <v>135.17500000000001</v>
      </c>
      <c r="D850" s="116">
        <v>134.5</v>
      </c>
      <c r="E850" s="116">
        <v>139.5</v>
      </c>
      <c r="F850" s="116">
        <v>270.35000000000002</v>
      </c>
      <c r="G850">
        <v>5370</v>
      </c>
      <c r="H850" s="116"/>
      <c r="I850" s="116"/>
      <c r="L850" s="170">
        <v>43252</v>
      </c>
      <c r="M850" s="116">
        <v>135.35</v>
      </c>
      <c r="N850" s="116">
        <v>140.05000000000001</v>
      </c>
      <c r="O850" s="116">
        <v>134.5</v>
      </c>
      <c r="P850" s="116">
        <v>140</v>
      </c>
      <c r="Q850" s="116">
        <v>270.7</v>
      </c>
      <c r="R850">
        <v>27594</v>
      </c>
    </row>
    <row r="851" spans="1:18" x14ac:dyDescent="0.25">
      <c r="A851" s="170">
        <v>43255</v>
      </c>
      <c r="B851" s="116">
        <v>135.5</v>
      </c>
      <c r="C851" s="116">
        <v>131.1</v>
      </c>
      <c r="D851" s="116">
        <v>130</v>
      </c>
      <c r="E851" s="116">
        <v>135.5</v>
      </c>
      <c r="F851" s="116">
        <v>262.2</v>
      </c>
      <c r="G851">
        <v>227927</v>
      </c>
      <c r="H851" s="116"/>
      <c r="I851" s="116"/>
      <c r="L851" s="170">
        <v>43255</v>
      </c>
      <c r="M851" s="116">
        <v>131.15</v>
      </c>
      <c r="N851" s="116">
        <v>135.94999999999999</v>
      </c>
      <c r="O851" s="116">
        <v>130.5</v>
      </c>
      <c r="P851" s="116">
        <v>135</v>
      </c>
      <c r="Q851" s="116">
        <v>262.3</v>
      </c>
      <c r="R851">
        <v>21058</v>
      </c>
    </row>
    <row r="852" spans="1:18" x14ac:dyDescent="0.25">
      <c r="A852" s="170">
        <v>43256</v>
      </c>
      <c r="B852" s="116">
        <v>131.52500000000001</v>
      </c>
      <c r="C852" s="116">
        <v>127.075</v>
      </c>
      <c r="D852" s="116">
        <v>126.1</v>
      </c>
      <c r="E852" s="116">
        <v>130.5</v>
      </c>
      <c r="F852" s="116">
        <v>254.15</v>
      </c>
      <c r="G852">
        <v>4831</v>
      </c>
      <c r="H852" s="116"/>
      <c r="I852" s="116"/>
      <c r="L852" s="170">
        <v>43256</v>
      </c>
      <c r="M852" s="116">
        <v>127.25</v>
      </c>
      <c r="N852" s="116">
        <v>132.47499999999999</v>
      </c>
      <c r="O852" s="116">
        <v>126.27500000000001</v>
      </c>
      <c r="P852" s="116">
        <v>132.44999999999999</v>
      </c>
      <c r="Q852" s="116">
        <v>254.5</v>
      </c>
      <c r="R852">
        <v>57352</v>
      </c>
    </row>
    <row r="853" spans="1:18" x14ac:dyDescent="0.25">
      <c r="A853" s="170">
        <v>43257</v>
      </c>
      <c r="B853" s="116">
        <v>130.30000000000001</v>
      </c>
      <c r="C853" s="116">
        <v>129.25</v>
      </c>
      <c r="D853" s="116">
        <v>128.17500000000001</v>
      </c>
      <c r="E853" s="116">
        <v>129.47499999999999</v>
      </c>
      <c r="F853" s="116">
        <v>258.5</v>
      </c>
      <c r="G853">
        <v>4698</v>
      </c>
      <c r="H853" s="116"/>
      <c r="I853" s="116"/>
      <c r="L853" s="170">
        <v>43257</v>
      </c>
      <c r="M853" s="116">
        <v>128.72499999999999</v>
      </c>
      <c r="N853" s="116">
        <v>129.69999999999999</v>
      </c>
      <c r="O853" s="116">
        <v>127.25</v>
      </c>
      <c r="P853" s="116">
        <v>128.32499999999999</v>
      </c>
      <c r="Q853" s="116">
        <v>257.45</v>
      </c>
      <c r="R853">
        <v>42598</v>
      </c>
    </row>
    <row r="854" spans="1:18" x14ac:dyDescent="0.25">
      <c r="A854" s="170">
        <v>43258</v>
      </c>
      <c r="B854" s="116">
        <v>134.47499999999999</v>
      </c>
      <c r="C854" s="116">
        <v>131.92500000000001</v>
      </c>
      <c r="D854" s="116">
        <v>129</v>
      </c>
      <c r="E854" s="116">
        <v>129.4</v>
      </c>
      <c r="F854" s="116">
        <v>263.85000000000002</v>
      </c>
      <c r="G854">
        <v>6605</v>
      </c>
      <c r="H854" s="116"/>
      <c r="I854" s="116"/>
      <c r="L854" s="170">
        <v>43258</v>
      </c>
      <c r="M854" s="116">
        <v>132.42500000000001</v>
      </c>
      <c r="N854" s="116">
        <v>135</v>
      </c>
      <c r="O854" s="116">
        <v>128.625</v>
      </c>
      <c r="P854" s="116">
        <v>128.625</v>
      </c>
      <c r="Q854" s="116">
        <v>264.85000000000002</v>
      </c>
      <c r="R854">
        <v>29468</v>
      </c>
    </row>
    <row r="855" spans="1:18" x14ac:dyDescent="0.25">
      <c r="A855" s="170">
        <v>43259</v>
      </c>
      <c r="B855" s="116">
        <v>136</v>
      </c>
      <c r="C855" s="116">
        <v>135.07499999999999</v>
      </c>
      <c r="D855" s="116">
        <v>132.35</v>
      </c>
      <c r="E855" s="116">
        <v>133.27500000000001</v>
      </c>
      <c r="F855" s="116">
        <v>270.14999999999998</v>
      </c>
      <c r="G855">
        <v>3987</v>
      </c>
      <c r="H855" s="116"/>
      <c r="I855" s="116"/>
      <c r="L855" s="170">
        <v>43259</v>
      </c>
      <c r="M855" s="116">
        <v>134.72499999999999</v>
      </c>
      <c r="N855" s="116">
        <v>136.35</v>
      </c>
      <c r="O855" s="116">
        <v>132.25</v>
      </c>
      <c r="P855" s="116">
        <v>132.25</v>
      </c>
      <c r="Q855" s="116">
        <v>269.45</v>
      </c>
      <c r="R855">
        <v>46010</v>
      </c>
    </row>
    <row r="856" spans="1:18" x14ac:dyDescent="0.25">
      <c r="A856" s="170">
        <v>43262</v>
      </c>
      <c r="B856" s="116">
        <v>137.47499999999999</v>
      </c>
      <c r="C856" s="116">
        <v>132.375</v>
      </c>
      <c r="D856" s="116">
        <v>131.72499999999999</v>
      </c>
      <c r="E856" s="116">
        <v>137.47499999999999</v>
      </c>
      <c r="F856" s="116">
        <v>264.75</v>
      </c>
      <c r="G856">
        <v>3829</v>
      </c>
      <c r="H856" s="116"/>
      <c r="I856" s="116"/>
      <c r="L856" s="170">
        <v>43262</v>
      </c>
      <c r="M856" s="116">
        <v>132.44999999999999</v>
      </c>
      <c r="N856" s="116">
        <v>136.05000000000001</v>
      </c>
      <c r="O856" s="116">
        <v>132.05000000000001</v>
      </c>
      <c r="P856" s="116">
        <v>133.19999999999999</v>
      </c>
      <c r="Q856" s="116">
        <v>264.89999999999998</v>
      </c>
      <c r="R856">
        <v>38183</v>
      </c>
    </row>
    <row r="857" spans="1:18" x14ac:dyDescent="0.25">
      <c r="A857" s="170">
        <v>43263</v>
      </c>
      <c r="B857" s="116">
        <v>139.22499999999999</v>
      </c>
      <c r="C857" s="116">
        <v>135.97499999999999</v>
      </c>
      <c r="D857" s="116">
        <v>133</v>
      </c>
      <c r="E857" s="116">
        <v>133.6</v>
      </c>
      <c r="F857" s="116">
        <v>271.95</v>
      </c>
      <c r="G857">
        <v>8336</v>
      </c>
      <c r="H857" s="116"/>
      <c r="I857" s="116"/>
      <c r="L857" s="170">
        <v>43263</v>
      </c>
      <c r="M857" s="116">
        <v>136.55000000000001</v>
      </c>
      <c r="N857" s="116">
        <v>138.85</v>
      </c>
      <c r="O857" s="116">
        <v>132.375</v>
      </c>
      <c r="P857" s="116">
        <v>134</v>
      </c>
      <c r="Q857" s="116">
        <v>273.10000000000002</v>
      </c>
      <c r="R857">
        <v>68062</v>
      </c>
    </row>
    <row r="858" spans="1:18" x14ac:dyDescent="0.25">
      <c r="A858" s="170">
        <v>43264</v>
      </c>
      <c r="B858" s="116">
        <v>137.9</v>
      </c>
      <c r="C858" s="116">
        <v>134.52500000000001</v>
      </c>
      <c r="D858" s="116">
        <v>134.17500000000001</v>
      </c>
      <c r="E858" s="116">
        <v>137.9</v>
      </c>
      <c r="F858" s="116">
        <v>269.05</v>
      </c>
      <c r="G858">
        <v>24851</v>
      </c>
      <c r="H858" s="116"/>
      <c r="I858" s="116"/>
      <c r="L858" s="170">
        <v>43264</v>
      </c>
      <c r="M858" s="116">
        <v>135.65</v>
      </c>
      <c r="N858" s="116">
        <v>138.32499999999999</v>
      </c>
      <c r="O858" s="116">
        <v>135</v>
      </c>
      <c r="P858" s="116">
        <v>136.5</v>
      </c>
      <c r="Q858" s="116">
        <v>271.3</v>
      </c>
      <c r="R858">
        <v>39175</v>
      </c>
    </row>
    <row r="859" spans="1:18" x14ac:dyDescent="0.25">
      <c r="A859" s="170">
        <v>43265</v>
      </c>
      <c r="B859" s="116">
        <v>141.5</v>
      </c>
      <c r="C859" s="116">
        <v>139.25</v>
      </c>
      <c r="D859" s="116">
        <v>133.5</v>
      </c>
      <c r="E859" s="116">
        <v>135.5</v>
      </c>
      <c r="F859" s="116">
        <v>278.5</v>
      </c>
      <c r="G859">
        <v>4937</v>
      </c>
      <c r="H859" s="116"/>
      <c r="I859" s="116"/>
      <c r="L859" s="170">
        <v>43265</v>
      </c>
      <c r="M859" s="116">
        <v>139.125</v>
      </c>
      <c r="N859" s="116">
        <v>142.05000000000001</v>
      </c>
      <c r="O859" s="116">
        <v>132</v>
      </c>
      <c r="P859" s="116">
        <v>135.85</v>
      </c>
      <c r="Q859" s="116">
        <v>278.25</v>
      </c>
      <c r="R859">
        <v>59443</v>
      </c>
    </row>
    <row r="860" spans="1:18" x14ac:dyDescent="0.25">
      <c r="A860" s="170">
        <v>43266</v>
      </c>
      <c r="B860" s="116">
        <v>143.5</v>
      </c>
      <c r="C860" s="116">
        <v>142.55000000000001</v>
      </c>
      <c r="D860" s="116">
        <v>140</v>
      </c>
      <c r="E860" s="116">
        <v>140.02500000000001</v>
      </c>
      <c r="F860" s="116">
        <v>285.10000000000002</v>
      </c>
      <c r="G860">
        <v>4041</v>
      </c>
      <c r="H860" s="116"/>
      <c r="I860" s="116"/>
      <c r="L860" s="170">
        <v>43266</v>
      </c>
      <c r="M860" s="116">
        <v>142.67500000000001</v>
      </c>
      <c r="N860" s="116">
        <v>144</v>
      </c>
      <c r="O860" s="116">
        <v>138.625</v>
      </c>
      <c r="P860" s="116">
        <v>139.19999999999999</v>
      </c>
      <c r="Q860" s="116">
        <v>285.35000000000002</v>
      </c>
      <c r="R860">
        <v>80595</v>
      </c>
    </row>
    <row r="861" spans="1:18" x14ac:dyDescent="0.25">
      <c r="A861" s="170">
        <v>43269</v>
      </c>
      <c r="B861" s="116">
        <v>144.5</v>
      </c>
      <c r="C861" s="116">
        <v>142.44999999999999</v>
      </c>
      <c r="D861" s="116">
        <v>140.65</v>
      </c>
      <c r="E861" s="116">
        <v>142.97499999999999</v>
      </c>
      <c r="F861" s="116">
        <v>284.89999999999998</v>
      </c>
      <c r="G861">
        <v>947</v>
      </c>
      <c r="H861" s="116"/>
      <c r="I861" s="116"/>
      <c r="L861" s="170">
        <v>43269</v>
      </c>
      <c r="M861" s="116">
        <v>141.97499999999999</v>
      </c>
      <c r="N861" s="116">
        <v>144.65</v>
      </c>
      <c r="O861" s="116">
        <v>140.97499999999999</v>
      </c>
      <c r="P861" s="116">
        <v>142.5</v>
      </c>
      <c r="Q861" s="116">
        <v>283.95</v>
      </c>
      <c r="R861">
        <v>32314</v>
      </c>
    </row>
    <row r="862" spans="1:18" x14ac:dyDescent="0.25">
      <c r="A862" s="170">
        <v>43270</v>
      </c>
      <c r="B862" s="116">
        <v>142</v>
      </c>
      <c r="C862" s="116">
        <v>139.44999999999999</v>
      </c>
      <c r="D862" s="116">
        <v>138</v>
      </c>
      <c r="E862" s="116">
        <v>142</v>
      </c>
      <c r="F862" s="116">
        <v>278.89999999999998</v>
      </c>
      <c r="G862">
        <v>1954</v>
      </c>
      <c r="H862" s="116"/>
      <c r="I862" s="116"/>
      <c r="L862" s="170">
        <v>43270</v>
      </c>
      <c r="M862" s="116">
        <v>140.02500000000001</v>
      </c>
      <c r="N862" s="116">
        <v>141.97499999999999</v>
      </c>
      <c r="O862" s="116">
        <v>137.5</v>
      </c>
      <c r="P862" s="116">
        <v>141.97499999999999</v>
      </c>
      <c r="Q862" s="116">
        <v>280.05</v>
      </c>
      <c r="R862">
        <v>17862</v>
      </c>
    </row>
    <row r="863" spans="1:18" x14ac:dyDescent="0.25">
      <c r="A863" s="170">
        <v>43271</v>
      </c>
      <c r="B863" s="116">
        <v>141.17500000000001</v>
      </c>
      <c r="C863" s="116">
        <v>137.97499999999999</v>
      </c>
      <c r="D863" s="116">
        <v>137.52500000000001</v>
      </c>
      <c r="E863" s="116">
        <v>140</v>
      </c>
      <c r="F863" s="116">
        <v>275.95</v>
      </c>
      <c r="G863">
        <v>7215</v>
      </c>
      <c r="H863" s="116"/>
      <c r="I863" s="116"/>
      <c r="L863" s="170">
        <v>43271</v>
      </c>
      <c r="M863" s="116">
        <v>138.85</v>
      </c>
      <c r="N863" s="116">
        <v>140.97499999999999</v>
      </c>
      <c r="O863" s="116">
        <v>137.55000000000001</v>
      </c>
      <c r="P863" s="116">
        <v>139</v>
      </c>
      <c r="Q863" s="116">
        <v>277.7</v>
      </c>
      <c r="R863">
        <v>20194</v>
      </c>
    </row>
    <row r="864" spans="1:18" x14ac:dyDescent="0.25">
      <c r="A864" s="170">
        <v>43272</v>
      </c>
      <c r="B864" s="116">
        <v>139.72499999999999</v>
      </c>
      <c r="C864" s="116">
        <v>135.77500000000001</v>
      </c>
      <c r="D864" s="116">
        <v>135.1</v>
      </c>
      <c r="E864" s="116">
        <v>138.80000000000001</v>
      </c>
      <c r="F864" s="116">
        <v>271.55</v>
      </c>
      <c r="G864">
        <v>15542</v>
      </c>
      <c r="H864" s="116"/>
      <c r="I864" s="116"/>
      <c r="L864" s="170">
        <v>43272</v>
      </c>
      <c r="M864" s="116">
        <v>135.07499999999999</v>
      </c>
      <c r="N864" s="116">
        <v>139.27500000000001</v>
      </c>
      <c r="O864" s="116">
        <v>132.67500000000001</v>
      </c>
      <c r="P864" s="116">
        <v>138.77500000000001</v>
      </c>
      <c r="Q864" s="116">
        <v>270.14999999999998</v>
      </c>
      <c r="R864">
        <v>33154</v>
      </c>
    </row>
    <row r="865" spans="1:18" x14ac:dyDescent="0.25">
      <c r="A865" s="170">
        <v>43273</v>
      </c>
      <c r="B865" s="116">
        <v>136</v>
      </c>
      <c r="C865" s="116">
        <v>134.02500000000001</v>
      </c>
      <c r="D865" s="116">
        <v>133</v>
      </c>
      <c r="E865" s="116">
        <v>135.02500000000001</v>
      </c>
      <c r="F865" s="116">
        <v>268.05</v>
      </c>
      <c r="G865">
        <v>11214</v>
      </c>
      <c r="H865" s="116"/>
      <c r="I865" s="116"/>
      <c r="L865" s="170">
        <v>43273</v>
      </c>
      <c r="M865" s="116">
        <v>133.85</v>
      </c>
      <c r="N865" s="116">
        <v>135.5</v>
      </c>
      <c r="O865" s="116">
        <v>132.5</v>
      </c>
      <c r="P865" s="116">
        <v>135.125</v>
      </c>
      <c r="Q865" s="116">
        <v>267.7</v>
      </c>
      <c r="R865">
        <v>29464</v>
      </c>
    </row>
    <row r="866" spans="1:18" x14ac:dyDescent="0.25">
      <c r="A866" s="170">
        <v>43276</v>
      </c>
      <c r="B866" s="116">
        <v>135</v>
      </c>
      <c r="C866" s="116">
        <v>132.27500000000001</v>
      </c>
      <c r="D866" s="116">
        <v>131.6</v>
      </c>
      <c r="E866" s="116">
        <v>133.17500000000001</v>
      </c>
      <c r="F866" s="116">
        <v>264.55</v>
      </c>
      <c r="G866">
        <v>2993</v>
      </c>
      <c r="H866" s="116"/>
      <c r="I866" s="116"/>
      <c r="L866" s="170">
        <v>43276</v>
      </c>
      <c r="M866" s="116">
        <v>131.97499999999999</v>
      </c>
      <c r="N866" s="116">
        <v>134.67500000000001</v>
      </c>
      <c r="O866" s="116">
        <v>131.5</v>
      </c>
      <c r="P866" s="116">
        <v>133.65</v>
      </c>
      <c r="Q866" s="116">
        <v>263.95</v>
      </c>
      <c r="R866">
        <v>20899</v>
      </c>
    </row>
    <row r="867" spans="1:18" x14ac:dyDescent="0.25">
      <c r="A867" s="170">
        <v>43277</v>
      </c>
      <c r="B867" s="116">
        <v>132.625</v>
      </c>
      <c r="C867" s="116">
        <v>129.75</v>
      </c>
      <c r="D867" s="116">
        <v>129.5</v>
      </c>
      <c r="E867" s="116">
        <v>130.30000000000001</v>
      </c>
      <c r="F867" s="116">
        <v>259.5</v>
      </c>
      <c r="G867">
        <v>6024</v>
      </c>
      <c r="H867" s="116"/>
      <c r="I867" s="116"/>
      <c r="L867" s="170">
        <v>43277</v>
      </c>
      <c r="M867" s="116">
        <v>130</v>
      </c>
      <c r="N867" s="116">
        <v>132.07499999999999</v>
      </c>
      <c r="O867" s="116">
        <v>128.77500000000001</v>
      </c>
      <c r="P867" s="116">
        <v>131.82499999999999</v>
      </c>
      <c r="Q867" s="116">
        <v>260</v>
      </c>
      <c r="R867">
        <v>25657</v>
      </c>
    </row>
    <row r="868" spans="1:18" x14ac:dyDescent="0.25">
      <c r="A868" s="170">
        <v>43278</v>
      </c>
      <c r="B868" s="116">
        <v>131.35</v>
      </c>
      <c r="C868" s="116">
        <v>128.1</v>
      </c>
      <c r="D868" s="116">
        <v>126</v>
      </c>
      <c r="E868" s="116">
        <v>130.6</v>
      </c>
      <c r="F868" s="116">
        <v>256.2</v>
      </c>
      <c r="G868">
        <v>1900</v>
      </c>
      <c r="H868" s="116"/>
      <c r="I868" s="116"/>
      <c r="L868" s="170">
        <v>43278</v>
      </c>
      <c r="M868" s="116">
        <v>128.5</v>
      </c>
      <c r="N868" s="116">
        <v>131.25</v>
      </c>
      <c r="O868" s="116">
        <v>125.05</v>
      </c>
      <c r="P868" s="116">
        <v>129.97499999999999</v>
      </c>
      <c r="Q868" s="116">
        <v>257</v>
      </c>
      <c r="R868">
        <v>20542</v>
      </c>
    </row>
    <row r="869" spans="1:18" x14ac:dyDescent="0.25">
      <c r="A869" s="170">
        <v>43279</v>
      </c>
      <c r="B869" s="116">
        <v>129.97499999999999</v>
      </c>
      <c r="C869" s="116">
        <v>129.17500000000001</v>
      </c>
      <c r="D869" s="116">
        <v>126.55</v>
      </c>
      <c r="E869" s="116">
        <v>129.97499999999999</v>
      </c>
      <c r="F869" s="116">
        <v>258.35000000000002</v>
      </c>
      <c r="G869">
        <v>5001</v>
      </c>
      <c r="H869" s="116"/>
      <c r="I869" s="116"/>
      <c r="L869" s="170">
        <v>43279</v>
      </c>
      <c r="M869" s="116">
        <v>128.30000000000001</v>
      </c>
      <c r="N869" s="116">
        <v>132.4</v>
      </c>
      <c r="O869" s="116">
        <v>126.3</v>
      </c>
      <c r="P869" s="116">
        <v>132.4</v>
      </c>
      <c r="Q869" s="116">
        <v>256.60000000000002</v>
      </c>
      <c r="R869">
        <v>60051</v>
      </c>
    </row>
    <row r="870" spans="1:18" x14ac:dyDescent="0.25">
      <c r="A870" s="170">
        <v>43280</v>
      </c>
      <c r="B870" s="116">
        <v>129.5</v>
      </c>
      <c r="C870" s="116">
        <v>129.05000000000001</v>
      </c>
      <c r="D870" s="116">
        <v>127.55</v>
      </c>
      <c r="E870" s="116">
        <v>128</v>
      </c>
      <c r="F870" s="116">
        <v>258.10000000000002</v>
      </c>
      <c r="G870">
        <v>3298</v>
      </c>
      <c r="H870" s="116"/>
      <c r="I870" s="116"/>
      <c r="L870" s="170">
        <v>43280</v>
      </c>
      <c r="M870" s="116">
        <v>128.92500000000001</v>
      </c>
      <c r="N870" s="116">
        <v>130</v>
      </c>
      <c r="O870" s="116">
        <v>127.5</v>
      </c>
      <c r="P870" s="116">
        <v>128.77500000000001</v>
      </c>
      <c r="Q870" s="116">
        <v>257.85000000000002</v>
      </c>
      <c r="R870">
        <v>23978</v>
      </c>
    </row>
    <row r="871" spans="1:18" x14ac:dyDescent="0.25">
      <c r="A871" s="170">
        <v>43283</v>
      </c>
      <c r="B871" s="116">
        <v>130</v>
      </c>
      <c r="C871" s="116">
        <v>126.45</v>
      </c>
      <c r="D871" s="116">
        <v>126</v>
      </c>
      <c r="E871" s="116">
        <v>129</v>
      </c>
      <c r="F871" s="116">
        <v>252.9</v>
      </c>
      <c r="G871">
        <v>1980</v>
      </c>
      <c r="H871" s="116"/>
      <c r="I871" s="116"/>
      <c r="L871" s="170">
        <v>43283</v>
      </c>
      <c r="M871" s="116">
        <v>126.7</v>
      </c>
      <c r="N871" s="116">
        <v>129.82499999999999</v>
      </c>
      <c r="O871" s="116">
        <v>126.02500000000001</v>
      </c>
      <c r="P871" s="116">
        <v>128.97499999999999</v>
      </c>
      <c r="Q871" s="116">
        <v>253.4</v>
      </c>
      <c r="R871">
        <v>13547</v>
      </c>
    </row>
    <row r="872" spans="1:18" x14ac:dyDescent="0.25">
      <c r="A872" s="170">
        <v>43284</v>
      </c>
      <c r="B872" s="116">
        <v>127.4</v>
      </c>
      <c r="C872" s="116">
        <v>126.47499999999999</v>
      </c>
      <c r="D872" s="116">
        <v>125.22499999999999</v>
      </c>
      <c r="E872" s="116">
        <v>127.075</v>
      </c>
      <c r="F872" s="116">
        <v>252.95</v>
      </c>
      <c r="G872">
        <v>2426</v>
      </c>
      <c r="H872" s="116"/>
      <c r="I872" s="116"/>
      <c r="L872" s="170">
        <v>43284</v>
      </c>
      <c r="M872" s="116">
        <v>125.925</v>
      </c>
      <c r="N872" s="116">
        <v>127.97499999999999</v>
      </c>
      <c r="O872" s="116">
        <v>125.25</v>
      </c>
      <c r="P872" s="116">
        <v>127</v>
      </c>
      <c r="Q872" s="116">
        <v>251.85</v>
      </c>
      <c r="R872">
        <v>19566</v>
      </c>
    </row>
    <row r="873" spans="1:18" x14ac:dyDescent="0.25">
      <c r="A873" s="170">
        <v>43285</v>
      </c>
      <c r="B873" s="116">
        <v>129</v>
      </c>
      <c r="C873" s="116">
        <v>125.85</v>
      </c>
      <c r="D873" s="116">
        <v>125.575</v>
      </c>
      <c r="E873" s="116">
        <v>128.75</v>
      </c>
      <c r="F873" s="116">
        <v>251.7</v>
      </c>
      <c r="G873">
        <v>1832</v>
      </c>
      <c r="H873" s="116"/>
      <c r="I873" s="116"/>
      <c r="L873" s="170">
        <v>43285</v>
      </c>
      <c r="M873" s="116">
        <v>126.52500000000001</v>
      </c>
      <c r="N873" s="116">
        <v>129.125</v>
      </c>
      <c r="O873" s="116">
        <v>125.925</v>
      </c>
      <c r="P873" s="116">
        <v>125.925</v>
      </c>
      <c r="Q873" s="116">
        <v>253.05</v>
      </c>
      <c r="R873">
        <v>18110</v>
      </c>
    </row>
    <row r="874" spans="1:18" x14ac:dyDescent="0.25">
      <c r="A874" s="170">
        <v>43286</v>
      </c>
      <c r="B874" s="116">
        <v>129.44999999999999</v>
      </c>
      <c r="C874" s="116">
        <v>126.75</v>
      </c>
      <c r="D874" s="116">
        <v>125.02500000000001</v>
      </c>
      <c r="E874" s="116">
        <v>127.52500000000001</v>
      </c>
      <c r="F874" s="116">
        <v>253.5</v>
      </c>
      <c r="G874">
        <v>2201</v>
      </c>
      <c r="H874" s="116"/>
      <c r="I874" s="116"/>
      <c r="L874" s="170">
        <v>43286</v>
      </c>
      <c r="M874" s="116">
        <v>126.35</v>
      </c>
      <c r="N874" s="116">
        <v>129.55000000000001</v>
      </c>
      <c r="O874" s="116">
        <v>125.5</v>
      </c>
      <c r="P874" s="116">
        <v>127.55</v>
      </c>
      <c r="Q874" s="116">
        <v>252.7</v>
      </c>
      <c r="R874">
        <v>34241</v>
      </c>
    </row>
    <row r="875" spans="1:18" x14ac:dyDescent="0.25">
      <c r="A875" s="170">
        <v>43287</v>
      </c>
      <c r="B875" s="116">
        <v>127.22499999999999</v>
      </c>
      <c r="C875" s="116">
        <v>123.97499999999999</v>
      </c>
      <c r="D875" s="116">
        <v>120.02500000000001</v>
      </c>
      <c r="E875" s="116">
        <v>125</v>
      </c>
      <c r="F875" s="116">
        <v>247.95</v>
      </c>
      <c r="G875">
        <v>3541</v>
      </c>
      <c r="H875" s="116"/>
      <c r="I875" s="116"/>
      <c r="L875" s="170">
        <v>43287</v>
      </c>
      <c r="M875" s="116">
        <v>124.05</v>
      </c>
      <c r="N875" s="116">
        <v>127.25</v>
      </c>
      <c r="O875" s="116">
        <v>119.97499999999999</v>
      </c>
      <c r="P875" s="116">
        <v>126.075</v>
      </c>
      <c r="Q875" s="116">
        <v>248.1</v>
      </c>
      <c r="R875">
        <v>203468</v>
      </c>
    </row>
    <row r="876" spans="1:18" x14ac:dyDescent="0.25">
      <c r="A876" s="170">
        <v>43290</v>
      </c>
      <c r="B876" s="116">
        <v>127.125</v>
      </c>
      <c r="C876" s="116">
        <v>125.05</v>
      </c>
      <c r="D876" s="116">
        <v>124.5</v>
      </c>
      <c r="E876" s="116">
        <v>124.95</v>
      </c>
      <c r="F876" s="116">
        <v>250.1</v>
      </c>
      <c r="G876">
        <v>806</v>
      </c>
      <c r="H876" s="116"/>
      <c r="I876" s="116"/>
      <c r="L876" s="170">
        <v>43290</v>
      </c>
      <c r="M876" s="116">
        <v>125.05</v>
      </c>
      <c r="N876" s="116">
        <v>126.825</v>
      </c>
      <c r="O876" s="116">
        <v>122.55</v>
      </c>
      <c r="P876" s="116">
        <v>124</v>
      </c>
      <c r="Q876" s="116">
        <v>250.1</v>
      </c>
      <c r="R876">
        <v>81338</v>
      </c>
    </row>
    <row r="877" spans="1:18" x14ac:dyDescent="0.25">
      <c r="A877" s="170">
        <v>43291</v>
      </c>
      <c r="B877" s="116">
        <v>128.1</v>
      </c>
      <c r="C877" s="116">
        <v>127.075</v>
      </c>
      <c r="D877" s="116">
        <v>124.5</v>
      </c>
      <c r="E877" s="116">
        <v>124.5</v>
      </c>
      <c r="F877" s="116">
        <v>254.15</v>
      </c>
      <c r="G877">
        <v>2992</v>
      </c>
      <c r="H877" s="116"/>
      <c r="I877" s="116"/>
      <c r="L877" s="170">
        <v>43291</v>
      </c>
      <c r="M877" s="116">
        <v>128.07499999999999</v>
      </c>
      <c r="N877" s="116">
        <v>128.875</v>
      </c>
      <c r="O877" s="116">
        <v>124.97499999999999</v>
      </c>
      <c r="P877" s="116">
        <v>125.97499999999999</v>
      </c>
      <c r="Q877" s="116">
        <v>256.14999999999998</v>
      </c>
      <c r="R877">
        <v>238512</v>
      </c>
    </row>
    <row r="878" spans="1:18" x14ac:dyDescent="0.25">
      <c r="A878" s="170">
        <v>43292</v>
      </c>
      <c r="B878" s="116">
        <v>129.44999999999999</v>
      </c>
      <c r="C878" s="116">
        <v>127.85</v>
      </c>
      <c r="D878" s="116">
        <v>118</v>
      </c>
      <c r="E878" s="116">
        <v>127.425</v>
      </c>
      <c r="F878" s="116">
        <v>255.7</v>
      </c>
      <c r="G878">
        <v>5817</v>
      </c>
      <c r="H878" s="116"/>
      <c r="I878" s="116"/>
      <c r="L878" s="170">
        <v>43292</v>
      </c>
      <c r="M878" s="116">
        <v>128.47499999999999</v>
      </c>
      <c r="N878" s="116">
        <v>129.5</v>
      </c>
      <c r="O878" s="116">
        <v>126.25</v>
      </c>
      <c r="P878" s="116">
        <v>127.47499999999999</v>
      </c>
      <c r="Q878" s="116">
        <v>256.95</v>
      </c>
      <c r="R878">
        <v>41741</v>
      </c>
    </row>
    <row r="879" spans="1:18" x14ac:dyDescent="0.25">
      <c r="A879" s="170">
        <v>43293</v>
      </c>
      <c r="B879" s="116">
        <v>131</v>
      </c>
      <c r="C879" s="116">
        <v>128.19999999999999</v>
      </c>
      <c r="D879" s="116">
        <v>127.5</v>
      </c>
      <c r="E879" s="116">
        <v>129.9</v>
      </c>
      <c r="F879" s="116">
        <v>256.39999999999998</v>
      </c>
      <c r="G879">
        <v>9656</v>
      </c>
      <c r="H879" s="116"/>
      <c r="I879" s="116"/>
      <c r="L879" s="170">
        <v>43293</v>
      </c>
      <c r="M879" s="116">
        <v>128.75</v>
      </c>
      <c r="N879" s="116">
        <v>131.42500000000001</v>
      </c>
      <c r="O879" s="116">
        <v>127.575</v>
      </c>
      <c r="P879" s="116">
        <v>128.47499999999999</v>
      </c>
      <c r="Q879" s="116">
        <v>257.5</v>
      </c>
      <c r="R879">
        <v>26586</v>
      </c>
    </row>
    <row r="880" spans="1:18" x14ac:dyDescent="0.25">
      <c r="A880" s="170">
        <v>43294</v>
      </c>
      <c r="B880" s="116">
        <v>129.5</v>
      </c>
      <c r="C880" s="116">
        <v>126.325</v>
      </c>
      <c r="D880" s="116">
        <v>126</v>
      </c>
      <c r="E880" s="116">
        <v>129.30000000000001</v>
      </c>
      <c r="F880" s="116">
        <v>252.65</v>
      </c>
      <c r="G880">
        <v>3640</v>
      </c>
      <c r="H880" s="116"/>
      <c r="I880" s="116"/>
      <c r="L880" s="170">
        <v>43294</v>
      </c>
      <c r="M880" s="116">
        <v>127.2</v>
      </c>
      <c r="N880" s="116">
        <v>130.22499999999999</v>
      </c>
      <c r="O880" s="116">
        <v>126.175</v>
      </c>
      <c r="P880" s="116">
        <v>128.5</v>
      </c>
      <c r="Q880" s="116">
        <v>254.4</v>
      </c>
      <c r="R880">
        <v>14169</v>
      </c>
    </row>
    <row r="881" spans="1:18" x14ac:dyDescent="0.25">
      <c r="A881" s="170">
        <v>43297</v>
      </c>
      <c r="B881" s="116">
        <v>128.375</v>
      </c>
      <c r="C881" s="116">
        <v>127.05</v>
      </c>
      <c r="D881" s="116">
        <v>125</v>
      </c>
      <c r="E881" s="116">
        <v>127.25</v>
      </c>
      <c r="F881" s="116">
        <v>254.1</v>
      </c>
      <c r="G881">
        <v>2483</v>
      </c>
      <c r="H881" s="116"/>
      <c r="I881" s="116"/>
      <c r="L881" s="170">
        <v>43297</v>
      </c>
      <c r="M881" s="116">
        <v>127.47499999999999</v>
      </c>
      <c r="N881" s="116">
        <v>129.07499999999999</v>
      </c>
      <c r="O881" s="116">
        <v>124</v>
      </c>
      <c r="P881" s="116">
        <v>129.07499999999999</v>
      </c>
      <c r="Q881" s="116">
        <v>254.95</v>
      </c>
      <c r="R881">
        <v>24222</v>
      </c>
    </row>
    <row r="882" spans="1:18" x14ac:dyDescent="0.25">
      <c r="A882" s="170">
        <v>43298</v>
      </c>
      <c r="B882" s="116">
        <v>131</v>
      </c>
      <c r="C882" s="116">
        <v>129.47499999999999</v>
      </c>
      <c r="D882" s="116">
        <v>125.55</v>
      </c>
      <c r="E882" s="116">
        <v>127.375</v>
      </c>
      <c r="F882" s="116">
        <v>258.95</v>
      </c>
      <c r="G882">
        <v>18160</v>
      </c>
      <c r="H882" s="116"/>
      <c r="I882" s="116"/>
      <c r="L882" s="170">
        <v>43298</v>
      </c>
      <c r="M882" s="116">
        <v>130.27500000000001</v>
      </c>
      <c r="N882" s="116">
        <v>133.5</v>
      </c>
      <c r="O882" s="116">
        <v>126.5</v>
      </c>
      <c r="P882" s="116">
        <v>126.97499999999999</v>
      </c>
      <c r="Q882" s="116">
        <v>260.55</v>
      </c>
      <c r="R882">
        <v>22633</v>
      </c>
    </row>
    <row r="883" spans="1:18" x14ac:dyDescent="0.25">
      <c r="A883" s="170">
        <v>43299</v>
      </c>
      <c r="B883" s="116">
        <v>131.69999999999999</v>
      </c>
      <c r="C883" s="116">
        <v>130.97499999999999</v>
      </c>
      <c r="D883" s="116">
        <v>128.52500000000001</v>
      </c>
      <c r="E883" s="116">
        <v>129.80000000000001</v>
      </c>
      <c r="F883" s="116">
        <v>261.95</v>
      </c>
      <c r="G883">
        <v>6613</v>
      </c>
      <c r="H883" s="116"/>
      <c r="I883" s="116"/>
      <c r="L883" s="170">
        <v>43299</v>
      </c>
      <c r="M883" s="116">
        <v>130.02500000000001</v>
      </c>
      <c r="N883" s="116">
        <v>131.47499999999999</v>
      </c>
      <c r="O883" s="116">
        <v>128.5</v>
      </c>
      <c r="P883" s="116">
        <v>130.5</v>
      </c>
      <c r="Q883" s="116">
        <v>260.05</v>
      </c>
      <c r="R883">
        <v>25263</v>
      </c>
    </row>
    <row r="884" spans="1:18" x14ac:dyDescent="0.25">
      <c r="A884" s="170">
        <v>43300</v>
      </c>
      <c r="B884" s="116">
        <v>133.44999999999999</v>
      </c>
      <c r="C884" s="116">
        <v>132.44999999999999</v>
      </c>
      <c r="D884" s="116">
        <v>131.19999999999999</v>
      </c>
      <c r="E884" s="116">
        <v>132.44999999999999</v>
      </c>
      <c r="F884" s="116">
        <v>264.89999999999998</v>
      </c>
      <c r="G884">
        <v>4081</v>
      </c>
      <c r="H884" s="116"/>
      <c r="I884" s="116"/>
      <c r="L884" s="170">
        <v>43300</v>
      </c>
      <c r="M884" s="116">
        <v>132.5</v>
      </c>
      <c r="N884" s="116">
        <v>133.19999999999999</v>
      </c>
      <c r="O884" s="116">
        <v>130.07499999999999</v>
      </c>
      <c r="P884" s="116">
        <v>130.5</v>
      </c>
      <c r="Q884" s="116">
        <v>265</v>
      </c>
      <c r="R884">
        <v>63050</v>
      </c>
    </row>
    <row r="885" spans="1:18" x14ac:dyDescent="0.25">
      <c r="A885" s="170">
        <v>43301</v>
      </c>
      <c r="B885" s="116">
        <v>134.94999999999999</v>
      </c>
      <c r="C885" s="116">
        <v>131.82499999999999</v>
      </c>
      <c r="D885" s="116">
        <v>131.27500000000001</v>
      </c>
      <c r="E885" s="116">
        <v>133.5</v>
      </c>
      <c r="F885" s="116">
        <v>263.64999999999998</v>
      </c>
      <c r="G885">
        <v>1861</v>
      </c>
      <c r="H885" s="116"/>
      <c r="I885" s="116"/>
      <c r="L885" s="170">
        <v>43301</v>
      </c>
      <c r="M885" s="116">
        <v>132.75</v>
      </c>
      <c r="N885" s="116">
        <v>134.92500000000001</v>
      </c>
      <c r="O885" s="116">
        <v>131.97499999999999</v>
      </c>
      <c r="P885" s="116">
        <v>133.5</v>
      </c>
      <c r="Q885" s="116">
        <v>265.5</v>
      </c>
      <c r="R885">
        <v>31797</v>
      </c>
    </row>
    <row r="886" spans="1:18" x14ac:dyDescent="0.25">
      <c r="A886" s="170">
        <v>43304</v>
      </c>
      <c r="B886" s="116">
        <v>135</v>
      </c>
      <c r="C886" s="116">
        <v>134.75</v>
      </c>
      <c r="D886" s="116">
        <v>128.65</v>
      </c>
      <c r="E886" s="116">
        <v>132.75</v>
      </c>
      <c r="F886" s="116">
        <v>269.5</v>
      </c>
      <c r="G886">
        <v>9554</v>
      </c>
      <c r="H886" s="116"/>
      <c r="I886" s="116"/>
      <c r="L886" s="170">
        <v>43304</v>
      </c>
      <c r="M886" s="116">
        <v>135.02500000000001</v>
      </c>
      <c r="N886" s="116">
        <v>135.77500000000001</v>
      </c>
      <c r="O886" s="116">
        <v>132.47499999999999</v>
      </c>
      <c r="P886" s="116">
        <v>132.55000000000001</v>
      </c>
      <c r="Q886" s="116">
        <v>270.05</v>
      </c>
      <c r="R886">
        <v>54899</v>
      </c>
    </row>
    <row r="887" spans="1:18" x14ac:dyDescent="0.25">
      <c r="A887" s="170">
        <v>43305</v>
      </c>
      <c r="B887" s="116">
        <v>138.5</v>
      </c>
      <c r="C887" s="116">
        <v>135.94999999999999</v>
      </c>
      <c r="D887" s="116">
        <v>131</v>
      </c>
      <c r="E887" s="116">
        <v>136.69999999999999</v>
      </c>
      <c r="F887" s="116">
        <v>271.89999999999998</v>
      </c>
      <c r="G887">
        <v>7938</v>
      </c>
      <c r="H887" s="116"/>
      <c r="I887" s="116"/>
      <c r="L887" s="170">
        <v>43305</v>
      </c>
      <c r="M887" s="116">
        <v>136.5</v>
      </c>
      <c r="N887" s="116">
        <v>139.44999999999999</v>
      </c>
      <c r="O887" s="116">
        <v>130.5</v>
      </c>
      <c r="P887" s="116">
        <v>135.67500000000001</v>
      </c>
      <c r="Q887" s="116">
        <v>273</v>
      </c>
      <c r="R887">
        <v>86964</v>
      </c>
    </row>
    <row r="888" spans="1:18" x14ac:dyDescent="0.25">
      <c r="A888" s="170">
        <v>43306</v>
      </c>
      <c r="B888" s="116">
        <v>137.6</v>
      </c>
      <c r="C888" s="116">
        <v>134.80000000000001</v>
      </c>
      <c r="D888" s="116">
        <v>131</v>
      </c>
      <c r="E888" s="116">
        <v>134.80000000000001</v>
      </c>
      <c r="F888" s="116">
        <v>269.60000000000002</v>
      </c>
      <c r="G888">
        <v>6449</v>
      </c>
      <c r="H888" s="116"/>
      <c r="I888" s="116"/>
      <c r="L888" s="170">
        <v>43306</v>
      </c>
      <c r="M888" s="116">
        <v>134.94999999999999</v>
      </c>
      <c r="N888" s="116">
        <v>137</v>
      </c>
      <c r="O888" s="116">
        <v>131.5</v>
      </c>
      <c r="P888" s="116">
        <v>135</v>
      </c>
      <c r="Q888" s="116">
        <v>269.89999999999998</v>
      </c>
      <c r="R888">
        <v>32505</v>
      </c>
    </row>
    <row r="889" spans="1:18" x14ac:dyDescent="0.25">
      <c r="A889" s="170">
        <v>43307</v>
      </c>
      <c r="B889" s="116">
        <v>139.9</v>
      </c>
      <c r="C889" s="116">
        <v>137.77500000000001</v>
      </c>
      <c r="D889" s="116">
        <v>133.02500000000001</v>
      </c>
      <c r="E889" s="116">
        <v>135</v>
      </c>
      <c r="F889" s="116">
        <v>275.55</v>
      </c>
      <c r="G889">
        <v>5851</v>
      </c>
      <c r="H889" s="116"/>
      <c r="I889" s="116"/>
      <c r="L889" s="170">
        <v>43307</v>
      </c>
      <c r="M889" s="116">
        <v>138.47499999999999</v>
      </c>
      <c r="N889" s="116">
        <v>140</v>
      </c>
      <c r="O889" s="116">
        <v>133.15</v>
      </c>
      <c r="P889" s="116">
        <v>133.5</v>
      </c>
      <c r="Q889" s="116">
        <v>276.95</v>
      </c>
      <c r="R889">
        <v>26358</v>
      </c>
    </row>
    <row r="890" spans="1:18" x14ac:dyDescent="0.25">
      <c r="A890" s="170">
        <v>43308</v>
      </c>
      <c r="B890" s="116">
        <v>139.52500000000001</v>
      </c>
      <c r="C890" s="116">
        <v>136.25</v>
      </c>
      <c r="D890" s="116">
        <v>134.67500000000001</v>
      </c>
      <c r="E890" s="116">
        <v>137.85</v>
      </c>
      <c r="F890" s="116">
        <v>272.5</v>
      </c>
      <c r="G890">
        <v>7868</v>
      </c>
      <c r="H890" s="116"/>
      <c r="I890" s="116"/>
      <c r="L890" s="170">
        <v>43308</v>
      </c>
      <c r="M890" s="116">
        <v>135.19999999999999</v>
      </c>
      <c r="N890" s="116">
        <v>138.5</v>
      </c>
      <c r="O890" s="116">
        <v>133.35</v>
      </c>
      <c r="P890" s="116">
        <v>137.52500000000001</v>
      </c>
      <c r="Q890" s="116">
        <v>270.39999999999998</v>
      </c>
      <c r="R890">
        <v>23137</v>
      </c>
    </row>
    <row r="891" spans="1:18" x14ac:dyDescent="0.25">
      <c r="A891" s="170">
        <v>43311</v>
      </c>
      <c r="B891" s="116">
        <v>138.75</v>
      </c>
      <c r="C891" s="116">
        <v>136.07499999999999</v>
      </c>
      <c r="D891" s="116">
        <v>135.5</v>
      </c>
      <c r="E891" s="116">
        <v>136.57499999999999</v>
      </c>
      <c r="F891" s="116">
        <v>272.14999999999998</v>
      </c>
      <c r="G891">
        <v>5601</v>
      </c>
      <c r="H891" s="116"/>
      <c r="I891" s="116"/>
      <c r="L891" s="170">
        <v>43311</v>
      </c>
      <c r="M891" s="116">
        <v>136.67500000000001</v>
      </c>
      <c r="N891" s="116">
        <v>138.47499999999999</v>
      </c>
      <c r="O891" s="116">
        <v>135.17500000000001</v>
      </c>
      <c r="P891" s="116">
        <v>135.19999999999999</v>
      </c>
      <c r="Q891" s="116">
        <v>273.35000000000002</v>
      </c>
      <c r="R891">
        <v>26653</v>
      </c>
    </row>
    <row r="892" spans="1:18" x14ac:dyDescent="0.25">
      <c r="A892" s="170">
        <v>43312</v>
      </c>
      <c r="B892" s="116">
        <v>139.1</v>
      </c>
      <c r="C892" s="116">
        <v>136.65</v>
      </c>
      <c r="D892" s="116">
        <v>134.05000000000001</v>
      </c>
      <c r="E892" s="116">
        <v>134.75</v>
      </c>
      <c r="F892" s="116">
        <v>273.3</v>
      </c>
      <c r="G892">
        <v>5317</v>
      </c>
      <c r="H892" s="116"/>
      <c r="I892" s="116"/>
      <c r="L892" s="170">
        <v>43312</v>
      </c>
      <c r="M892" s="116">
        <v>136.65</v>
      </c>
      <c r="N892" s="116">
        <v>138.5</v>
      </c>
      <c r="O892" s="116">
        <v>135.69999999999999</v>
      </c>
      <c r="P892" s="116">
        <v>136.32499999999999</v>
      </c>
      <c r="Q892" s="116">
        <v>273.3</v>
      </c>
      <c r="R892">
        <v>11616</v>
      </c>
    </row>
    <row r="893" spans="1:18" x14ac:dyDescent="0.25">
      <c r="A893" s="170">
        <v>43313</v>
      </c>
      <c r="B893" s="116">
        <v>137.15</v>
      </c>
      <c r="C893" s="116">
        <v>135.02500000000001</v>
      </c>
      <c r="D893" s="116">
        <v>134</v>
      </c>
      <c r="E893" s="116">
        <v>136.125</v>
      </c>
      <c r="F893" s="116">
        <v>270.05</v>
      </c>
      <c r="G893">
        <v>2948</v>
      </c>
      <c r="H893" s="116"/>
      <c r="I893" s="116"/>
      <c r="L893" s="170">
        <v>43313</v>
      </c>
      <c r="M893" s="116">
        <v>135.02500000000001</v>
      </c>
      <c r="N893" s="116">
        <v>138.1</v>
      </c>
      <c r="O893" s="116">
        <v>134.05000000000001</v>
      </c>
      <c r="P893" s="116">
        <v>137.22499999999999</v>
      </c>
      <c r="Q893" s="116">
        <v>270.05</v>
      </c>
      <c r="R893">
        <v>15411</v>
      </c>
    </row>
    <row r="894" spans="1:18" x14ac:dyDescent="0.25">
      <c r="A894" s="170">
        <v>43314</v>
      </c>
      <c r="B894" s="116">
        <v>142</v>
      </c>
      <c r="C894" s="116">
        <v>138.97499999999999</v>
      </c>
      <c r="D894" s="116">
        <v>135</v>
      </c>
      <c r="E894" s="116">
        <v>137</v>
      </c>
      <c r="F894" s="116">
        <v>277.95</v>
      </c>
      <c r="G894">
        <v>18262</v>
      </c>
      <c r="H894" s="116"/>
      <c r="I894" s="116"/>
      <c r="L894" s="170">
        <v>43314</v>
      </c>
      <c r="M894" s="116">
        <v>137.5</v>
      </c>
      <c r="N894" s="116">
        <v>142.65</v>
      </c>
      <c r="O894" s="116">
        <v>134.94999999999999</v>
      </c>
      <c r="P894" s="116">
        <v>135.35</v>
      </c>
      <c r="Q894" s="116">
        <v>275</v>
      </c>
      <c r="R894">
        <v>67531</v>
      </c>
    </row>
    <row r="895" spans="1:18" x14ac:dyDescent="0.25">
      <c r="A895" s="170">
        <v>43315</v>
      </c>
      <c r="B895" s="116">
        <v>138.67500000000001</v>
      </c>
      <c r="C895" s="116">
        <v>137.19999999999999</v>
      </c>
      <c r="D895" s="116">
        <v>136.85</v>
      </c>
      <c r="E895" s="116">
        <v>137.80000000000001</v>
      </c>
      <c r="F895" s="116">
        <v>274.39999999999998</v>
      </c>
      <c r="G895">
        <v>2925</v>
      </c>
      <c r="H895" s="116"/>
      <c r="I895" s="116"/>
      <c r="L895" s="170">
        <v>43315</v>
      </c>
      <c r="M895" s="116">
        <v>137.6</v>
      </c>
      <c r="N895" s="116">
        <v>139.625</v>
      </c>
      <c r="O895" s="116">
        <v>136.44999999999999</v>
      </c>
      <c r="P895" s="116">
        <v>139.4</v>
      </c>
      <c r="Q895" s="116">
        <v>275.2</v>
      </c>
      <c r="R895">
        <v>32936</v>
      </c>
    </row>
    <row r="896" spans="1:18" x14ac:dyDescent="0.25">
      <c r="A896" s="170">
        <v>43318</v>
      </c>
      <c r="B896" s="116">
        <v>139</v>
      </c>
      <c r="C896" s="116">
        <v>138.4</v>
      </c>
      <c r="D896" s="116">
        <v>137.5</v>
      </c>
      <c r="E896" s="116">
        <v>137.625</v>
      </c>
      <c r="F896" s="116">
        <v>276.8</v>
      </c>
      <c r="G896">
        <v>2287</v>
      </c>
      <c r="H896" s="116"/>
      <c r="I896" s="116"/>
      <c r="L896" s="170">
        <v>43318</v>
      </c>
      <c r="M896" s="116">
        <v>138.69999999999999</v>
      </c>
      <c r="N896" s="116">
        <v>139.19999999999999</v>
      </c>
      <c r="O896" s="116">
        <v>137</v>
      </c>
      <c r="P896" s="116">
        <v>137</v>
      </c>
      <c r="Q896" s="116">
        <v>277.39999999999998</v>
      </c>
      <c r="R896">
        <v>13902</v>
      </c>
    </row>
    <row r="897" spans="1:18" x14ac:dyDescent="0.25">
      <c r="A897" s="170">
        <v>43319</v>
      </c>
      <c r="B897" s="116">
        <v>143.5</v>
      </c>
      <c r="C897" s="116">
        <v>139.92500000000001</v>
      </c>
      <c r="D897" s="116">
        <v>137.625</v>
      </c>
      <c r="E897" s="116">
        <v>139.4</v>
      </c>
      <c r="F897" s="116">
        <v>279.85000000000002</v>
      </c>
      <c r="G897">
        <v>19290</v>
      </c>
      <c r="H897" s="116"/>
      <c r="I897" s="116"/>
      <c r="L897" s="170">
        <v>43319</v>
      </c>
      <c r="M897" s="116">
        <v>140</v>
      </c>
      <c r="N897" s="116">
        <v>144.125</v>
      </c>
      <c r="O897" s="116">
        <v>137.75</v>
      </c>
      <c r="P897" s="116">
        <v>138.97499999999999</v>
      </c>
      <c r="Q897" s="116">
        <v>280</v>
      </c>
      <c r="R897">
        <v>155557</v>
      </c>
    </row>
    <row r="898" spans="1:18" x14ac:dyDescent="0.25">
      <c r="A898" s="170">
        <v>43320</v>
      </c>
      <c r="B898" s="116">
        <v>140.5</v>
      </c>
      <c r="C898" s="116">
        <v>139.875</v>
      </c>
      <c r="D898" s="116">
        <v>138.69999999999999</v>
      </c>
      <c r="E898" s="116">
        <v>139.32499999999999</v>
      </c>
      <c r="F898" s="116">
        <v>279.75</v>
      </c>
      <c r="G898">
        <v>4126</v>
      </c>
      <c r="H898" s="116"/>
      <c r="I898" s="116"/>
      <c r="L898" s="170">
        <v>43320</v>
      </c>
      <c r="M898" s="116">
        <v>138.9</v>
      </c>
      <c r="N898" s="116">
        <v>140.17500000000001</v>
      </c>
      <c r="O898" s="116">
        <v>138.25</v>
      </c>
      <c r="P898" s="116">
        <v>139.80000000000001</v>
      </c>
      <c r="Q898" s="116">
        <v>277.8</v>
      </c>
      <c r="R898">
        <v>292829</v>
      </c>
    </row>
    <row r="899" spans="1:18" x14ac:dyDescent="0.25">
      <c r="A899" s="170">
        <v>43321</v>
      </c>
      <c r="B899" s="116">
        <v>140.19999999999999</v>
      </c>
      <c r="C899" s="116">
        <v>138.15</v>
      </c>
      <c r="D899" s="116">
        <v>137.5</v>
      </c>
      <c r="E899" s="116">
        <v>137.57499999999999</v>
      </c>
      <c r="F899" s="116">
        <v>276.3</v>
      </c>
      <c r="G899">
        <v>2710</v>
      </c>
      <c r="H899" s="116"/>
      <c r="I899" s="116"/>
      <c r="L899" s="170">
        <v>43321</v>
      </c>
      <c r="M899" s="116">
        <v>139.27500000000001</v>
      </c>
      <c r="N899" s="116">
        <v>141.69999999999999</v>
      </c>
      <c r="O899" s="116">
        <v>138.52500000000001</v>
      </c>
      <c r="P899" s="116">
        <v>138.9</v>
      </c>
      <c r="Q899" s="116">
        <v>278.55</v>
      </c>
      <c r="R899">
        <v>17239</v>
      </c>
    </row>
    <row r="900" spans="1:18" x14ac:dyDescent="0.25">
      <c r="A900" s="170">
        <v>43322</v>
      </c>
      <c r="B900" s="116">
        <v>153.25</v>
      </c>
      <c r="C900" s="116">
        <v>150.17500000000001</v>
      </c>
      <c r="D900" s="116">
        <v>139.5</v>
      </c>
      <c r="E900" s="116">
        <v>139.5</v>
      </c>
      <c r="F900" s="116">
        <v>300.35000000000002</v>
      </c>
      <c r="G900">
        <v>48806</v>
      </c>
      <c r="H900" s="116"/>
      <c r="I900" s="116"/>
      <c r="L900" s="170">
        <v>43322</v>
      </c>
      <c r="M900" s="116">
        <v>149.4</v>
      </c>
      <c r="N900" s="116">
        <v>152.9</v>
      </c>
      <c r="O900" s="116">
        <v>138.97499999999999</v>
      </c>
      <c r="P900" s="116">
        <v>138.97499999999999</v>
      </c>
      <c r="Q900" s="116">
        <v>298.8</v>
      </c>
      <c r="R900">
        <v>352160</v>
      </c>
    </row>
    <row r="901" spans="1:18" x14ac:dyDescent="0.25">
      <c r="A901" s="170">
        <v>43325</v>
      </c>
      <c r="B901" s="116">
        <v>154.5</v>
      </c>
      <c r="C901" s="116">
        <v>151.52500000000001</v>
      </c>
      <c r="D901" s="116">
        <v>146</v>
      </c>
      <c r="E901" s="116">
        <v>146.07499999999999</v>
      </c>
      <c r="F901" s="116">
        <v>303.05</v>
      </c>
      <c r="G901">
        <v>25776</v>
      </c>
      <c r="H901" s="116"/>
      <c r="I901" s="116"/>
      <c r="L901" s="170">
        <v>43325</v>
      </c>
      <c r="M901" s="116">
        <v>153.125</v>
      </c>
      <c r="N901" s="116">
        <v>154.6</v>
      </c>
      <c r="O901" s="116">
        <v>145.02500000000001</v>
      </c>
      <c r="P901" s="116">
        <v>147.44999999999999</v>
      </c>
      <c r="Q901" s="116">
        <v>306.25</v>
      </c>
      <c r="R901">
        <v>203577</v>
      </c>
    </row>
    <row r="902" spans="1:18" x14ac:dyDescent="0.25">
      <c r="A902" s="170">
        <v>43326</v>
      </c>
      <c r="B902" s="116">
        <v>154.97499999999999</v>
      </c>
      <c r="C902" s="116">
        <v>154.75</v>
      </c>
      <c r="D902" s="116">
        <v>149.25</v>
      </c>
      <c r="E902" s="116">
        <v>154.44999999999999</v>
      </c>
      <c r="F902" s="116">
        <v>309.5</v>
      </c>
      <c r="G902">
        <v>11511</v>
      </c>
      <c r="H902" s="116"/>
      <c r="I902" s="116"/>
      <c r="L902" s="170">
        <v>43326</v>
      </c>
      <c r="M902" s="116">
        <v>154.80000000000001</v>
      </c>
      <c r="N902" s="116">
        <v>155.57499999999999</v>
      </c>
      <c r="O902" s="116">
        <v>149.42500000000001</v>
      </c>
      <c r="P902" s="116">
        <v>152.94999999999999</v>
      </c>
      <c r="Q902" s="116">
        <v>309.60000000000002</v>
      </c>
      <c r="R902">
        <v>189038</v>
      </c>
    </row>
    <row r="903" spans="1:18" x14ac:dyDescent="0.25">
      <c r="A903" s="170">
        <v>43328</v>
      </c>
      <c r="B903" s="116">
        <v>159.1</v>
      </c>
      <c r="C903" s="116">
        <v>155.375</v>
      </c>
      <c r="D903" s="116">
        <v>151.25</v>
      </c>
      <c r="E903" s="116">
        <v>154.05000000000001</v>
      </c>
      <c r="F903" s="116">
        <v>310.75</v>
      </c>
      <c r="G903">
        <v>13827</v>
      </c>
      <c r="H903" s="116"/>
      <c r="I903" s="116"/>
      <c r="L903" s="170">
        <v>43328</v>
      </c>
      <c r="M903" s="116">
        <v>155.07499999999999</v>
      </c>
      <c r="N903" s="116">
        <v>159.5</v>
      </c>
      <c r="O903" s="116">
        <v>152.82499999999999</v>
      </c>
      <c r="P903" s="116">
        <v>155.75</v>
      </c>
      <c r="Q903" s="116">
        <v>310.14999999999998</v>
      </c>
      <c r="R903">
        <v>94748</v>
      </c>
    </row>
    <row r="904" spans="1:18" x14ac:dyDescent="0.25">
      <c r="A904" s="170">
        <v>43329</v>
      </c>
      <c r="B904" s="116">
        <v>155.875</v>
      </c>
      <c r="C904" s="116">
        <v>153.82499999999999</v>
      </c>
      <c r="D904" s="116">
        <v>152</v>
      </c>
      <c r="E904" s="116">
        <v>154.94999999999999</v>
      </c>
      <c r="F904" s="116">
        <v>307.64999999999998</v>
      </c>
      <c r="G904">
        <v>3637</v>
      </c>
      <c r="H904" s="116"/>
      <c r="I904" s="116"/>
      <c r="L904" s="170">
        <v>43329</v>
      </c>
      <c r="M904" s="116">
        <v>154.07499999999999</v>
      </c>
      <c r="N904" s="116">
        <v>156.35</v>
      </c>
      <c r="O904" s="116">
        <v>153.02500000000001</v>
      </c>
      <c r="P904" s="116">
        <v>154.05000000000001</v>
      </c>
      <c r="Q904" s="116">
        <v>308.14999999999998</v>
      </c>
      <c r="R904">
        <v>28220</v>
      </c>
    </row>
    <row r="905" spans="1:18" x14ac:dyDescent="0.25">
      <c r="A905" s="170">
        <v>43332</v>
      </c>
      <c r="B905" s="116">
        <v>157.27500000000001</v>
      </c>
      <c r="C905" s="116">
        <v>154.05000000000001</v>
      </c>
      <c r="D905" s="116">
        <v>150</v>
      </c>
      <c r="E905" s="116">
        <v>151.6</v>
      </c>
      <c r="F905" s="116">
        <v>308.10000000000002</v>
      </c>
      <c r="G905">
        <v>8641</v>
      </c>
      <c r="H905" s="116"/>
      <c r="I905" s="116"/>
      <c r="L905" s="170">
        <v>43332</v>
      </c>
      <c r="M905" s="116">
        <v>154.9</v>
      </c>
      <c r="N905" s="116">
        <v>157.55000000000001</v>
      </c>
      <c r="O905" s="116">
        <v>147.9</v>
      </c>
      <c r="P905" s="116">
        <v>156.35</v>
      </c>
      <c r="Q905" s="116">
        <v>309.8</v>
      </c>
      <c r="R905">
        <v>62291</v>
      </c>
    </row>
    <row r="906" spans="1:18" x14ac:dyDescent="0.25">
      <c r="A906" s="170">
        <v>43333</v>
      </c>
      <c r="B906" s="116">
        <v>155</v>
      </c>
      <c r="C906" s="116">
        <v>151.67500000000001</v>
      </c>
      <c r="D906" s="116">
        <v>150.25</v>
      </c>
      <c r="E906" s="116">
        <v>152.02500000000001</v>
      </c>
      <c r="F906" s="116">
        <v>303.35000000000002</v>
      </c>
      <c r="G906">
        <v>8645</v>
      </c>
      <c r="H906" s="116"/>
      <c r="I906" s="116"/>
      <c r="L906" s="170">
        <v>43333</v>
      </c>
      <c r="M906" s="116">
        <v>152</v>
      </c>
      <c r="N906" s="116">
        <v>154.92500000000001</v>
      </c>
      <c r="O906" s="116">
        <v>150.02500000000001</v>
      </c>
      <c r="P906" s="116">
        <v>153.15</v>
      </c>
      <c r="Q906" s="116">
        <v>304</v>
      </c>
      <c r="R906">
        <v>21724</v>
      </c>
    </row>
    <row r="907" spans="1:18" x14ac:dyDescent="0.25">
      <c r="A907" s="170">
        <v>43335</v>
      </c>
      <c r="B907" s="116">
        <v>169.02500000000001</v>
      </c>
      <c r="C907" s="116">
        <v>164.1</v>
      </c>
      <c r="D907" s="116">
        <v>153.52500000000001</v>
      </c>
      <c r="E907" s="116">
        <v>154.47499999999999</v>
      </c>
      <c r="F907" s="116">
        <v>328.2</v>
      </c>
      <c r="G907">
        <v>170057</v>
      </c>
      <c r="H907" s="116"/>
      <c r="I907" s="116"/>
      <c r="L907" s="170">
        <v>43335</v>
      </c>
      <c r="M907" s="116">
        <v>162.15</v>
      </c>
      <c r="N907" s="116">
        <v>168.95</v>
      </c>
      <c r="O907" s="116">
        <v>152</v>
      </c>
      <c r="P907" s="116">
        <v>152</v>
      </c>
      <c r="Q907" s="116">
        <v>324.3</v>
      </c>
      <c r="R907">
        <v>1090297</v>
      </c>
    </row>
    <row r="908" spans="1:18" x14ac:dyDescent="0.25">
      <c r="A908" s="170">
        <v>43336</v>
      </c>
      <c r="B908" s="116">
        <v>166</v>
      </c>
      <c r="C908" s="116">
        <v>164.85</v>
      </c>
      <c r="D908" s="116">
        <v>161.85</v>
      </c>
      <c r="E908" s="116">
        <v>163</v>
      </c>
      <c r="F908" s="116">
        <v>329.7</v>
      </c>
      <c r="G908">
        <v>27941</v>
      </c>
      <c r="H908" s="116"/>
      <c r="I908" s="116"/>
      <c r="L908" s="170">
        <v>43336</v>
      </c>
      <c r="M908" s="116">
        <v>164.75</v>
      </c>
      <c r="N908" s="116">
        <v>166</v>
      </c>
      <c r="O908" s="116">
        <v>160.5</v>
      </c>
      <c r="P908" s="116">
        <v>163.19999999999999</v>
      </c>
      <c r="Q908" s="116">
        <v>329.5</v>
      </c>
      <c r="R908">
        <v>242633</v>
      </c>
    </row>
    <row r="909" spans="1:18" x14ac:dyDescent="0.25">
      <c r="A909" s="170">
        <v>43339</v>
      </c>
      <c r="B909" s="116">
        <v>170.47499999999999</v>
      </c>
      <c r="C909" s="116">
        <v>165.375</v>
      </c>
      <c r="D909" s="116">
        <v>163.85</v>
      </c>
      <c r="E909" s="116">
        <v>164.85</v>
      </c>
      <c r="F909" s="116">
        <v>330.75</v>
      </c>
      <c r="G909">
        <v>76642</v>
      </c>
      <c r="H909" s="116"/>
      <c r="I909" s="116"/>
      <c r="L909" s="170">
        <v>43339</v>
      </c>
      <c r="M909" s="116">
        <v>166.52500000000001</v>
      </c>
      <c r="N909" s="116">
        <v>171</v>
      </c>
      <c r="O909" s="116">
        <v>164</v>
      </c>
      <c r="P909" s="116">
        <v>165.47499999999999</v>
      </c>
      <c r="Q909" s="116">
        <v>333.05</v>
      </c>
      <c r="R909">
        <v>376352</v>
      </c>
    </row>
    <row r="910" spans="1:18" x14ac:dyDescent="0.25">
      <c r="A910" s="170">
        <v>43340</v>
      </c>
      <c r="B910" s="116">
        <v>167.65</v>
      </c>
      <c r="C910" s="116">
        <v>166</v>
      </c>
      <c r="D910" s="116">
        <v>165.05</v>
      </c>
      <c r="E910" s="116">
        <v>167.5</v>
      </c>
      <c r="F910" s="116">
        <v>332</v>
      </c>
      <c r="G910">
        <v>5885</v>
      </c>
      <c r="H910" s="116"/>
      <c r="I910" s="116"/>
      <c r="L910" s="170">
        <v>43340</v>
      </c>
      <c r="M910" s="116">
        <v>166.02500000000001</v>
      </c>
      <c r="N910" s="116">
        <v>168</v>
      </c>
      <c r="O910" s="116">
        <v>164.8</v>
      </c>
      <c r="P910" s="116">
        <v>167.45</v>
      </c>
      <c r="Q910" s="116">
        <v>332.05</v>
      </c>
      <c r="R910">
        <v>65920</v>
      </c>
    </row>
    <row r="911" spans="1:18" x14ac:dyDescent="0.25">
      <c r="A911" s="170">
        <v>43341</v>
      </c>
      <c r="B911" s="116">
        <v>169.45</v>
      </c>
      <c r="C911" s="116">
        <v>167.35</v>
      </c>
      <c r="D911" s="116">
        <v>166.27500000000001</v>
      </c>
      <c r="E911" s="116">
        <v>166.27500000000001</v>
      </c>
      <c r="F911" s="116">
        <v>334.7</v>
      </c>
      <c r="G911">
        <v>13079</v>
      </c>
      <c r="H911" s="116"/>
      <c r="I911" s="116"/>
      <c r="L911" s="170">
        <v>43341</v>
      </c>
      <c r="M911" s="116">
        <v>167.875</v>
      </c>
      <c r="N911" s="116">
        <v>169.85</v>
      </c>
      <c r="O911" s="116">
        <v>166.125</v>
      </c>
      <c r="P911" s="116">
        <v>166.97499999999999</v>
      </c>
      <c r="Q911" s="116">
        <v>335.75</v>
      </c>
      <c r="R911">
        <v>96675</v>
      </c>
    </row>
    <row r="912" spans="1:18" x14ac:dyDescent="0.25">
      <c r="A912" s="170">
        <v>43342</v>
      </c>
      <c r="B912" s="116">
        <v>170</v>
      </c>
      <c r="C912" s="116">
        <v>168.55</v>
      </c>
      <c r="D912" s="116">
        <v>165.02500000000001</v>
      </c>
      <c r="E912" s="116">
        <v>169</v>
      </c>
      <c r="F912" s="116">
        <v>337.1</v>
      </c>
      <c r="G912">
        <v>19584</v>
      </c>
      <c r="H912" s="116"/>
      <c r="I912" s="116"/>
      <c r="L912" s="170">
        <v>43342</v>
      </c>
      <c r="M912" s="116">
        <v>169.25</v>
      </c>
      <c r="N912" s="116">
        <v>170.07499999999999</v>
      </c>
      <c r="O912" s="116">
        <v>168.5</v>
      </c>
      <c r="P912" s="116">
        <v>168.6</v>
      </c>
      <c r="Q912" s="116">
        <v>338.5</v>
      </c>
      <c r="R912">
        <v>92294</v>
      </c>
    </row>
    <row r="913" spans="1:18" x14ac:dyDescent="0.25">
      <c r="A913" s="170">
        <v>43343</v>
      </c>
      <c r="B913" s="116">
        <v>175</v>
      </c>
      <c r="C913" s="116">
        <v>169.92500000000001</v>
      </c>
      <c r="D913" s="116">
        <v>168.02500000000001</v>
      </c>
      <c r="E913" s="116">
        <v>170.92500000000001</v>
      </c>
      <c r="F913" s="116">
        <v>339.85</v>
      </c>
      <c r="G913">
        <v>163697</v>
      </c>
      <c r="H913" s="116"/>
      <c r="I913" s="116"/>
      <c r="L913" s="170">
        <v>43343</v>
      </c>
      <c r="M913" s="116">
        <v>170.42500000000001</v>
      </c>
      <c r="N913" s="116">
        <v>175.5</v>
      </c>
      <c r="O913" s="116">
        <v>167.52500000000001</v>
      </c>
      <c r="P913" s="116">
        <v>171</v>
      </c>
      <c r="Q913" s="116">
        <v>340.85</v>
      </c>
      <c r="R913">
        <v>1372802</v>
      </c>
    </row>
    <row r="914" spans="1:18" x14ac:dyDescent="0.25">
      <c r="A914" s="170">
        <v>43346</v>
      </c>
      <c r="B914" s="116">
        <v>175.5</v>
      </c>
      <c r="C914" s="116">
        <v>170.67500000000001</v>
      </c>
      <c r="D914" s="116">
        <v>170.02500000000001</v>
      </c>
      <c r="E914" s="116">
        <v>172.35</v>
      </c>
      <c r="F914" s="116">
        <v>341.35</v>
      </c>
      <c r="G914">
        <v>49520</v>
      </c>
      <c r="H914" s="116"/>
      <c r="I914" s="116"/>
      <c r="L914" s="170">
        <v>43346</v>
      </c>
      <c r="M914" s="116">
        <v>170.7</v>
      </c>
      <c r="N914" s="116">
        <v>172</v>
      </c>
      <c r="O914" s="116">
        <v>169.6</v>
      </c>
      <c r="P914" s="116">
        <v>171.45</v>
      </c>
      <c r="Q914" s="116">
        <v>341.4</v>
      </c>
      <c r="R914">
        <v>170347</v>
      </c>
    </row>
    <row r="915" spans="1:18" x14ac:dyDescent="0.25">
      <c r="A915" s="170">
        <v>43347</v>
      </c>
      <c r="B915" s="116">
        <v>172.45</v>
      </c>
      <c r="C915" s="116">
        <v>169.15</v>
      </c>
      <c r="D915" s="116">
        <v>168.4</v>
      </c>
      <c r="E915" s="116">
        <v>172.45</v>
      </c>
      <c r="F915" s="116">
        <v>338.3</v>
      </c>
      <c r="G915">
        <v>30595</v>
      </c>
      <c r="H915" s="116"/>
      <c r="I915" s="116"/>
      <c r="L915" s="170">
        <v>43347</v>
      </c>
      <c r="M915" s="116">
        <v>169.17500000000001</v>
      </c>
      <c r="N915" s="116">
        <v>172.2</v>
      </c>
      <c r="O915" s="116">
        <v>168</v>
      </c>
      <c r="P915" s="116">
        <v>171.5</v>
      </c>
      <c r="Q915" s="116">
        <v>338.35</v>
      </c>
      <c r="R915">
        <v>200909</v>
      </c>
    </row>
    <row r="916" spans="1:18" x14ac:dyDescent="0.25">
      <c r="A916" s="170">
        <v>43348</v>
      </c>
      <c r="B916" s="116">
        <v>170.7</v>
      </c>
      <c r="C916" s="116">
        <v>170.35</v>
      </c>
      <c r="D916" s="116">
        <v>167.15</v>
      </c>
      <c r="E916" s="116">
        <v>168.05</v>
      </c>
      <c r="F916" s="116">
        <v>340.7</v>
      </c>
      <c r="G916">
        <v>28741</v>
      </c>
      <c r="H916" s="116"/>
      <c r="I916" s="116"/>
      <c r="L916" s="170">
        <v>43348</v>
      </c>
      <c r="M916" s="116">
        <v>170.2</v>
      </c>
      <c r="N916" s="116">
        <v>171</v>
      </c>
      <c r="O916" s="116">
        <v>167.125</v>
      </c>
      <c r="P916" s="116">
        <v>167.5</v>
      </c>
      <c r="Q916" s="116">
        <v>340.4</v>
      </c>
      <c r="R916">
        <v>226287</v>
      </c>
    </row>
    <row r="917" spans="1:18" x14ac:dyDescent="0.25">
      <c r="A917" s="170">
        <v>43349</v>
      </c>
      <c r="B917" s="116">
        <v>172.32499999999999</v>
      </c>
      <c r="C917" s="116">
        <v>171.75</v>
      </c>
      <c r="D917" s="116">
        <v>169.35</v>
      </c>
      <c r="E917" s="116">
        <v>171</v>
      </c>
      <c r="F917" s="116">
        <v>343.5</v>
      </c>
      <c r="G917">
        <v>16531</v>
      </c>
      <c r="H917" s="116"/>
      <c r="I917" s="116"/>
      <c r="L917" s="170">
        <v>43349</v>
      </c>
      <c r="M917" s="116">
        <v>171.77500000000001</v>
      </c>
      <c r="N917" s="116">
        <v>172.4</v>
      </c>
      <c r="O917" s="116">
        <v>169.27500000000001</v>
      </c>
      <c r="P917" s="116">
        <v>172</v>
      </c>
      <c r="Q917" s="116">
        <v>343.55</v>
      </c>
      <c r="R917">
        <v>94711</v>
      </c>
    </row>
    <row r="918" spans="1:18" x14ac:dyDescent="0.25">
      <c r="A918" s="170">
        <v>43350</v>
      </c>
      <c r="B918" s="116">
        <v>173.5</v>
      </c>
      <c r="C918" s="116">
        <v>172.52500000000001</v>
      </c>
      <c r="D918" s="116">
        <v>171.625</v>
      </c>
      <c r="E918" s="116">
        <v>172.4</v>
      </c>
      <c r="F918" s="116">
        <v>345.05</v>
      </c>
      <c r="G918">
        <v>23459</v>
      </c>
      <c r="H918" s="116"/>
      <c r="I918" s="116"/>
      <c r="L918" s="170">
        <v>43350</v>
      </c>
      <c r="M918" s="116">
        <v>171.97499999999999</v>
      </c>
      <c r="N918" s="116">
        <v>173.75</v>
      </c>
      <c r="O918" s="116">
        <v>171.25</v>
      </c>
      <c r="P918" s="116">
        <v>173</v>
      </c>
      <c r="Q918" s="116">
        <v>343.95</v>
      </c>
      <c r="R918">
        <v>180269</v>
      </c>
    </row>
    <row r="919" spans="1:18" x14ac:dyDescent="0.25">
      <c r="A919" s="170">
        <v>43353</v>
      </c>
      <c r="B919" s="116">
        <v>173.5</v>
      </c>
      <c r="C919" s="116">
        <v>170.77500000000001</v>
      </c>
      <c r="D919" s="116">
        <v>170.05</v>
      </c>
      <c r="E919" s="116">
        <v>171.5</v>
      </c>
      <c r="F919" s="116">
        <v>341.55</v>
      </c>
      <c r="G919">
        <v>29785</v>
      </c>
      <c r="H919" s="116"/>
      <c r="I919" s="116"/>
      <c r="L919" s="170">
        <v>43353</v>
      </c>
      <c r="M919" s="116">
        <v>170.72499999999999</v>
      </c>
      <c r="N919" s="116">
        <v>173.6</v>
      </c>
      <c r="O919" s="116">
        <v>170.55</v>
      </c>
      <c r="P919" s="116">
        <v>172.5</v>
      </c>
      <c r="Q919" s="116">
        <v>341.45</v>
      </c>
      <c r="R919">
        <v>127253</v>
      </c>
    </row>
    <row r="920" spans="1:18" x14ac:dyDescent="0.25">
      <c r="A920" s="170">
        <v>43354</v>
      </c>
      <c r="B920" s="116">
        <v>175.45</v>
      </c>
      <c r="C920" s="116">
        <v>171.1</v>
      </c>
      <c r="D920" s="116">
        <v>168.65</v>
      </c>
      <c r="E920" s="116">
        <v>171.25</v>
      </c>
      <c r="F920" s="116">
        <v>342.2</v>
      </c>
      <c r="G920">
        <v>22878</v>
      </c>
      <c r="H920" s="116"/>
      <c r="I920" s="116"/>
      <c r="L920" s="170">
        <v>43354</v>
      </c>
      <c r="M920" s="116">
        <v>171.5</v>
      </c>
      <c r="N920" s="116">
        <v>176.15</v>
      </c>
      <c r="O920" s="116">
        <v>169</v>
      </c>
      <c r="P920" s="116">
        <v>169.8</v>
      </c>
      <c r="Q920" s="116">
        <v>343</v>
      </c>
      <c r="R920">
        <v>258308</v>
      </c>
    </row>
    <row r="921" spans="1:18" x14ac:dyDescent="0.25">
      <c r="A921" s="170">
        <v>43355</v>
      </c>
      <c r="B921" s="116">
        <v>173</v>
      </c>
      <c r="C921" s="116">
        <v>170.625</v>
      </c>
      <c r="D921" s="116">
        <v>169</v>
      </c>
      <c r="E921" s="116">
        <v>172.97499999999999</v>
      </c>
      <c r="F921" s="116">
        <v>341.25</v>
      </c>
      <c r="G921">
        <v>12397</v>
      </c>
      <c r="H921" s="116"/>
      <c r="I921" s="116"/>
      <c r="L921" s="170">
        <v>43355</v>
      </c>
      <c r="M921" s="116">
        <v>171.2</v>
      </c>
      <c r="N921" s="116">
        <v>173.22499999999999</v>
      </c>
      <c r="O921" s="116">
        <v>169</v>
      </c>
      <c r="P921" s="116">
        <v>172.5</v>
      </c>
      <c r="Q921" s="116">
        <v>342.4</v>
      </c>
      <c r="R921">
        <v>100035</v>
      </c>
    </row>
    <row r="922" spans="1:18" x14ac:dyDescent="0.25">
      <c r="A922" s="170">
        <v>43357</v>
      </c>
      <c r="B922" s="116">
        <v>174</v>
      </c>
      <c r="C922" s="116">
        <v>170.5</v>
      </c>
      <c r="D922" s="116">
        <v>169.125</v>
      </c>
      <c r="E922" s="116">
        <v>171.6</v>
      </c>
      <c r="F922" s="116">
        <v>341</v>
      </c>
      <c r="G922">
        <v>7061</v>
      </c>
      <c r="H922" s="116"/>
      <c r="I922" s="116"/>
      <c r="L922" s="170">
        <v>43357</v>
      </c>
      <c r="M922" s="116">
        <v>170.52500000000001</v>
      </c>
      <c r="N922" s="116">
        <v>174.25</v>
      </c>
      <c r="O922" s="116">
        <v>170</v>
      </c>
      <c r="P922" s="116">
        <v>171.25</v>
      </c>
      <c r="Q922" s="116">
        <v>341.05</v>
      </c>
      <c r="R922">
        <v>85264</v>
      </c>
    </row>
    <row r="923" spans="1:18" x14ac:dyDescent="0.25">
      <c r="A923" s="170">
        <v>43360</v>
      </c>
      <c r="B923" s="116">
        <v>170.3</v>
      </c>
      <c r="C923" s="116">
        <v>167.82499999999999</v>
      </c>
      <c r="D923" s="116">
        <v>167.05</v>
      </c>
      <c r="E923" s="116">
        <v>167.05</v>
      </c>
      <c r="F923" s="116">
        <v>335.65</v>
      </c>
      <c r="G923">
        <v>6855</v>
      </c>
      <c r="H923" s="116"/>
      <c r="I923" s="116"/>
      <c r="L923" s="170">
        <v>43360</v>
      </c>
      <c r="M923" s="116">
        <v>168.07499999999999</v>
      </c>
      <c r="N923" s="116">
        <v>171.625</v>
      </c>
      <c r="O923" s="116">
        <v>167.2</v>
      </c>
      <c r="P923" s="116">
        <v>171.625</v>
      </c>
      <c r="Q923" s="116">
        <v>336.15</v>
      </c>
      <c r="R923">
        <v>54259</v>
      </c>
    </row>
    <row r="924" spans="1:18" x14ac:dyDescent="0.25">
      <c r="A924" s="170">
        <v>43361</v>
      </c>
      <c r="B924" s="116">
        <v>169.45</v>
      </c>
      <c r="C924" s="116">
        <v>162.27500000000001</v>
      </c>
      <c r="D924" s="116">
        <v>160.97499999999999</v>
      </c>
      <c r="E924" s="116">
        <v>167.25</v>
      </c>
      <c r="F924" s="116">
        <v>324.55</v>
      </c>
      <c r="G924">
        <v>10151</v>
      </c>
      <c r="H924" s="116"/>
      <c r="I924" s="116"/>
      <c r="L924" s="170">
        <v>43361</v>
      </c>
      <c r="M924" s="116">
        <v>161.9</v>
      </c>
      <c r="N924" s="116">
        <v>169.95</v>
      </c>
      <c r="O924" s="116">
        <v>160.67500000000001</v>
      </c>
      <c r="P924" s="116">
        <v>168.5</v>
      </c>
      <c r="Q924" s="116">
        <v>323.8</v>
      </c>
      <c r="R924">
        <v>74220</v>
      </c>
    </row>
    <row r="925" spans="1:18" x14ac:dyDescent="0.25">
      <c r="A925" s="170">
        <v>43362</v>
      </c>
      <c r="B925" s="116">
        <v>162.44999999999999</v>
      </c>
      <c r="C925" s="116">
        <v>158.05000000000001</v>
      </c>
      <c r="D925" s="116">
        <v>154.47499999999999</v>
      </c>
      <c r="E925" s="116">
        <v>162.19999999999999</v>
      </c>
      <c r="F925" s="116">
        <v>316.10000000000002</v>
      </c>
      <c r="G925">
        <v>8970</v>
      </c>
      <c r="H925" s="116"/>
      <c r="I925" s="116"/>
      <c r="L925" s="170">
        <v>43362</v>
      </c>
      <c r="M925" s="116">
        <v>158.5</v>
      </c>
      <c r="N925" s="116">
        <v>163.4</v>
      </c>
      <c r="O925" s="116">
        <v>154.19999999999999</v>
      </c>
      <c r="P925" s="116">
        <v>160.5</v>
      </c>
      <c r="Q925" s="116">
        <v>317</v>
      </c>
      <c r="R925">
        <v>56636</v>
      </c>
    </row>
    <row r="926" spans="1:18" x14ac:dyDescent="0.25">
      <c r="A926" s="170">
        <v>43364</v>
      </c>
      <c r="B926" s="116">
        <v>157.5</v>
      </c>
      <c r="C926" s="116">
        <v>149.6</v>
      </c>
      <c r="D926" s="116">
        <v>146.5</v>
      </c>
      <c r="E926" s="116">
        <v>157.5</v>
      </c>
      <c r="F926" s="116">
        <v>299.2</v>
      </c>
      <c r="G926">
        <v>23735</v>
      </c>
      <c r="H926" s="116"/>
      <c r="I926" s="116"/>
      <c r="L926" s="170">
        <v>43364</v>
      </c>
      <c r="M926" s="116">
        <v>147.07499999999999</v>
      </c>
      <c r="N926" s="116">
        <v>159.375</v>
      </c>
      <c r="O926" s="116">
        <v>145.6</v>
      </c>
      <c r="P926" s="116">
        <v>158.25</v>
      </c>
      <c r="Q926" s="116">
        <v>294.14999999999998</v>
      </c>
      <c r="R926">
        <v>283243</v>
      </c>
    </row>
    <row r="927" spans="1:18" x14ac:dyDescent="0.25">
      <c r="A927" s="170">
        <v>43367</v>
      </c>
      <c r="B927" s="116">
        <v>154.97499999999999</v>
      </c>
      <c r="C927" s="116">
        <v>151.625</v>
      </c>
      <c r="D927" s="116">
        <v>148.75</v>
      </c>
      <c r="E927" s="116">
        <v>154.97499999999999</v>
      </c>
      <c r="F927" s="116">
        <v>303.25</v>
      </c>
      <c r="G927">
        <v>5425</v>
      </c>
      <c r="H927" s="116"/>
      <c r="I927" s="116"/>
      <c r="L927" s="170">
        <v>43367</v>
      </c>
      <c r="M927" s="116">
        <v>151.875</v>
      </c>
      <c r="N927" s="116">
        <v>154.5</v>
      </c>
      <c r="O927" s="116">
        <v>147.75</v>
      </c>
      <c r="P927" s="116">
        <v>151.5</v>
      </c>
      <c r="Q927" s="116">
        <v>303.75</v>
      </c>
      <c r="R927">
        <v>53466</v>
      </c>
    </row>
    <row r="928" spans="1:18" x14ac:dyDescent="0.25">
      <c r="A928" s="170">
        <v>43368</v>
      </c>
      <c r="B928" s="116">
        <v>153.27500000000001</v>
      </c>
      <c r="C928" s="116">
        <v>150.05000000000001</v>
      </c>
      <c r="D928" s="116">
        <v>147.5</v>
      </c>
      <c r="E928" s="116">
        <v>148.32499999999999</v>
      </c>
      <c r="F928" s="116">
        <v>300.10000000000002</v>
      </c>
      <c r="G928">
        <v>4174</v>
      </c>
      <c r="H928" s="116"/>
      <c r="I928" s="116"/>
      <c r="L928" s="170">
        <v>43368</v>
      </c>
      <c r="M928" s="116">
        <v>150.75</v>
      </c>
      <c r="N928" s="116">
        <v>153.72499999999999</v>
      </c>
      <c r="O928" s="116">
        <v>147.1</v>
      </c>
      <c r="P928" s="116">
        <v>149.07499999999999</v>
      </c>
      <c r="Q928" s="116">
        <v>301.5</v>
      </c>
      <c r="R928">
        <v>70455</v>
      </c>
    </row>
    <row r="929" spans="1:18" x14ac:dyDescent="0.25">
      <c r="A929" s="170">
        <v>43369</v>
      </c>
      <c r="B929" s="116">
        <v>151.72499999999999</v>
      </c>
      <c r="C929" s="116">
        <v>149.75</v>
      </c>
      <c r="D929" s="116">
        <v>148.02500000000001</v>
      </c>
      <c r="E929" s="116">
        <v>151.72499999999999</v>
      </c>
      <c r="F929" s="116">
        <v>299.5</v>
      </c>
      <c r="G929">
        <v>3027</v>
      </c>
      <c r="H929" s="116"/>
      <c r="I929" s="116"/>
      <c r="L929" s="170">
        <v>43369</v>
      </c>
      <c r="M929" s="116">
        <v>150.02500000000001</v>
      </c>
      <c r="N929" s="116">
        <v>151.85</v>
      </c>
      <c r="O929" s="116">
        <v>149.125</v>
      </c>
      <c r="P929" s="116">
        <v>150.25</v>
      </c>
      <c r="Q929" s="116">
        <v>300.05</v>
      </c>
      <c r="R929">
        <v>38616</v>
      </c>
    </row>
    <row r="930" spans="1:18" x14ac:dyDescent="0.25">
      <c r="A930" s="170">
        <v>43370</v>
      </c>
      <c r="B930" s="116">
        <v>151.25</v>
      </c>
      <c r="C930" s="116">
        <v>148.80000000000001</v>
      </c>
      <c r="D930" s="116">
        <v>148.15</v>
      </c>
      <c r="E930" s="116">
        <v>150.5</v>
      </c>
      <c r="F930" s="116">
        <v>297.60000000000002</v>
      </c>
      <c r="G930">
        <v>6176</v>
      </c>
      <c r="H930" s="116"/>
      <c r="I930" s="116"/>
      <c r="L930" s="170">
        <v>43370</v>
      </c>
      <c r="M930" s="116">
        <v>149.92500000000001</v>
      </c>
      <c r="N930" s="116">
        <v>151.5</v>
      </c>
      <c r="O930" s="116">
        <v>148.82499999999999</v>
      </c>
      <c r="P930" s="116">
        <v>150.07499999999999</v>
      </c>
      <c r="Q930" s="116">
        <v>299.85000000000002</v>
      </c>
      <c r="R930">
        <v>42512</v>
      </c>
    </row>
    <row r="931" spans="1:18" x14ac:dyDescent="0.25">
      <c r="A931" s="170">
        <v>43371</v>
      </c>
      <c r="B931" s="116">
        <v>149.92500000000001</v>
      </c>
      <c r="C931" s="116">
        <v>146.30000000000001</v>
      </c>
      <c r="D931" s="116">
        <v>141.85</v>
      </c>
      <c r="E931" s="116">
        <v>149.92500000000001</v>
      </c>
      <c r="F931" s="116">
        <v>292.60000000000002</v>
      </c>
      <c r="G931">
        <v>8789</v>
      </c>
      <c r="H931" s="116"/>
      <c r="I931" s="116"/>
      <c r="L931" s="170">
        <v>43371</v>
      </c>
      <c r="M931" s="116">
        <v>146.4</v>
      </c>
      <c r="N931" s="116">
        <v>150.27500000000001</v>
      </c>
      <c r="O931" s="116">
        <v>141</v>
      </c>
      <c r="P931" s="116">
        <v>148.57499999999999</v>
      </c>
      <c r="Q931" s="116">
        <v>292.8</v>
      </c>
      <c r="R931">
        <v>100720</v>
      </c>
    </row>
    <row r="932" spans="1:18" x14ac:dyDescent="0.25">
      <c r="A932" s="170">
        <v>43374</v>
      </c>
      <c r="B932" s="116">
        <v>147.97499999999999</v>
      </c>
      <c r="C932" s="116">
        <v>146.02500000000001</v>
      </c>
      <c r="D932" s="116">
        <v>140.25</v>
      </c>
      <c r="E932" s="116">
        <v>144.25</v>
      </c>
      <c r="F932" s="116">
        <v>292.05</v>
      </c>
      <c r="G932">
        <v>20127</v>
      </c>
      <c r="H932" s="116"/>
      <c r="I932" s="116"/>
      <c r="L932" s="170">
        <v>43374</v>
      </c>
      <c r="M932" s="116">
        <v>148.375</v>
      </c>
      <c r="N932" s="116">
        <v>149.6</v>
      </c>
      <c r="O932" s="116">
        <v>140.5</v>
      </c>
      <c r="P932" s="116">
        <v>146.94999999999999</v>
      </c>
      <c r="Q932" s="116">
        <v>296.75</v>
      </c>
      <c r="R932">
        <v>55592</v>
      </c>
    </row>
    <row r="933" spans="1:18" x14ac:dyDescent="0.25">
      <c r="A933" s="170">
        <v>43376</v>
      </c>
      <c r="B933" s="116">
        <v>152.57499999999999</v>
      </c>
      <c r="C933" s="116">
        <v>150.27500000000001</v>
      </c>
      <c r="D933" s="116">
        <v>145.125</v>
      </c>
      <c r="E933" s="116">
        <v>148.75</v>
      </c>
      <c r="F933" s="116">
        <v>300.55</v>
      </c>
      <c r="G933">
        <v>12284</v>
      </c>
      <c r="H933" s="116"/>
      <c r="I933" s="116"/>
      <c r="L933" s="170">
        <v>43376</v>
      </c>
      <c r="M933" s="116">
        <v>150.5</v>
      </c>
      <c r="N933" s="116">
        <v>153.15</v>
      </c>
      <c r="O933" s="116">
        <v>145.1</v>
      </c>
      <c r="P933" s="116">
        <v>148.125</v>
      </c>
      <c r="Q933" s="116">
        <v>301</v>
      </c>
      <c r="R933">
        <v>58500</v>
      </c>
    </row>
    <row r="934" spans="1:18" x14ac:dyDescent="0.25">
      <c r="A934" s="170">
        <v>43377</v>
      </c>
      <c r="B934" s="116">
        <v>152.9</v>
      </c>
      <c r="C934" s="116">
        <v>144.42500000000001</v>
      </c>
      <c r="D934" s="116">
        <v>141.32499999999999</v>
      </c>
      <c r="E934" s="116">
        <v>150.5</v>
      </c>
      <c r="F934" s="116">
        <v>288.85000000000002</v>
      </c>
      <c r="G934">
        <v>14111</v>
      </c>
      <c r="H934" s="116"/>
      <c r="I934" s="116"/>
      <c r="L934" s="170">
        <v>43377</v>
      </c>
      <c r="M934" s="116">
        <v>144.82499999999999</v>
      </c>
      <c r="N934" s="116">
        <v>151.94999999999999</v>
      </c>
      <c r="O934" s="116">
        <v>141.625</v>
      </c>
      <c r="P934" s="116">
        <v>146</v>
      </c>
      <c r="Q934" s="116">
        <v>289.64999999999998</v>
      </c>
      <c r="R934">
        <v>80289</v>
      </c>
    </row>
    <row r="935" spans="1:18" x14ac:dyDescent="0.25">
      <c r="A935" s="170">
        <v>43378</v>
      </c>
      <c r="B935" s="116">
        <v>145.6</v>
      </c>
      <c r="C935" s="116">
        <v>144.44999999999999</v>
      </c>
      <c r="D935" s="116">
        <v>142</v>
      </c>
      <c r="E935" s="116">
        <v>144.5</v>
      </c>
      <c r="F935" s="116">
        <v>288.89999999999998</v>
      </c>
      <c r="G935">
        <v>6047</v>
      </c>
      <c r="H935" s="116"/>
      <c r="I935" s="116"/>
      <c r="L935" s="170">
        <v>43378</v>
      </c>
      <c r="M935" s="116">
        <v>144.27500000000001</v>
      </c>
      <c r="N935" s="116">
        <v>147</v>
      </c>
      <c r="O935" s="116">
        <v>142.55000000000001</v>
      </c>
      <c r="P935" s="116">
        <v>144.5</v>
      </c>
      <c r="Q935" s="116">
        <v>288.55</v>
      </c>
      <c r="R935">
        <v>32332</v>
      </c>
    </row>
    <row r="936" spans="1:18" x14ac:dyDescent="0.25">
      <c r="A936" s="170">
        <v>43381</v>
      </c>
      <c r="B936" s="116">
        <v>150.44999999999999</v>
      </c>
      <c r="C936" s="116">
        <v>147.75</v>
      </c>
      <c r="D936" s="116">
        <v>143.4</v>
      </c>
      <c r="E936" s="116">
        <v>144.15</v>
      </c>
      <c r="F936" s="116">
        <v>295.5</v>
      </c>
      <c r="G936">
        <v>15294</v>
      </c>
      <c r="H936" s="116"/>
      <c r="I936" s="116"/>
      <c r="L936" s="170">
        <v>43381</v>
      </c>
      <c r="M936" s="116">
        <v>148.15</v>
      </c>
      <c r="N936" s="116">
        <v>151.5</v>
      </c>
      <c r="O936" s="116">
        <v>142.05000000000001</v>
      </c>
      <c r="P936" s="116">
        <v>142.05000000000001</v>
      </c>
      <c r="Q936" s="116">
        <v>296.3</v>
      </c>
      <c r="R936">
        <v>46932</v>
      </c>
    </row>
    <row r="937" spans="1:18" x14ac:dyDescent="0.25">
      <c r="A937" s="170">
        <v>43382</v>
      </c>
      <c r="B937" s="116">
        <v>150</v>
      </c>
      <c r="C937" s="116">
        <v>149.15</v>
      </c>
      <c r="D937" s="116">
        <v>145</v>
      </c>
      <c r="E937" s="116">
        <v>148</v>
      </c>
      <c r="F937" s="116">
        <v>298.3</v>
      </c>
      <c r="G937">
        <v>6259</v>
      </c>
      <c r="H937" s="116"/>
      <c r="I937" s="116"/>
      <c r="L937" s="170">
        <v>43382</v>
      </c>
      <c r="M937" s="116">
        <v>148.9</v>
      </c>
      <c r="N937" s="116">
        <v>150.32499999999999</v>
      </c>
      <c r="O937" s="116">
        <v>144.5</v>
      </c>
      <c r="P937" s="116">
        <v>148</v>
      </c>
      <c r="Q937" s="116">
        <v>297.8</v>
      </c>
      <c r="R937">
        <v>53561</v>
      </c>
    </row>
    <row r="938" spans="1:18" x14ac:dyDescent="0.25">
      <c r="A938" s="170">
        <v>43383</v>
      </c>
      <c r="B938" s="116">
        <v>155.94999999999999</v>
      </c>
      <c r="C938" s="116">
        <v>152.07499999999999</v>
      </c>
      <c r="D938" s="116">
        <v>151.19999999999999</v>
      </c>
      <c r="E938" s="116">
        <v>152</v>
      </c>
      <c r="F938" s="116">
        <v>304.14999999999998</v>
      </c>
      <c r="G938">
        <v>5718</v>
      </c>
      <c r="H938" s="116"/>
      <c r="I938" s="116"/>
      <c r="L938" s="170">
        <v>43383</v>
      </c>
      <c r="M938" s="116">
        <v>151.9</v>
      </c>
      <c r="N938" s="116">
        <v>156.5</v>
      </c>
      <c r="O938" s="116">
        <v>150</v>
      </c>
      <c r="P938" s="116">
        <v>150</v>
      </c>
      <c r="Q938" s="116">
        <v>303.8</v>
      </c>
      <c r="R938">
        <v>52504</v>
      </c>
    </row>
    <row r="939" spans="1:18" x14ac:dyDescent="0.25">
      <c r="A939" s="170">
        <v>43384</v>
      </c>
      <c r="B939" s="116">
        <v>150.82499999999999</v>
      </c>
      <c r="C939" s="116">
        <v>149.07499999999999</v>
      </c>
      <c r="D939" s="116">
        <v>146.65</v>
      </c>
      <c r="E939" s="116">
        <v>150</v>
      </c>
      <c r="F939" s="116">
        <v>298.14999999999998</v>
      </c>
      <c r="G939">
        <v>2643</v>
      </c>
      <c r="H939" s="116"/>
      <c r="I939" s="116"/>
      <c r="L939" s="170">
        <v>43384</v>
      </c>
      <c r="M939" s="116">
        <v>148.17500000000001</v>
      </c>
      <c r="N939" s="116">
        <v>151.15</v>
      </c>
      <c r="O939" s="116">
        <v>145</v>
      </c>
      <c r="P939" s="116">
        <v>147.6</v>
      </c>
      <c r="Q939" s="116">
        <v>296.35000000000002</v>
      </c>
      <c r="R939">
        <v>21532</v>
      </c>
    </row>
    <row r="940" spans="1:18" x14ac:dyDescent="0.25">
      <c r="A940" s="170">
        <v>43385</v>
      </c>
      <c r="B940" s="116">
        <v>152.4</v>
      </c>
      <c r="C940" s="116">
        <v>150.9</v>
      </c>
      <c r="D940" s="116">
        <v>148.6</v>
      </c>
      <c r="E940" s="116">
        <v>151</v>
      </c>
      <c r="F940" s="116">
        <v>301.8</v>
      </c>
      <c r="G940">
        <v>5462</v>
      </c>
      <c r="H940" s="116"/>
      <c r="I940" s="116"/>
      <c r="L940" s="170">
        <v>43385</v>
      </c>
      <c r="M940" s="116">
        <v>149.875</v>
      </c>
      <c r="N940" s="116">
        <v>152.97499999999999</v>
      </c>
      <c r="O940" s="116">
        <v>148.75</v>
      </c>
      <c r="P940" s="116">
        <v>149.97499999999999</v>
      </c>
      <c r="Q940" s="116">
        <v>299.75</v>
      </c>
      <c r="R940">
        <v>19241</v>
      </c>
    </row>
    <row r="941" spans="1:18" x14ac:dyDescent="0.25">
      <c r="A941" s="170">
        <v>43388</v>
      </c>
      <c r="B941" s="116">
        <v>152.4</v>
      </c>
      <c r="C941" s="116">
        <v>148.875</v>
      </c>
      <c r="D941" s="116">
        <v>148.19999999999999</v>
      </c>
      <c r="E941" s="116">
        <v>152.4</v>
      </c>
      <c r="F941" s="116">
        <v>297.75</v>
      </c>
      <c r="G941">
        <v>2646</v>
      </c>
      <c r="H941" s="116"/>
      <c r="I941" s="116"/>
      <c r="L941" s="170">
        <v>43388</v>
      </c>
      <c r="M941" s="116">
        <v>149.27500000000001</v>
      </c>
      <c r="N941" s="116">
        <v>151.875</v>
      </c>
      <c r="O941" s="116">
        <v>147.5</v>
      </c>
      <c r="P941" s="116">
        <v>147.5</v>
      </c>
      <c r="Q941" s="116">
        <v>298.55</v>
      </c>
      <c r="R941">
        <v>27589</v>
      </c>
    </row>
    <row r="942" spans="1:18" x14ac:dyDescent="0.25">
      <c r="A942" s="170">
        <v>43389</v>
      </c>
      <c r="B942" s="116">
        <v>152.42500000000001</v>
      </c>
      <c r="C942" s="116">
        <v>150</v>
      </c>
      <c r="D942" s="116">
        <v>149.35</v>
      </c>
      <c r="E942" s="116">
        <v>152</v>
      </c>
      <c r="F942" s="116">
        <v>300</v>
      </c>
      <c r="G942">
        <v>2837</v>
      </c>
      <c r="H942" s="116"/>
      <c r="I942" s="116"/>
      <c r="L942" s="170">
        <v>43389</v>
      </c>
      <c r="M942" s="116">
        <v>150</v>
      </c>
      <c r="N942" s="116">
        <v>152.05000000000001</v>
      </c>
      <c r="O942" s="116">
        <v>149.5</v>
      </c>
      <c r="P942" s="116">
        <v>151.9</v>
      </c>
      <c r="Q942" s="116">
        <v>300</v>
      </c>
      <c r="R942">
        <v>27334</v>
      </c>
    </row>
    <row r="943" spans="1:18" x14ac:dyDescent="0.25">
      <c r="A943" s="170">
        <v>43390</v>
      </c>
      <c r="B943" s="116">
        <v>150.625</v>
      </c>
      <c r="C943" s="116">
        <v>149.42500000000001</v>
      </c>
      <c r="D943" s="116">
        <v>148.85</v>
      </c>
      <c r="E943" s="116">
        <v>150</v>
      </c>
      <c r="F943" s="116">
        <v>298.85000000000002</v>
      </c>
      <c r="G943">
        <v>1410</v>
      </c>
      <c r="H943" s="116"/>
      <c r="I943" s="116"/>
      <c r="L943" s="170">
        <v>43390</v>
      </c>
      <c r="M943" s="116">
        <v>150.07499999999999</v>
      </c>
      <c r="N943" s="116">
        <v>151.47499999999999</v>
      </c>
      <c r="O943" s="116">
        <v>148.85</v>
      </c>
      <c r="P943" s="116">
        <v>150.82499999999999</v>
      </c>
      <c r="Q943" s="116">
        <v>300.14999999999998</v>
      </c>
      <c r="R943">
        <v>266259</v>
      </c>
    </row>
    <row r="944" spans="1:18" x14ac:dyDescent="0.25">
      <c r="A944" s="170">
        <v>43392</v>
      </c>
      <c r="B944" s="116">
        <v>159.97499999999999</v>
      </c>
      <c r="C944" s="116">
        <v>152.02500000000001</v>
      </c>
      <c r="D944" s="116">
        <v>144.77500000000001</v>
      </c>
      <c r="E944" s="116">
        <v>150.07499999999999</v>
      </c>
      <c r="F944" s="116">
        <v>304.05</v>
      </c>
      <c r="G944">
        <v>19509</v>
      </c>
      <c r="H944" s="116"/>
      <c r="I944" s="116"/>
      <c r="L944" s="170">
        <v>43392</v>
      </c>
      <c r="M944" s="116">
        <v>152.25</v>
      </c>
      <c r="N944" s="116">
        <v>154</v>
      </c>
      <c r="O944" s="116">
        <v>144.17500000000001</v>
      </c>
      <c r="P944" s="116">
        <v>149.97499999999999</v>
      </c>
      <c r="Q944" s="116">
        <v>304.5</v>
      </c>
      <c r="R944">
        <v>121978</v>
      </c>
    </row>
    <row r="945" spans="1:18" x14ac:dyDescent="0.25">
      <c r="A945" s="170">
        <v>43395</v>
      </c>
      <c r="B945" s="116">
        <v>150.69999999999999</v>
      </c>
      <c r="C945" s="116">
        <v>149.65</v>
      </c>
      <c r="D945" s="116">
        <v>148</v>
      </c>
      <c r="E945" s="116">
        <v>149.75</v>
      </c>
      <c r="F945" s="116">
        <v>299.3</v>
      </c>
      <c r="G945">
        <v>3571</v>
      </c>
      <c r="H945" s="116"/>
      <c r="I945" s="116"/>
      <c r="L945" s="170">
        <v>43395</v>
      </c>
      <c r="M945" s="116">
        <v>148.55000000000001</v>
      </c>
      <c r="N945" s="116">
        <v>151.1</v>
      </c>
      <c r="O945" s="116">
        <v>147.52500000000001</v>
      </c>
      <c r="P945" s="116">
        <v>149.02500000000001</v>
      </c>
      <c r="Q945" s="116">
        <v>297.10000000000002</v>
      </c>
      <c r="R945">
        <v>18678</v>
      </c>
    </row>
    <row r="946" spans="1:18" x14ac:dyDescent="0.25">
      <c r="A946" s="170">
        <v>43396</v>
      </c>
      <c r="B946" s="116">
        <v>148.22499999999999</v>
      </c>
      <c r="C946" s="116">
        <v>144.35</v>
      </c>
      <c r="D946" s="116">
        <v>144</v>
      </c>
      <c r="E946" s="116">
        <v>147.6</v>
      </c>
      <c r="F946" s="116">
        <v>288.7</v>
      </c>
      <c r="G946">
        <v>7350</v>
      </c>
      <c r="H946" s="116"/>
      <c r="I946" s="116"/>
      <c r="L946" s="170">
        <v>43396</v>
      </c>
      <c r="M946" s="116">
        <v>144.94999999999999</v>
      </c>
      <c r="N946" s="116">
        <v>148.35</v>
      </c>
      <c r="O946" s="116">
        <v>142.67500000000001</v>
      </c>
      <c r="P946" s="116">
        <v>147.625</v>
      </c>
      <c r="Q946" s="116">
        <v>289.89999999999998</v>
      </c>
      <c r="R946">
        <v>33939</v>
      </c>
    </row>
    <row r="947" spans="1:18" x14ac:dyDescent="0.25">
      <c r="A947" s="170">
        <v>43397</v>
      </c>
      <c r="B947" s="116">
        <v>147.75</v>
      </c>
      <c r="C947" s="116">
        <v>144.92500000000001</v>
      </c>
      <c r="D947" s="116">
        <v>144.67500000000001</v>
      </c>
      <c r="E947" s="116">
        <v>146.5</v>
      </c>
      <c r="F947" s="116">
        <v>289.85000000000002</v>
      </c>
      <c r="G947">
        <v>1391</v>
      </c>
      <c r="H947" s="116"/>
      <c r="I947" s="116"/>
      <c r="L947" s="170">
        <v>43397</v>
      </c>
      <c r="M947" s="116">
        <v>145.35</v>
      </c>
      <c r="N947" s="116">
        <v>149.5</v>
      </c>
      <c r="O947" s="116">
        <v>144.97499999999999</v>
      </c>
      <c r="P947" s="116">
        <v>149.5</v>
      </c>
      <c r="Q947" s="116">
        <v>290.7</v>
      </c>
      <c r="R947">
        <v>25739</v>
      </c>
    </row>
    <row r="948" spans="1:18" x14ac:dyDescent="0.25">
      <c r="A948" s="170">
        <v>43398</v>
      </c>
      <c r="B948" s="116">
        <v>146</v>
      </c>
      <c r="C948" s="116">
        <v>144.77500000000001</v>
      </c>
      <c r="D948" s="116">
        <v>144.32499999999999</v>
      </c>
      <c r="E948" s="116">
        <v>146</v>
      </c>
      <c r="F948" s="116">
        <v>289.55</v>
      </c>
      <c r="G948">
        <v>702</v>
      </c>
      <c r="H948" s="116"/>
      <c r="I948" s="116"/>
      <c r="L948" s="170">
        <v>43398</v>
      </c>
      <c r="M948" s="116">
        <v>145.17500000000001</v>
      </c>
      <c r="N948" s="116">
        <v>146.97499999999999</v>
      </c>
      <c r="O948" s="116">
        <v>144</v>
      </c>
      <c r="P948" s="116">
        <v>145.35</v>
      </c>
      <c r="Q948" s="116">
        <v>290.35000000000002</v>
      </c>
      <c r="R948">
        <v>6642</v>
      </c>
    </row>
    <row r="949" spans="1:18" x14ac:dyDescent="0.25">
      <c r="A949" s="170">
        <v>43399</v>
      </c>
      <c r="B949" s="116">
        <v>147.05000000000001</v>
      </c>
      <c r="C949" s="116">
        <v>145.35</v>
      </c>
      <c r="D949" s="116">
        <v>145</v>
      </c>
      <c r="E949" s="116">
        <v>145</v>
      </c>
      <c r="F949" s="116">
        <v>290.7</v>
      </c>
      <c r="G949">
        <v>2252</v>
      </c>
      <c r="H949" s="116"/>
      <c r="I949" s="116"/>
      <c r="L949" s="170">
        <v>43399</v>
      </c>
      <c r="M949" s="116">
        <v>145.72499999999999</v>
      </c>
      <c r="N949" s="116">
        <v>147.5</v>
      </c>
      <c r="O949" s="116">
        <v>144.4</v>
      </c>
      <c r="P949" s="116">
        <v>144.65</v>
      </c>
      <c r="Q949" s="116">
        <v>291.45</v>
      </c>
      <c r="R949">
        <v>12971</v>
      </c>
    </row>
    <row r="950" spans="1:18" x14ac:dyDescent="0.25">
      <c r="A950" s="170">
        <v>43402</v>
      </c>
      <c r="B950" s="116">
        <v>147.5</v>
      </c>
      <c r="C950" s="116">
        <v>146.25</v>
      </c>
      <c r="D950" s="116">
        <v>144.65</v>
      </c>
      <c r="E950" s="116">
        <v>145.5</v>
      </c>
      <c r="F950" s="116">
        <v>292.5</v>
      </c>
      <c r="G950">
        <v>1101</v>
      </c>
      <c r="H950" s="116"/>
      <c r="I950" s="116"/>
      <c r="L950" s="170">
        <v>43402</v>
      </c>
      <c r="M950" s="116">
        <v>146.32499999999999</v>
      </c>
      <c r="N950" s="116">
        <v>148</v>
      </c>
      <c r="O950" s="116">
        <v>144.52500000000001</v>
      </c>
      <c r="P950" s="116">
        <v>145.97499999999999</v>
      </c>
      <c r="Q950" s="116">
        <v>292.64999999999998</v>
      </c>
      <c r="R950">
        <v>23062</v>
      </c>
    </row>
    <row r="951" spans="1:18" x14ac:dyDescent="0.25">
      <c r="A951" s="170">
        <v>43403</v>
      </c>
      <c r="B951" s="116">
        <v>149.77500000000001</v>
      </c>
      <c r="C951" s="116">
        <v>148.97499999999999</v>
      </c>
      <c r="D951" s="116">
        <v>145</v>
      </c>
      <c r="E951" s="116">
        <v>147.55000000000001</v>
      </c>
      <c r="F951" s="116">
        <v>297.95</v>
      </c>
      <c r="G951">
        <v>4909</v>
      </c>
      <c r="H951" s="116"/>
      <c r="I951" s="116"/>
      <c r="L951" s="170">
        <v>43403</v>
      </c>
      <c r="M951" s="116">
        <v>150.32499999999999</v>
      </c>
      <c r="N951" s="116">
        <v>151.92500000000001</v>
      </c>
      <c r="O951" s="116">
        <v>146</v>
      </c>
      <c r="P951" s="116">
        <v>146.35</v>
      </c>
      <c r="Q951" s="116">
        <v>300.64999999999998</v>
      </c>
      <c r="R951">
        <v>19114</v>
      </c>
    </row>
    <row r="952" spans="1:18" x14ac:dyDescent="0.25">
      <c r="A952" s="170">
        <v>43404</v>
      </c>
      <c r="B952" s="116">
        <v>156</v>
      </c>
      <c r="C952" s="116">
        <v>153.4</v>
      </c>
      <c r="D952" s="116">
        <v>146.75</v>
      </c>
      <c r="E952" s="116">
        <v>147.875</v>
      </c>
      <c r="F952" s="116">
        <v>306.8</v>
      </c>
      <c r="G952">
        <v>10424</v>
      </c>
      <c r="H952" s="116"/>
      <c r="I952" s="116"/>
      <c r="L952" s="170">
        <v>43404</v>
      </c>
      <c r="M952" s="116">
        <v>154.25</v>
      </c>
      <c r="N952" s="116">
        <v>156.44999999999999</v>
      </c>
      <c r="O952" s="116">
        <v>146.6</v>
      </c>
      <c r="P952" s="116">
        <v>149.52500000000001</v>
      </c>
      <c r="Q952" s="116">
        <v>308.5</v>
      </c>
      <c r="R952">
        <v>63211</v>
      </c>
    </row>
    <row r="953" spans="1:18" x14ac:dyDescent="0.25">
      <c r="A953" s="170">
        <v>43405</v>
      </c>
      <c r="B953" s="116">
        <v>159</v>
      </c>
      <c r="C953" s="116">
        <v>157.22499999999999</v>
      </c>
      <c r="D953" s="116">
        <v>154.85</v>
      </c>
      <c r="E953" s="116">
        <v>154.92500000000001</v>
      </c>
      <c r="F953" s="116">
        <v>314.45</v>
      </c>
      <c r="G953">
        <v>10363</v>
      </c>
      <c r="H953" s="116"/>
      <c r="I953" s="116"/>
      <c r="L953" s="170">
        <v>43405</v>
      </c>
      <c r="M953" s="116">
        <v>157.27500000000001</v>
      </c>
      <c r="N953" s="116">
        <v>158.75</v>
      </c>
      <c r="O953" s="116">
        <v>154.25</v>
      </c>
      <c r="P953" s="116">
        <v>154.75</v>
      </c>
      <c r="Q953" s="116">
        <v>314.55</v>
      </c>
      <c r="R953">
        <v>44587</v>
      </c>
    </row>
    <row r="954" spans="1:18" x14ac:dyDescent="0.25">
      <c r="A954" s="170">
        <v>43406</v>
      </c>
      <c r="B954" s="116">
        <v>157.875</v>
      </c>
      <c r="C954" s="116">
        <v>154.75</v>
      </c>
      <c r="D954" s="116">
        <v>154</v>
      </c>
      <c r="E954" s="116">
        <v>157.5</v>
      </c>
      <c r="F954" s="116">
        <v>309.5</v>
      </c>
      <c r="G954">
        <v>10364</v>
      </c>
      <c r="H954" s="116"/>
      <c r="I954" s="116"/>
      <c r="L954" s="170">
        <v>43406</v>
      </c>
      <c r="M954" s="116">
        <v>154.80000000000001</v>
      </c>
      <c r="N954" s="116">
        <v>158.47499999999999</v>
      </c>
      <c r="O954" s="116">
        <v>153.55000000000001</v>
      </c>
      <c r="P954" s="116">
        <v>157.02500000000001</v>
      </c>
      <c r="Q954" s="116">
        <v>309.60000000000002</v>
      </c>
      <c r="R954">
        <v>50418</v>
      </c>
    </row>
    <row r="955" spans="1:18" x14ac:dyDescent="0.25">
      <c r="A955" s="170">
        <v>43409</v>
      </c>
      <c r="B955" s="116">
        <v>157.44999999999999</v>
      </c>
      <c r="C955" s="116">
        <v>154.15</v>
      </c>
      <c r="D955" s="116">
        <v>152.5</v>
      </c>
      <c r="E955" s="116">
        <v>152.5</v>
      </c>
      <c r="F955" s="116">
        <v>308.3</v>
      </c>
      <c r="G955">
        <v>5972</v>
      </c>
      <c r="H955" s="116"/>
      <c r="I955" s="116"/>
      <c r="L955" s="170">
        <v>43409</v>
      </c>
      <c r="M955" s="116">
        <v>154.05000000000001</v>
      </c>
      <c r="N955" s="116">
        <v>158</v>
      </c>
      <c r="O955" s="116">
        <v>153.5</v>
      </c>
      <c r="P955" s="116">
        <v>155.47499999999999</v>
      </c>
      <c r="Q955" s="116">
        <v>308.10000000000002</v>
      </c>
      <c r="R955">
        <v>88508</v>
      </c>
    </row>
    <row r="956" spans="1:18" x14ac:dyDescent="0.25">
      <c r="A956" s="170">
        <v>43410</v>
      </c>
      <c r="B956" s="116">
        <v>154.94999999999999</v>
      </c>
      <c r="C956" s="116">
        <v>154.32499999999999</v>
      </c>
      <c r="D956" s="116">
        <v>150.67500000000001</v>
      </c>
      <c r="E956" s="116">
        <v>153.875</v>
      </c>
      <c r="F956" s="116">
        <v>308.64999999999998</v>
      </c>
      <c r="G956">
        <v>3797</v>
      </c>
      <c r="H956" s="116"/>
      <c r="I956" s="116"/>
      <c r="L956" s="170">
        <v>43410</v>
      </c>
      <c r="M956" s="116">
        <v>154.5</v>
      </c>
      <c r="N956" s="116">
        <v>155.5</v>
      </c>
      <c r="O956" s="116">
        <v>151.97499999999999</v>
      </c>
      <c r="P956" s="116">
        <v>152.05000000000001</v>
      </c>
      <c r="Q956" s="116">
        <v>309</v>
      </c>
      <c r="R956">
        <v>40760</v>
      </c>
    </row>
    <row r="957" spans="1:18" x14ac:dyDescent="0.25">
      <c r="A957" s="170">
        <v>43411</v>
      </c>
      <c r="B957" s="116">
        <v>157.47499999999999</v>
      </c>
      <c r="C957" s="116">
        <v>156.17500000000001</v>
      </c>
      <c r="D957" s="116">
        <v>151.05000000000001</v>
      </c>
      <c r="E957" s="116">
        <v>151.05000000000001</v>
      </c>
      <c r="F957" s="116">
        <v>312.35000000000002</v>
      </c>
      <c r="G957">
        <v>2110</v>
      </c>
      <c r="H957" s="116"/>
      <c r="I957" s="116"/>
      <c r="L957" s="170">
        <v>43411</v>
      </c>
      <c r="M957" s="116">
        <v>156.52500000000001</v>
      </c>
      <c r="N957" s="116">
        <v>156.94999999999999</v>
      </c>
      <c r="O957" s="116">
        <v>154.80000000000001</v>
      </c>
      <c r="P957" s="116">
        <v>156.94999999999999</v>
      </c>
      <c r="Q957" s="116">
        <v>313.05</v>
      </c>
      <c r="R957">
        <v>11890</v>
      </c>
    </row>
    <row r="958" spans="1:18" x14ac:dyDescent="0.25">
      <c r="A958" s="170">
        <v>43413</v>
      </c>
      <c r="B958" s="116">
        <v>155.82499999999999</v>
      </c>
      <c r="C958" s="116">
        <v>154.1</v>
      </c>
      <c r="D958" s="116">
        <v>152</v>
      </c>
      <c r="E958" s="116">
        <v>152.5</v>
      </c>
      <c r="F958" s="116">
        <v>308.2</v>
      </c>
      <c r="G958">
        <v>2541</v>
      </c>
      <c r="H958" s="116"/>
      <c r="I958" s="116"/>
      <c r="L958" s="170">
        <v>43413</v>
      </c>
      <c r="M958" s="116">
        <v>154.42500000000001</v>
      </c>
      <c r="N958" s="116">
        <v>156</v>
      </c>
      <c r="O958" s="116">
        <v>153.72499999999999</v>
      </c>
      <c r="P958" s="116">
        <v>156</v>
      </c>
      <c r="Q958" s="116">
        <v>308.85000000000002</v>
      </c>
      <c r="R958">
        <v>8025</v>
      </c>
    </row>
    <row r="959" spans="1:18" x14ac:dyDescent="0.25">
      <c r="A959" s="170">
        <v>43416</v>
      </c>
      <c r="B959" s="116">
        <v>157.25</v>
      </c>
      <c r="C959" s="116">
        <v>154.625</v>
      </c>
      <c r="D959" s="116">
        <v>150.80000000000001</v>
      </c>
      <c r="E959" s="116">
        <v>153.67500000000001</v>
      </c>
      <c r="F959" s="116">
        <v>309.25</v>
      </c>
      <c r="G959">
        <v>2234</v>
      </c>
      <c r="H959" s="116"/>
      <c r="I959" s="116"/>
      <c r="L959" s="170">
        <v>43416</v>
      </c>
      <c r="M959" s="116">
        <v>153.9</v>
      </c>
      <c r="N959" s="116">
        <v>156.85</v>
      </c>
      <c r="O959" s="116">
        <v>150</v>
      </c>
      <c r="P959" s="116">
        <v>153.55000000000001</v>
      </c>
      <c r="Q959" s="116">
        <v>307.8</v>
      </c>
      <c r="R959">
        <v>26477</v>
      </c>
    </row>
    <row r="960" spans="1:18" x14ac:dyDescent="0.25">
      <c r="A960" s="170">
        <v>43417</v>
      </c>
      <c r="B960" s="116">
        <v>154.27500000000001</v>
      </c>
      <c r="C960" s="116">
        <v>152.77500000000001</v>
      </c>
      <c r="D960" s="116">
        <v>152.1</v>
      </c>
      <c r="E960" s="116">
        <v>152.27500000000001</v>
      </c>
      <c r="F960" s="116">
        <v>305.55</v>
      </c>
      <c r="G960">
        <v>2892</v>
      </c>
      <c r="H960" s="116"/>
      <c r="I960" s="116"/>
      <c r="L960" s="170">
        <v>43417</v>
      </c>
      <c r="M960" s="116">
        <v>152.82499999999999</v>
      </c>
      <c r="N960" s="116">
        <v>155</v>
      </c>
      <c r="O960" s="116">
        <v>151.07499999999999</v>
      </c>
      <c r="P960" s="116">
        <v>151.07499999999999</v>
      </c>
      <c r="Q960" s="116">
        <v>305.64999999999998</v>
      </c>
      <c r="R960">
        <v>20426</v>
      </c>
    </row>
    <row r="961" spans="1:18" x14ac:dyDescent="0.25">
      <c r="A961" s="170">
        <v>43418</v>
      </c>
      <c r="B961" s="116">
        <v>156.625</v>
      </c>
      <c r="C961" s="116">
        <v>155.07499999999999</v>
      </c>
      <c r="D961" s="116">
        <v>154.65</v>
      </c>
      <c r="E961" s="116">
        <v>154.9</v>
      </c>
      <c r="F961" s="116">
        <v>310.14999999999998</v>
      </c>
      <c r="G961">
        <v>4957</v>
      </c>
      <c r="H961" s="116"/>
      <c r="I961" s="116"/>
      <c r="L961" s="170">
        <v>43418</v>
      </c>
      <c r="M961" s="116">
        <v>155.375</v>
      </c>
      <c r="N961" s="116">
        <v>156.5</v>
      </c>
      <c r="O961" s="116">
        <v>154.5</v>
      </c>
      <c r="P961" s="116">
        <v>154.6</v>
      </c>
      <c r="Q961" s="116">
        <v>310.75</v>
      </c>
      <c r="R961">
        <v>29326</v>
      </c>
    </row>
    <row r="962" spans="1:18" x14ac:dyDescent="0.25">
      <c r="A962" s="170">
        <v>43419</v>
      </c>
      <c r="B962" s="116">
        <v>154.65</v>
      </c>
      <c r="C962" s="116">
        <v>154.02500000000001</v>
      </c>
      <c r="D962" s="116">
        <v>152.82499999999999</v>
      </c>
      <c r="E962" s="116">
        <v>153.69999999999999</v>
      </c>
      <c r="F962" s="116">
        <v>308.05</v>
      </c>
      <c r="G962">
        <v>2005</v>
      </c>
      <c r="H962" s="116"/>
      <c r="I962" s="116"/>
      <c r="L962" s="170">
        <v>43419</v>
      </c>
      <c r="M962" s="116">
        <v>154.32499999999999</v>
      </c>
      <c r="N962" s="116">
        <v>155.625</v>
      </c>
      <c r="O962" s="116">
        <v>153.02500000000001</v>
      </c>
      <c r="P962" s="116">
        <v>155.625</v>
      </c>
      <c r="Q962" s="116">
        <v>308.64999999999998</v>
      </c>
      <c r="R962">
        <v>11610</v>
      </c>
    </row>
    <row r="963" spans="1:18" x14ac:dyDescent="0.25">
      <c r="A963" s="170">
        <v>43420</v>
      </c>
      <c r="B963" s="116">
        <v>156.9</v>
      </c>
      <c r="C963" s="116">
        <v>154.85</v>
      </c>
      <c r="D963" s="116">
        <v>154.25</v>
      </c>
      <c r="E963" s="116">
        <v>156.07499999999999</v>
      </c>
      <c r="F963" s="116">
        <v>309.7</v>
      </c>
      <c r="G963">
        <v>2605</v>
      </c>
      <c r="H963" s="116"/>
      <c r="I963" s="116"/>
      <c r="L963" s="170">
        <v>43420</v>
      </c>
      <c r="M963" s="116">
        <v>154.27500000000001</v>
      </c>
      <c r="N963" s="116">
        <v>157.22499999999999</v>
      </c>
      <c r="O963" s="116">
        <v>153.55000000000001</v>
      </c>
      <c r="P963" s="116">
        <v>155.5</v>
      </c>
      <c r="Q963" s="116">
        <v>308.55</v>
      </c>
      <c r="R963">
        <v>47266</v>
      </c>
    </row>
    <row r="964" spans="1:18" x14ac:dyDescent="0.25">
      <c r="A964" s="170">
        <v>43423</v>
      </c>
      <c r="B964" s="116">
        <v>155.5</v>
      </c>
      <c r="C964" s="116">
        <v>155.05000000000001</v>
      </c>
      <c r="D964" s="116">
        <v>153.97499999999999</v>
      </c>
      <c r="E964" s="116">
        <v>154.1</v>
      </c>
      <c r="F964" s="116">
        <v>310.10000000000002</v>
      </c>
      <c r="G964">
        <v>3522</v>
      </c>
      <c r="H964" s="116"/>
      <c r="I964" s="116"/>
      <c r="L964" s="170">
        <v>43423</v>
      </c>
      <c r="M964" s="116">
        <v>154.75</v>
      </c>
      <c r="N964" s="116">
        <v>155.9</v>
      </c>
      <c r="O964" s="116">
        <v>154.02500000000001</v>
      </c>
      <c r="P964" s="116">
        <v>155.9</v>
      </c>
      <c r="Q964" s="116">
        <v>309.5</v>
      </c>
      <c r="R964">
        <v>19114</v>
      </c>
    </row>
    <row r="965" spans="1:18" x14ac:dyDescent="0.25">
      <c r="A965" s="170">
        <v>43424</v>
      </c>
      <c r="B965" s="116">
        <v>154.875</v>
      </c>
      <c r="C965" s="116">
        <v>153.47499999999999</v>
      </c>
      <c r="D965" s="116">
        <v>151.02500000000001</v>
      </c>
      <c r="E965" s="116">
        <v>151.02500000000001</v>
      </c>
      <c r="F965" s="116">
        <v>306.95</v>
      </c>
      <c r="G965">
        <v>1364</v>
      </c>
      <c r="H965" s="116"/>
      <c r="I965" s="116"/>
      <c r="L965" s="170">
        <v>43424</v>
      </c>
      <c r="M965" s="116">
        <v>153.07499999999999</v>
      </c>
      <c r="N965" s="116">
        <v>154.75</v>
      </c>
      <c r="O965" s="116">
        <v>152.1</v>
      </c>
      <c r="P965" s="116">
        <v>154.75</v>
      </c>
      <c r="Q965" s="116">
        <v>306.14999999999998</v>
      </c>
      <c r="R965">
        <v>14745</v>
      </c>
    </row>
    <row r="966" spans="1:18" x14ac:dyDescent="0.25">
      <c r="A966" s="170">
        <v>43425</v>
      </c>
      <c r="B966" s="116">
        <v>152.57499999999999</v>
      </c>
      <c r="C966" s="116">
        <v>150.82499999999999</v>
      </c>
      <c r="D966" s="116">
        <v>150.5</v>
      </c>
      <c r="E966" s="116">
        <v>151.85</v>
      </c>
      <c r="F966" s="116">
        <v>301.64999999999998</v>
      </c>
      <c r="G966">
        <v>1631</v>
      </c>
      <c r="H966" s="116"/>
      <c r="I966" s="116"/>
      <c r="L966" s="170">
        <v>43425</v>
      </c>
      <c r="M966" s="116">
        <v>150.42500000000001</v>
      </c>
      <c r="N966" s="116">
        <v>152.92500000000001</v>
      </c>
      <c r="O966" s="116">
        <v>150</v>
      </c>
      <c r="P966" s="116">
        <v>152.27500000000001</v>
      </c>
      <c r="Q966" s="116">
        <v>300.85000000000002</v>
      </c>
      <c r="R966">
        <v>16693</v>
      </c>
    </row>
    <row r="967" spans="1:18" x14ac:dyDescent="0.25">
      <c r="A967" s="170">
        <v>43426</v>
      </c>
      <c r="B967" s="116">
        <v>151.07499999999999</v>
      </c>
      <c r="C967" s="116">
        <v>149.55000000000001</v>
      </c>
      <c r="D967" s="116">
        <v>148.80000000000001</v>
      </c>
      <c r="E967" s="116">
        <v>150.80000000000001</v>
      </c>
      <c r="F967" s="116">
        <v>299.10000000000002</v>
      </c>
      <c r="G967">
        <v>2211</v>
      </c>
      <c r="H967" s="116"/>
      <c r="I967" s="116"/>
      <c r="L967" s="170">
        <v>43426</v>
      </c>
      <c r="M967" s="116">
        <v>148.94999999999999</v>
      </c>
      <c r="N967" s="116">
        <v>151.44999999999999</v>
      </c>
      <c r="O967" s="116">
        <v>148.55000000000001</v>
      </c>
      <c r="P967" s="116">
        <v>151.44999999999999</v>
      </c>
      <c r="Q967" s="116">
        <v>297.89999999999998</v>
      </c>
      <c r="R967">
        <v>10629</v>
      </c>
    </row>
    <row r="968" spans="1:18" x14ac:dyDescent="0.25">
      <c r="A968" s="170">
        <v>43430</v>
      </c>
      <c r="B968" s="116">
        <v>149.69999999999999</v>
      </c>
      <c r="C968" s="116">
        <v>148.55000000000001</v>
      </c>
      <c r="D968" s="116">
        <v>147.65</v>
      </c>
      <c r="E968" s="116">
        <v>148.35</v>
      </c>
      <c r="F968" s="116">
        <v>297.10000000000002</v>
      </c>
      <c r="G968">
        <v>2591</v>
      </c>
      <c r="H968" s="116"/>
      <c r="I968" s="116"/>
      <c r="L968" s="170">
        <v>43430</v>
      </c>
      <c r="M968" s="116">
        <v>148.22499999999999</v>
      </c>
      <c r="N968" s="116">
        <v>150.32499999999999</v>
      </c>
      <c r="O968" s="116">
        <v>147.5</v>
      </c>
      <c r="P968" s="116">
        <v>149</v>
      </c>
      <c r="Q968" s="116">
        <v>296.45</v>
      </c>
      <c r="R968">
        <v>9811</v>
      </c>
    </row>
    <row r="969" spans="1:18" x14ac:dyDescent="0.25">
      <c r="A969" s="170">
        <v>43431</v>
      </c>
      <c r="B969" s="116">
        <v>154.02500000000001</v>
      </c>
      <c r="C969" s="116">
        <v>148</v>
      </c>
      <c r="D969" s="116">
        <v>146.75</v>
      </c>
      <c r="E969" s="116">
        <v>154</v>
      </c>
      <c r="F969" s="116">
        <v>296</v>
      </c>
      <c r="G969">
        <v>2416</v>
      </c>
      <c r="H969" s="116"/>
      <c r="I969" s="116"/>
      <c r="L969" s="170">
        <v>43431</v>
      </c>
      <c r="M969" s="116">
        <v>148.27500000000001</v>
      </c>
      <c r="N969" s="116">
        <v>149.67500000000001</v>
      </c>
      <c r="O969" s="116">
        <v>146.27500000000001</v>
      </c>
      <c r="P969" s="116">
        <v>147.125</v>
      </c>
      <c r="Q969" s="116">
        <v>296.55</v>
      </c>
      <c r="R969">
        <v>11304</v>
      </c>
    </row>
    <row r="970" spans="1:18" x14ac:dyDescent="0.25">
      <c r="A970" s="170">
        <v>43432</v>
      </c>
      <c r="B970" s="116">
        <v>147.5</v>
      </c>
      <c r="C970" s="116">
        <v>145.05000000000001</v>
      </c>
      <c r="D970" s="116">
        <v>144.6</v>
      </c>
      <c r="E970" s="116">
        <v>147.5</v>
      </c>
      <c r="F970" s="116">
        <v>290.10000000000002</v>
      </c>
      <c r="G970">
        <v>2145</v>
      </c>
      <c r="H970" s="116"/>
      <c r="I970" s="116"/>
      <c r="L970" s="170">
        <v>43432</v>
      </c>
      <c r="M970" s="116">
        <v>144.82499999999999</v>
      </c>
      <c r="N970" s="116">
        <v>148.47499999999999</v>
      </c>
      <c r="O970" s="116">
        <v>144.55000000000001</v>
      </c>
      <c r="P970" s="116">
        <v>148.47499999999999</v>
      </c>
      <c r="Q970" s="116">
        <v>289.64999999999998</v>
      </c>
      <c r="R970">
        <v>67963</v>
      </c>
    </row>
    <row r="971" spans="1:18" x14ac:dyDescent="0.25">
      <c r="A971" s="170">
        <v>43433</v>
      </c>
      <c r="B971" s="116">
        <v>148.72499999999999</v>
      </c>
      <c r="C971" s="116">
        <v>147.35</v>
      </c>
      <c r="D971" s="116">
        <v>145</v>
      </c>
      <c r="E971" s="116">
        <v>146.1</v>
      </c>
      <c r="F971" s="116">
        <v>294.7</v>
      </c>
      <c r="G971">
        <v>3177</v>
      </c>
      <c r="H971" s="116"/>
      <c r="I971" s="116"/>
      <c r="L971" s="170">
        <v>43433</v>
      </c>
      <c r="M971" s="116">
        <v>147.30000000000001</v>
      </c>
      <c r="N971" s="116">
        <v>148.375</v>
      </c>
      <c r="O971" s="116">
        <v>136.15</v>
      </c>
      <c r="P971" s="116">
        <v>145.19999999999999</v>
      </c>
      <c r="Q971" s="116">
        <v>294.60000000000002</v>
      </c>
      <c r="R971">
        <v>45913</v>
      </c>
    </row>
    <row r="972" spans="1:18" x14ac:dyDescent="0.25">
      <c r="A972" s="170">
        <v>43434</v>
      </c>
      <c r="B972" s="116">
        <v>150</v>
      </c>
      <c r="C972" s="116">
        <v>148.9</v>
      </c>
      <c r="D972" s="116">
        <v>147.19999999999999</v>
      </c>
      <c r="E972" s="116">
        <v>147.19999999999999</v>
      </c>
      <c r="F972" s="116">
        <v>297.8</v>
      </c>
      <c r="G972">
        <v>5681</v>
      </c>
      <c r="H972" s="116"/>
      <c r="I972" s="116"/>
      <c r="L972" s="170">
        <v>43434</v>
      </c>
      <c r="M972" s="116">
        <v>149.27500000000001</v>
      </c>
      <c r="N972" s="116">
        <v>150.5</v>
      </c>
      <c r="O972" s="116">
        <v>145.5</v>
      </c>
      <c r="P972" s="116">
        <v>145.5</v>
      </c>
      <c r="Q972" s="116">
        <v>298.55</v>
      </c>
      <c r="R972">
        <v>24740</v>
      </c>
    </row>
    <row r="973" spans="1:18" x14ac:dyDescent="0.25">
      <c r="A973" s="170">
        <v>43437</v>
      </c>
      <c r="B973" s="116">
        <v>151.57499999999999</v>
      </c>
      <c r="C973" s="116">
        <v>151.15</v>
      </c>
      <c r="D973" s="116">
        <v>148.9</v>
      </c>
      <c r="E973" s="116">
        <v>148.9</v>
      </c>
      <c r="F973" s="116">
        <v>302.3</v>
      </c>
      <c r="G973">
        <v>6042</v>
      </c>
      <c r="H973" s="116"/>
      <c r="I973" s="116"/>
      <c r="L973" s="170">
        <v>43437</v>
      </c>
      <c r="M973" s="116">
        <v>150.72499999999999</v>
      </c>
      <c r="N973" s="116">
        <v>151.75</v>
      </c>
      <c r="O973" s="116">
        <v>148</v>
      </c>
      <c r="P973" s="116">
        <v>148</v>
      </c>
      <c r="Q973" s="116">
        <v>301.45</v>
      </c>
      <c r="R973">
        <v>218393</v>
      </c>
    </row>
    <row r="974" spans="1:18" x14ac:dyDescent="0.25">
      <c r="A974" s="170">
        <v>43438</v>
      </c>
      <c r="B974" s="116">
        <v>153.72499999999999</v>
      </c>
      <c r="C974" s="116">
        <v>151.27500000000001</v>
      </c>
      <c r="D974" s="116">
        <v>149</v>
      </c>
      <c r="E974" s="116">
        <v>150.15</v>
      </c>
      <c r="F974" s="116">
        <v>302.55</v>
      </c>
      <c r="G974">
        <v>2667</v>
      </c>
      <c r="H974" s="116"/>
      <c r="I974" s="116"/>
      <c r="L974" s="170">
        <v>43438</v>
      </c>
      <c r="M974" s="116">
        <v>151.9</v>
      </c>
      <c r="N974" s="116">
        <v>160</v>
      </c>
      <c r="O974" s="116">
        <v>148.55000000000001</v>
      </c>
      <c r="P974" s="116">
        <v>148.55000000000001</v>
      </c>
      <c r="Q974" s="116">
        <v>303.8</v>
      </c>
      <c r="R974">
        <v>495262</v>
      </c>
    </row>
    <row r="975" spans="1:18" x14ac:dyDescent="0.25">
      <c r="A975" s="170">
        <v>43439</v>
      </c>
      <c r="B975" s="116">
        <v>152.35</v>
      </c>
      <c r="C975" s="116">
        <v>150.97499999999999</v>
      </c>
      <c r="D975" s="116">
        <v>150</v>
      </c>
      <c r="E975" s="116">
        <v>151.6</v>
      </c>
      <c r="F975" s="116">
        <v>301.95</v>
      </c>
      <c r="G975">
        <v>1063</v>
      </c>
      <c r="H975" s="116"/>
      <c r="I975" s="116"/>
      <c r="L975" s="170">
        <v>43439</v>
      </c>
      <c r="M975" s="116">
        <v>151.05000000000001</v>
      </c>
      <c r="N975" s="116">
        <v>153.5</v>
      </c>
      <c r="O975" s="116">
        <v>150</v>
      </c>
      <c r="P975" s="116">
        <v>153.5</v>
      </c>
      <c r="Q975" s="116">
        <v>302.10000000000002</v>
      </c>
      <c r="R975">
        <v>4075</v>
      </c>
    </row>
    <row r="976" spans="1:18" x14ac:dyDescent="0.25">
      <c r="A976" s="170">
        <v>43440</v>
      </c>
      <c r="B976" s="116">
        <v>153.47499999999999</v>
      </c>
      <c r="C976" s="116">
        <v>151.17500000000001</v>
      </c>
      <c r="D976" s="116">
        <v>150</v>
      </c>
      <c r="E976" s="116">
        <v>150.22499999999999</v>
      </c>
      <c r="F976" s="116">
        <v>302.35000000000002</v>
      </c>
      <c r="G976">
        <v>1992</v>
      </c>
      <c r="H976" s="116"/>
      <c r="I976" s="116"/>
      <c r="L976" s="170">
        <v>43440</v>
      </c>
      <c r="M976" s="116">
        <v>151</v>
      </c>
      <c r="N976" s="116">
        <v>152.5</v>
      </c>
      <c r="O976" s="116">
        <v>149.92500000000001</v>
      </c>
      <c r="P976" s="116">
        <v>151.07499999999999</v>
      </c>
      <c r="Q976" s="116">
        <v>302</v>
      </c>
      <c r="R976">
        <v>14517</v>
      </c>
    </row>
    <row r="977" spans="1:18" x14ac:dyDescent="0.25">
      <c r="A977" s="170">
        <v>43441</v>
      </c>
      <c r="B977" s="116">
        <v>152.375</v>
      </c>
      <c r="C977" s="116">
        <v>151.625</v>
      </c>
      <c r="D977" s="116">
        <v>148.82499999999999</v>
      </c>
      <c r="E977" s="116">
        <v>150.82499999999999</v>
      </c>
      <c r="F977" s="116">
        <v>303.25</v>
      </c>
      <c r="G977">
        <v>1656</v>
      </c>
      <c r="H977" s="116"/>
      <c r="I977" s="116"/>
      <c r="L977" s="170">
        <v>43441</v>
      </c>
      <c r="M977" s="116">
        <v>151.97499999999999</v>
      </c>
      <c r="N977" s="116">
        <v>152.5</v>
      </c>
      <c r="O977" s="116">
        <v>148.07499999999999</v>
      </c>
      <c r="P977" s="116">
        <v>149.5</v>
      </c>
      <c r="Q977" s="116">
        <v>303.95</v>
      </c>
      <c r="R977">
        <v>158088</v>
      </c>
    </row>
    <row r="978" spans="1:18" x14ac:dyDescent="0.25">
      <c r="A978" s="170">
        <v>43444</v>
      </c>
      <c r="B978" s="116">
        <v>151.42500000000001</v>
      </c>
      <c r="C978" s="116">
        <v>149.57499999999999</v>
      </c>
      <c r="D978" s="116">
        <v>147.52500000000001</v>
      </c>
      <c r="E978" s="116">
        <v>150.125</v>
      </c>
      <c r="F978" s="116">
        <v>299.14999999999998</v>
      </c>
      <c r="G978">
        <v>101411</v>
      </c>
      <c r="H978" s="116"/>
      <c r="I978" s="116"/>
      <c r="L978" s="170">
        <v>43444</v>
      </c>
      <c r="M978" s="116">
        <v>149.44999999999999</v>
      </c>
      <c r="N978" s="116">
        <v>150.5</v>
      </c>
      <c r="O978" s="116">
        <v>147.5</v>
      </c>
      <c r="P978" s="116">
        <v>150.15</v>
      </c>
      <c r="Q978" s="116">
        <v>298.89999999999998</v>
      </c>
      <c r="R978">
        <v>414416</v>
      </c>
    </row>
    <row r="979" spans="1:18" x14ac:dyDescent="0.25">
      <c r="A979" s="170">
        <v>43445</v>
      </c>
      <c r="B979" s="116">
        <v>148.30000000000001</v>
      </c>
      <c r="C979" s="116">
        <v>147.125</v>
      </c>
      <c r="D979" s="116">
        <v>145</v>
      </c>
      <c r="E979" s="116">
        <v>148.30000000000001</v>
      </c>
      <c r="F979" s="116">
        <v>294.25</v>
      </c>
      <c r="G979">
        <v>2362</v>
      </c>
      <c r="H979" s="116"/>
      <c r="I979" s="116"/>
      <c r="L979" s="170">
        <v>43445</v>
      </c>
      <c r="M979" s="116">
        <v>146.77500000000001</v>
      </c>
      <c r="N979" s="116">
        <v>149</v>
      </c>
      <c r="O979" s="116">
        <v>145</v>
      </c>
      <c r="P979" s="116">
        <v>148.17500000000001</v>
      </c>
      <c r="Q979" s="116">
        <v>293.55</v>
      </c>
      <c r="R979">
        <v>16226</v>
      </c>
    </row>
    <row r="980" spans="1:18" x14ac:dyDescent="0.25">
      <c r="A980" s="170">
        <v>43446</v>
      </c>
      <c r="B980" s="116">
        <v>150.67500000000001</v>
      </c>
      <c r="C980" s="116">
        <v>149.94999999999999</v>
      </c>
      <c r="D980" s="116">
        <v>147.97499999999999</v>
      </c>
      <c r="E980" s="116">
        <v>147.97499999999999</v>
      </c>
      <c r="F980" s="116">
        <v>299.89999999999998</v>
      </c>
      <c r="G980">
        <v>3015</v>
      </c>
      <c r="H980" s="116"/>
      <c r="I980" s="116"/>
      <c r="L980" s="170">
        <v>43446</v>
      </c>
      <c r="M980" s="116">
        <v>149.875</v>
      </c>
      <c r="N980" s="116">
        <v>150</v>
      </c>
      <c r="O980" s="116">
        <v>146.17500000000001</v>
      </c>
      <c r="P980" s="116">
        <v>146.5</v>
      </c>
      <c r="Q980" s="116">
        <v>299.75</v>
      </c>
      <c r="R980">
        <v>19342</v>
      </c>
    </row>
    <row r="981" spans="1:18" x14ac:dyDescent="0.25">
      <c r="A981" s="170">
        <v>43447</v>
      </c>
      <c r="B981" s="116">
        <v>151.69999999999999</v>
      </c>
      <c r="C981" s="116">
        <v>149.44999999999999</v>
      </c>
      <c r="D981" s="116">
        <v>149.17500000000001</v>
      </c>
      <c r="E981" s="116">
        <v>151.35</v>
      </c>
      <c r="F981" s="116">
        <v>298.89999999999998</v>
      </c>
      <c r="G981">
        <v>2167</v>
      </c>
      <c r="H981" s="116"/>
      <c r="I981" s="116"/>
      <c r="L981" s="170">
        <v>43447</v>
      </c>
      <c r="M981" s="116">
        <v>149.82499999999999</v>
      </c>
      <c r="N981" s="116">
        <v>151.94999999999999</v>
      </c>
      <c r="O981" s="116">
        <v>149</v>
      </c>
      <c r="P981" s="116">
        <v>150</v>
      </c>
      <c r="Q981" s="116">
        <v>299.64999999999998</v>
      </c>
      <c r="R981">
        <v>40740</v>
      </c>
    </row>
    <row r="982" spans="1:18" x14ac:dyDescent="0.25">
      <c r="A982" s="170">
        <v>43448</v>
      </c>
      <c r="B982" s="116">
        <v>150.05000000000001</v>
      </c>
      <c r="C982" s="116">
        <v>149.05000000000001</v>
      </c>
      <c r="D982" s="116">
        <v>148.92500000000001</v>
      </c>
      <c r="E982" s="116">
        <v>149.17500000000001</v>
      </c>
      <c r="F982" s="116">
        <v>298.10000000000002</v>
      </c>
      <c r="G982">
        <v>2121</v>
      </c>
      <c r="H982" s="116"/>
      <c r="I982" s="116"/>
      <c r="L982" s="170">
        <v>43448</v>
      </c>
      <c r="M982" s="116">
        <v>149.6</v>
      </c>
      <c r="N982" s="116">
        <v>150</v>
      </c>
      <c r="O982" s="116">
        <v>148.30000000000001</v>
      </c>
      <c r="P982" s="116">
        <v>149.5</v>
      </c>
      <c r="Q982" s="116">
        <v>299.2</v>
      </c>
      <c r="R982">
        <v>4984</v>
      </c>
    </row>
    <row r="983" spans="1:18" x14ac:dyDescent="0.25">
      <c r="A983" s="170">
        <v>43451</v>
      </c>
      <c r="B983" s="116">
        <v>150.6</v>
      </c>
      <c r="C983" s="116">
        <v>148.69999999999999</v>
      </c>
      <c r="D983" s="116">
        <v>147.5</v>
      </c>
      <c r="E983" s="116">
        <v>150.15</v>
      </c>
      <c r="F983" s="116">
        <v>297.39999999999998</v>
      </c>
      <c r="G983">
        <v>11782</v>
      </c>
      <c r="H983" s="116"/>
      <c r="I983" s="116"/>
      <c r="L983" s="170">
        <v>43451</v>
      </c>
      <c r="M983" s="116">
        <v>148.02500000000001</v>
      </c>
      <c r="N983" s="116">
        <v>150.25</v>
      </c>
      <c r="O983" s="116">
        <v>147</v>
      </c>
      <c r="P983" s="116">
        <v>149.9</v>
      </c>
      <c r="Q983" s="116">
        <v>296.05</v>
      </c>
      <c r="R983">
        <v>67597</v>
      </c>
    </row>
    <row r="984" spans="1:18" x14ac:dyDescent="0.25">
      <c r="A984" s="170">
        <v>43452</v>
      </c>
      <c r="B984" s="116">
        <v>147.72499999999999</v>
      </c>
      <c r="C984" s="116">
        <v>145.25</v>
      </c>
      <c r="D984" s="116">
        <v>145</v>
      </c>
      <c r="E984" s="116">
        <v>147.5</v>
      </c>
      <c r="F984" s="116">
        <v>290.5</v>
      </c>
      <c r="G984">
        <v>2487</v>
      </c>
      <c r="H984" s="116"/>
      <c r="I984" s="116"/>
      <c r="L984" s="170">
        <v>43452</v>
      </c>
      <c r="M984" s="116">
        <v>144.80000000000001</v>
      </c>
      <c r="N984" s="116">
        <v>150</v>
      </c>
      <c r="O984" s="116">
        <v>144.44999999999999</v>
      </c>
      <c r="P984" s="116">
        <v>148.44999999999999</v>
      </c>
      <c r="Q984" s="116">
        <v>289.60000000000002</v>
      </c>
      <c r="R984">
        <v>102418</v>
      </c>
    </row>
    <row r="985" spans="1:18" x14ac:dyDescent="0.25">
      <c r="A985" s="170">
        <v>43453</v>
      </c>
      <c r="B985" s="116">
        <v>154.17500000000001</v>
      </c>
      <c r="C985" s="116">
        <v>150.32499999999999</v>
      </c>
      <c r="D985" s="116">
        <v>145.30000000000001</v>
      </c>
      <c r="E985" s="116">
        <v>145.32499999999999</v>
      </c>
      <c r="F985" s="116">
        <v>300.64999999999998</v>
      </c>
      <c r="G985">
        <v>8406</v>
      </c>
      <c r="H985" s="116"/>
      <c r="I985" s="116"/>
      <c r="L985" s="170">
        <v>43453</v>
      </c>
      <c r="M985" s="116">
        <v>151.15</v>
      </c>
      <c r="N985" s="116">
        <v>154.92500000000001</v>
      </c>
      <c r="O985" s="116">
        <v>145.1</v>
      </c>
      <c r="P985" s="116">
        <v>145.1</v>
      </c>
      <c r="Q985" s="116">
        <v>302.3</v>
      </c>
      <c r="R985">
        <v>360036</v>
      </c>
    </row>
    <row r="986" spans="1:18" x14ac:dyDescent="0.25">
      <c r="A986" s="170">
        <v>43454</v>
      </c>
      <c r="B986" s="116">
        <v>152</v>
      </c>
      <c r="C986" s="116">
        <v>151.02500000000001</v>
      </c>
      <c r="D986" s="116">
        <v>149.47499999999999</v>
      </c>
      <c r="E986" s="116">
        <v>150.85</v>
      </c>
      <c r="F986" s="116">
        <v>302.05</v>
      </c>
      <c r="G986">
        <v>1342</v>
      </c>
      <c r="H986" s="116"/>
      <c r="I986" s="116"/>
      <c r="L986" s="170">
        <v>43454</v>
      </c>
      <c r="M986" s="116">
        <v>151.07499999999999</v>
      </c>
      <c r="N986" s="116">
        <v>152.44999999999999</v>
      </c>
      <c r="O986" s="116">
        <v>148.94999999999999</v>
      </c>
      <c r="P986" s="116">
        <v>150</v>
      </c>
      <c r="Q986" s="116">
        <v>302.14999999999998</v>
      </c>
      <c r="R986">
        <v>25741</v>
      </c>
    </row>
    <row r="987" spans="1:18" x14ac:dyDescent="0.25">
      <c r="A987" s="170">
        <v>43455</v>
      </c>
      <c r="B987" s="116">
        <v>151.55000000000001</v>
      </c>
      <c r="C987" s="116">
        <v>149.47499999999999</v>
      </c>
      <c r="D987" s="116">
        <v>148.55000000000001</v>
      </c>
      <c r="E987" s="116">
        <v>150.15</v>
      </c>
      <c r="F987" s="116">
        <v>298.95</v>
      </c>
      <c r="G987">
        <v>2911</v>
      </c>
      <c r="H987" s="116"/>
      <c r="I987" s="116"/>
      <c r="L987" s="170">
        <v>43455</v>
      </c>
      <c r="M987" s="116">
        <v>150</v>
      </c>
      <c r="N987" s="116">
        <v>151.5</v>
      </c>
      <c r="O987" s="116">
        <v>148.625</v>
      </c>
      <c r="P987" s="116">
        <v>149.1</v>
      </c>
      <c r="Q987" s="116">
        <v>300</v>
      </c>
      <c r="R987">
        <v>28514</v>
      </c>
    </row>
    <row r="988" spans="1:18" x14ac:dyDescent="0.25">
      <c r="A988" s="170">
        <v>43458</v>
      </c>
      <c r="B988" s="116">
        <v>150.67500000000001</v>
      </c>
      <c r="C988" s="116">
        <v>149.75</v>
      </c>
      <c r="D988" s="116">
        <v>148.5</v>
      </c>
      <c r="E988" s="116">
        <v>150</v>
      </c>
      <c r="F988" s="116">
        <v>299.5</v>
      </c>
      <c r="G988">
        <v>759</v>
      </c>
      <c r="H988" s="116"/>
      <c r="I988" s="116"/>
      <c r="L988" s="170">
        <v>43458</v>
      </c>
      <c r="M988" s="116">
        <v>149.67500000000001</v>
      </c>
      <c r="N988" s="116">
        <v>153.47499999999999</v>
      </c>
      <c r="O988" s="116">
        <v>148.22499999999999</v>
      </c>
      <c r="P988" s="116">
        <v>153.47499999999999</v>
      </c>
      <c r="Q988" s="116">
        <v>299.35000000000002</v>
      </c>
      <c r="R988">
        <v>14069</v>
      </c>
    </row>
    <row r="989" spans="1:18" x14ac:dyDescent="0.25">
      <c r="A989" s="170">
        <v>43460</v>
      </c>
      <c r="B989" s="116">
        <v>149</v>
      </c>
      <c r="C989" s="116">
        <v>148.05000000000001</v>
      </c>
      <c r="D989" s="116">
        <v>146.5</v>
      </c>
      <c r="E989" s="116">
        <v>147.80000000000001</v>
      </c>
      <c r="F989" s="116">
        <v>296.10000000000002</v>
      </c>
      <c r="G989">
        <v>1827</v>
      </c>
      <c r="H989" s="116"/>
      <c r="I989" s="116"/>
      <c r="L989" s="170">
        <v>43460</v>
      </c>
      <c r="M989" s="116">
        <v>148.125</v>
      </c>
      <c r="N989" s="116">
        <v>148.94999999999999</v>
      </c>
      <c r="O989" s="116">
        <v>146.35</v>
      </c>
      <c r="P989" s="116">
        <v>146.52500000000001</v>
      </c>
      <c r="Q989" s="116">
        <v>296.25</v>
      </c>
      <c r="R989">
        <v>18735</v>
      </c>
    </row>
    <row r="990" spans="1:18" x14ac:dyDescent="0.25">
      <c r="A990" s="170">
        <v>43461</v>
      </c>
      <c r="B990" s="116">
        <v>149.57499999999999</v>
      </c>
      <c r="C990" s="116">
        <v>148.05000000000001</v>
      </c>
      <c r="D990" s="116">
        <v>147.05000000000001</v>
      </c>
      <c r="E990" s="116">
        <v>149.52500000000001</v>
      </c>
      <c r="F990" s="116">
        <v>296.10000000000002</v>
      </c>
      <c r="G990">
        <v>7570</v>
      </c>
      <c r="H990" s="116"/>
      <c r="I990" s="116"/>
      <c r="L990" s="170">
        <v>43461</v>
      </c>
      <c r="M990" s="116">
        <v>149.69999999999999</v>
      </c>
      <c r="N990" s="116">
        <v>150</v>
      </c>
      <c r="O990" s="116">
        <v>148.85</v>
      </c>
      <c r="P990" s="116">
        <v>149.02500000000001</v>
      </c>
      <c r="Q990" s="116">
        <v>299.39999999999998</v>
      </c>
      <c r="R990">
        <v>14523</v>
      </c>
    </row>
    <row r="991" spans="1:18" x14ac:dyDescent="0.25">
      <c r="A991" s="170">
        <v>43462</v>
      </c>
      <c r="B991" s="116">
        <v>150.625</v>
      </c>
      <c r="C991" s="116">
        <v>149.875</v>
      </c>
      <c r="D991" s="116">
        <v>146.55000000000001</v>
      </c>
      <c r="E991" s="116">
        <v>146.55000000000001</v>
      </c>
      <c r="F991" s="116">
        <v>299.75</v>
      </c>
      <c r="G991">
        <v>1477</v>
      </c>
      <c r="H991" s="116"/>
      <c r="I991" s="116"/>
      <c r="L991" s="170">
        <v>43462</v>
      </c>
      <c r="M991" s="116">
        <v>150.125</v>
      </c>
      <c r="N991" s="116">
        <v>151.47499999999999</v>
      </c>
      <c r="O991" s="116">
        <v>147.19999999999999</v>
      </c>
      <c r="P991" s="116">
        <v>149.05000000000001</v>
      </c>
      <c r="Q991" s="116">
        <v>300.25</v>
      </c>
      <c r="R991">
        <v>16200</v>
      </c>
    </row>
    <row r="992" spans="1:18" x14ac:dyDescent="0.25">
      <c r="A992" s="170">
        <v>43465</v>
      </c>
      <c r="B992" s="116">
        <v>153.69999999999999</v>
      </c>
      <c r="C992" s="116">
        <v>153.125</v>
      </c>
      <c r="D992" s="116">
        <v>149.02500000000001</v>
      </c>
      <c r="E992" s="116">
        <v>153.47499999999999</v>
      </c>
      <c r="F992" s="116">
        <v>306.25</v>
      </c>
      <c r="G992">
        <v>5570</v>
      </c>
      <c r="H992" s="116"/>
      <c r="I992" s="116"/>
      <c r="L992" s="170">
        <v>43465</v>
      </c>
      <c r="M992" s="116">
        <v>152.94999999999999</v>
      </c>
      <c r="N992" s="116">
        <v>153.5</v>
      </c>
      <c r="O992" s="116">
        <v>149.32499999999999</v>
      </c>
      <c r="P992" s="116">
        <v>150</v>
      </c>
      <c r="Q992" s="116">
        <v>305.89999999999998</v>
      </c>
      <c r="R992">
        <v>33632</v>
      </c>
    </row>
    <row r="993" spans="1:18" x14ac:dyDescent="0.25">
      <c r="A993" s="170">
        <v>43466</v>
      </c>
      <c r="B993" s="116">
        <v>156.67500000000001</v>
      </c>
      <c r="C993" s="116">
        <v>155.97499999999999</v>
      </c>
      <c r="D993" s="116">
        <v>150.92500000000001</v>
      </c>
      <c r="E993" s="116">
        <v>151.125</v>
      </c>
      <c r="F993" s="116">
        <v>311.95</v>
      </c>
      <c r="G993">
        <v>1828</v>
      </c>
      <c r="H993" s="116"/>
      <c r="I993" s="116"/>
      <c r="L993" s="170">
        <v>43466</v>
      </c>
      <c r="M993" s="116">
        <v>155.625</v>
      </c>
      <c r="N993" s="116">
        <v>156.5</v>
      </c>
      <c r="O993" s="116">
        <v>150.42500000000001</v>
      </c>
      <c r="P993" s="116">
        <v>152.125</v>
      </c>
      <c r="Q993" s="116">
        <v>311.25</v>
      </c>
      <c r="R993">
        <v>18282</v>
      </c>
    </row>
    <row r="994" spans="1:18" x14ac:dyDescent="0.25">
      <c r="A994" s="170">
        <v>43467</v>
      </c>
      <c r="B994" s="116">
        <v>159</v>
      </c>
      <c r="C994" s="116">
        <v>156.05000000000001</v>
      </c>
      <c r="D994" s="116">
        <v>153.5</v>
      </c>
      <c r="E994" s="116">
        <v>157.44999999999999</v>
      </c>
      <c r="F994" s="116">
        <v>312.10000000000002</v>
      </c>
      <c r="G994">
        <v>4885</v>
      </c>
      <c r="H994" s="116"/>
      <c r="I994" s="116"/>
      <c r="L994" s="170">
        <v>43467</v>
      </c>
      <c r="M994" s="116">
        <v>155.69999999999999</v>
      </c>
      <c r="N994" s="116">
        <v>158.75</v>
      </c>
      <c r="O994" s="116">
        <v>153.05000000000001</v>
      </c>
      <c r="P994" s="116">
        <v>155.625</v>
      </c>
      <c r="Q994" s="116">
        <v>311.39999999999998</v>
      </c>
      <c r="R994">
        <v>42498</v>
      </c>
    </row>
    <row r="995" spans="1:18" x14ac:dyDescent="0.25">
      <c r="A995" s="170">
        <v>43468</v>
      </c>
      <c r="B995" s="116">
        <v>157.52500000000001</v>
      </c>
      <c r="C995" s="116">
        <v>155.15</v>
      </c>
      <c r="D995" s="116">
        <v>152.80000000000001</v>
      </c>
      <c r="E995" s="116">
        <v>155.85</v>
      </c>
      <c r="F995" s="116">
        <v>310.3</v>
      </c>
      <c r="G995">
        <v>2273</v>
      </c>
      <c r="H995" s="116"/>
      <c r="I995" s="116"/>
      <c r="L995" s="170">
        <v>43468</v>
      </c>
      <c r="M995" s="116">
        <v>156.52500000000001</v>
      </c>
      <c r="N995" s="116">
        <v>157.75</v>
      </c>
      <c r="O995" s="116">
        <v>155.1</v>
      </c>
      <c r="P995" s="116">
        <v>155.5</v>
      </c>
      <c r="Q995" s="116">
        <v>313.05</v>
      </c>
      <c r="R995">
        <v>14757</v>
      </c>
    </row>
    <row r="996" spans="1:18" x14ac:dyDescent="0.25">
      <c r="A996" s="170">
        <v>43469</v>
      </c>
      <c r="B996" s="116">
        <v>156.82499999999999</v>
      </c>
      <c r="C996" s="116">
        <v>153.15</v>
      </c>
      <c r="D996" s="116">
        <v>150.05000000000001</v>
      </c>
      <c r="E996" s="116">
        <v>156.625</v>
      </c>
      <c r="F996" s="116">
        <v>306.3</v>
      </c>
      <c r="G996">
        <v>2228</v>
      </c>
      <c r="H996" s="116"/>
      <c r="I996" s="116"/>
      <c r="L996" s="170">
        <v>43469</v>
      </c>
      <c r="M996" s="116">
        <v>152.77500000000001</v>
      </c>
      <c r="N996" s="116">
        <v>157.25</v>
      </c>
      <c r="O996" s="116">
        <v>151.5</v>
      </c>
      <c r="P996" s="116">
        <v>157.25</v>
      </c>
      <c r="Q996" s="116">
        <v>305.55</v>
      </c>
      <c r="R996">
        <v>13420</v>
      </c>
    </row>
    <row r="997" spans="1:18" x14ac:dyDescent="0.25">
      <c r="A997" s="170">
        <v>43472</v>
      </c>
      <c r="B997" s="116">
        <v>153.625</v>
      </c>
      <c r="C997" s="116">
        <v>149.92500000000001</v>
      </c>
      <c r="D997" s="116">
        <v>148.4</v>
      </c>
      <c r="E997" s="116">
        <v>152.94999999999999</v>
      </c>
      <c r="F997" s="116">
        <v>299.85000000000002</v>
      </c>
      <c r="G997">
        <v>1065</v>
      </c>
      <c r="H997" s="116"/>
      <c r="I997" s="116"/>
      <c r="L997" s="170">
        <v>43472</v>
      </c>
      <c r="M997" s="116">
        <v>149.67500000000001</v>
      </c>
      <c r="N997" s="116">
        <v>153.77500000000001</v>
      </c>
      <c r="O997" s="116">
        <v>149.1</v>
      </c>
      <c r="P997" s="116">
        <v>152.97499999999999</v>
      </c>
      <c r="Q997" s="116">
        <v>299.35000000000002</v>
      </c>
      <c r="R997">
        <v>38412</v>
      </c>
    </row>
    <row r="998" spans="1:18" x14ac:dyDescent="0.25">
      <c r="A998" s="170">
        <v>43473</v>
      </c>
      <c r="B998" s="116">
        <v>152.5</v>
      </c>
      <c r="C998" s="116">
        <v>152.44999999999999</v>
      </c>
      <c r="D998" s="116">
        <v>151.05000000000001</v>
      </c>
      <c r="E998" s="116">
        <v>152.375</v>
      </c>
      <c r="F998" s="116">
        <v>304.89999999999998</v>
      </c>
      <c r="G998">
        <v>362</v>
      </c>
      <c r="H998" s="116"/>
      <c r="I998" s="116"/>
      <c r="L998" s="170">
        <v>43473</v>
      </c>
      <c r="M998" s="116">
        <v>151.85</v>
      </c>
      <c r="N998" s="116">
        <v>152.6</v>
      </c>
      <c r="O998" s="116">
        <v>150.625</v>
      </c>
      <c r="P998" s="116">
        <v>151.5</v>
      </c>
      <c r="Q998" s="116">
        <v>303.7</v>
      </c>
      <c r="R998">
        <v>18942</v>
      </c>
    </row>
    <row r="999" spans="1:18" x14ac:dyDescent="0.25">
      <c r="A999" s="170">
        <v>43474</v>
      </c>
      <c r="B999" s="116">
        <v>153.4</v>
      </c>
      <c r="C999" s="116">
        <v>150.94999999999999</v>
      </c>
      <c r="D999" s="116">
        <v>149.69999999999999</v>
      </c>
      <c r="E999" s="116">
        <v>152.35</v>
      </c>
      <c r="F999" s="116">
        <v>301.89999999999998</v>
      </c>
      <c r="G999">
        <v>4873</v>
      </c>
      <c r="H999" s="116"/>
      <c r="I999" s="116"/>
      <c r="L999" s="170">
        <v>43474</v>
      </c>
      <c r="M999" s="116">
        <v>151.44999999999999</v>
      </c>
      <c r="N999" s="116">
        <v>154</v>
      </c>
      <c r="O999" s="116">
        <v>150.17500000000001</v>
      </c>
      <c r="P999" s="116">
        <v>154</v>
      </c>
      <c r="Q999" s="116">
        <v>302.89999999999998</v>
      </c>
      <c r="R999">
        <v>7344</v>
      </c>
    </row>
    <row r="1000" spans="1:18" x14ac:dyDescent="0.25">
      <c r="A1000" s="170">
        <v>43475</v>
      </c>
      <c r="B1000" s="116">
        <v>151.67500000000001</v>
      </c>
      <c r="C1000" s="116">
        <v>151</v>
      </c>
      <c r="D1000" s="116">
        <v>150</v>
      </c>
      <c r="E1000" s="116">
        <v>150.75</v>
      </c>
      <c r="F1000" s="116">
        <v>302</v>
      </c>
      <c r="G1000">
        <v>928</v>
      </c>
      <c r="H1000" s="116"/>
      <c r="I1000" s="116"/>
      <c r="L1000" s="170">
        <v>43475</v>
      </c>
      <c r="M1000" s="116">
        <v>150.32499999999999</v>
      </c>
      <c r="N1000" s="116">
        <v>152</v>
      </c>
      <c r="O1000" s="116">
        <v>149.44999999999999</v>
      </c>
      <c r="P1000" s="116">
        <v>151.19999999999999</v>
      </c>
      <c r="Q1000" s="116">
        <v>300.64999999999998</v>
      </c>
      <c r="R1000">
        <v>18720</v>
      </c>
    </row>
    <row r="1001" spans="1:18" x14ac:dyDescent="0.25">
      <c r="A1001" s="170">
        <v>43476</v>
      </c>
      <c r="B1001" s="116">
        <v>152.35</v>
      </c>
      <c r="C1001" s="116">
        <v>150.77500000000001</v>
      </c>
      <c r="D1001" s="116">
        <v>149.5</v>
      </c>
      <c r="E1001" s="116">
        <v>150</v>
      </c>
      <c r="F1001" s="116">
        <v>301.55</v>
      </c>
      <c r="G1001">
        <v>3018</v>
      </c>
      <c r="H1001" s="116"/>
      <c r="I1001" s="116"/>
      <c r="L1001" s="170">
        <v>43476</v>
      </c>
      <c r="M1001" s="116">
        <v>150.22499999999999</v>
      </c>
      <c r="N1001" s="116">
        <v>151</v>
      </c>
      <c r="O1001" s="116">
        <v>148.82499999999999</v>
      </c>
      <c r="P1001" s="116">
        <v>150.67500000000001</v>
      </c>
      <c r="Q1001" s="116">
        <v>300.45</v>
      </c>
      <c r="R1001">
        <v>15488</v>
      </c>
    </row>
    <row r="1002" spans="1:18" x14ac:dyDescent="0.25">
      <c r="A1002" s="170">
        <v>43479</v>
      </c>
      <c r="B1002" s="116">
        <v>152.42500000000001</v>
      </c>
      <c r="C1002" s="116">
        <v>151.52500000000001</v>
      </c>
      <c r="D1002" s="116">
        <v>149.52500000000001</v>
      </c>
      <c r="E1002" s="116">
        <v>150.19999999999999</v>
      </c>
      <c r="F1002" s="116">
        <v>303.05</v>
      </c>
      <c r="G1002">
        <v>1039</v>
      </c>
      <c r="H1002" s="116"/>
      <c r="I1002" s="116"/>
      <c r="L1002" s="170">
        <v>43479</v>
      </c>
      <c r="M1002" s="116">
        <v>150.65</v>
      </c>
      <c r="N1002" s="116">
        <v>151.25</v>
      </c>
      <c r="O1002" s="116">
        <v>148.80000000000001</v>
      </c>
      <c r="P1002" s="116">
        <v>150.97499999999999</v>
      </c>
      <c r="Q1002" s="116">
        <v>301.3</v>
      </c>
      <c r="R1002">
        <v>11716</v>
      </c>
    </row>
    <row r="1003" spans="1:18" x14ac:dyDescent="0.25">
      <c r="A1003" s="170">
        <v>43480</v>
      </c>
      <c r="B1003" s="116">
        <v>163.27500000000001</v>
      </c>
      <c r="C1003" s="116">
        <v>158.30000000000001</v>
      </c>
      <c r="D1003" s="116">
        <v>152.4</v>
      </c>
      <c r="E1003" s="116">
        <v>152.4</v>
      </c>
      <c r="F1003" s="116">
        <v>316.60000000000002</v>
      </c>
      <c r="G1003">
        <v>22166</v>
      </c>
      <c r="H1003" s="116"/>
      <c r="I1003" s="116"/>
      <c r="L1003" s="170">
        <v>43480</v>
      </c>
      <c r="M1003" s="116">
        <v>157.875</v>
      </c>
      <c r="N1003" s="116">
        <v>163.92500000000001</v>
      </c>
      <c r="O1003" s="116">
        <v>150.65</v>
      </c>
      <c r="P1003" s="116">
        <v>150.65</v>
      </c>
      <c r="Q1003" s="116">
        <v>315.75</v>
      </c>
      <c r="R1003">
        <v>232571</v>
      </c>
    </row>
    <row r="1004" spans="1:18" x14ac:dyDescent="0.25">
      <c r="A1004" s="170">
        <v>43481</v>
      </c>
      <c r="B1004" s="116">
        <v>160.4</v>
      </c>
      <c r="C1004" s="116">
        <v>158.6</v>
      </c>
      <c r="D1004" s="116">
        <v>158</v>
      </c>
      <c r="E1004" s="116">
        <v>159.97499999999999</v>
      </c>
      <c r="F1004" s="116">
        <v>317.2</v>
      </c>
      <c r="G1004">
        <v>1469</v>
      </c>
      <c r="H1004" s="116"/>
      <c r="I1004" s="116"/>
      <c r="L1004" s="170">
        <v>43481</v>
      </c>
      <c r="M1004" s="116">
        <v>159.65</v>
      </c>
      <c r="N1004" s="116">
        <v>160.77500000000001</v>
      </c>
      <c r="O1004" s="116">
        <v>157.625</v>
      </c>
      <c r="P1004" s="116">
        <v>158</v>
      </c>
      <c r="Q1004" s="116">
        <v>319.3</v>
      </c>
      <c r="R1004">
        <v>35990</v>
      </c>
    </row>
    <row r="1005" spans="1:18" x14ac:dyDescent="0.25">
      <c r="A1005" s="170">
        <v>43482</v>
      </c>
      <c r="B1005" s="116">
        <v>159.17500000000001</v>
      </c>
      <c r="C1005" s="116">
        <v>158.85</v>
      </c>
      <c r="D1005" s="116">
        <v>157.80000000000001</v>
      </c>
      <c r="E1005" s="116">
        <v>158.02500000000001</v>
      </c>
      <c r="F1005" s="116">
        <v>317.7</v>
      </c>
      <c r="G1005">
        <v>799</v>
      </c>
      <c r="H1005" s="116"/>
      <c r="I1005" s="116"/>
      <c r="L1005" s="170">
        <v>43482</v>
      </c>
      <c r="M1005" s="116">
        <v>157.82499999999999</v>
      </c>
      <c r="N1005" s="116">
        <v>160.07499999999999</v>
      </c>
      <c r="O1005" s="116">
        <v>157.05000000000001</v>
      </c>
      <c r="P1005" s="116">
        <v>160.07499999999999</v>
      </c>
      <c r="Q1005" s="116">
        <v>315.64999999999998</v>
      </c>
      <c r="R1005">
        <v>9141</v>
      </c>
    </row>
    <row r="1006" spans="1:18" x14ac:dyDescent="0.25">
      <c r="A1006" s="170">
        <v>43483</v>
      </c>
      <c r="B1006" s="116">
        <v>160.27500000000001</v>
      </c>
      <c r="C1006" s="116">
        <v>156.6</v>
      </c>
      <c r="D1006" s="116">
        <v>154.125</v>
      </c>
      <c r="E1006" s="116">
        <v>159.72499999999999</v>
      </c>
      <c r="F1006" s="116">
        <v>313.2</v>
      </c>
      <c r="G1006">
        <v>5418</v>
      </c>
      <c r="H1006" s="116"/>
      <c r="I1006" s="116"/>
      <c r="L1006" s="170">
        <v>43483</v>
      </c>
      <c r="M1006" s="116">
        <v>155.22499999999999</v>
      </c>
      <c r="N1006" s="116">
        <v>160.94999999999999</v>
      </c>
      <c r="O1006" s="116">
        <v>153</v>
      </c>
      <c r="P1006" s="116">
        <v>158</v>
      </c>
      <c r="Q1006" s="116">
        <v>310.45</v>
      </c>
      <c r="R1006">
        <v>43763</v>
      </c>
    </row>
    <row r="1007" spans="1:18" x14ac:dyDescent="0.25">
      <c r="A1007" s="170">
        <v>43486</v>
      </c>
      <c r="B1007" s="116">
        <v>158</v>
      </c>
      <c r="C1007" s="116">
        <v>154.85</v>
      </c>
      <c r="D1007" s="116">
        <v>154.05000000000001</v>
      </c>
      <c r="E1007" s="116">
        <v>154.07499999999999</v>
      </c>
      <c r="F1007" s="116">
        <v>309.7</v>
      </c>
      <c r="G1007">
        <v>3404</v>
      </c>
      <c r="H1007" s="116"/>
      <c r="I1007" s="116"/>
      <c r="L1007" s="170">
        <v>43486</v>
      </c>
      <c r="M1007" s="116">
        <v>154.77500000000001</v>
      </c>
      <c r="N1007" s="116">
        <v>158.72499999999999</v>
      </c>
      <c r="O1007" s="116">
        <v>153.35</v>
      </c>
      <c r="P1007" s="116">
        <v>153.875</v>
      </c>
      <c r="Q1007" s="116">
        <v>309.55</v>
      </c>
      <c r="R1007">
        <v>14978</v>
      </c>
    </row>
    <row r="1008" spans="1:18" x14ac:dyDescent="0.25">
      <c r="A1008" s="170">
        <v>43487</v>
      </c>
      <c r="B1008" s="116">
        <v>157.32499999999999</v>
      </c>
      <c r="C1008" s="116">
        <v>155.52500000000001</v>
      </c>
      <c r="D1008" s="116">
        <v>152.27500000000001</v>
      </c>
      <c r="E1008" s="116">
        <v>153</v>
      </c>
      <c r="F1008" s="116">
        <v>311.05</v>
      </c>
      <c r="G1008">
        <v>2665</v>
      </c>
      <c r="H1008" s="116"/>
      <c r="I1008" s="116"/>
      <c r="L1008" s="170">
        <v>43487</v>
      </c>
      <c r="M1008" s="116">
        <v>154.94999999999999</v>
      </c>
      <c r="N1008" s="116">
        <v>156.44999999999999</v>
      </c>
      <c r="O1008" s="116">
        <v>151.5</v>
      </c>
      <c r="P1008" s="116">
        <v>152.6</v>
      </c>
      <c r="Q1008" s="116">
        <v>309.89999999999998</v>
      </c>
      <c r="R1008">
        <v>10206</v>
      </c>
    </row>
    <row r="1009" spans="1:18" x14ac:dyDescent="0.25">
      <c r="A1009" s="170">
        <v>43488</v>
      </c>
      <c r="B1009" s="116">
        <v>160.625</v>
      </c>
      <c r="C1009" s="116">
        <v>159.52500000000001</v>
      </c>
      <c r="D1009" s="116">
        <v>155.125</v>
      </c>
      <c r="E1009" s="116">
        <v>155.5</v>
      </c>
      <c r="F1009" s="116">
        <v>319.05</v>
      </c>
      <c r="G1009">
        <v>8644</v>
      </c>
      <c r="H1009" s="116"/>
      <c r="I1009" s="116"/>
      <c r="L1009" s="170">
        <v>43488</v>
      </c>
      <c r="M1009" s="116">
        <v>159.77500000000001</v>
      </c>
      <c r="N1009" s="116">
        <v>161</v>
      </c>
      <c r="O1009" s="116">
        <v>154.42500000000001</v>
      </c>
      <c r="P1009" s="116">
        <v>154.92500000000001</v>
      </c>
      <c r="Q1009" s="116">
        <v>319.55</v>
      </c>
      <c r="R1009">
        <v>52555</v>
      </c>
    </row>
    <row r="1010" spans="1:18" x14ac:dyDescent="0.25">
      <c r="A1010" s="170">
        <v>43489</v>
      </c>
      <c r="B1010" s="116">
        <v>159.97499999999999</v>
      </c>
      <c r="C1010" s="116">
        <v>158.22499999999999</v>
      </c>
      <c r="D1010" s="116">
        <v>157.57499999999999</v>
      </c>
      <c r="E1010" s="116">
        <v>159.94999999999999</v>
      </c>
      <c r="F1010" s="116">
        <v>316.45</v>
      </c>
      <c r="G1010">
        <v>1318</v>
      </c>
      <c r="H1010" s="116"/>
      <c r="I1010" s="116"/>
      <c r="L1010" s="170">
        <v>43489</v>
      </c>
      <c r="M1010" s="116">
        <v>159</v>
      </c>
      <c r="N1010" s="116">
        <v>161</v>
      </c>
      <c r="O1010" s="116">
        <v>158.19999999999999</v>
      </c>
      <c r="P1010" s="116">
        <v>161</v>
      </c>
      <c r="Q1010" s="116">
        <v>318</v>
      </c>
      <c r="R1010">
        <v>8916</v>
      </c>
    </row>
    <row r="1011" spans="1:18" x14ac:dyDescent="0.25">
      <c r="A1011" s="170">
        <v>43490</v>
      </c>
      <c r="B1011" s="116">
        <v>160.19999999999999</v>
      </c>
      <c r="C1011" s="116">
        <v>154.19999999999999</v>
      </c>
      <c r="D1011" s="116">
        <v>152.52500000000001</v>
      </c>
      <c r="E1011" s="116">
        <v>158.22499999999999</v>
      </c>
      <c r="F1011" s="116">
        <v>308.39999999999998</v>
      </c>
      <c r="G1011">
        <v>2780</v>
      </c>
      <c r="H1011" s="116"/>
      <c r="I1011" s="116"/>
      <c r="L1011" s="170">
        <v>43490</v>
      </c>
      <c r="M1011" s="116">
        <v>154.125</v>
      </c>
      <c r="N1011" s="116">
        <v>160.75</v>
      </c>
      <c r="O1011" s="116">
        <v>151.55000000000001</v>
      </c>
      <c r="P1011" s="116">
        <v>158.02500000000001</v>
      </c>
      <c r="Q1011" s="116">
        <v>308.25</v>
      </c>
      <c r="R1011">
        <v>26406</v>
      </c>
    </row>
    <row r="1012" spans="1:18" x14ac:dyDescent="0.25">
      <c r="A1012" s="170">
        <v>43493</v>
      </c>
      <c r="B1012" s="116">
        <v>158.1</v>
      </c>
      <c r="C1012" s="116">
        <v>153.94999999999999</v>
      </c>
      <c r="D1012" s="116">
        <v>152.5</v>
      </c>
      <c r="E1012" s="116">
        <v>155.875</v>
      </c>
      <c r="F1012" s="116">
        <v>307.89999999999998</v>
      </c>
      <c r="G1012">
        <v>11090</v>
      </c>
      <c r="H1012" s="116"/>
      <c r="I1012" s="116"/>
      <c r="L1012" s="170">
        <v>43493</v>
      </c>
      <c r="M1012" s="116">
        <v>154.92500000000001</v>
      </c>
      <c r="N1012" s="116">
        <v>157.97499999999999</v>
      </c>
      <c r="O1012" s="116">
        <v>152.4</v>
      </c>
      <c r="P1012" s="116">
        <v>155.27500000000001</v>
      </c>
      <c r="Q1012" s="116">
        <v>309.85000000000002</v>
      </c>
      <c r="R1012">
        <v>38265</v>
      </c>
    </row>
    <row r="1013" spans="1:18" x14ac:dyDescent="0.25">
      <c r="A1013" s="170">
        <v>43494</v>
      </c>
      <c r="B1013" s="116">
        <v>154.75</v>
      </c>
      <c r="C1013" s="116">
        <v>150.47499999999999</v>
      </c>
      <c r="D1013" s="116">
        <v>149.85</v>
      </c>
      <c r="E1013" s="116">
        <v>154.75</v>
      </c>
      <c r="F1013" s="116">
        <v>300.95</v>
      </c>
      <c r="G1013">
        <v>15159</v>
      </c>
      <c r="H1013" s="116"/>
      <c r="I1013" s="116"/>
      <c r="L1013" s="170">
        <v>43494</v>
      </c>
      <c r="M1013" s="116">
        <v>152.1</v>
      </c>
      <c r="N1013" s="116">
        <v>157</v>
      </c>
      <c r="O1013" s="116">
        <v>151.02500000000001</v>
      </c>
      <c r="P1013" s="116">
        <v>157</v>
      </c>
      <c r="Q1013" s="116">
        <v>304.2</v>
      </c>
      <c r="R1013">
        <v>19254</v>
      </c>
    </row>
    <row r="1014" spans="1:18" x14ac:dyDescent="0.25">
      <c r="A1014" s="170">
        <v>43495</v>
      </c>
      <c r="B1014" s="116">
        <v>155.5</v>
      </c>
      <c r="C1014" s="116">
        <v>154.69999999999999</v>
      </c>
      <c r="D1014" s="116">
        <v>152.5</v>
      </c>
      <c r="E1014" s="116">
        <v>154.32499999999999</v>
      </c>
      <c r="F1014" s="116">
        <v>309.39999999999998</v>
      </c>
      <c r="G1014">
        <v>1789</v>
      </c>
      <c r="H1014" s="116"/>
      <c r="I1014" s="116"/>
      <c r="L1014" s="170">
        <v>43495</v>
      </c>
      <c r="M1014" s="116">
        <v>155.67500000000001</v>
      </c>
      <c r="N1014" s="116">
        <v>156.97499999999999</v>
      </c>
      <c r="O1014" s="116">
        <v>152.52500000000001</v>
      </c>
      <c r="P1014" s="116">
        <v>153.55000000000001</v>
      </c>
      <c r="Q1014" s="116">
        <v>311.35000000000002</v>
      </c>
      <c r="R1014">
        <v>10034</v>
      </c>
    </row>
    <row r="1015" spans="1:18" x14ac:dyDescent="0.25">
      <c r="A1015" s="170">
        <v>43496</v>
      </c>
      <c r="B1015" s="116">
        <v>158.5</v>
      </c>
      <c r="C1015" s="116">
        <v>156.15</v>
      </c>
      <c r="D1015" s="116">
        <v>153.25</v>
      </c>
      <c r="E1015" s="116">
        <v>156.27500000000001</v>
      </c>
      <c r="F1015" s="116">
        <v>312.3</v>
      </c>
      <c r="G1015">
        <v>21358</v>
      </c>
      <c r="H1015" s="116"/>
      <c r="I1015" s="116"/>
      <c r="L1015" s="170">
        <v>43496</v>
      </c>
      <c r="M1015" s="116">
        <v>158.6</v>
      </c>
      <c r="N1015" s="116">
        <v>160</v>
      </c>
      <c r="O1015" s="116">
        <v>155.5</v>
      </c>
      <c r="P1015" s="116">
        <v>157</v>
      </c>
      <c r="Q1015" s="116">
        <v>317.2</v>
      </c>
      <c r="R1015">
        <v>29082</v>
      </c>
    </row>
    <row r="1016" spans="1:18" x14ac:dyDescent="0.25">
      <c r="A1016" s="170">
        <v>43497</v>
      </c>
      <c r="B1016" s="116">
        <v>158.9</v>
      </c>
      <c r="C1016" s="116">
        <v>153.47499999999999</v>
      </c>
      <c r="D1016" s="116">
        <v>152.6</v>
      </c>
      <c r="E1016" s="116">
        <v>157.9</v>
      </c>
      <c r="F1016" s="116">
        <v>306.95</v>
      </c>
      <c r="G1016">
        <v>35337</v>
      </c>
      <c r="H1016" s="116"/>
      <c r="I1016" s="116"/>
      <c r="L1016" s="170">
        <v>43497</v>
      </c>
      <c r="M1016" s="116">
        <v>154.85</v>
      </c>
      <c r="N1016" s="116">
        <v>160</v>
      </c>
      <c r="O1016" s="116">
        <v>154</v>
      </c>
      <c r="P1016" s="116">
        <v>157.5</v>
      </c>
      <c r="Q1016" s="116">
        <v>309.7</v>
      </c>
      <c r="R1016">
        <v>57644</v>
      </c>
    </row>
    <row r="1017" spans="1:18" x14ac:dyDescent="0.25">
      <c r="A1017" s="170">
        <v>43500</v>
      </c>
      <c r="B1017" s="116">
        <v>157</v>
      </c>
      <c r="C1017" s="116">
        <v>156.80000000000001</v>
      </c>
      <c r="D1017" s="116">
        <v>154.92500000000001</v>
      </c>
      <c r="E1017" s="116">
        <v>154.94999999999999</v>
      </c>
      <c r="F1017" s="116">
        <v>313.60000000000002</v>
      </c>
      <c r="G1017">
        <v>517</v>
      </c>
      <c r="H1017" s="116"/>
      <c r="I1017" s="116"/>
      <c r="L1017" s="170">
        <v>43500</v>
      </c>
      <c r="M1017" s="116">
        <v>155.9</v>
      </c>
      <c r="N1017" s="116">
        <v>157.47499999999999</v>
      </c>
      <c r="O1017" s="116">
        <v>153.30000000000001</v>
      </c>
      <c r="P1017" s="116">
        <v>155</v>
      </c>
      <c r="Q1017" s="116">
        <v>311.8</v>
      </c>
      <c r="R1017">
        <v>11498</v>
      </c>
    </row>
    <row r="1018" spans="1:18" x14ac:dyDescent="0.25">
      <c r="A1018" s="170">
        <v>43501</v>
      </c>
      <c r="B1018" s="116">
        <v>159.19999999999999</v>
      </c>
      <c r="C1018" s="116">
        <v>158.35</v>
      </c>
      <c r="D1018" s="116">
        <v>155.67500000000001</v>
      </c>
      <c r="E1018" s="116">
        <v>155.72499999999999</v>
      </c>
      <c r="F1018" s="116">
        <v>316.7</v>
      </c>
      <c r="G1018">
        <v>1148</v>
      </c>
      <c r="H1018" s="116"/>
      <c r="I1018" s="116"/>
      <c r="L1018" s="170">
        <v>43501</v>
      </c>
      <c r="M1018" s="116">
        <v>157.75</v>
      </c>
      <c r="N1018" s="116">
        <v>158.5</v>
      </c>
      <c r="O1018" s="116">
        <v>155.82499999999999</v>
      </c>
      <c r="P1018" s="116">
        <v>156.07499999999999</v>
      </c>
      <c r="Q1018" s="116">
        <v>315.5</v>
      </c>
      <c r="R1018">
        <v>18338</v>
      </c>
    </row>
    <row r="1019" spans="1:18" x14ac:dyDescent="0.25">
      <c r="A1019" s="170">
        <v>43502</v>
      </c>
      <c r="B1019" s="116">
        <v>158.75</v>
      </c>
      <c r="C1019" s="116">
        <v>157.80000000000001</v>
      </c>
      <c r="D1019" s="116">
        <v>156</v>
      </c>
      <c r="E1019" s="116">
        <v>156.97499999999999</v>
      </c>
      <c r="F1019" s="116">
        <v>315.60000000000002</v>
      </c>
      <c r="G1019">
        <v>30309</v>
      </c>
      <c r="H1019" s="116"/>
      <c r="I1019" s="116"/>
      <c r="L1019" s="170">
        <v>43502</v>
      </c>
      <c r="M1019" s="116">
        <v>158.02500000000001</v>
      </c>
      <c r="N1019" s="116">
        <v>158.5</v>
      </c>
      <c r="O1019" s="116">
        <v>156.625</v>
      </c>
      <c r="P1019" s="116">
        <v>158.44999999999999</v>
      </c>
      <c r="Q1019" s="116">
        <v>316.05</v>
      </c>
      <c r="R1019">
        <v>22614</v>
      </c>
    </row>
    <row r="1020" spans="1:18" x14ac:dyDescent="0.25">
      <c r="A1020" s="170">
        <v>43503</v>
      </c>
      <c r="B1020" s="116">
        <v>165.5</v>
      </c>
      <c r="C1020" s="116">
        <v>162.92500000000001</v>
      </c>
      <c r="D1020" s="116">
        <v>158</v>
      </c>
      <c r="E1020" s="116">
        <v>158</v>
      </c>
      <c r="F1020" s="116">
        <v>325.85000000000002</v>
      </c>
      <c r="G1020">
        <v>35369</v>
      </c>
      <c r="H1020" s="116"/>
      <c r="I1020" s="116"/>
      <c r="L1020" s="170">
        <v>43503</v>
      </c>
      <c r="M1020" s="116">
        <v>163.4</v>
      </c>
      <c r="N1020" s="116">
        <v>165.52500000000001</v>
      </c>
      <c r="O1020" s="116">
        <v>157.02500000000001</v>
      </c>
      <c r="P1020" s="116">
        <v>157.97499999999999</v>
      </c>
      <c r="Q1020" s="116">
        <v>326.8</v>
      </c>
      <c r="R1020">
        <v>146456</v>
      </c>
    </row>
    <row r="1021" spans="1:18" x14ac:dyDescent="0.25">
      <c r="A1021" s="170">
        <v>43504</v>
      </c>
      <c r="B1021" s="116">
        <v>164.125</v>
      </c>
      <c r="C1021" s="116">
        <v>163.1</v>
      </c>
      <c r="D1021" s="116">
        <v>159.5</v>
      </c>
      <c r="E1021" s="116">
        <v>161.80000000000001</v>
      </c>
      <c r="F1021" s="116">
        <v>326.2</v>
      </c>
      <c r="G1021">
        <v>37734</v>
      </c>
      <c r="H1021" s="116"/>
      <c r="I1021" s="116"/>
      <c r="L1021" s="170">
        <v>43504</v>
      </c>
      <c r="M1021" s="116">
        <v>163.65</v>
      </c>
      <c r="N1021" s="116">
        <v>165.77500000000001</v>
      </c>
      <c r="O1021" s="116">
        <v>160.52500000000001</v>
      </c>
      <c r="P1021" s="116">
        <v>162.44999999999999</v>
      </c>
      <c r="Q1021" s="116">
        <v>327.3</v>
      </c>
      <c r="R1021">
        <v>114570</v>
      </c>
    </row>
    <row r="1022" spans="1:18" x14ac:dyDescent="0.25">
      <c r="A1022" s="170">
        <v>43507</v>
      </c>
      <c r="B1022" s="116">
        <v>162.1</v>
      </c>
      <c r="C1022" s="116">
        <v>159.19999999999999</v>
      </c>
      <c r="D1022" s="116">
        <v>156.94999999999999</v>
      </c>
      <c r="E1022" s="116">
        <v>161.82499999999999</v>
      </c>
      <c r="F1022" s="116">
        <v>318.39999999999998</v>
      </c>
      <c r="G1022">
        <v>4963</v>
      </c>
      <c r="H1022" s="116"/>
      <c r="I1022" s="116"/>
      <c r="L1022" s="170">
        <v>43507</v>
      </c>
      <c r="M1022" s="116">
        <v>159.42500000000001</v>
      </c>
      <c r="N1022" s="116">
        <v>164.35</v>
      </c>
      <c r="O1022" s="116">
        <v>156.85</v>
      </c>
      <c r="P1022" s="116">
        <v>164.35</v>
      </c>
      <c r="Q1022" s="116">
        <v>318.85000000000002</v>
      </c>
      <c r="R1022">
        <v>95618</v>
      </c>
    </row>
    <row r="1023" spans="1:18" x14ac:dyDescent="0.25">
      <c r="A1023" s="170">
        <v>43508</v>
      </c>
      <c r="B1023" s="116">
        <v>158.35</v>
      </c>
      <c r="C1023" s="116">
        <v>157.67500000000001</v>
      </c>
      <c r="D1023" s="116">
        <v>155.625</v>
      </c>
      <c r="E1023" s="116">
        <v>155.625</v>
      </c>
      <c r="F1023" s="116">
        <v>315.35000000000002</v>
      </c>
      <c r="G1023">
        <v>4364</v>
      </c>
      <c r="H1023" s="116"/>
      <c r="I1023" s="116"/>
      <c r="L1023" s="170">
        <v>43508</v>
      </c>
      <c r="M1023" s="116">
        <v>157.27500000000001</v>
      </c>
      <c r="N1023" s="116">
        <v>158.42500000000001</v>
      </c>
      <c r="O1023" s="116">
        <v>156.1</v>
      </c>
      <c r="P1023" s="116">
        <v>156.52500000000001</v>
      </c>
      <c r="Q1023" s="116">
        <v>314.55</v>
      </c>
      <c r="R1023">
        <v>37617</v>
      </c>
    </row>
    <row r="1024" spans="1:18" x14ac:dyDescent="0.25">
      <c r="A1024" s="170">
        <v>43509</v>
      </c>
      <c r="B1024" s="116">
        <v>157.47499999999999</v>
      </c>
      <c r="C1024" s="116">
        <v>153.69999999999999</v>
      </c>
      <c r="D1024" s="116">
        <v>151.875</v>
      </c>
      <c r="E1024" s="116">
        <v>157.47499999999999</v>
      </c>
      <c r="F1024" s="116">
        <v>307.39999999999998</v>
      </c>
      <c r="G1024">
        <v>10081</v>
      </c>
      <c r="H1024" s="116"/>
      <c r="I1024" s="116"/>
      <c r="L1024" s="170">
        <v>43509</v>
      </c>
      <c r="M1024" s="116">
        <v>154.4</v>
      </c>
      <c r="N1024" s="116">
        <v>159.07499999999999</v>
      </c>
      <c r="O1024" s="116">
        <v>150.55000000000001</v>
      </c>
      <c r="P1024" s="116">
        <v>157.67500000000001</v>
      </c>
      <c r="Q1024" s="116">
        <v>308.8</v>
      </c>
      <c r="R1024">
        <v>28357</v>
      </c>
    </row>
    <row r="1025" spans="1:18" x14ac:dyDescent="0.25">
      <c r="A1025" s="170">
        <v>43510</v>
      </c>
      <c r="B1025" s="116">
        <v>158.05000000000001</v>
      </c>
      <c r="C1025" s="116">
        <v>157.15</v>
      </c>
      <c r="D1025" s="116">
        <v>153.77500000000001</v>
      </c>
      <c r="E1025" s="116">
        <v>154.22499999999999</v>
      </c>
      <c r="F1025" s="116">
        <v>314.3</v>
      </c>
      <c r="G1025">
        <v>24460</v>
      </c>
      <c r="H1025" s="116"/>
      <c r="I1025" s="116"/>
      <c r="L1025" s="170">
        <v>43510</v>
      </c>
      <c r="M1025" s="116">
        <v>156.05000000000001</v>
      </c>
      <c r="N1025" s="116">
        <v>158.69999999999999</v>
      </c>
      <c r="O1025" s="116">
        <v>147.5</v>
      </c>
      <c r="P1025" s="116">
        <v>154.32499999999999</v>
      </c>
      <c r="Q1025" s="116">
        <v>312.10000000000002</v>
      </c>
      <c r="R1025">
        <v>33399</v>
      </c>
    </row>
    <row r="1026" spans="1:18" x14ac:dyDescent="0.25">
      <c r="A1026" s="170">
        <v>43511</v>
      </c>
      <c r="B1026" s="116">
        <v>156.75</v>
      </c>
      <c r="C1026" s="116">
        <v>155.35</v>
      </c>
      <c r="D1026" s="116">
        <v>151.4</v>
      </c>
      <c r="E1026" s="116">
        <v>156.07499999999999</v>
      </c>
      <c r="F1026" s="116">
        <v>310.7</v>
      </c>
      <c r="G1026">
        <v>3488</v>
      </c>
      <c r="H1026" s="116"/>
      <c r="I1026" s="116"/>
      <c r="L1026" s="170">
        <v>43511</v>
      </c>
      <c r="M1026" s="116">
        <v>156.07499999999999</v>
      </c>
      <c r="N1026" s="116">
        <v>156.5</v>
      </c>
      <c r="O1026" s="116">
        <v>150.94999999999999</v>
      </c>
      <c r="P1026" s="116">
        <v>155.5</v>
      </c>
      <c r="Q1026" s="116">
        <v>312.14999999999998</v>
      </c>
      <c r="R1026">
        <v>65022</v>
      </c>
    </row>
    <row r="1027" spans="1:18" x14ac:dyDescent="0.25">
      <c r="A1027" s="170">
        <v>43514</v>
      </c>
      <c r="B1027" s="116">
        <v>157</v>
      </c>
      <c r="C1027" s="116">
        <v>156.52500000000001</v>
      </c>
      <c r="D1027" s="116">
        <v>154.75</v>
      </c>
      <c r="E1027" s="116">
        <v>154.77500000000001</v>
      </c>
      <c r="F1027" s="116">
        <v>313.05</v>
      </c>
      <c r="G1027">
        <v>5039</v>
      </c>
      <c r="H1027" s="116"/>
      <c r="I1027" s="116"/>
      <c r="L1027" s="170">
        <v>43514</v>
      </c>
      <c r="M1027" s="116">
        <v>157.17500000000001</v>
      </c>
      <c r="N1027" s="116">
        <v>157.875</v>
      </c>
      <c r="O1027" s="116">
        <v>153.92500000000001</v>
      </c>
      <c r="P1027" s="116">
        <v>155.02500000000001</v>
      </c>
      <c r="Q1027" s="116">
        <v>314.35000000000002</v>
      </c>
      <c r="R1027">
        <v>22618</v>
      </c>
    </row>
    <row r="1028" spans="1:18" x14ac:dyDescent="0.25">
      <c r="A1028" s="170">
        <v>43515</v>
      </c>
      <c r="B1028" s="116">
        <v>161.72499999999999</v>
      </c>
      <c r="C1028" s="116">
        <v>160.1</v>
      </c>
      <c r="D1028" s="116">
        <v>154.32499999999999</v>
      </c>
      <c r="E1028" s="116">
        <v>155.07499999999999</v>
      </c>
      <c r="F1028" s="116">
        <v>320.2</v>
      </c>
      <c r="G1028">
        <v>8239</v>
      </c>
      <c r="H1028" s="116"/>
      <c r="I1028" s="116"/>
      <c r="L1028" s="170">
        <v>43515</v>
      </c>
      <c r="M1028" s="116">
        <v>160.52500000000001</v>
      </c>
      <c r="N1028" s="116">
        <v>161.02500000000001</v>
      </c>
      <c r="O1028" s="116">
        <v>154.27500000000001</v>
      </c>
      <c r="P1028" s="116">
        <v>156.52500000000001</v>
      </c>
      <c r="Q1028" s="116">
        <v>321.05</v>
      </c>
      <c r="R1028">
        <v>22326</v>
      </c>
    </row>
    <row r="1029" spans="1:18" x14ac:dyDescent="0.25">
      <c r="A1029" s="170">
        <v>43516</v>
      </c>
      <c r="B1029" s="116">
        <v>161.69999999999999</v>
      </c>
      <c r="C1029" s="116">
        <v>160.67500000000001</v>
      </c>
      <c r="D1029" s="116">
        <v>157.69999999999999</v>
      </c>
      <c r="E1029" s="116">
        <v>158.02500000000001</v>
      </c>
      <c r="F1029" s="116">
        <v>321.35000000000002</v>
      </c>
      <c r="G1029">
        <v>4752</v>
      </c>
      <c r="H1029" s="116"/>
      <c r="I1029" s="116"/>
      <c r="L1029" s="170">
        <v>43516</v>
      </c>
      <c r="M1029" s="116">
        <v>160.97499999999999</v>
      </c>
      <c r="N1029" s="116">
        <v>161.6</v>
      </c>
      <c r="O1029" s="116">
        <v>157.05000000000001</v>
      </c>
      <c r="P1029" s="116">
        <v>160</v>
      </c>
      <c r="Q1029" s="116">
        <v>321.95</v>
      </c>
      <c r="R1029">
        <v>21765</v>
      </c>
    </row>
    <row r="1030" spans="1:18" x14ac:dyDescent="0.25">
      <c r="A1030" s="170">
        <v>43517</v>
      </c>
      <c r="B1030" s="116">
        <v>162.72499999999999</v>
      </c>
      <c r="C1030" s="116">
        <v>159.32499999999999</v>
      </c>
      <c r="D1030" s="116">
        <v>156.19999999999999</v>
      </c>
      <c r="E1030" s="116">
        <v>160.80000000000001</v>
      </c>
      <c r="F1030" s="116">
        <v>318.64999999999998</v>
      </c>
      <c r="G1030">
        <v>35131</v>
      </c>
      <c r="H1030" s="116"/>
      <c r="I1030" s="116"/>
      <c r="L1030" s="170">
        <v>43517</v>
      </c>
      <c r="M1030" s="116">
        <v>160.125</v>
      </c>
      <c r="N1030" s="116">
        <v>163.27500000000001</v>
      </c>
      <c r="O1030" s="116">
        <v>158.55000000000001</v>
      </c>
      <c r="P1030" s="116">
        <v>160.9</v>
      </c>
      <c r="Q1030" s="116">
        <v>320.25</v>
      </c>
      <c r="R1030">
        <v>63155</v>
      </c>
    </row>
    <row r="1031" spans="1:18" x14ac:dyDescent="0.25">
      <c r="A1031" s="170">
        <v>43518</v>
      </c>
      <c r="B1031" s="116">
        <v>166.82499999999999</v>
      </c>
      <c r="C1031" s="116">
        <v>164.45</v>
      </c>
      <c r="D1031" s="116">
        <v>159.875</v>
      </c>
      <c r="E1031" s="116">
        <v>159.875</v>
      </c>
      <c r="F1031" s="116">
        <v>328.9</v>
      </c>
      <c r="G1031">
        <v>11483</v>
      </c>
      <c r="H1031" s="116"/>
      <c r="I1031" s="116"/>
      <c r="L1031" s="170">
        <v>43518</v>
      </c>
      <c r="M1031" s="116">
        <v>164.82499999999999</v>
      </c>
      <c r="N1031" s="116">
        <v>166.32499999999999</v>
      </c>
      <c r="O1031" s="116">
        <v>159</v>
      </c>
      <c r="P1031" s="116">
        <v>159</v>
      </c>
      <c r="Q1031" s="116">
        <v>329.65</v>
      </c>
      <c r="R1031">
        <v>66684</v>
      </c>
    </row>
    <row r="1032" spans="1:18" x14ac:dyDescent="0.25">
      <c r="A1032" s="170">
        <v>43521</v>
      </c>
      <c r="B1032" s="116">
        <v>168.85</v>
      </c>
      <c r="C1032" s="116">
        <v>166.5</v>
      </c>
      <c r="D1032" s="116">
        <v>164.17500000000001</v>
      </c>
      <c r="E1032" s="116">
        <v>166</v>
      </c>
      <c r="F1032" s="116">
        <v>333</v>
      </c>
      <c r="G1032">
        <v>2683</v>
      </c>
      <c r="H1032" s="116"/>
      <c r="I1032" s="116"/>
      <c r="L1032" s="170">
        <v>43521</v>
      </c>
      <c r="M1032" s="116">
        <v>166.65</v>
      </c>
      <c r="N1032" s="116">
        <v>169.4</v>
      </c>
      <c r="O1032" s="116">
        <v>164</v>
      </c>
      <c r="P1032" s="116">
        <v>165</v>
      </c>
      <c r="Q1032" s="116">
        <v>333.3</v>
      </c>
      <c r="R1032">
        <v>204780</v>
      </c>
    </row>
    <row r="1033" spans="1:18" x14ac:dyDescent="0.25">
      <c r="A1033" s="170">
        <v>43522</v>
      </c>
      <c r="B1033" s="116">
        <v>166.97499999999999</v>
      </c>
      <c r="C1033" s="116">
        <v>165.42500000000001</v>
      </c>
      <c r="D1033" s="116">
        <v>162.07499999999999</v>
      </c>
      <c r="E1033" s="116">
        <v>165.95</v>
      </c>
      <c r="F1033" s="116">
        <v>330.85</v>
      </c>
      <c r="G1033">
        <v>1708</v>
      </c>
      <c r="H1033" s="116"/>
      <c r="I1033" s="116"/>
      <c r="L1033" s="170">
        <v>43522</v>
      </c>
      <c r="M1033" s="116">
        <v>165.55</v>
      </c>
      <c r="N1033" s="116">
        <v>167.75</v>
      </c>
      <c r="O1033" s="116">
        <v>161.69999999999999</v>
      </c>
      <c r="P1033" s="116">
        <v>167.75</v>
      </c>
      <c r="Q1033" s="116">
        <v>331.1</v>
      </c>
      <c r="R1033">
        <v>23305</v>
      </c>
    </row>
    <row r="1034" spans="1:18" x14ac:dyDescent="0.25">
      <c r="A1034" s="170">
        <v>43523</v>
      </c>
      <c r="B1034" s="116">
        <v>169</v>
      </c>
      <c r="C1034" s="116">
        <v>161.65</v>
      </c>
      <c r="D1034" s="116">
        <v>159.125</v>
      </c>
      <c r="E1034" s="116">
        <v>166.82499999999999</v>
      </c>
      <c r="F1034" s="116">
        <v>323.3</v>
      </c>
      <c r="G1034">
        <v>6299</v>
      </c>
      <c r="H1034" s="116"/>
      <c r="I1034" s="116"/>
      <c r="L1034" s="170">
        <v>43523</v>
      </c>
      <c r="M1034" s="116">
        <v>161.44999999999999</v>
      </c>
      <c r="N1034" s="116">
        <v>169.17500000000001</v>
      </c>
      <c r="O1034" s="116">
        <v>159.97499999999999</v>
      </c>
      <c r="P1034" s="116">
        <v>165.55</v>
      </c>
      <c r="Q1034" s="116">
        <v>322.89999999999998</v>
      </c>
      <c r="R1034">
        <v>66266</v>
      </c>
    </row>
    <row r="1035" spans="1:18" x14ac:dyDescent="0.25">
      <c r="A1035" s="170">
        <v>43524</v>
      </c>
      <c r="B1035" s="116">
        <v>166.35</v>
      </c>
      <c r="C1035" s="116">
        <v>163.07499999999999</v>
      </c>
      <c r="D1035" s="116">
        <v>161.32499999999999</v>
      </c>
      <c r="E1035" s="116">
        <v>166.35</v>
      </c>
      <c r="F1035" s="116">
        <v>326.14999999999998</v>
      </c>
      <c r="G1035">
        <v>329</v>
      </c>
      <c r="H1035" s="116"/>
      <c r="I1035" s="116"/>
      <c r="L1035" s="170">
        <v>43524</v>
      </c>
      <c r="M1035" s="116">
        <v>163.1</v>
      </c>
      <c r="N1035" s="116">
        <v>164.5</v>
      </c>
      <c r="O1035" s="116">
        <v>161.5</v>
      </c>
      <c r="P1035" s="116">
        <v>162.5</v>
      </c>
      <c r="Q1035" s="116">
        <v>326.2</v>
      </c>
      <c r="R1035">
        <v>13324</v>
      </c>
    </row>
    <row r="1036" spans="1:18" x14ac:dyDescent="0.25">
      <c r="A1036" s="170">
        <v>43525</v>
      </c>
      <c r="B1036" s="116">
        <v>167.5</v>
      </c>
      <c r="C1036" s="116">
        <v>166.57499999999999</v>
      </c>
      <c r="D1036" s="116">
        <v>163.07499999999999</v>
      </c>
      <c r="E1036" s="116">
        <v>163.5</v>
      </c>
      <c r="F1036" s="116">
        <v>333.15</v>
      </c>
      <c r="G1036">
        <v>3321</v>
      </c>
      <c r="H1036" s="116"/>
      <c r="I1036" s="116"/>
      <c r="L1036" s="170">
        <v>43525</v>
      </c>
      <c r="M1036" s="116">
        <v>167.02500000000001</v>
      </c>
      <c r="N1036" s="116">
        <v>167.5</v>
      </c>
      <c r="O1036" s="116">
        <v>162.55000000000001</v>
      </c>
      <c r="P1036" s="116">
        <v>163.1</v>
      </c>
      <c r="Q1036" s="116">
        <v>334.05</v>
      </c>
      <c r="R1036">
        <v>103009</v>
      </c>
    </row>
    <row r="1037" spans="1:18" x14ac:dyDescent="0.25">
      <c r="A1037" s="170">
        <v>43529</v>
      </c>
      <c r="B1037" s="116">
        <v>172.5</v>
      </c>
      <c r="C1037" s="116">
        <v>171</v>
      </c>
      <c r="D1037" s="116">
        <v>166.5</v>
      </c>
      <c r="E1037" s="116">
        <v>166.5</v>
      </c>
      <c r="F1037" s="116">
        <v>342</v>
      </c>
      <c r="G1037">
        <v>8848</v>
      </c>
      <c r="H1037" s="116"/>
      <c r="I1037" s="116"/>
      <c r="L1037" s="170">
        <v>43529</v>
      </c>
      <c r="M1037" s="116">
        <v>171.55</v>
      </c>
      <c r="N1037" s="116">
        <v>172.5</v>
      </c>
      <c r="O1037" s="116">
        <v>165.22499999999999</v>
      </c>
      <c r="P1037" s="116">
        <v>165.22499999999999</v>
      </c>
      <c r="Q1037" s="116">
        <v>343.1</v>
      </c>
      <c r="R1037">
        <v>142217</v>
      </c>
    </row>
    <row r="1038" spans="1:18" x14ac:dyDescent="0.25">
      <c r="A1038" s="170">
        <v>43530</v>
      </c>
      <c r="B1038" s="116">
        <v>175</v>
      </c>
      <c r="C1038" s="116">
        <v>167.27500000000001</v>
      </c>
      <c r="D1038" s="116">
        <v>166.67500000000001</v>
      </c>
      <c r="E1038" s="116">
        <v>172.35</v>
      </c>
      <c r="F1038" s="116">
        <v>334.55</v>
      </c>
      <c r="G1038">
        <v>6099</v>
      </c>
      <c r="H1038" s="116"/>
      <c r="I1038" s="116"/>
      <c r="L1038" s="170">
        <v>43530</v>
      </c>
      <c r="M1038" s="116">
        <v>167.82499999999999</v>
      </c>
      <c r="N1038" s="116">
        <v>175.05</v>
      </c>
      <c r="O1038" s="116">
        <v>166.75</v>
      </c>
      <c r="P1038" s="116">
        <v>173</v>
      </c>
      <c r="Q1038" s="116">
        <v>335.65</v>
      </c>
      <c r="R1038">
        <v>70211</v>
      </c>
    </row>
    <row r="1039" spans="1:18" x14ac:dyDescent="0.25">
      <c r="A1039" s="170">
        <v>43531</v>
      </c>
      <c r="B1039" s="116">
        <v>169.95</v>
      </c>
      <c r="C1039" s="116">
        <v>167.55</v>
      </c>
      <c r="D1039" s="116">
        <v>165.05</v>
      </c>
      <c r="E1039" s="116">
        <v>169.65</v>
      </c>
      <c r="F1039" s="116">
        <v>335.1</v>
      </c>
      <c r="G1039">
        <v>4117</v>
      </c>
      <c r="H1039" s="116"/>
      <c r="I1039" s="116"/>
      <c r="L1039" s="170">
        <v>43531</v>
      </c>
      <c r="M1039" s="116">
        <v>168.72499999999999</v>
      </c>
      <c r="N1039" s="116">
        <v>170.67500000000001</v>
      </c>
      <c r="O1039" s="116">
        <v>167.125</v>
      </c>
      <c r="P1039" s="116">
        <v>167.45</v>
      </c>
      <c r="Q1039" s="116">
        <v>337.45</v>
      </c>
      <c r="R1039">
        <v>31202</v>
      </c>
    </row>
    <row r="1040" spans="1:18" x14ac:dyDescent="0.25">
      <c r="A1040" s="170">
        <v>43532</v>
      </c>
      <c r="B1040" s="116">
        <v>169.67500000000001</v>
      </c>
      <c r="C1040" s="116">
        <v>166.375</v>
      </c>
      <c r="D1040" s="116">
        <v>164.9</v>
      </c>
      <c r="E1040" s="116">
        <v>169.47499999999999</v>
      </c>
      <c r="F1040" s="116">
        <v>332.75</v>
      </c>
      <c r="G1040">
        <v>1785</v>
      </c>
      <c r="H1040" s="116"/>
      <c r="I1040" s="116"/>
      <c r="L1040" s="170">
        <v>43532</v>
      </c>
      <c r="M1040" s="116">
        <v>168.27500000000001</v>
      </c>
      <c r="N1040" s="116">
        <v>170.5</v>
      </c>
      <c r="O1040" s="116">
        <v>166.52500000000001</v>
      </c>
      <c r="P1040" s="116">
        <v>170.125</v>
      </c>
      <c r="Q1040" s="116">
        <v>336.55</v>
      </c>
      <c r="R1040">
        <v>18313</v>
      </c>
    </row>
    <row r="1041" spans="1:18" x14ac:dyDescent="0.25">
      <c r="A1041" s="170">
        <v>43535</v>
      </c>
      <c r="B1041" s="116">
        <v>172.5</v>
      </c>
      <c r="C1041" s="116">
        <v>167.07499999999999</v>
      </c>
      <c r="D1041" s="116">
        <v>163.82499999999999</v>
      </c>
      <c r="E1041" s="116">
        <v>167.67500000000001</v>
      </c>
      <c r="F1041" s="116">
        <v>334.15</v>
      </c>
      <c r="G1041">
        <v>8872</v>
      </c>
      <c r="H1041" s="116"/>
      <c r="I1041" s="116"/>
      <c r="L1041" s="170">
        <v>43535</v>
      </c>
      <c r="M1041" s="116">
        <v>168.47499999999999</v>
      </c>
      <c r="N1041" s="116">
        <v>174</v>
      </c>
      <c r="O1041" s="116">
        <v>163.5</v>
      </c>
      <c r="P1041" s="116">
        <v>168.5</v>
      </c>
      <c r="Q1041" s="116">
        <v>336.95</v>
      </c>
      <c r="R1041">
        <v>114038</v>
      </c>
    </row>
    <row r="1042" spans="1:18" x14ac:dyDescent="0.25">
      <c r="A1042" s="170">
        <v>43536</v>
      </c>
      <c r="B1042" s="116">
        <v>171.375</v>
      </c>
      <c r="C1042" s="116">
        <v>168.3</v>
      </c>
      <c r="D1042" s="116">
        <v>167.82499999999999</v>
      </c>
      <c r="E1042" s="116">
        <v>171.375</v>
      </c>
      <c r="F1042" s="116">
        <v>336.6</v>
      </c>
      <c r="G1042">
        <v>2158</v>
      </c>
      <c r="H1042" s="116"/>
      <c r="I1042" s="116"/>
      <c r="L1042" s="170">
        <v>43536</v>
      </c>
      <c r="M1042" s="116">
        <v>168.52500000000001</v>
      </c>
      <c r="N1042" s="116">
        <v>172</v>
      </c>
      <c r="O1042" s="116">
        <v>167.625</v>
      </c>
      <c r="P1042" s="116">
        <v>169.27500000000001</v>
      </c>
      <c r="Q1042" s="116">
        <v>337.05</v>
      </c>
      <c r="R1042">
        <v>23629</v>
      </c>
    </row>
    <row r="1043" spans="1:18" x14ac:dyDescent="0.25">
      <c r="A1043" s="170">
        <v>43537</v>
      </c>
      <c r="B1043" s="116">
        <v>172.45</v>
      </c>
      <c r="C1043" s="116">
        <v>169.8</v>
      </c>
      <c r="D1043" s="116">
        <v>167.97499999999999</v>
      </c>
      <c r="E1043" s="116">
        <v>168.72499999999999</v>
      </c>
      <c r="F1043" s="116">
        <v>339.6</v>
      </c>
      <c r="G1043">
        <v>5396</v>
      </c>
      <c r="H1043" s="116"/>
      <c r="I1043" s="116"/>
      <c r="L1043" s="170">
        <v>43537</v>
      </c>
      <c r="M1043" s="116">
        <v>168.27500000000001</v>
      </c>
      <c r="N1043" s="116">
        <v>172.45</v>
      </c>
      <c r="O1043" s="116">
        <v>166.125</v>
      </c>
      <c r="P1043" s="116">
        <v>169.95</v>
      </c>
      <c r="Q1043" s="116">
        <v>336.55</v>
      </c>
      <c r="R1043">
        <v>34249</v>
      </c>
    </row>
    <row r="1044" spans="1:18" x14ac:dyDescent="0.25">
      <c r="A1044" s="170">
        <v>43538</v>
      </c>
      <c r="B1044" s="116">
        <v>170.25</v>
      </c>
      <c r="C1044" s="116">
        <v>168.15</v>
      </c>
      <c r="D1044" s="116">
        <v>165.97499999999999</v>
      </c>
      <c r="E1044" s="116">
        <v>167.92500000000001</v>
      </c>
      <c r="F1044" s="116">
        <v>336.3</v>
      </c>
      <c r="G1044">
        <v>4932</v>
      </c>
      <c r="H1044" s="116"/>
      <c r="I1044" s="116"/>
      <c r="L1044" s="170">
        <v>43538</v>
      </c>
      <c r="M1044" s="116">
        <v>168.85</v>
      </c>
      <c r="N1044" s="116">
        <v>170.77500000000001</v>
      </c>
      <c r="O1044" s="116">
        <v>166.65</v>
      </c>
      <c r="P1044" s="116">
        <v>170.77500000000001</v>
      </c>
      <c r="Q1044" s="116">
        <v>337.7</v>
      </c>
      <c r="R1044">
        <v>23706</v>
      </c>
    </row>
    <row r="1045" spans="1:18" x14ac:dyDescent="0.25">
      <c r="A1045" s="170">
        <v>43539</v>
      </c>
      <c r="B1045" s="116">
        <v>171.5</v>
      </c>
      <c r="C1045" s="116">
        <v>166.25</v>
      </c>
      <c r="D1045" s="116">
        <v>163.07499999999999</v>
      </c>
      <c r="E1045" s="116">
        <v>168.8</v>
      </c>
      <c r="F1045" s="116">
        <v>332.5</v>
      </c>
      <c r="G1045">
        <v>3435</v>
      </c>
      <c r="H1045" s="116"/>
      <c r="I1045" s="116"/>
      <c r="L1045" s="170">
        <v>43539</v>
      </c>
      <c r="M1045" s="116">
        <v>166.42500000000001</v>
      </c>
      <c r="N1045" s="116">
        <v>171.77500000000001</v>
      </c>
      <c r="O1045" s="116">
        <v>163</v>
      </c>
      <c r="P1045" s="116">
        <v>167.95</v>
      </c>
      <c r="Q1045" s="116">
        <v>332.85</v>
      </c>
      <c r="R1045">
        <v>49318</v>
      </c>
    </row>
    <row r="1046" spans="1:18" x14ac:dyDescent="0.25">
      <c r="A1046" s="170">
        <v>43542</v>
      </c>
      <c r="B1046" s="116">
        <v>165.125</v>
      </c>
      <c r="C1046" s="116">
        <v>164.22499999999999</v>
      </c>
      <c r="D1046" s="116">
        <v>161</v>
      </c>
      <c r="E1046" s="116">
        <v>165.125</v>
      </c>
      <c r="F1046" s="116">
        <v>328.45</v>
      </c>
      <c r="G1046">
        <v>7467</v>
      </c>
      <c r="H1046" s="116"/>
      <c r="I1046" s="116"/>
      <c r="L1046" s="170">
        <v>43542</v>
      </c>
      <c r="M1046" s="116">
        <v>164.1</v>
      </c>
      <c r="N1046" s="116">
        <v>165.85</v>
      </c>
      <c r="O1046" s="116">
        <v>161.52500000000001</v>
      </c>
      <c r="P1046" s="116">
        <v>163.1</v>
      </c>
      <c r="Q1046" s="116">
        <v>328.2</v>
      </c>
      <c r="R1046">
        <v>30917</v>
      </c>
    </row>
    <row r="1047" spans="1:18" x14ac:dyDescent="0.25">
      <c r="A1047" s="170">
        <v>43543</v>
      </c>
      <c r="B1047" s="116">
        <v>167.375</v>
      </c>
      <c r="C1047" s="116">
        <v>165</v>
      </c>
      <c r="D1047" s="116">
        <v>164</v>
      </c>
      <c r="E1047" s="116">
        <v>164</v>
      </c>
      <c r="F1047" s="116">
        <v>330</v>
      </c>
      <c r="G1047">
        <v>3483</v>
      </c>
      <c r="H1047" s="116"/>
      <c r="I1047" s="116"/>
      <c r="L1047" s="170">
        <v>43543</v>
      </c>
      <c r="M1047" s="116">
        <v>165.5</v>
      </c>
      <c r="N1047" s="116">
        <v>168</v>
      </c>
      <c r="O1047" s="116">
        <v>163</v>
      </c>
      <c r="P1047" s="116">
        <v>163</v>
      </c>
      <c r="Q1047" s="116">
        <v>331</v>
      </c>
      <c r="R1047">
        <v>29183</v>
      </c>
    </row>
    <row r="1048" spans="1:18" x14ac:dyDescent="0.25">
      <c r="A1048" s="170">
        <v>43544</v>
      </c>
      <c r="B1048" s="116">
        <v>168.875</v>
      </c>
      <c r="C1048" s="116">
        <v>167.35</v>
      </c>
      <c r="D1048" s="116">
        <v>165.25</v>
      </c>
      <c r="E1048" s="116">
        <v>165.25</v>
      </c>
      <c r="F1048" s="116">
        <v>334.7</v>
      </c>
      <c r="G1048">
        <v>1692</v>
      </c>
      <c r="H1048" s="116"/>
      <c r="I1048" s="116"/>
      <c r="L1048" s="170">
        <v>43544</v>
      </c>
      <c r="M1048" s="116">
        <v>166.92500000000001</v>
      </c>
      <c r="N1048" s="116">
        <v>167.97499999999999</v>
      </c>
      <c r="O1048" s="116">
        <v>165.5</v>
      </c>
      <c r="P1048" s="116">
        <v>165.5</v>
      </c>
      <c r="Q1048" s="116">
        <v>333.85</v>
      </c>
      <c r="R1048">
        <v>22436</v>
      </c>
    </row>
    <row r="1049" spans="1:18" x14ac:dyDescent="0.25">
      <c r="A1049" s="170">
        <v>43546</v>
      </c>
      <c r="B1049" s="116">
        <v>170</v>
      </c>
      <c r="C1049" s="116">
        <v>167.625</v>
      </c>
      <c r="D1049" s="116">
        <v>164.375</v>
      </c>
      <c r="E1049" s="116">
        <v>165.82499999999999</v>
      </c>
      <c r="F1049" s="116">
        <v>335.25</v>
      </c>
      <c r="G1049">
        <v>11961</v>
      </c>
      <c r="H1049" s="116"/>
      <c r="I1049" s="116"/>
      <c r="L1049" s="170">
        <v>43546</v>
      </c>
      <c r="M1049" s="116">
        <v>168.375</v>
      </c>
      <c r="N1049" s="116">
        <v>170.35</v>
      </c>
      <c r="O1049" s="116">
        <v>164.125</v>
      </c>
      <c r="P1049" s="116">
        <v>166.77500000000001</v>
      </c>
      <c r="Q1049" s="116">
        <v>336.75</v>
      </c>
      <c r="R1049">
        <v>35703</v>
      </c>
    </row>
    <row r="1050" spans="1:18" x14ac:dyDescent="0.25">
      <c r="A1050" s="170">
        <v>43549</v>
      </c>
      <c r="B1050" s="116">
        <v>170</v>
      </c>
      <c r="C1050" s="116">
        <v>169.17500000000001</v>
      </c>
      <c r="D1050" s="116">
        <v>162.82499999999999</v>
      </c>
      <c r="E1050" s="116">
        <v>170</v>
      </c>
      <c r="F1050" s="116">
        <v>338.35</v>
      </c>
      <c r="G1050">
        <v>6049</v>
      </c>
      <c r="H1050" s="116"/>
      <c r="I1050" s="116"/>
      <c r="L1050" s="170">
        <v>43549</v>
      </c>
      <c r="M1050" s="116">
        <v>170.2</v>
      </c>
      <c r="N1050" s="116">
        <v>170.75</v>
      </c>
      <c r="O1050" s="116">
        <v>161.25</v>
      </c>
      <c r="P1050" s="116">
        <v>166.95</v>
      </c>
      <c r="Q1050" s="116">
        <v>340.4</v>
      </c>
      <c r="R1050">
        <v>33962</v>
      </c>
    </row>
    <row r="1051" spans="1:18" x14ac:dyDescent="0.25">
      <c r="A1051" s="170">
        <v>43550</v>
      </c>
      <c r="B1051" s="116">
        <v>172</v>
      </c>
      <c r="C1051" s="116">
        <v>171.22499999999999</v>
      </c>
      <c r="D1051" s="116">
        <v>167.95</v>
      </c>
      <c r="E1051" s="116">
        <v>170</v>
      </c>
      <c r="F1051" s="116">
        <v>342.45</v>
      </c>
      <c r="G1051">
        <v>3302</v>
      </c>
      <c r="H1051" s="116"/>
      <c r="I1051" s="116"/>
      <c r="L1051" s="170">
        <v>43550</v>
      </c>
      <c r="M1051" s="116">
        <v>171.72499999999999</v>
      </c>
      <c r="N1051" s="116">
        <v>172.75</v>
      </c>
      <c r="O1051" s="116">
        <v>167.75</v>
      </c>
      <c r="P1051" s="116">
        <v>170.17500000000001</v>
      </c>
      <c r="Q1051" s="116">
        <v>343.45</v>
      </c>
      <c r="R1051">
        <v>57242</v>
      </c>
    </row>
    <row r="1052" spans="1:18" x14ac:dyDescent="0.25">
      <c r="A1052" s="170">
        <v>43551</v>
      </c>
      <c r="B1052" s="116">
        <v>178.35</v>
      </c>
      <c r="C1052" s="116">
        <v>176.82499999999999</v>
      </c>
      <c r="D1052" s="116">
        <v>171.5</v>
      </c>
      <c r="E1052" s="116">
        <v>172.5</v>
      </c>
      <c r="F1052" s="116">
        <v>353.65</v>
      </c>
      <c r="G1052">
        <v>16556</v>
      </c>
      <c r="H1052" s="116"/>
      <c r="I1052" s="116"/>
      <c r="L1052" s="170">
        <v>43551</v>
      </c>
      <c r="M1052" s="116">
        <v>177.05</v>
      </c>
      <c r="N1052" s="116">
        <v>178.5</v>
      </c>
      <c r="O1052" s="116">
        <v>170.625</v>
      </c>
      <c r="P1052" s="116">
        <v>172.5</v>
      </c>
      <c r="Q1052" s="116">
        <v>354.1</v>
      </c>
      <c r="R1052">
        <v>135601</v>
      </c>
    </row>
    <row r="1053" spans="1:18" x14ac:dyDescent="0.25">
      <c r="A1053" s="170">
        <v>43552</v>
      </c>
      <c r="B1053" s="116">
        <v>181.57499999999999</v>
      </c>
      <c r="C1053" s="116">
        <v>177.42500000000001</v>
      </c>
      <c r="D1053" s="116">
        <v>175.6</v>
      </c>
      <c r="E1053" s="116">
        <v>179.95</v>
      </c>
      <c r="F1053" s="116">
        <v>354.85</v>
      </c>
      <c r="G1053">
        <v>14904</v>
      </c>
      <c r="H1053" s="116"/>
      <c r="I1053" s="116"/>
      <c r="L1053" s="170">
        <v>43552</v>
      </c>
      <c r="M1053" s="116">
        <v>178.95</v>
      </c>
      <c r="N1053" s="116">
        <v>182.05</v>
      </c>
      <c r="O1053" s="116">
        <v>175.5</v>
      </c>
      <c r="P1053" s="116">
        <v>178.92500000000001</v>
      </c>
      <c r="Q1053" s="116">
        <v>357.9</v>
      </c>
      <c r="R1053">
        <v>136044</v>
      </c>
    </row>
    <row r="1054" spans="1:18" x14ac:dyDescent="0.25">
      <c r="A1054" s="170">
        <v>43553</v>
      </c>
      <c r="B1054" s="116">
        <v>181.47499999999999</v>
      </c>
      <c r="C1054" s="116">
        <v>179.8</v>
      </c>
      <c r="D1054" s="116">
        <v>176.8</v>
      </c>
      <c r="E1054" s="116">
        <v>180</v>
      </c>
      <c r="F1054" s="116">
        <v>359.6</v>
      </c>
      <c r="G1054">
        <v>5423</v>
      </c>
      <c r="H1054" s="116"/>
      <c r="I1054" s="116"/>
      <c r="L1054" s="170">
        <v>43553</v>
      </c>
      <c r="M1054" s="116">
        <v>181.2</v>
      </c>
      <c r="N1054" s="116">
        <v>181.97499999999999</v>
      </c>
      <c r="O1054" s="116">
        <v>176.3</v>
      </c>
      <c r="P1054" s="116">
        <v>179</v>
      </c>
      <c r="Q1054" s="116">
        <v>362.4</v>
      </c>
      <c r="R1054">
        <v>36073</v>
      </c>
    </row>
    <row r="1055" spans="1:18" x14ac:dyDescent="0.25">
      <c r="A1055" s="170">
        <v>43556</v>
      </c>
      <c r="B1055" s="116">
        <v>186.35</v>
      </c>
      <c r="C1055" s="116">
        <v>184.07499999999999</v>
      </c>
      <c r="D1055" s="116">
        <v>180.17500000000001</v>
      </c>
      <c r="E1055" s="116">
        <v>181.97499999999999</v>
      </c>
      <c r="F1055" s="116">
        <v>368.15</v>
      </c>
      <c r="G1055">
        <v>6059</v>
      </c>
      <c r="H1055" s="116"/>
      <c r="I1055" s="116"/>
      <c r="L1055" s="170">
        <v>43556</v>
      </c>
      <c r="M1055" s="116">
        <v>184.92500000000001</v>
      </c>
      <c r="N1055" s="116">
        <v>186.92500000000001</v>
      </c>
      <c r="O1055" s="116">
        <v>181</v>
      </c>
      <c r="P1055" s="116">
        <v>182.5</v>
      </c>
      <c r="Q1055" s="116">
        <v>369.85</v>
      </c>
      <c r="R1055">
        <v>132722</v>
      </c>
    </row>
    <row r="1056" spans="1:18" x14ac:dyDescent="0.25">
      <c r="A1056" s="170">
        <v>43557</v>
      </c>
      <c r="B1056" s="116">
        <v>185.05</v>
      </c>
      <c r="C1056" s="116">
        <v>180.45</v>
      </c>
      <c r="D1056" s="116">
        <v>177.5</v>
      </c>
      <c r="E1056" s="116">
        <v>185.05</v>
      </c>
      <c r="F1056" s="116">
        <v>360.9</v>
      </c>
      <c r="G1056">
        <v>4214</v>
      </c>
      <c r="H1056" s="116"/>
      <c r="I1056" s="116"/>
      <c r="L1056" s="170">
        <v>43557</v>
      </c>
      <c r="M1056" s="116">
        <v>180.05</v>
      </c>
      <c r="N1056" s="116">
        <v>186.92500000000001</v>
      </c>
      <c r="O1056" s="116">
        <v>178.52500000000001</v>
      </c>
      <c r="P1056" s="116">
        <v>186.92500000000001</v>
      </c>
      <c r="Q1056" s="116">
        <v>360.1</v>
      </c>
      <c r="R1056">
        <v>36817</v>
      </c>
    </row>
    <row r="1057" spans="1:18" x14ac:dyDescent="0.25">
      <c r="A1057" s="170">
        <v>43558</v>
      </c>
      <c r="B1057" s="116">
        <v>179.85</v>
      </c>
      <c r="C1057" s="116">
        <v>174.7</v>
      </c>
      <c r="D1057" s="116">
        <v>172.2</v>
      </c>
      <c r="E1057" s="116">
        <v>179.77500000000001</v>
      </c>
      <c r="F1057" s="116">
        <v>349.4</v>
      </c>
      <c r="G1057">
        <v>7711</v>
      </c>
      <c r="H1057" s="116"/>
      <c r="I1057" s="116"/>
      <c r="L1057" s="170">
        <v>43558</v>
      </c>
      <c r="M1057" s="116">
        <v>175.67500000000001</v>
      </c>
      <c r="N1057" s="116">
        <v>180</v>
      </c>
      <c r="O1057" s="116">
        <v>174.55</v>
      </c>
      <c r="P1057" s="116">
        <v>178.1</v>
      </c>
      <c r="Q1057" s="116">
        <v>351.35</v>
      </c>
      <c r="R1057">
        <v>29758</v>
      </c>
    </row>
    <row r="1058" spans="1:18" x14ac:dyDescent="0.25">
      <c r="A1058" s="170">
        <v>43559</v>
      </c>
      <c r="B1058" s="116">
        <v>178.4</v>
      </c>
      <c r="C1058" s="116">
        <v>174.75</v>
      </c>
      <c r="D1058" s="116">
        <v>172.5</v>
      </c>
      <c r="E1058" s="116">
        <v>174.02500000000001</v>
      </c>
      <c r="F1058" s="116">
        <v>349.5</v>
      </c>
      <c r="G1058">
        <v>3625</v>
      </c>
      <c r="H1058" s="116"/>
      <c r="I1058" s="116"/>
      <c r="L1058" s="170">
        <v>43559</v>
      </c>
      <c r="M1058" s="116">
        <v>174.125</v>
      </c>
      <c r="N1058" s="116">
        <v>177.875</v>
      </c>
      <c r="O1058" s="116">
        <v>171.55</v>
      </c>
      <c r="P1058" s="116">
        <v>176.05</v>
      </c>
      <c r="Q1058" s="116">
        <v>348.25</v>
      </c>
      <c r="R1058">
        <v>31047</v>
      </c>
    </row>
    <row r="1059" spans="1:18" x14ac:dyDescent="0.25">
      <c r="A1059" s="170">
        <v>43560</v>
      </c>
      <c r="B1059" s="116">
        <v>176.95</v>
      </c>
      <c r="C1059" s="116">
        <v>175.875</v>
      </c>
      <c r="D1059" s="116">
        <v>174.27500000000001</v>
      </c>
      <c r="E1059" s="116">
        <v>176.17500000000001</v>
      </c>
      <c r="F1059" s="116">
        <v>351.75</v>
      </c>
      <c r="G1059">
        <v>5281</v>
      </c>
      <c r="H1059" s="116"/>
      <c r="I1059" s="116"/>
      <c r="L1059" s="170">
        <v>43560</v>
      </c>
      <c r="M1059" s="116">
        <v>176.6</v>
      </c>
      <c r="N1059" s="116">
        <v>177.6</v>
      </c>
      <c r="O1059" s="116">
        <v>174.25</v>
      </c>
      <c r="P1059" s="116">
        <v>174.25</v>
      </c>
      <c r="Q1059" s="116">
        <v>353.2</v>
      </c>
      <c r="R1059">
        <v>26419</v>
      </c>
    </row>
    <row r="1060" spans="1:18" x14ac:dyDescent="0.25">
      <c r="A1060" s="170">
        <v>43563</v>
      </c>
      <c r="B1060" s="116">
        <v>176</v>
      </c>
      <c r="C1060" s="116">
        <v>172.72499999999999</v>
      </c>
      <c r="D1060" s="116">
        <v>171.625</v>
      </c>
      <c r="E1060" s="116">
        <v>175.22499999999999</v>
      </c>
      <c r="F1060" s="116">
        <v>345.45</v>
      </c>
      <c r="G1060">
        <v>2599</v>
      </c>
      <c r="H1060" s="116"/>
      <c r="I1060" s="116"/>
      <c r="L1060" s="170">
        <v>43563</v>
      </c>
      <c r="M1060" s="116">
        <v>172.875</v>
      </c>
      <c r="N1060" s="116">
        <v>176.5</v>
      </c>
      <c r="O1060" s="116">
        <v>171.32499999999999</v>
      </c>
      <c r="P1060" s="116">
        <v>173.625</v>
      </c>
      <c r="Q1060" s="116">
        <v>345.75</v>
      </c>
      <c r="R1060">
        <v>14431</v>
      </c>
    </row>
    <row r="1061" spans="1:18" x14ac:dyDescent="0.25">
      <c r="A1061" s="170">
        <v>43564</v>
      </c>
      <c r="B1061" s="116">
        <v>178.47499999999999</v>
      </c>
      <c r="C1061" s="116">
        <v>176.27500000000001</v>
      </c>
      <c r="D1061" s="116">
        <v>170.1</v>
      </c>
      <c r="E1061" s="116">
        <v>171.8</v>
      </c>
      <c r="F1061" s="116">
        <v>352.55</v>
      </c>
      <c r="G1061">
        <v>1429</v>
      </c>
      <c r="H1061" s="116"/>
      <c r="I1061" s="116"/>
      <c r="L1061" s="170">
        <v>43564</v>
      </c>
      <c r="M1061" s="116">
        <v>176.875</v>
      </c>
      <c r="N1061" s="116">
        <v>178.47499999999999</v>
      </c>
      <c r="O1061" s="116">
        <v>169.5</v>
      </c>
      <c r="P1061" s="116">
        <v>173</v>
      </c>
      <c r="Q1061" s="116">
        <v>353.75</v>
      </c>
      <c r="R1061">
        <v>27438</v>
      </c>
    </row>
    <row r="1062" spans="1:18" x14ac:dyDescent="0.25">
      <c r="A1062" s="170">
        <v>43565</v>
      </c>
      <c r="B1062" s="116">
        <v>175.75</v>
      </c>
      <c r="C1062" s="116">
        <v>174.75</v>
      </c>
      <c r="D1062" s="116">
        <v>173.3</v>
      </c>
      <c r="E1062" s="116">
        <v>175.47499999999999</v>
      </c>
      <c r="F1062" s="116">
        <v>349.5</v>
      </c>
      <c r="G1062">
        <v>5161</v>
      </c>
      <c r="H1062" s="116"/>
      <c r="I1062" s="116"/>
      <c r="L1062" s="170">
        <v>43565</v>
      </c>
      <c r="M1062" s="116">
        <v>174.35</v>
      </c>
      <c r="N1062" s="116">
        <v>176.875</v>
      </c>
      <c r="O1062" s="116">
        <v>173.3</v>
      </c>
      <c r="P1062" s="116">
        <v>176.875</v>
      </c>
      <c r="Q1062" s="116">
        <v>348.7</v>
      </c>
      <c r="R1062">
        <v>38874</v>
      </c>
    </row>
    <row r="1063" spans="1:18" x14ac:dyDescent="0.25">
      <c r="A1063" s="170">
        <v>43566</v>
      </c>
      <c r="B1063" s="116">
        <v>175.77500000000001</v>
      </c>
      <c r="C1063" s="116">
        <v>173.97499999999999</v>
      </c>
      <c r="D1063" s="116">
        <v>172.47499999999999</v>
      </c>
      <c r="E1063" s="116">
        <v>173.375</v>
      </c>
      <c r="F1063" s="116">
        <v>347.95</v>
      </c>
      <c r="G1063">
        <v>3911</v>
      </c>
      <c r="H1063" s="116"/>
      <c r="I1063" s="116"/>
      <c r="L1063" s="170">
        <v>43566</v>
      </c>
      <c r="M1063" s="116">
        <v>174.4</v>
      </c>
      <c r="N1063" s="116">
        <v>176.25</v>
      </c>
      <c r="O1063" s="116">
        <v>171.05</v>
      </c>
      <c r="P1063" s="116">
        <v>172.52500000000001</v>
      </c>
      <c r="Q1063" s="116">
        <v>348.8</v>
      </c>
      <c r="R1063">
        <v>10662</v>
      </c>
    </row>
    <row r="1064" spans="1:18" x14ac:dyDescent="0.25">
      <c r="A1064" s="170">
        <v>43567</v>
      </c>
      <c r="B1064" s="116">
        <v>177.75</v>
      </c>
      <c r="C1064" s="116">
        <v>175.95</v>
      </c>
      <c r="D1064" s="116">
        <v>171.82499999999999</v>
      </c>
      <c r="E1064" s="116">
        <v>173.92500000000001</v>
      </c>
      <c r="F1064" s="116">
        <v>351.9</v>
      </c>
      <c r="G1064">
        <v>5418</v>
      </c>
      <c r="H1064" s="116"/>
      <c r="I1064" s="116"/>
      <c r="L1064" s="170">
        <v>43567</v>
      </c>
      <c r="M1064" s="116">
        <v>176.55</v>
      </c>
      <c r="N1064" s="116">
        <v>178</v>
      </c>
      <c r="O1064" s="116">
        <v>173.02500000000001</v>
      </c>
      <c r="P1064" s="116">
        <v>174.97499999999999</v>
      </c>
      <c r="Q1064" s="116">
        <v>353.1</v>
      </c>
      <c r="R1064">
        <v>12313</v>
      </c>
    </row>
    <row r="1065" spans="1:18" x14ac:dyDescent="0.25">
      <c r="A1065" s="170">
        <v>43570</v>
      </c>
      <c r="B1065" s="116">
        <v>178.57499999999999</v>
      </c>
      <c r="C1065" s="116">
        <v>177.82499999999999</v>
      </c>
      <c r="D1065" s="116">
        <v>173.125</v>
      </c>
      <c r="E1065" s="116">
        <v>174.22499999999999</v>
      </c>
      <c r="F1065" s="116">
        <v>355.65</v>
      </c>
      <c r="G1065">
        <v>6549</v>
      </c>
      <c r="H1065" s="116"/>
      <c r="I1065" s="116"/>
      <c r="L1065" s="170">
        <v>43570</v>
      </c>
      <c r="M1065" s="116">
        <v>177.47499999999999</v>
      </c>
      <c r="N1065" s="116">
        <v>177.97499999999999</v>
      </c>
      <c r="O1065" s="116">
        <v>173.55</v>
      </c>
      <c r="P1065" s="116">
        <v>177.95</v>
      </c>
      <c r="Q1065" s="116">
        <v>354.95</v>
      </c>
      <c r="R1065">
        <v>63017</v>
      </c>
    </row>
    <row r="1066" spans="1:18" x14ac:dyDescent="0.25">
      <c r="A1066" s="170">
        <v>43571</v>
      </c>
      <c r="B1066" s="116">
        <v>181.67500000000001</v>
      </c>
      <c r="C1066" s="116">
        <v>176.9</v>
      </c>
      <c r="D1066" s="116">
        <v>173.05</v>
      </c>
      <c r="E1066" s="116">
        <v>175.02500000000001</v>
      </c>
      <c r="F1066" s="116">
        <v>353.8</v>
      </c>
      <c r="G1066">
        <v>4560</v>
      </c>
      <c r="H1066" s="116"/>
      <c r="I1066" s="116"/>
      <c r="L1066" s="170">
        <v>43571</v>
      </c>
      <c r="M1066" s="116">
        <v>177.35</v>
      </c>
      <c r="N1066" s="116">
        <v>182.5</v>
      </c>
      <c r="O1066" s="116">
        <v>170.82499999999999</v>
      </c>
      <c r="P1066" s="116">
        <v>176.3</v>
      </c>
      <c r="Q1066" s="116">
        <v>354.7</v>
      </c>
      <c r="R1066">
        <v>39218</v>
      </c>
    </row>
    <row r="1067" spans="1:18" x14ac:dyDescent="0.25">
      <c r="A1067" s="170">
        <v>43573</v>
      </c>
      <c r="B1067" s="116">
        <v>177.1</v>
      </c>
      <c r="C1067" s="116">
        <v>173.875</v>
      </c>
      <c r="D1067" s="116">
        <v>171.5</v>
      </c>
      <c r="E1067" s="116">
        <v>176.9</v>
      </c>
      <c r="F1067" s="116">
        <v>347.75</v>
      </c>
      <c r="G1067">
        <v>6735</v>
      </c>
      <c r="H1067" s="116"/>
      <c r="I1067" s="116"/>
      <c r="L1067" s="170">
        <v>43573</v>
      </c>
      <c r="M1067" s="116">
        <v>173.65</v>
      </c>
      <c r="N1067" s="116">
        <v>176.95</v>
      </c>
      <c r="O1067" s="116">
        <v>172.22499999999999</v>
      </c>
      <c r="P1067" s="116">
        <v>174.5</v>
      </c>
      <c r="Q1067" s="116">
        <v>347.3</v>
      </c>
      <c r="R1067">
        <v>18174</v>
      </c>
    </row>
    <row r="1068" spans="1:18" x14ac:dyDescent="0.25">
      <c r="A1068" s="170">
        <v>43577</v>
      </c>
      <c r="B1068" s="116">
        <v>174.75</v>
      </c>
      <c r="C1068" s="116">
        <v>171.125</v>
      </c>
      <c r="D1068" s="116">
        <v>169.97499999999999</v>
      </c>
      <c r="E1068" s="116">
        <v>174.75</v>
      </c>
      <c r="F1068" s="116">
        <v>342.25</v>
      </c>
      <c r="G1068">
        <v>8814</v>
      </c>
      <c r="H1068" s="116"/>
      <c r="I1068" s="116"/>
      <c r="L1068" s="170">
        <v>43577</v>
      </c>
      <c r="M1068" s="116">
        <v>171.35</v>
      </c>
      <c r="N1068" s="116">
        <v>174.72499999999999</v>
      </c>
      <c r="O1068" s="116">
        <v>170.95</v>
      </c>
      <c r="P1068" s="116">
        <v>172</v>
      </c>
      <c r="Q1068" s="116">
        <v>342.7</v>
      </c>
      <c r="R1068">
        <v>9682</v>
      </c>
    </row>
    <row r="1069" spans="1:18" x14ac:dyDescent="0.25">
      <c r="A1069" s="170">
        <v>43578</v>
      </c>
      <c r="B1069" s="116">
        <v>174</v>
      </c>
      <c r="C1069" s="116">
        <v>172.47499999999999</v>
      </c>
      <c r="D1069" s="116">
        <v>170.52500000000001</v>
      </c>
      <c r="E1069" s="116">
        <v>171.375</v>
      </c>
      <c r="F1069" s="116">
        <v>344.95</v>
      </c>
      <c r="G1069">
        <v>5734</v>
      </c>
      <c r="H1069" s="116"/>
      <c r="I1069" s="116"/>
      <c r="L1069" s="170">
        <v>43578</v>
      </c>
      <c r="M1069" s="116">
        <v>171.77500000000001</v>
      </c>
      <c r="N1069" s="116">
        <v>174.22499999999999</v>
      </c>
      <c r="O1069" s="116">
        <v>170.625</v>
      </c>
      <c r="P1069" s="116">
        <v>171.05</v>
      </c>
      <c r="Q1069" s="116">
        <v>343.55</v>
      </c>
      <c r="R1069">
        <v>9120</v>
      </c>
    </row>
    <row r="1070" spans="1:18" x14ac:dyDescent="0.25">
      <c r="A1070" s="170">
        <v>43579</v>
      </c>
      <c r="B1070" s="116">
        <v>180</v>
      </c>
      <c r="C1070" s="116">
        <v>174.125</v>
      </c>
      <c r="D1070" s="116">
        <v>170.02500000000001</v>
      </c>
      <c r="E1070" s="116">
        <v>171.72499999999999</v>
      </c>
      <c r="F1070" s="116">
        <v>348.25</v>
      </c>
      <c r="G1070">
        <v>18772</v>
      </c>
      <c r="H1070" s="116"/>
      <c r="I1070" s="116"/>
      <c r="L1070" s="170">
        <v>43579</v>
      </c>
      <c r="M1070" s="116">
        <v>173.95</v>
      </c>
      <c r="N1070" s="116">
        <v>180</v>
      </c>
      <c r="O1070" s="116">
        <v>171</v>
      </c>
      <c r="P1070" s="116">
        <v>174.35</v>
      </c>
      <c r="Q1070" s="116">
        <v>347.9</v>
      </c>
      <c r="R1070">
        <v>101206</v>
      </c>
    </row>
    <row r="1071" spans="1:18" x14ac:dyDescent="0.25">
      <c r="A1071" s="170">
        <v>43580</v>
      </c>
      <c r="B1071" s="116">
        <v>177.5</v>
      </c>
      <c r="C1071" s="116">
        <v>175.47499999999999</v>
      </c>
      <c r="D1071" s="116">
        <v>172.9</v>
      </c>
      <c r="E1071" s="116">
        <v>174.02500000000001</v>
      </c>
      <c r="F1071" s="116">
        <v>350.95</v>
      </c>
      <c r="G1071">
        <v>5544</v>
      </c>
      <c r="H1071" s="116"/>
      <c r="I1071" s="116"/>
      <c r="L1071" s="170">
        <v>43580</v>
      </c>
      <c r="M1071" s="116">
        <v>175.07499999999999</v>
      </c>
      <c r="N1071" s="116">
        <v>177.97499999999999</v>
      </c>
      <c r="O1071" s="116">
        <v>172</v>
      </c>
      <c r="P1071" s="116">
        <v>173</v>
      </c>
      <c r="Q1071" s="116">
        <v>350.15</v>
      </c>
      <c r="R1071">
        <v>26340</v>
      </c>
    </row>
    <row r="1072" spans="1:18" x14ac:dyDescent="0.25">
      <c r="A1072" s="170">
        <v>43581</v>
      </c>
      <c r="B1072" s="116">
        <v>175.6</v>
      </c>
      <c r="C1072" s="116">
        <v>172.95</v>
      </c>
      <c r="D1072" s="116">
        <v>172.5</v>
      </c>
      <c r="E1072" s="116">
        <v>175.45</v>
      </c>
      <c r="F1072" s="116">
        <v>345.9</v>
      </c>
      <c r="G1072">
        <v>4128</v>
      </c>
      <c r="H1072" s="116"/>
      <c r="I1072" s="116"/>
      <c r="L1072" s="170">
        <v>43581</v>
      </c>
      <c r="M1072" s="116">
        <v>173.22499999999999</v>
      </c>
      <c r="N1072" s="116">
        <v>175.625</v>
      </c>
      <c r="O1072" s="116">
        <v>172.52500000000001</v>
      </c>
      <c r="P1072" s="116">
        <v>175.5</v>
      </c>
      <c r="Q1072" s="116">
        <v>346.45</v>
      </c>
      <c r="R1072">
        <v>19961</v>
      </c>
    </row>
    <row r="1073" spans="1:18" x14ac:dyDescent="0.25">
      <c r="A1073" s="170">
        <v>43585</v>
      </c>
      <c r="B1073" s="116">
        <v>175.625</v>
      </c>
      <c r="C1073" s="116">
        <v>172.02500000000001</v>
      </c>
      <c r="D1073" s="116">
        <v>170.6</v>
      </c>
      <c r="E1073" s="116">
        <v>173</v>
      </c>
      <c r="F1073" s="116">
        <v>344.05</v>
      </c>
      <c r="G1073">
        <v>7467</v>
      </c>
      <c r="H1073" s="116"/>
      <c r="I1073" s="116"/>
      <c r="L1073" s="170">
        <v>43585</v>
      </c>
      <c r="M1073" s="116">
        <v>172.2</v>
      </c>
      <c r="N1073" s="116">
        <v>175</v>
      </c>
      <c r="O1073" s="116">
        <v>170.875</v>
      </c>
      <c r="P1073" s="116">
        <v>172.5</v>
      </c>
      <c r="Q1073" s="116">
        <v>344.4</v>
      </c>
      <c r="R1073">
        <v>14381</v>
      </c>
    </row>
    <row r="1074" spans="1:18" x14ac:dyDescent="0.25">
      <c r="A1074" s="170">
        <v>43587</v>
      </c>
      <c r="B1074" s="116">
        <v>175.55</v>
      </c>
      <c r="C1074" s="116">
        <v>171.9</v>
      </c>
      <c r="D1074" s="116">
        <v>171</v>
      </c>
      <c r="E1074" s="116">
        <v>171</v>
      </c>
      <c r="F1074" s="116">
        <v>343.8</v>
      </c>
      <c r="G1074">
        <v>3685</v>
      </c>
      <c r="H1074" s="116"/>
      <c r="I1074" s="116"/>
      <c r="L1074" s="170">
        <v>43587</v>
      </c>
      <c r="M1074" s="116">
        <v>171.5</v>
      </c>
      <c r="N1074" s="116">
        <v>176.5</v>
      </c>
      <c r="O1074" s="116">
        <v>170</v>
      </c>
      <c r="P1074" s="116">
        <v>170</v>
      </c>
      <c r="Q1074" s="116">
        <v>343</v>
      </c>
      <c r="R1074">
        <v>17432</v>
      </c>
    </row>
    <row r="1075" spans="1:18" x14ac:dyDescent="0.25">
      <c r="A1075" s="170">
        <v>43588</v>
      </c>
      <c r="B1075" s="116">
        <v>174</v>
      </c>
      <c r="C1075" s="116">
        <v>172.25</v>
      </c>
      <c r="D1075" s="116">
        <v>171</v>
      </c>
      <c r="E1075" s="116">
        <v>171.125</v>
      </c>
      <c r="F1075" s="116">
        <v>344.5</v>
      </c>
      <c r="G1075">
        <v>1939</v>
      </c>
      <c r="H1075" s="116"/>
      <c r="I1075" s="116"/>
      <c r="L1075" s="170">
        <v>43588</v>
      </c>
      <c r="M1075" s="116">
        <v>172.52500000000001</v>
      </c>
      <c r="N1075" s="116">
        <v>173.82499999999999</v>
      </c>
      <c r="O1075" s="116">
        <v>171</v>
      </c>
      <c r="P1075" s="116">
        <v>171.5</v>
      </c>
      <c r="Q1075" s="116">
        <v>345.05</v>
      </c>
      <c r="R1075">
        <v>10627</v>
      </c>
    </row>
    <row r="1076" spans="1:18" x14ac:dyDescent="0.25">
      <c r="A1076" s="170">
        <v>43591</v>
      </c>
      <c r="B1076" s="116">
        <v>174.5</v>
      </c>
      <c r="C1076" s="116">
        <v>167.5</v>
      </c>
      <c r="D1076" s="116">
        <v>165</v>
      </c>
      <c r="E1076" s="116">
        <v>170.75</v>
      </c>
      <c r="F1076" s="116">
        <v>335</v>
      </c>
      <c r="G1076">
        <v>5545</v>
      </c>
      <c r="H1076" s="116"/>
      <c r="I1076" s="116"/>
      <c r="L1076" s="170">
        <v>43591</v>
      </c>
      <c r="M1076" s="116">
        <v>169.05</v>
      </c>
      <c r="N1076" s="116">
        <v>173.97499999999999</v>
      </c>
      <c r="O1076" s="116">
        <v>165.52500000000001</v>
      </c>
      <c r="P1076" s="116">
        <v>172.55</v>
      </c>
      <c r="Q1076" s="116">
        <v>338.1</v>
      </c>
      <c r="R1076">
        <v>41793</v>
      </c>
    </row>
    <row r="1077" spans="1:18" x14ac:dyDescent="0.25">
      <c r="A1077" s="170">
        <v>43592</v>
      </c>
      <c r="B1077" s="116">
        <v>169.97499999999999</v>
      </c>
      <c r="C1077" s="116">
        <v>165.47499999999999</v>
      </c>
      <c r="D1077" s="116">
        <v>163</v>
      </c>
      <c r="E1077" s="116">
        <v>167.5</v>
      </c>
      <c r="F1077" s="116">
        <v>330.95</v>
      </c>
      <c r="G1077">
        <v>2728</v>
      </c>
      <c r="H1077" s="116"/>
      <c r="I1077" s="116"/>
      <c r="L1077" s="170">
        <v>43592</v>
      </c>
      <c r="M1077" s="116">
        <v>165.1</v>
      </c>
      <c r="N1077" s="116">
        <v>171.6</v>
      </c>
      <c r="O1077" s="116">
        <v>162.875</v>
      </c>
      <c r="P1077" s="116">
        <v>171.6</v>
      </c>
      <c r="Q1077" s="116">
        <v>330.2</v>
      </c>
      <c r="R1077">
        <v>17200</v>
      </c>
    </row>
    <row r="1078" spans="1:18" x14ac:dyDescent="0.25">
      <c r="A1078" s="170">
        <v>43593</v>
      </c>
      <c r="B1078" s="116">
        <v>166.97499999999999</v>
      </c>
      <c r="C1078" s="116">
        <v>162.67500000000001</v>
      </c>
      <c r="D1078" s="116">
        <v>160.77500000000001</v>
      </c>
      <c r="E1078" s="116">
        <v>162</v>
      </c>
      <c r="F1078" s="116">
        <v>325.35000000000002</v>
      </c>
      <c r="G1078">
        <v>1602</v>
      </c>
      <c r="H1078" s="116"/>
      <c r="I1078" s="116"/>
      <c r="L1078" s="170">
        <v>43593</v>
      </c>
      <c r="M1078" s="116">
        <v>162.85</v>
      </c>
      <c r="N1078" s="116">
        <v>164.15</v>
      </c>
      <c r="O1078" s="116">
        <v>160</v>
      </c>
      <c r="P1078" s="116">
        <v>163.25</v>
      </c>
      <c r="Q1078" s="116">
        <v>325.7</v>
      </c>
      <c r="R1078">
        <v>71446</v>
      </c>
    </row>
    <row r="1079" spans="1:18" x14ac:dyDescent="0.25">
      <c r="A1079" s="170">
        <v>43594</v>
      </c>
      <c r="B1079" s="116">
        <v>165.75</v>
      </c>
      <c r="C1079" s="116">
        <v>164.125</v>
      </c>
      <c r="D1079" s="116">
        <v>160.02500000000001</v>
      </c>
      <c r="E1079" s="116">
        <v>161.32499999999999</v>
      </c>
      <c r="F1079" s="116">
        <v>328.25</v>
      </c>
      <c r="G1079">
        <v>3616</v>
      </c>
      <c r="H1079" s="116"/>
      <c r="I1079" s="116"/>
      <c r="L1079" s="170">
        <v>43594</v>
      </c>
      <c r="M1079" s="116">
        <v>163.5</v>
      </c>
      <c r="N1079" s="116">
        <v>165</v>
      </c>
      <c r="O1079" s="116">
        <v>159.67500000000001</v>
      </c>
      <c r="P1079" s="116">
        <v>161.55000000000001</v>
      </c>
      <c r="Q1079" s="116">
        <v>327</v>
      </c>
      <c r="R1079">
        <v>23747</v>
      </c>
    </row>
    <row r="1080" spans="1:18" x14ac:dyDescent="0.25">
      <c r="A1080" s="170">
        <v>43595</v>
      </c>
      <c r="B1080" s="116">
        <v>162.6</v>
      </c>
      <c r="C1080" s="116">
        <v>162.125</v>
      </c>
      <c r="D1080" s="116">
        <v>153.5</v>
      </c>
      <c r="E1080" s="116">
        <v>161.5</v>
      </c>
      <c r="F1080" s="116">
        <v>324.25</v>
      </c>
      <c r="G1080">
        <v>3869</v>
      </c>
      <c r="H1080" s="116"/>
      <c r="I1080" s="116"/>
      <c r="L1080" s="170">
        <v>43595</v>
      </c>
      <c r="M1080" s="116">
        <v>162.375</v>
      </c>
      <c r="N1080" s="116">
        <v>163.17500000000001</v>
      </c>
      <c r="O1080" s="116">
        <v>160.6</v>
      </c>
      <c r="P1080" s="116">
        <v>162.75</v>
      </c>
      <c r="Q1080" s="116">
        <v>324.75</v>
      </c>
      <c r="R1080">
        <v>14732</v>
      </c>
    </row>
    <row r="1081" spans="1:18" x14ac:dyDescent="0.25">
      <c r="A1081" s="170">
        <v>43598</v>
      </c>
      <c r="B1081" s="116">
        <v>161.94999999999999</v>
      </c>
      <c r="C1081" s="116">
        <v>158.07499999999999</v>
      </c>
      <c r="D1081" s="116">
        <v>156.80000000000001</v>
      </c>
      <c r="E1081" s="116">
        <v>160.77500000000001</v>
      </c>
      <c r="F1081" s="116">
        <v>316.14999999999998</v>
      </c>
      <c r="G1081">
        <v>7480</v>
      </c>
      <c r="H1081" s="116"/>
      <c r="I1081" s="116"/>
      <c r="L1081" s="170">
        <v>43598</v>
      </c>
      <c r="M1081" s="116">
        <v>159</v>
      </c>
      <c r="N1081" s="116">
        <v>162.27500000000001</v>
      </c>
      <c r="O1081" s="116">
        <v>156.5</v>
      </c>
      <c r="P1081" s="116">
        <v>161.55000000000001</v>
      </c>
      <c r="Q1081" s="116">
        <v>318</v>
      </c>
      <c r="R1081">
        <v>32584</v>
      </c>
    </row>
    <row r="1082" spans="1:18" x14ac:dyDescent="0.25">
      <c r="A1082" s="170">
        <v>43599</v>
      </c>
      <c r="B1082" s="116">
        <v>164</v>
      </c>
      <c r="C1082" s="116">
        <v>163.07499999999999</v>
      </c>
      <c r="D1082" s="116">
        <v>155.5</v>
      </c>
      <c r="E1082" s="116">
        <v>161.94999999999999</v>
      </c>
      <c r="F1082" s="116">
        <v>326.14999999999998</v>
      </c>
      <c r="G1082">
        <v>9897</v>
      </c>
      <c r="H1082" s="116"/>
      <c r="I1082" s="116"/>
      <c r="L1082" s="170">
        <v>43599</v>
      </c>
      <c r="M1082" s="116">
        <v>162.94999999999999</v>
      </c>
      <c r="N1082" s="116">
        <v>163.5</v>
      </c>
      <c r="O1082" s="116">
        <v>155.97499999999999</v>
      </c>
      <c r="P1082" s="116">
        <v>156.57499999999999</v>
      </c>
      <c r="Q1082" s="116">
        <v>325.89999999999998</v>
      </c>
      <c r="R1082">
        <v>40420</v>
      </c>
    </row>
    <row r="1083" spans="1:18" x14ac:dyDescent="0.25">
      <c r="A1083" s="170">
        <v>43600</v>
      </c>
      <c r="B1083" s="116">
        <v>167.25</v>
      </c>
      <c r="C1083" s="116">
        <v>164.9</v>
      </c>
      <c r="D1083" s="116">
        <v>160.5</v>
      </c>
      <c r="E1083" s="116">
        <v>161.5</v>
      </c>
      <c r="F1083" s="116">
        <v>329.8</v>
      </c>
      <c r="G1083">
        <v>778</v>
      </c>
      <c r="H1083" s="116"/>
      <c r="I1083" s="116"/>
      <c r="L1083" s="170">
        <v>43600</v>
      </c>
      <c r="M1083" s="116">
        <v>164.7</v>
      </c>
      <c r="N1083" s="116">
        <v>166.5</v>
      </c>
      <c r="O1083" s="116">
        <v>160.125</v>
      </c>
      <c r="P1083" s="116">
        <v>162.94999999999999</v>
      </c>
      <c r="Q1083" s="116">
        <v>329.4</v>
      </c>
      <c r="R1083">
        <v>49303</v>
      </c>
    </row>
    <row r="1084" spans="1:18" x14ac:dyDescent="0.25">
      <c r="A1084" s="170">
        <v>43601</v>
      </c>
      <c r="B1084" s="116">
        <v>166.5</v>
      </c>
      <c r="C1084" s="116">
        <v>165.5</v>
      </c>
      <c r="D1084" s="116">
        <v>162.15</v>
      </c>
      <c r="E1084" s="116">
        <v>163.69999999999999</v>
      </c>
      <c r="F1084" s="116">
        <v>331</v>
      </c>
      <c r="G1084">
        <v>3089</v>
      </c>
      <c r="H1084" s="116"/>
      <c r="I1084" s="116"/>
      <c r="L1084" s="170">
        <v>43601</v>
      </c>
      <c r="M1084" s="116">
        <v>165.47499999999999</v>
      </c>
      <c r="N1084" s="116">
        <v>166.2</v>
      </c>
      <c r="O1084" s="116">
        <v>161.44999999999999</v>
      </c>
      <c r="P1084" s="116">
        <v>165.3</v>
      </c>
      <c r="Q1084" s="116">
        <v>330.95</v>
      </c>
      <c r="R1084">
        <v>12155</v>
      </c>
    </row>
    <row r="1085" spans="1:18" x14ac:dyDescent="0.25">
      <c r="A1085" s="170">
        <v>43602</v>
      </c>
      <c r="B1085" s="116">
        <v>168.5</v>
      </c>
      <c r="C1085" s="116">
        <v>167.4</v>
      </c>
      <c r="D1085" s="116">
        <v>164.1</v>
      </c>
      <c r="E1085" s="116">
        <v>165.5</v>
      </c>
      <c r="F1085" s="116">
        <v>334.8</v>
      </c>
      <c r="G1085">
        <v>4857</v>
      </c>
      <c r="H1085" s="116"/>
      <c r="I1085" s="116"/>
      <c r="L1085" s="170">
        <v>43602</v>
      </c>
      <c r="M1085" s="116">
        <v>167.52500000000001</v>
      </c>
      <c r="N1085" s="116">
        <v>168.8</v>
      </c>
      <c r="O1085" s="116">
        <v>164.5</v>
      </c>
      <c r="P1085" s="116">
        <v>164.97499999999999</v>
      </c>
      <c r="Q1085" s="116">
        <v>335.05</v>
      </c>
      <c r="R1085">
        <v>99794</v>
      </c>
    </row>
    <row r="1086" spans="1:18" x14ac:dyDescent="0.25">
      <c r="A1086" s="170">
        <v>43605</v>
      </c>
      <c r="B1086" s="116">
        <v>171</v>
      </c>
      <c r="C1086" s="116">
        <v>169.95</v>
      </c>
      <c r="D1086" s="116">
        <v>167.02500000000001</v>
      </c>
      <c r="E1086" s="116">
        <v>168.65</v>
      </c>
      <c r="F1086" s="116">
        <v>339.9</v>
      </c>
      <c r="G1086">
        <v>3780</v>
      </c>
      <c r="H1086" s="116"/>
      <c r="I1086" s="116"/>
      <c r="L1086" s="170">
        <v>43605</v>
      </c>
      <c r="M1086" s="116">
        <v>170.125</v>
      </c>
      <c r="N1086" s="116">
        <v>171.5</v>
      </c>
      <c r="O1086" s="116">
        <v>167.5</v>
      </c>
      <c r="P1086" s="116">
        <v>169.5</v>
      </c>
      <c r="Q1086" s="116">
        <v>340.25</v>
      </c>
      <c r="R1086">
        <v>74835</v>
      </c>
    </row>
    <row r="1087" spans="1:18" x14ac:dyDescent="0.25">
      <c r="A1087" s="170">
        <v>43606</v>
      </c>
      <c r="B1087" s="116">
        <v>176</v>
      </c>
      <c r="C1087" s="116">
        <v>172.875</v>
      </c>
      <c r="D1087" s="116">
        <v>170</v>
      </c>
      <c r="E1087" s="116">
        <v>170.7</v>
      </c>
      <c r="F1087" s="116">
        <v>345.75</v>
      </c>
      <c r="G1087">
        <v>17199</v>
      </c>
      <c r="H1087" s="116"/>
      <c r="I1087" s="116"/>
      <c r="L1087" s="170">
        <v>43606</v>
      </c>
      <c r="M1087" s="116">
        <v>172.625</v>
      </c>
      <c r="N1087" s="116">
        <v>177</v>
      </c>
      <c r="O1087" s="116">
        <v>168.72499999999999</v>
      </c>
      <c r="P1087" s="116">
        <v>170</v>
      </c>
      <c r="Q1087" s="116">
        <v>345.25</v>
      </c>
      <c r="R1087">
        <v>125849</v>
      </c>
    </row>
    <row r="1088" spans="1:18" x14ac:dyDescent="0.25">
      <c r="A1088" s="170">
        <v>43607</v>
      </c>
      <c r="B1088" s="116">
        <v>188.82499999999999</v>
      </c>
      <c r="C1088" s="116">
        <v>181.92500000000001</v>
      </c>
      <c r="D1088" s="116">
        <v>175.5</v>
      </c>
      <c r="E1088" s="116">
        <v>178.8</v>
      </c>
      <c r="F1088" s="116">
        <v>363.85</v>
      </c>
      <c r="G1088">
        <v>57608</v>
      </c>
      <c r="H1088" s="116"/>
      <c r="I1088" s="116"/>
      <c r="L1088" s="170">
        <v>43607</v>
      </c>
      <c r="M1088" s="116">
        <v>182.45</v>
      </c>
      <c r="N1088" s="116">
        <v>189</v>
      </c>
      <c r="O1088" s="116">
        <v>175</v>
      </c>
      <c r="P1088" s="116">
        <v>179.92500000000001</v>
      </c>
      <c r="Q1088" s="116">
        <v>364.9</v>
      </c>
      <c r="R1088">
        <v>786949</v>
      </c>
    </row>
    <row r="1089" spans="1:18" x14ac:dyDescent="0.25">
      <c r="A1089" s="170">
        <v>43608</v>
      </c>
      <c r="B1089" s="116">
        <v>186.27500000000001</v>
      </c>
      <c r="C1089" s="116">
        <v>184.17500000000001</v>
      </c>
      <c r="D1089" s="116">
        <v>179.35</v>
      </c>
      <c r="E1089" s="116">
        <v>184.5</v>
      </c>
      <c r="F1089" s="116">
        <v>368.35</v>
      </c>
      <c r="G1089">
        <v>17494</v>
      </c>
      <c r="H1089" s="116"/>
      <c r="I1089" s="116"/>
      <c r="L1089" s="170">
        <v>43608</v>
      </c>
      <c r="M1089" s="116">
        <v>185</v>
      </c>
      <c r="N1089" s="116">
        <v>186.2</v>
      </c>
      <c r="O1089" s="116">
        <v>178.5</v>
      </c>
      <c r="P1089" s="116">
        <v>185</v>
      </c>
      <c r="Q1089" s="116">
        <v>370</v>
      </c>
      <c r="R1089">
        <v>136219</v>
      </c>
    </row>
    <row r="1090" spans="1:18" x14ac:dyDescent="0.25">
      <c r="A1090" s="170">
        <v>43609</v>
      </c>
      <c r="B1090" s="116">
        <v>188.5</v>
      </c>
      <c r="C1090" s="116">
        <v>187.875</v>
      </c>
      <c r="D1090" s="116">
        <v>183.875</v>
      </c>
      <c r="E1090" s="116">
        <v>186.72499999999999</v>
      </c>
      <c r="F1090" s="116">
        <v>375.75</v>
      </c>
      <c r="G1090">
        <v>16530</v>
      </c>
      <c r="H1090" s="116"/>
      <c r="I1090" s="116"/>
      <c r="L1090" s="170">
        <v>43609</v>
      </c>
      <c r="M1090" s="116">
        <v>188.15</v>
      </c>
      <c r="N1090" s="116">
        <v>189.5</v>
      </c>
      <c r="O1090" s="116">
        <v>183.82499999999999</v>
      </c>
      <c r="P1090" s="116">
        <v>187.5</v>
      </c>
      <c r="Q1090" s="116">
        <v>376.3</v>
      </c>
      <c r="R1090">
        <v>109522</v>
      </c>
    </row>
    <row r="1091" spans="1:18" x14ac:dyDescent="0.25">
      <c r="A1091" s="170">
        <v>43612</v>
      </c>
      <c r="B1091" s="116">
        <v>189.35</v>
      </c>
      <c r="C1091" s="116">
        <v>187.75</v>
      </c>
      <c r="D1091" s="116">
        <v>186</v>
      </c>
      <c r="E1091" s="116">
        <v>187.125</v>
      </c>
      <c r="F1091" s="116">
        <v>375.5</v>
      </c>
      <c r="G1091">
        <v>8932</v>
      </c>
      <c r="H1091" s="116"/>
      <c r="I1091" s="116"/>
      <c r="L1091" s="170">
        <v>43612</v>
      </c>
      <c r="M1091" s="116">
        <v>187.7</v>
      </c>
      <c r="N1091" s="116">
        <v>190.45</v>
      </c>
      <c r="O1091" s="116">
        <v>185.65</v>
      </c>
      <c r="P1091" s="116">
        <v>188</v>
      </c>
      <c r="Q1091" s="116">
        <v>375.4</v>
      </c>
      <c r="R1091">
        <v>53635</v>
      </c>
    </row>
    <row r="1092" spans="1:18" x14ac:dyDescent="0.25">
      <c r="A1092" s="170">
        <v>43613</v>
      </c>
      <c r="B1092" s="116">
        <v>203.55</v>
      </c>
      <c r="C1092" s="116">
        <v>191.9</v>
      </c>
      <c r="D1092" s="116">
        <v>187.5</v>
      </c>
      <c r="E1092" s="116">
        <v>188.27500000000001</v>
      </c>
      <c r="F1092" s="116">
        <v>383.8</v>
      </c>
      <c r="G1092">
        <v>35195</v>
      </c>
      <c r="H1092" s="116"/>
      <c r="I1092" s="116"/>
      <c r="L1092" s="170">
        <v>43613</v>
      </c>
      <c r="M1092" s="116">
        <v>192.625</v>
      </c>
      <c r="N1092" s="116">
        <v>203.5</v>
      </c>
      <c r="O1092" s="116">
        <v>187.55</v>
      </c>
      <c r="P1092" s="116">
        <v>191.15</v>
      </c>
      <c r="Q1092" s="116">
        <v>385.25</v>
      </c>
      <c r="R1092">
        <v>239005</v>
      </c>
    </row>
    <row r="1093" spans="1:18" x14ac:dyDescent="0.25">
      <c r="A1093" s="170">
        <v>43614</v>
      </c>
      <c r="B1093" s="116">
        <v>192.57499999999999</v>
      </c>
      <c r="C1093" s="116">
        <v>186.92500000000001</v>
      </c>
      <c r="D1093" s="116">
        <v>185.42500000000001</v>
      </c>
      <c r="E1093" s="116">
        <v>191.47499999999999</v>
      </c>
      <c r="F1093" s="116">
        <v>373.85</v>
      </c>
      <c r="G1093">
        <v>9330</v>
      </c>
      <c r="H1093" s="116"/>
      <c r="I1093" s="116"/>
      <c r="L1093" s="170">
        <v>43614</v>
      </c>
      <c r="M1093" s="116">
        <v>186.375</v>
      </c>
      <c r="N1093" s="116">
        <v>193.45</v>
      </c>
      <c r="O1093" s="116">
        <v>185.5</v>
      </c>
      <c r="P1093" s="116">
        <v>192.5</v>
      </c>
      <c r="Q1093" s="116">
        <v>372.75</v>
      </c>
      <c r="R1093">
        <v>55819</v>
      </c>
    </row>
    <row r="1094" spans="1:18" x14ac:dyDescent="0.25">
      <c r="A1094" s="170">
        <v>43615</v>
      </c>
      <c r="B1094" s="116">
        <v>189.4</v>
      </c>
      <c r="C1094" s="116">
        <v>186.07499999999999</v>
      </c>
      <c r="D1094" s="116">
        <v>184.02500000000001</v>
      </c>
      <c r="E1094" s="116">
        <v>188.875</v>
      </c>
      <c r="F1094" s="116">
        <v>372.15</v>
      </c>
      <c r="G1094">
        <v>2367</v>
      </c>
      <c r="H1094" s="116"/>
      <c r="I1094" s="116"/>
      <c r="L1094" s="170">
        <v>43615</v>
      </c>
      <c r="M1094" s="116">
        <v>185.57499999999999</v>
      </c>
      <c r="N1094" s="116">
        <v>189.8</v>
      </c>
      <c r="O1094" s="116">
        <v>184</v>
      </c>
      <c r="P1094" s="116">
        <v>186.5</v>
      </c>
      <c r="Q1094" s="116">
        <v>371.15</v>
      </c>
      <c r="R1094">
        <v>24604</v>
      </c>
    </row>
    <row r="1095" spans="1:18" x14ac:dyDescent="0.25">
      <c r="A1095" s="170">
        <v>43616</v>
      </c>
      <c r="B1095" s="116">
        <v>187.5</v>
      </c>
      <c r="C1095" s="116">
        <v>187</v>
      </c>
      <c r="D1095" s="116">
        <v>182</v>
      </c>
      <c r="E1095" s="116">
        <v>185.5</v>
      </c>
      <c r="F1095" s="116">
        <v>374</v>
      </c>
      <c r="G1095">
        <v>3573</v>
      </c>
      <c r="H1095" s="116"/>
      <c r="I1095" s="116"/>
      <c r="L1095" s="170">
        <v>43616</v>
      </c>
      <c r="M1095" s="116">
        <v>187.5</v>
      </c>
      <c r="N1095" s="116">
        <v>188.4</v>
      </c>
      <c r="O1095" s="116">
        <v>184.35</v>
      </c>
      <c r="P1095" s="116">
        <v>187.75</v>
      </c>
      <c r="Q1095" s="116">
        <v>375</v>
      </c>
      <c r="R1095">
        <v>54052</v>
      </c>
    </row>
    <row r="1096" spans="1:18" x14ac:dyDescent="0.25">
      <c r="A1096" s="170">
        <v>43619</v>
      </c>
      <c r="B1096" s="116">
        <v>187.5</v>
      </c>
      <c r="C1096" s="116">
        <v>187.375</v>
      </c>
      <c r="D1096" s="116">
        <v>184.45</v>
      </c>
      <c r="E1096" s="116">
        <v>187.47499999999999</v>
      </c>
      <c r="F1096" s="116">
        <v>374.75</v>
      </c>
      <c r="G1096">
        <v>3855</v>
      </c>
      <c r="H1096" s="116"/>
      <c r="I1096" s="116"/>
      <c r="L1096" s="170">
        <v>43619</v>
      </c>
      <c r="M1096" s="116">
        <v>187.97499999999999</v>
      </c>
      <c r="N1096" s="116">
        <v>189.97499999999999</v>
      </c>
      <c r="O1096" s="116">
        <v>185.02500000000001</v>
      </c>
      <c r="P1096" s="116">
        <v>189.97499999999999</v>
      </c>
      <c r="Q1096" s="116">
        <v>375.95</v>
      </c>
      <c r="R1096">
        <v>26568</v>
      </c>
    </row>
    <row r="1097" spans="1:18" x14ac:dyDescent="0.25">
      <c r="A1097" s="170">
        <v>43620</v>
      </c>
      <c r="B1097" s="116">
        <v>194.25</v>
      </c>
      <c r="C1097" s="116">
        <v>190.82499999999999</v>
      </c>
      <c r="D1097" s="116">
        <v>185.5</v>
      </c>
      <c r="E1097" s="116">
        <v>186.5</v>
      </c>
      <c r="F1097" s="116">
        <v>381.65</v>
      </c>
      <c r="G1097">
        <v>4410</v>
      </c>
      <c r="H1097" s="116"/>
      <c r="I1097" s="116"/>
      <c r="L1097" s="170">
        <v>43620</v>
      </c>
      <c r="M1097" s="116">
        <v>192.02500000000001</v>
      </c>
      <c r="N1097" s="116">
        <v>194.95</v>
      </c>
      <c r="O1097" s="116">
        <v>185.02500000000001</v>
      </c>
      <c r="P1097" s="116">
        <v>187.45</v>
      </c>
      <c r="Q1097" s="116">
        <v>384.05</v>
      </c>
      <c r="R1097">
        <v>76549</v>
      </c>
    </row>
    <row r="1098" spans="1:18" x14ac:dyDescent="0.25">
      <c r="A1098" s="170">
        <v>43622</v>
      </c>
      <c r="B1098" s="116">
        <v>191.42500000000001</v>
      </c>
      <c r="C1098" s="116">
        <v>190.35</v>
      </c>
      <c r="D1098" s="116">
        <v>188</v>
      </c>
      <c r="E1098" s="116">
        <v>190.375</v>
      </c>
      <c r="F1098" s="116">
        <v>380.7</v>
      </c>
      <c r="G1098">
        <v>2513</v>
      </c>
      <c r="H1098" s="116"/>
      <c r="I1098" s="116"/>
      <c r="L1098" s="170">
        <v>43622</v>
      </c>
      <c r="M1098" s="116">
        <v>189.85</v>
      </c>
      <c r="N1098" s="116">
        <v>192.5</v>
      </c>
      <c r="O1098" s="116">
        <v>187.5</v>
      </c>
      <c r="P1098" s="116">
        <v>192.02500000000001</v>
      </c>
      <c r="Q1098" s="116">
        <v>379.7</v>
      </c>
      <c r="R1098">
        <v>18620</v>
      </c>
    </row>
    <row r="1099" spans="1:18" x14ac:dyDescent="0.25">
      <c r="A1099" s="170">
        <v>43623</v>
      </c>
      <c r="B1099" s="116">
        <v>188.25</v>
      </c>
      <c r="C1099" s="116">
        <v>186.82499999999999</v>
      </c>
      <c r="D1099" s="116">
        <v>185</v>
      </c>
      <c r="E1099" s="116">
        <v>187.55</v>
      </c>
      <c r="F1099" s="116">
        <v>373.65</v>
      </c>
      <c r="G1099">
        <v>4982</v>
      </c>
      <c r="H1099" s="116"/>
      <c r="I1099" s="116"/>
      <c r="L1099" s="170">
        <v>43623</v>
      </c>
      <c r="M1099" s="116">
        <v>186.3</v>
      </c>
      <c r="N1099" s="116">
        <v>192.375</v>
      </c>
      <c r="O1099" s="116">
        <v>186</v>
      </c>
      <c r="P1099" s="116">
        <v>191.15</v>
      </c>
      <c r="Q1099" s="116">
        <v>372.6</v>
      </c>
      <c r="R1099">
        <v>26491</v>
      </c>
    </row>
    <row r="1100" spans="1:18" x14ac:dyDescent="0.25">
      <c r="A1100" s="170">
        <v>43626</v>
      </c>
      <c r="B1100" s="116">
        <v>190</v>
      </c>
      <c r="C1100" s="116">
        <v>184.65</v>
      </c>
      <c r="D1100" s="116">
        <v>184.05</v>
      </c>
      <c r="E1100" s="116">
        <v>189.42500000000001</v>
      </c>
      <c r="F1100" s="116">
        <v>369.3</v>
      </c>
      <c r="G1100">
        <v>4811</v>
      </c>
      <c r="H1100" s="116"/>
      <c r="I1100" s="116"/>
      <c r="L1100" s="170">
        <v>43626</v>
      </c>
      <c r="M1100" s="116">
        <v>185.22499999999999</v>
      </c>
      <c r="N1100" s="116">
        <v>190.82499999999999</v>
      </c>
      <c r="O1100" s="116">
        <v>184.07499999999999</v>
      </c>
      <c r="P1100" s="116">
        <v>187.2</v>
      </c>
      <c r="Q1100" s="116">
        <v>370.45</v>
      </c>
      <c r="R1100">
        <v>27494</v>
      </c>
    </row>
    <row r="1101" spans="1:18" x14ac:dyDescent="0.25">
      <c r="A1101" s="170">
        <v>43627</v>
      </c>
      <c r="B1101" s="116">
        <v>190.22499999999999</v>
      </c>
      <c r="C1101" s="116">
        <v>189.1</v>
      </c>
      <c r="D1101" s="116">
        <v>183.07499999999999</v>
      </c>
      <c r="E1101" s="116">
        <v>184.92500000000001</v>
      </c>
      <c r="F1101" s="116">
        <v>378.2</v>
      </c>
      <c r="G1101">
        <v>2801</v>
      </c>
      <c r="H1101" s="116"/>
      <c r="I1101" s="116"/>
      <c r="L1101" s="170">
        <v>43627</v>
      </c>
      <c r="M1101" s="116">
        <v>189.65</v>
      </c>
      <c r="N1101" s="116">
        <v>190.8</v>
      </c>
      <c r="O1101" s="116">
        <v>184</v>
      </c>
      <c r="P1101" s="116">
        <v>187.45</v>
      </c>
      <c r="Q1101" s="116">
        <v>379.3</v>
      </c>
      <c r="R1101">
        <v>64506</v>
      </c>
    </row>
    <row r="1102" spans="1:18" x14ac:dyDescent="0.25">
      <c r="A1102" s="170">
        <v>43628</v>
      </c>
      <c r="B1102" s="116">
        <v>188.5</v>
      </c>
      <c r="C1102" s="116">
        <v>185.97499999999999</v>
      </c>
      <c r="D1102" s="116">
        <v>185.1</v>
      </c>
      <c r="E1102" s="116">
        <v>188.5</v>
      </c>
      <c r="F1102" s="116">
        <v>371.95</v>
      </c>
      <c r="G1102">
        <v>1906</v>
      </c>
      <c r="H1102" s="116"/>
      <c r="I1102" s="116"/>
      <c r="L1102" s="170">
        <v>43628</v>
      </c>
      <c r="M1102" s="116">
        <v>186</v>
      </c>
      <c r="N1102" s="116">
        <v>189.5</v>
      </c>
      <c r="O1102" s="116">
        <v>184.75</v>
      </c>
      <c r="P1102" s="116">
        <v>189.5</v>
      </c>
      <c r="Q1102" s="116">
        <v>372</v>
      </c>
      <c r="R1102">
        <v>26835</v>
      </c>
    </row>
    <row r="1103" spans="1:18" x14ac:dyDescent="0.25">
      <c r="A1103" s="170">
        <v>43629</v>
      </c>
      <c r="B1103" s="116">
        <v>186.77500000000001</v>
      </c>
      <c r="C1103" s="116">
        <v>186</v>
      </c>
      <c r="D1103" s="116">
        <v>184.5</v>
      </c>
      <c r="E1103" s="116">
        <v>186.125</v>
      </c>
      <c r="F1103" s="116">
        <v>372</v>
      </c>
      <c r="G1103">
        <v>2499</v>
      </c>
      <c r="H1103" s="116"/>
      <c r="I1103" s="116"/>
      <c r="L1103" s="170">
        <v>43629</v>
      </c>
      <c r="M1103" s="116">
        <v>186.2</v>
      </c>
      <c r="N1103" s="116">
        <v>187.5</v>
      </c>
      <c r="O1103" s="116">
        <v>184.77500000000001</v>
      </c>
      <c r="P1103" s="116">
        <v>186.7</v>
      </c>
      <c r="Q1103" s="116">
        <v>372.4</v>
      </c>
      <c r="R1103">
        <v>35499</v>
      </c>
    </row>
    <row r="1104" spans="1:18" x14ac:dyDescent="0.25">
      <c r="A1104" s="170">
        <v>43630</v>
      </c>
      <c r="B1104" s="116">
        <v>191.85</v>
      </c>
      <c r="C1104" s="116">
        <v>187.3</v>
      </c>
      <c r="D1104" s="116">
        <v>186.32499999999999</v>
      </c>
      <c r="E1104" s="116">
        <v>188.45</v>
      </c>
      <c r="F1104" s="116">
        <v>374.6</v>
      </c>
      <c r="G1104">
        <v>1502</v>
      </c>
      <c r="H1104" s="116"/>
      <c r="I1104" s="116"/>
      <c r="L1104" s="170">
        <v>43630</v>
      </c>
      <c r="M1104" s="116">
        <v>188.02500000000001</v>
      </c>
      <c r="N1104" s="116">
        <v>192</v>
      </c>
      <c r="O1104" s="116">
        <v>185.02500000000001</v>
      </c>
      <c r="P1104" s="116">
        <v>185.02500000000001</v>
      </c>
      <c r="Q1104" s="116">
        <v>376.05</v>
      </c>
      <c r="R1104">
        <v>51727</v>
      </c>
    </row>
    <row r="1105" spans="1:18" x14ac:dyDescent="0.25">
      <c r="A1105" s="170">
        <v>43633</v>
      </c>
      <c r="B1105" s="116">
        <v>190.5</v>
      </c>
      <c r="C1105" s="116">
        <v>190.07499999999999</v>
      </c>
      <c r="D1105" s="116">
        <v>186.9</v>
      </c>
      <c r="E1105" s="116">
        <v>187.25</v>
      </c>
      <c r="F1105" s="116">
        <v>380.15</v>
      </c>
      <c r="G1105">
        <v>3373</v>
      </c>
      <c r="H1105" s="116"/>
      <c r="I1105" s="116"/>
      <c r="L1105" s="170">
        <v>43633</v>
      </c>
      <c r="M1105" s="116">
        <v>190.6</v>
      </c>
      <c r="N1105" s="116">
        <v>191</v>
      </c>
      <c r="O1105" s="116">
        <v>186.5</v>
      </c>
      <c r="P1105" s="116">
        <v>188.875</v>
      </c>
      <c r="Q1105" s="116">
        <v>381.2</v>
      </c>
      <c r="R1105">
        <v>39288</v>
      </c>
    </row>
    <row r="1106" spans="1:18" x14ac:dyDescent="0.25">
      <c r="A1106" s="170">
        <v>43634</v>
      </c>
      <c r="B1106" s="116">
        <v>191.75</v>
      </c>
      <c r="C1106" s="116">
        <v>188.72499999999999</v>
      </c>
      <c r="D1106" s="116">
        <v>187</v>
      </c>
      <c r="E1106" s="116">
        <v>191.75</v>
      </c>
      <c r="F1106" s="116">
        <v>377.45</v>
      </c>
      <c r="G1106">
        <v>8143</v>
      </c>
      <c r="H1106" s="116"/>
      <c r="I1106" s="116"/>
      <c r="L1106" s="170">
        <v>43634</v>
      </c>
      <c r="M1106" s="116">
        <v>188.65</v>
      </c>
      <c r="N1106" s="116">
        <v>192.32499999999999</v>
      </c>
      <c r="O1106" s="116">
        <v>186.6</v>
      </c>
      <c r="P1106" s="116">
        <v>189.375</v>
      </c>
      <c r="Q1106" s="116">
        <v>377.3</v>
      </c>
      <c r="R1106">
        <v>55796</v>
      </c>
    </row>
    <row r="1107" spans="1:18" x14ac:dyDescent="0.25">
      <c r="A1107" s="170">
        <v>43635</v>
      </c>
      <c r="B1107" s="116">
        <v>191.5</v>
      </c>
      <c r="C1107" s="116">
        <v>190.02500000000001</v>
      </c>
      <c r="D1107" s="116">
        <v>187.65</v>
      </c>
      <c r="E1107" s="116">
        <v>189.02500000000001</v>
      </c>
      <c r="F1107" s="116">
        <v>380.05</v>
      </c>
      <c r="G1107">
        <v>27214</v>
      </c>
      <c r="H1107" s="116"/>
      <c r="I1107" s="116"/>
      <c r="L1107" s="170">
        <v>43635</v>
      </c>
      <c r="M1107" s="116">
        <v>190.55</v>
      </c>
      <c r="N1107" s="116">
        <v>192</v>
      </c>
      <c r="O1107" s="116">
        <v>187.4</v>
      </c>
      <c r="P1107" s="116">
        <v>189.05</v>
      </c>
      <c r="Q1107" s="116">
        <v>381.1</v>
      </c>
      <c r="R1107">
        <v>71211</v>
      </c>
    </row>
    <row r="1108" spans="1:18" x14ac:dyDescent="0.25">
      <c r="A1108" s="170">
        <v>43636</v>
      </c>
      <c r="B1108" s="116">
        <v>189.875</v>
      </c>
      <c r="C1108" s="116">
        <v>185.9</v>
      </c>
      <c r="D1108" s="116">
        <v>185.5</v>
      </c>
      <c r="E1108" s="116">
        <v>189.875</v>
      </c>
      <c r="F1108" s="116">
        <v>371.8</v>
      </c>
      <c r="G1108">
        <v>1722</v>
      </c>
      <c r="H1108" s="116"/>
      <c r="I1108" s="116"/>
      <c r="L1108" s="170">
        <v>43636</v>
      </c>
      <c r="M1108" s="116">
        <v>186.1</v>
      </c>
      <c r="N1108" s="116">
        <v>190.4</v>
      </c>
      <c r="O1108" s="116">
        <v>185.05</v>
      </c>
      <c r="P1108" s="116">
        <v>190.27500000000001</v>
      </c>
      <c r="Q1108" s="116">
        <v>372.2</v>
      </c>
      <c r="R1108">
        <v>15453</v>
      </c>
    </row>
    <row r="1109" spans="1:18" x14ac:dyDescent="0.25">
      <c r="A1109" s="170">
        <v>43637</v>
      </c>
      <c r="B1109" s="116">
        <v>195.9</v>
      </c>
      <c r="C1109" s="116">
        <v>186.95</v>
      </c>
      <c r="D1109" s="116">
        <v>185.5</v>
      </c>
      <c r="E1109" s="116">
        <v>194.45</v>
      </c>
      <c r="F1109" s="116">
        <v>373.9</v>
      </c>
      <c r="G1109">
        <v>9655</v>
      </c>
      <c r="H1109" s="116"/>
      <c r="I1109" s="116"/>
      <c r="L1109" s="170">
        <v>43637</v>
      </c>
      <c r="M1109" s="116">
        <v>187.05</v>
      </c>
      <c r="N1109" s="116">
        <v>196</v>
      </c>
      <c r="O1109" s="116">
        <v>185.5</v>
      </c>
      <c r="P1109" s="116">
        <v>188</v>
      </c>
      <c r="Q1109" s="116">
        <v>374.1</v>
      </c>
      <c r="R1109">
        <v>130422</v>
      </c>
    </row>
    <row r="1110" spans="1:18" x14ac:dyDescent="0.25">
      <c r="A1110" s="170">
        <v>43640</v>
      </c>
      <c r="B1110" s="116">
        <v>188.05</v>
      </c>
      <c r="C1110" s="116">
        <v>182.42500000000001</v>
      </c>
      <c r="D1110" s="116">
        <v>181.27500000000001</v>
      </c>
      <c r="E1110" s="116">
        <v>187.6</v>
      </c>
      <c r="F1110" s="116">
        <v>364.85</v>
      </c>
      <c r="G1110">
        <v>3650</v>
      </c>
      <c r="H1110" s="116"/>
      <c r="I1110" s="116"/>
      <c r="L1110" s="170">
        <v>43640</v>
      </c>
      <c r="M1110" s="116">
        <v>182.4</v>
      </c>
      <c r="N1110" s="116">
        <v>188.5</v>
      </c>
      <c r="O1110" s="116">
        <v>181</v>
      </c>
      <c r="P1110" s="116">
        <v>188.5</v>
      </c>
      <c r="Q1110" s="116">
        <v>364.8</v>
      </c>
      <c r="R1110">
        <v>27281</v>
      </c>
    </row>
    <row r="1111" spans="1:18" x14ac:dyDescent="0.25">
      <c r="A1111" s="170">
        <v>43641</v>
      </c>
      <c r="B1111" s="116">
        <v>181.2</v>
      </c>
      <c r="C1111" s="116">
        <v>178.65</v>
      </c>
      <c r="D1111" s="116">
        <v>177.5</v>
      </c>
      <c r="E1111" s="116">
        <v>180.25</v>
      </c>
      <c r="F1111" s="116">
        <v>357.3</v>
      </c>
      <c r="G1111">
        <v>1383</v>
      </c>
      <c r="H1111" s="116"/>
      <c r="I1111" s="116"/>
      <c r="L1111" s="170">
        <v>43641</v>
      </c>
      <c r="M1111" s="116">
        <v>178.6</v>
      </c>
      <c r="N1111" s="116">
        <v>182.5</v>
      </c>
      <c r="O1111" s="116">
        <v>176.55</v>
      </c>
      <c r="P1111" s="116">
        <v>180.1</v>
      </c>
      <c r="Q1111" s="116">
        <v>357.2</v>
      </c>
      <c r="R1111">
        <v>17290</v>
      </c>
    </row>
    <row r="1112" spans="1:18" x14ac:dyDescent="0.25">
      <c r="A1112" s="170">
        <v>43642</v>
      </c>
      <c r="B1112" s="116">
        <v>182.5</v>
      </c>
      <c r="C1112" s="116">
        <v>180.32499999999999</v>
      </c>
      <c r="D1112" s="116">
        <v>178</v>
      </c>
      <c r="E1112" s="116">
        <v>178</v>
      </c>
      <c r="F1112" s="116">
        <v>360.65</v>
      </c>
      <c r="G1112">
        <v>9689</v>
      </c>
      <c r="H1112" s="116"/>
      <c r="I1112" s="116"/>
      <c r="L1112" s="170">
        <v>43642</v>
      </c>
      <c r="M1112" s="116">
        <v>180.15</v>
      </c>
      <c r="N1112" s="116">
        <v>183.17500000000001</v>
      </c>
      <c r="O1112" s="116">
        <v>177.07499999999999</v>
      </c>
      <c r="P1112" s="116">
        <v>177.07499999999999</v>
      </c>
      <c r="Q1112" s="116">
        <v>360.3</v>
      </c>
      <c r="R1112">
        <v>36513</v>
      </c>
    </row>
    <row r="1113" spans="1:18" x14ac:dyDescent="0.25">
      <c r="A1113" s="170">
        <v>43643</v>
      </c>
      <c r="B1113" s="116">
        <v>184.9</v>
      </c>
      <c r="C1113" s="116">
        <v>183.05</v>
      </c>
      <c r="D1113" s="116">
        <v>180</v>
      </c>
      <c r="E1113" s="116">
        <v>180.4</v>
      </c>
      <c r="F1113" s="116">
        <v>366.1</v>
      </c>
      <c r="G1113">
        <v>2218</v>
      </c>
      <c r="H1113" s="116"/>
      <c r="I1113" s="116"/>
      <c r="L1113" s="170">
        <v>43643</v>
      </c>
      <c r="M1113" s="116">
        <v>183.2</v>
      </c>
      <c r="N1113" s="116">
        <v>184.95</v>
      </c>
      <c r="O1113" s="116">
        <v>179.27500000000001</v>
      </c>
      <c r="P1113" s="116">
        <v>179.27500000000001</v>
      </c>
      <c r="Q1113" s="116">
        <v>366.4</v>
      </c>
      <c r="R1113">
        <v>29001</v>
      </c>
    </row>
    <row r="1114" spans="1:18" x14ac:dyDescent="0.25">
      <c r="A1114" s="170">
        <v>43644</v>
      </c>
      <c r="B1114" s="116">
        <v>187</v>
      </c>
      <c r="C1114" s="116">
        <v>182.07499999999999</v>
      </c>
      <c r="D1114" s="116">
        <v>179.77500000000001</v>
      </c>
      <c r="E1114" s="116">
        <v>184.6</v>
      </c>
      <c r="F1114" s="116">
        <v>364.15</v>
      </c>
      <c r="G1114">
        <v>9663</v>
      </c>
      <c r="H1114" s="116"/>
      <c r="I1114" s="116"/>
      <c r="L1114" s="170">
        <v>43644</v>
      </c>
      <c r="M1114" s="116">
        <v>183.4</v>
      </c>
      <c r="N1114" s="116">
        <v>187.5</v>
      </c>
      <c r="O1114" s="116">
        <v>180</v>
      </c>
      <c r="P1114" s="116">
        <v>183.2</v>
      </c>
      <c r="Q1114" s="116">
        <v>366.8</v>
      </c>
      <c r="R1114">
        <v>66290</v>
      </c>
    </row>
    <row r="1115" spans="1:18" x14ac:dyDescent="0.25">
      <c r="A1115" s="170">
        <v>43647</v>
      </c>
      <c r="B1115" s="116">
        <v>190.4</v>
      </c>
      <c r="C1115" s="116">
        <v>189.875</v>
      </c>
      <c r="D1115" s="116">
        <v>182.32499999999999</v>
      </c>
      <c r="E1115" s="116">
        <v>185.95</v>
      </c>
      <c r="F1115" s="116">
        <v>379.75</v>
      </c>
      <c r="G1115">
        <v>3227</v>
      </c>
      <c r="H1115" s="116"/>
      <c r="I1115" s="116"/>
      <c r="L1115" s="170">
        <v>43647</v>
      </c>
      <c r="M1115" s="116">
        <v>190.1</v>
      </c>
      <c r="N1115" s="116">
        <v>190.85</v>
      </c>
      <c r="O1115" s="116">
        <v>182</v>
      </c>
      <c r="P1115" s="116">
        <v>184</v>
      </c>
      <c r="Q1115" s="116">
        <v>380.2</v>
      </c>
      <c r="R1115">
        <v>55524</v>
      </c>
    </row>
    <row r="1116" spans="1:18" x14ac:dyDescent="0.25">
      <c r="A1116" s="170">
        <v>43648</v>
      </c>
      <c r="B1116" s="116">
        <v>192.5</v>
      </c>
      <c r="C1116" s="116">
        <v>186.27500000000001</v>
      </c>
      <c r="D1116" s="116">
        <v>184.5</v>
      </c>
      <c r="E1116" s="116">
        <v>192.5</v>
      </c>
      <c r="F1116" s="116">
        <v>372.55</v>
      </c>
      <c r="G1116">
        <v>6834</v>
      </c>
      <c r="H1116" s="116"/>
      <c r="I1116" s="116"/>
      <c r="L1116" s="170">
        <v>43648</v>
      </c>
      <c r="M1116" s="116">
        <v>187.22499999999999</v>
      </c>
      <c r="N1116" s="116">
        <v>192.75</v>
      </c>
      <c r="O1116" s="116">
        <v>184.07499999999999</v>
      </c>
      <c r="P1116" s="116">
        <v>192</v>
      </c>
      <c r="Q1116" s="116">
        <v>374.45</v>
      </c>
      <c r="R1116">
        <v>42760</v>
      </c>
    </row>
    <row r="1117" spans="1:18" x14ac:dyDescent="0.25">
      <c r="A1117" s="170">
        <v>43649</v>
      </c>
      <c r="B1117" s="116">
        <v>190.32499999999999</v>
      </c>
      <c r="C1117" s="116">
        <v>182.42500000000001</v>
      </c>
      <c r="D1117" s="116">
        <v>182.25</v>
      </c>
      <c r="E1117" s="116">
        <v>186.67500000000001</v>
      </c>
      <c r="F1117" s="116">
        <v>364.85</v>
      </c>
      <c r="G1117">
        <v>15190</v>
      </c>
      <c r="H1117" s="116"/>
      <c r="I1117" s="116"/>
      <c r="L1117" s="170">
        <v>43649</v>
      </c>
      <c r="M1117" s="116">
        <v>182.55</v>
      </c>
      <c r="N1117" s="116">
        <v>190.5</v>
      </c>
      <c r="O1117" s="116">
        <v>182.35</v>
      </c>
      <c r="P1117" s="116">
        <v>186.52500000000001</v>
      </c>
      <c r="Q1117" s="116">
        <v>365.1</v>
      </c>
      <c r="R1117">
        <v>174383</v>
      </c>
    </row>
    <row r="1118" spans="1:18" x14ac:dyDescent="0.25">
      <c r="A1118" s="170">
        <v>43650</v>
      </c>
      <c r="B1118" s="116">
        <v>183.75</v>
      </c>
      <c r="C1118" s="116">
        <v>182.57499999999999</v>
      </c>
      <c r="D1118" s="116">
        <v>182.5</v>
      </c>
      <c r="E1118" s="116">
        <v>183.25</v>
      </c>
      <c r="F1118" s="116">
        <v>365.15</v>
      </c>
      <c r="G1118">
        <v>720</v>
      </c>
      <c r="H1118" s="116"/>
      <c r="I1118" s="116"/>
      <c r="L1118" s="170">
        <v>43650</v>
      </c>
      <c r="M1118" s="116">
        <v>182.57499999999999</v>
      </c>
      <c r="N1118" s="116">
        <v>184.02500000000001</v>
      </c>
      <c r="O1118" s="116">
        <v>182.35</v>
      </c>
      <c r="P1118" s="116">
        <v>182.35</v>
      </c>
      <c r="Q1118" s="116">
        <v>365.15</v>
      </c>
      <c r="R1118">
        <v>20790</v>
      </c>
    </row>
    <row r="1119" spans="1:18" x14ac:dyDescent="0.25">
      <c r="A1119" s="170">
        <v>43651</v>
      </c>
      <c r="B1119" s="116">
        <v>183.2</v>
      </c>
      <c r="C1119" s="116">
        <v>182.27500000000001</v>
      </c>
      <c r="D1119" s="116">
        <v>181.92500000000001</v>
      </c>
      <c r="E1119" s="116">
        <v>182.5</v>
      </c>
      <c r="F1119" s="116">
        <v>364.55</v>
      </c>
      <c r="G1119">
        <v>1213</v>
      </c>
      <c r="H1119" s="116"/>
      <c r="I1119" s="116"/>
      <c r="L1119" s="170">
        <v>43651</v>
      </c>
      <c r="M1119" s="116">
        <v>182.5</v>
      </c>
      <c r="N1119" s="116">
        <v>183.55</v>
      </c>
      <c r="O1119" s="116">
        <v>180</v>
      </c>
      <c r="P1119" s="116">
        <v>180</v>
      </c>
      <c r="Q1119" s="116">
        <v>365</v>
      </c>
      <c r="R1119">
        <v>19592</v>
      </c>
    </row>
    <row r="1120" spans="1:18" x14ac:dyDescent="0.25">
      <c r="A1120" s="170">
        <v>43654</v>
      </c>
      <c r="B1120" s="116">
        <v>184.4</v>
      </c>
      <c r="C1120" s="116">
        <v>183.52500000000001</v>
      </c>
      <c r="D1120" s="116">
        <v>180.8</v>
      </c>
      <c r="E1120" s="116">
        <v>180.8</v>
      </c>
      <c r="F1120" s="116">
        <v>367.05</v>
      </c>
      <c r="G1120">
        <v>985</v>
      </c>
      <c r="H1120" s="116"/>
      <c r="I1120" s="116"/>
      <c r="L1120" s="170">
        <v>43654</v>
      </c>
      <c r="M1120" s="116">
        <v>183.9</v>
      </c>
      <c r="N1120" s="116">
        <v>184.57499999999999</v>
      </c>
      <c r="O1120" s="116">
        <v>181</v>
      </c>
      <c r="P1120" s="116">
        <v>181</v>
      </c>
      <c r="Q1120" s="116">
        <v>367.8</v>
      </c>
      <c r="R1120">
        <v>20857</v>
      </c>
    </row>
    <row r="1121" spans="1:18" x14ac:dyDescent="0.25">
      <c r="A1121" s="170">
        <v>43655</v>
      </c>
      <c r="B1121" s="116">
        <v>187.5</v>
      </c>
      <c r="C1121" s="116">
        <v>186.92500000000001</v>
      </c>
      <c r="D1121" s="116">
        <v>181.52500000000001</v>
      </c>
      <c r="E1121" s="116">
        <v>184.5</v>
      </c>
      <c r="F1121" s="116">
        <v>373.85</v>
      </c>
      <c r="G1121">
        <v>1466</v>
      </c>
      <c r="H1121" s="116"/>
      <c r="I1121" s="116"/>
      <c r="L1121" s="170">
        <v>43655</v>
      </c>
      <c r="M1121" s="116">
        <v>187.125</v>
      </c>
      <c r="N1121" s="116">
        <v>187.85</v>
      </c>
      <c r="O1121" s="116">
        <v>181.5</v>
      </c>
      <c r="P1121" s="116">
        <v>183.15</v>
      </c>
      <c r="Q1121" s="116">
        <v>374.25</v>
      </c>
      <c r="R1121">
        <v>26114</v>
      </c>
    </row>
    <row r="1122" spans="1:18" x14ac:dyDescent="0.25">
      <c r="A1122" s="170">
        <v>43656</v>
      </c>
      <c r="B1122" s="116">
        <v>186.625</v>
      </c>
      <c r="C1122" s="116">
        <v>184.375</v>
      </c>
      <c r="D1122" s="116">
        <v>180.6</v>
      </c>
      <c r="E1122" s="116">
        <v>185.3</v>
      </c>
      <c r="F1122" s="116">
        <v>368.75</v>
      </c>
      <c r="G1122">
        <v>1927</v>
      </c>
      <c r="H1122" s="116"/>
      <c r="I1122" s="116"/>
      <c r="L1122" s="170">
        <v>43656</v>
      </c>
      <c r="M1122" s="116">
        <v>184.77500000000001</v>
      </c>
      <c r="N1122" s="116">
        <v>187.5</v>
      </c>
      <c r="O1122" s="116">
        <v>182.5</v>
      </c>
      <c r="P1122" s="116">
        <v>187.5</v>
      </c>
      <c r="Q1122" s="116">
        <v>369.55</v>
      </c>
      <c r="R1122">
        <v>21522</v>
      </c>
    </row>
    <row r="1123" spans="1:18" x14ac:dyDescent="0.25">
      <c r="A1123" s="170">
        <v>43657</v>
      </c>
      <c r="B1123" s="116">
        <v>185.25</v>
      </c>
      <c r="C1123" s="116">
        <v>182.375</v>
      </c>
      <c r="D1123" s="116">
        <v>182.07499999999999</v>
      </c>
      <c r="E1123" s="116">
        <v>183.25</v>
      </c>
      <c r="F1123" s="116">
        <v>364.75</v>
      </c>
      <c r="G1123">
        <v>1671</v>
      </c>
      <c r="H1123" s="116"/>
      <c r="I1123" s="116"/>
      <c r="L1123" s="170">
        <v>43657</v>
      </c>
      <c r="M1123" s="116">
        <v>182.2</v>
      </c>
      <c r="N1123" s="116">
        <v>185.32499999999999</v>
      </c>
      <c r="O1123" s="116">
        <v>181.65</v>
      </c>
      <c r="P1123" s="116">
        <v>183.625</v>
      </c>
      <c r="Q1123" s="116">
        <v>364.4</v>
      </c>
      <c r="R1123">
        <v>27418</v>
      </c>
    </row>
    <row r="1124" spans="1:18" x14ac:dyDescent="0.25">
      <c r="A1124" s="170">
        <v>43658</v>
      </c>
      <c r="B1124" s="116">
        <v>188.5</v>
      </c>
      <c r="C1124" s="116">
        <v>188</v>
      </c>
      <c r="D1124" s="116">
        <v>183.1</v>
      </c>
      <c r="E1124" s="116">
        <v>183.1</v>
      </c>
      <c r="F1124" s="116">
        <v>376</v>
      </c>
      <c r="G1124">
        <v>2154</v>
      </c>
      <c r="H1124" s="116"/>
      <c r="I1124" s="116"/>
      <c r="L1124" s="170">
        <v>43658</v>
      </c>
      <c r="M1124" s="116">
        <v>188.32499999999999</v>
      </c>
      <c r="N1124" s="116">
        <v>189</v>
      </c>
      <c r="O1124" s="116">
        <v>180.07499999999999</v>
      </c>
      <c r="P1124" s="116">
        <v>180.07499999999999</v>
      </c>
      <c r="Q1124" s="116">
        <v>376.65</v>
      </c>
      <c r="R1124">
        <v>28962</v>
      </c>
    </row>
    <row r="1125" spans="1:18" x14ac:dyDescent="0.25">
      <c r="A1125" s="170">
        <v>43661</v>
      </c>
      <c r="B1125" s="116">
        <v>190</v>
      </c>
      <c r="C1125" s="116">
        <v>183.875</v>
      </c>
      <c r="D1125" s="116">
        <v>183.1</v>
      </c>
      <c r="E1125" s="116">
        <v>188.5</v>
      </c>
      <c r="F1125" s="116">
        <v>367.75</v>
      </c>
      <c r="G1125">
        <v>371</v>
      </c>
      <c r="H1125" s="116"/>
      <c r="I1125" s="116"/>
      <c r="L1125" s="170">
        <v>43661</v>
      </c>
      <c r="M1125" s="116">
        <v>184.45</v>
      </c>
      <c r="N1125" s="116">
        <v>189.95</v>
      </c>
      <c r="O1125" s="116">
        <v>183.5</v>
      </c>
      <c r="P1125" s="116">
        <v>186.52500000000001</v>
      </c>
      <c r="Q1125" s="116">
        <v>368.9</v>
      </c>
      <c r="R1125">
        <v>47579</v>
      </c>
    </row>
    <row r="1126" spans="1:18" x14ac:dyDescent="0.25">
      <c r="A1126" s="170">
        <v>43662</v>
      </c>
      <c r="B1126" s="116">
        <v>187.1</v>
      </c>
      <c r="C1126" s="116">
        <v>185.17500000000001</v>
      </c>
      <c r="D1126" s="116">
        <v>183.95</v>
      </c>
      <c r="E1126" s="116">
        <v>185.15</v>
      </c>
      <c r="F1126" s="116">
        <v>370.35</v>
      </c>
      <c r="G1126">
        <v>1213</v>
      </c>
      <c r="H1126" s="116"/>
      <c r="I1126" s="116"/>
      <c r="L1126" s="170">
        <v>43662</v>
      </c>
      <c r="M1126" s="116">
        <v>185.55</v>
      </c>
      <c r="N1126" s="116">
        <v>187.4</v>
      </c>
      <c r="O1126" s="116">
        <v>183.97499999999999</v>
      </c>
      <c r="P1126" s="116">
        <v>185</v>
      </c>
      <c r="Q1126" s="116">
        <v>371.1</v>
      </c>
      <c r="R1126">
        <v>150737</v>
      </c>
    </row>
    <row r="1127" spans="1:18" x14ac:dyDescent="0.25">
      <c r="A1127" s="170">
        <v>43663</v>
      </c>
      <c r="B1127" s="116">
        <v>189.5</v>
      </c>
      <c r="C1127" s="116">
        <v>185.92500000000001</v>
      </c>
      <c r="D1127" s="116">
        <v>184.57499999999999</v>
      </c>
      <c r="E1127" s="116">
        <v>186</v>
      </c>
      <c r="F1127" s="116">
        <v>371.85</v>
      </c>
      <c r="G1127">
        <v>3232</v>
      </c>
      <c r="H1127" s="116"/>
      <c r="I1127" s="116"/>
      <c r="L1127" s="170">
        <v>43663</v>
      </c>
      <c r="M1127" s="116">
        <v>185.625</v>
      </c>
      <c r="N1127" s="116">
        <v>189.05</v>
      </c>
      <c r="O1127" s="116">
        <v>183.875</v>
      </c>
      <c r="P1127" s="116">
        <v>185</v>
      </c>
      <c r="Q1127" s="116">
        <v>371.25</v>
      </c>
      <c r="R1127">
        <v>15234</v>
      </c>
    </row>
    <row r="1128" spans="1:18" x14ac:dyDescent="0.25">
      <c r="A1128" s="170">
        <v>43664</v>
      </c>
      <c r="B1128" s="116">
        <v>189.75</v>
      </c>
      <c r="C1128" s="116">
        <v>184.75</v>
      </c>
      <c r="D1128" s="116">
        <v>184.4</v>
      </c>
      <c r="E1128" s="116">
        <v>185.5</v>
      </c>
      <c r="F1128" s="116">
        <v>369.5</v>
      </c>
      <c r="G1128">
        <v>6058</v>
      </c>
      <c r="H1128" s="116"/>
      <c r="I1128" s="116"/>
      <c r="L1128" s="170">
        <v>43664</v>
      </c>
      <c r="M1128" s="116">
        <v>185</v>
      </c>
      <c r="N1128" s="116">
        <v>190</v>
      </c>
      <c r="O1128" s="116">
        <v>184.52500000000001</v>
      </c>
      <c r="P1128" s="116">
        <v>186</v>
      </c>
      <c r="Q1128" s="116">
        <v>370</v>
      </c>
      <c r="R1128">
        <v>20524</v>
      </c>
    </row>
    <row r="1129" spans="1:18" x14ac:dyDescent="0.25">
      <c r="A1129" s="170">
        <v>43665</v>
      </c>
      <c r="B1129" s="116">
        <v>186.15</v>
      </c>
      <c r="C1129" s="116">
        <v>185.22499999999999</v>
      </c>
      <c r="D1129" s="116">
        <v>182.5</v>
      </c>
      <c r="E1129" s="116">
        <v>184.52500000000001</v>
      </c>
      <c r="F1129" s="116">
        <v>370.45</v>
      </c>
      <c r="G1129">
        <v>2374</v>
      </c>
      <c r="H1129" s="116"/>
      <c r="I1129" s="116"/>
      <c r="L1129" s="170">
        <v>43665</v>
      </c>
      <c r="M1129" s="116">
        <v>185.47499999999999</v>
      </c>
      <c r="N1129" s="116">
        <v>186.45</v>
      </c>
      <c r="O1129" s="116">
        <v>180.97499999999999</v>
      </c>
      <c r="P1129" s="116">
        <v>185.5</v>
      </c>
      <c r="Q1129" s="116">
        <v>370.95</v>
      </c>
      <c r="R1129">
        <v>35103</v>
      </c>
    </row>
    <row r="1130" spans="1:18" x14ac:dyDescent="0.25">
      <c r="A1130" s="170">
        <v>43668</v>
      </c>
      <c r="B1130" s="116">
        <v>185</v>
      </c>
      <c r="C1130" s="116">
        <v>182.8</v>
      </c>
      <c r="D1130" s="116">
        <v>182</v>
      </c>
      <c r="E1130" s="116">
        <v>183.7</v>
      </c>
      <c r="F1130" s="116">
        <v>365.6</v>
      </c>
      <c r="G1130">
        <v>2425</v>
      </c>
      <c r="H1130" s="116"/>
      <c r="I1130" s="116"/>
      <c r="L1130" s="170">
        <v>43668</v>
      </c>
      <c r="M1130" s="116">
        <v>184.125</v>
      </c>
      <c r="N1130" s="116">
        <v>185.375</v>
      </c>
      <c r="O1130" s="116">
        <v>182.47499999999999</v>
      </c>
      <c r="P1130" s="116">
        <v>184.92500000000001</v>
      </c>
      <c r="Q1130" s="116">
        <v>368.25</v>
      </c>
      <c r="R1130">
        <v>19548</v>
      </c>
    </row>
    <row r="1131" spans="1:18" x14ac:dyDescent="0.25">
      <c r="A1131" s="170">
        <v>43669</v>
      </c>
      <c r="B1131" s="116">
        <v>185</v>
      </c>
      <c r="C1131" s="116">
        <v>183.8</v>
      </c>
      <c r="D1131" s="116">
        <v>183.05</v>
      </c>
      <c r="E1131" s="116">
        <v>183.05</v>
      </c>
      <c r="F1131" s="116">
        <v>367.6</v>
      </c>
      <c r="G1131">
        <v>550</v>
      </c>
      <c r="H1131" s="116"/>
      <c r="I1131" s="116"/>
      <c r="L1131" s="170">
        <v>43669</v>
      </c>
      <c r="M1131" s="116">
        <v>184.15</v>
      </c>
      <c r="N1131" s="116">
        <v>185.35</v>
      </c>
      <c r="O1131" s="116">
        <v>183</v>
      </c>
      <c r="P1131" s="116">
        <v>183.1</v>
      </c>
      <c r="Q1131" s="116">
        <v>368.3</v>
      </c>
      <c r="R1131">
        <v>7660</v>
      </c>
    </row>
    <row r="1132" spans="1:18" x14ac:dyDescent="0.25">
      <c r="A1132" s="170">
        <v>43670</v>
      </c>
      <c r="B1132" s="116">
        <v>185.35</v>
      </c>
      <c r="C1132" s="116">
        <v>183.72499999999999</v>
      </c>
      <c r="D1132" s="116">
        <v>183.5</v>
      </c>
      <c r="E1132" s="116">
        <v>185</v>
      </c>
      <c r="F1132" s="116">
        <v>367.45</v>
      </c>
      <c r="G1132">
        <v>1945</v>
      </c>
      <c r="H1132" s="116"/>
      <c r="I1132" s="116"/>
      <c r="L1132" s="170">
        <v>43670</v>
      </c>
      <c r="M1132" s="116">
        <v>184.05</v>
      </c>
      <c r="N1132" s="116">
        <v>185.77500000000001</v>
      </c>
      <c r="O1132" s="116">
        <v>183.27500000000001</v>
      </c>
      <c r="P1132" s="116">
        <v>183.27500000000001</v>
      </c>
      <c r="Q1132" s="116">
        <v>368.1</v>
      </c>
      <c r="R1132">
        <v>38774</v>
      </c>
    </row>
    <row r="1133" spans="1:18" x14ac:dyDescent="0.25">
      <c r="A1133" s="170">
        <v>43671</v>
      </c>
      <c r="B1133" s="116">
        <v>186.42500000000001</v>
      </c>
      <c r="C1133" s="116">
        <v>185.9</v>
      </c>
      <c r="D1133" s="116">
        <v>184.15</v>
      </c>
      <c r="E1133" s="116">
        <v>184.32499999999999</v>
      </c>
      <c r="F1133" s="116">
        <v>371.8</v>
      </c>
      <c r="G1133">
        <v>5188</v>
      </c>
      <c r="H1133" s="116"/>
      <c r="I1133" s="116"/>
      <c r="L1133" s="170">
        <v>43671</v>
      </c>
      <c r="M1133" s="116">
        <v>185.97499999999999</v>
      </c>
      <c r="N1133" s="116">
        <v>186.5</v>
      </c>
      <c r="O1133" s="116">
        <v>183.5</v>
      </c>
      <c r="P1133" s="116">
        <v>183.5</v>
      </c>
      <c r="Q1133" s="116">
        <v>371.95</v>
      </c>
      <c r="R1133">
        <v>62870</v>
      </c>
    </row>
    <row r="1134" spans="1:18" x14ac:dyDescent="0.25">
      <c r="A1134" s="170">
        <v>43672</v>
      </c>
      <c r="B1134" s="116">
        <v>186.55</v>
      </c>
      <c r="C1134" s="116">
        <v>185.375</v>
      </c>
      <c r="D1134" s="116">
        <v>185.02500000000001</v>
      </c>
      <c r="E1134" s="116">
        <v>186</v>
      </c>
      <c r="F1134" s="116">
        <v>370.75</v>
      </c>
      <c r="G1134">
        <v>1142</v>
      </c>
      <c r="H1134" s="116"/>
      <c r="I1134" s="116"/>
      <c r="L1134" s="170">
        <v>43672</v>
      </c>
      <c r="M1134" s="116">
        <v>185.52500000000001</v>
      </c>
      <c r="N1134" s="116">
        <v>187.5</v>
      </c>
      <c r="O1134" s="116">
        <v>184.7</v>
      </c>
      <c r="P1134" s="116">
        <v>186.22499999999999</v>
      </c>
      <c r="Q1134" s="116">
        <v>371.05</v>
      </c>
      <c r="R1134">
        <v>12251</v>
      </c>
    </row>
    <row r="1135" spans="1:18" x14ac:dyDescent="0.25">
      <c r="A1135" s="170">
        <v>43675</v>
      </c>
      <c r="B1135" s="116">
        <v>186.67500000000001</v>
      </c>
      <c r="C1135" s="116">
        <v>186.125</v>
      </c>
      <c r="D1135" s="116">
        <v>183.5</v>
      </c>
      <c r="E1135" s="116">
        <v>185.07499999999999</v>
      </c>
      <c r="F1135" s="116">
        <v>372.25</v>
      </c>
      <c r="G1135">
        <v>4878</v>
      </c>
      <c r="H1135" s="116"/>
      <c r="I1135" s="116"/>
      <c r="L1135" s="170">
        <v>43675</v>
      </c>
      <c r="M1135" s="116">
        <v>186.375</v>
      </c>
      <c r="N1135" s="116">
        <v>187</v>
      </c>
      <c r="O1135" s="116">
        <v>183.1</v>
      </c>
      <c r="P1135" s="116">
        <v>185.97499999999999</v>
      </c>
      <c r="Q1135" s="116">
        <v>372.75</v>
      </c>
      <c r="R1135">
        <v>100103</v>
      </c>
    </row>
    <row r="1136" spans="1:18" x14ac:dyDescent="0.25">
      <c r="A1136" s="170">
        <v>43676</v>
      </c>
      <c r="B1136" s="116">
        <v>188.52500000000001</v>
      </c>
      <c r="C1136" s="116">
        <v>184.6</v>
      </c>
      <c r="D1136" s="116">
        <v>184</v>
      </c>
      <c r="E1136" s="116">
        <v>186.375</v>
      </c>
      <c r="F1136" s="116">
        <v>369.2</v>
      </c>
      <c r="G1136">
        <v>2107</v>
      </c>
      <c r="H1136" s="116"/>
      <c r="I1136" s="116"/>
      <c r="L1136" s="170">
        <v>43676</v>
      </c>
      <c r="M1136" s="116">
        <v>185.4</v>
      </c>
      <c r="N1136" s="116">
        <v>189.45</v>
      </c>
      <c r="O1136" s="116">
        <v>184.97499999999999</v>
      </c>
      <c r="P1136" s="116">
        <v>188</v>
      </c>
      <c r="Q1136" s="116">
        <v>370.8</v>
      </c>
      <c r="R1136">
        <v>20825</v>
      </c>
    </row>
    <row r="1137" spans="1:18" x14ac:dyDescent="0.25">
      <c r="A1137" s="170">
        <v>43677</v>
      </c>
      <c r="B1137" s="116">
        <v>187.27500000000001</v>
      </c>
      <c r="C1137" s="116">
        <v>185.35</v>
      </c>
      <c r="D1137" s="116">
        <v>184.55</v>
      </c>
      <c r="E1137" s="116">
        <v>184.625</v>
      </c>
      <c r="F1137" s="116">
        <v>370.7</v>
      </c>
      <c r="G1137">
        <v>2489</v>
      </c>
      <c r="H1137" s="116"/>
      <c r="I1137" s="116"/>
      <c r="L1137" s="170">
        <v>43677</v>
      </c>
      <c r="M1137" s="116">
        <v>185.375</v>
      </c>
      <c r="N1137" s="116">
        <v>187.52500000000001</v>
      </c>
      <c r="O1137" s="116">
        <v>184</v>
      </c>
      <c r="P1137" s="116">
        <v>184</v>
      </c>
      <c r="Q1137" s="116">
        <v>370.75</v>
      </c>
      <c r="R1137">
        <v>33278</v>
      </c>
    </row>
    <row r="1138" spans="1:18" x14ac:dyDescent="0.25">
      <c r="A1138" s="170">
        <v>43678</v>
      </c>
      <c r="B1138" s="116">
        <v>186.27500000000001</v>
      </c>
      <c r="C1138" s="116">
        <v>185.2</v>
      </c>
      <c r="D1138" s="116">
        <v>184.47499999999999</v>
      </c>
      <c r="E1138" s="116">
        <v>185.82499999999999</v>
      </c>
      <c r="F1138" s="116">
        <v>370.4</v>
      </c>
      <c r="G1138">
        <v>5032</v>
      </c>
      <c r="H1138" s="116"/>
      <c r="I1138" s="116"/>
      <c r="L1138" s="170">
        <v>43678</v>
      </c>
      <c r="M1138" s="116">
        <v>185.35</v>
      </c>
      <c r="N1138" s="116">
        <v>187.5</v>
      </c>
      <c r="O1138" s="116">
        <v>184.5</v>
      </c>
      <c r="P1138" s="116">
        <v>185.02500000000001</v>
      </c>
      <c r="Q1138" s="116">
        <v>370.7</v>
      </c>
      <c r="R1138">
        <v>26382</v>
      </c>
    </row>
    <row r="1139" spans="1:18" x14ac:dyDescent="0.25">
      <c r="A1139" s="170">
        <v>43679</v>
      </c>
      <c r="B1139" s="116">
        <v>184.4</v>
      </c>
      <c r="C1139" s="116">
        <v>183.47499999999999</v>
      </c>
      <c r="D1139" s="116">
        <v>181.5</v>
      </c>
      <c r="E1139" s="116">
        <v>184.22499999999999</v>
      </c>
      <c r="F1139" s="116">
        <v>366.95</v>
      </c>
      <c r="G1139">
        <v>1520</v>
      </c>
      <c r="H1139" s="116"/>
      <c r="I1139" s="116"/>
      <c r="L1139" s="170">
        <v>43679</v>
      </c>
      <c r="M1139" s="116">
        <v>183.65</v>
      </c>
      <c r="N1139" s="116">
        <v>184.95</v>
      </c>
      <c r="O1139" s="116">
        <v>181</v>
      </c>
      <c r="P1139" s="116">
        <v>184.625</v>
      </c>
      <c r="Q1139" s="116">
        <v>367.3</v>
      </c>
      <c r="R1139">
        <v>25847</v>
      </c>
    </row>
    <row r="1140" spans="1:18" x14ac:dyDescent="0.25">
      <c r="A1140" s="170">
        <v>43682</v>
      </c>
      <c r="B1140" s="116">
        <v>184.9</v>
      </c>
      <c r="C1140" s="116">
        <v>182.97499999999999</v>
      </c>
      <c r="D1140" s="116">
        <v>181.47499999999999</v>
      </c>
      <c r="E1140" s="116">
        <v>181.47499999999999</v>
      </c>
      <c r="F1140" s="116">
        <v>365.95</v>
      </c>
      <c r="G1140">
        <v>1057</v>
      </c>
      <c r="H1140" s="116"/>
      <c r="I1140" s="116"/>
      <c r="L1140" s="170">
        <v>43682</v>
      </c>
      <c r="M1140" s="116">
        <v>183.2</v>
      </c>
      <c r="N1140" s="116">
        <v>185.8</v>
      </c>
      <c r="O1140" s="116">
        <v>181.02500000000001</v>
      </c>
      <c r="P1140" s="116">
        <v>184.1</v>
      </c>
      <c r="Q1140" s="116">
        <v>366.4</v>
      </c>
      <c r="R1140">
        <v>21274</v>
      </c>
    </row>
    <row r="1141" spans="1:18" x14ac:dyDescent="0.25">
      <c r="A1141" s="170">
        <v>43683</v>
      </c>
      <c r="B1141" s="116">
        <v>184.9</v>
      </c>
      <c r="C1141" s="116">
        <v>183.15</v>
      </c>
      <c r="D1141" s="116">
        <v>181.2</v>
      </c>
      <c r="E1141" s="116">
        <v>182.35</v>
      </c>
      <c r="F1141" s="116">
        <v>366.3</v>
      </c>
      <c r="G1141">
        <v>543</v>
      </c>
      <c r="H1141" s="116"/>
      <c r="I1141" s="116"/>
      <c r="L1141" s="170">
        <v>43683</v>
      </c>
      <c r="M1141" s="116">
        <v>183.27500000000001</v>
      </c>
      <c r="N1141" s="116">
        <v>185.5</v>
      </c>
      <c r="O1141" s="116">
        <v>181</v>
      </c>
      <c r="P1141" s="116">
        <v>181.5</v>
      </c>
      <c r="Q1141" s="116">
        <v>366.55</v>
      </c>
      <c r="R1141">
        <v>24407</v>
      </c>
    </row>
    <row r="1142" spans="1:18" x14ac:dyDescent="0.25">
      <c r="A1142" s="170">
        <v>43684</v>
      </c>
      <c r="B1142" s="116">
        <v>183.875</v>
      </c>
      <c r="C1142" s="116">
        <v>183.05</v>
      </c>
      <c r="D1142" s="116">
        <v>182.5</v>
      </c>
      <c r="E1142" s="116">
        <v>182.5</v>
      </c>
      <c r="F1142" s="116">
        <v>366.1</v>
      </c>
      <c r="G1142">
        <v>30</v>
      </c>
      <c r="H1142" s="116"/>
      <c r="I1142" s="116"/>
      <c r="L1142" s="170">
        <v>43684</v>
      </c>
      <c r="M1142" s="116">
        <v>182.97499999999999</v>
      </c>
      <c r="N1142" s="116">
        <v>184.7</v>
      </c>
      <c r="O1142" s="116">
        <v>182.5</v>
      </c>
      <c r="P1142" s="116">
        <v>182.5</v>
      </c>
      <c r="Q1142" s="116">
        <v>365.95</v>
      </c>
      <c r="R1142">
        <v>9678</v>
      </c>
    </row>
    <row r="1143" spans="1:18" x14ac:dyDescent="0.25">
      <c r="A1143" s="170">
        <v>43685</v>
      </c>
      <c r="B1143" s="116">
        <v>185.47499999999999</v>
      </c>
      <c r="C1143" s="116">
        <v>184.52500000000001</v>
      </c>
      <c r="D1143" s="116">
        <v>182.45</v>
      </c>
      <c r="E1143" s="116">
        <v>183.5</v>
      </c>
      <c r="F1143" s="116">
        <v>369.05</v>
      </c>
      <c r="G1143">
        <v>2226</v>
      </c>
      <c r="H1143" s="116"/>
      <c r="I1143" s="116"/>
      <c r="L1143" s="170">
        <v>43685</v>
      </c>
      <c r="M1143" s="116">
        <v>184.97499999999999</v>
      </c>
      <c r="N1143" s="116">
        <v>185.52500000000001</v>
      </c>
      <c r="O1143" s="116">
        <v>182.5</v>
      </c>
      <c r="P1143" s="116">
        <v>182.5</v>
      </c>
      <c r="Q1143" s="116">
        <v>369.95</v>
      </c>
      <c r="R1143">
        <v>19719</v>
      </c>
    </row>
    <row r="1144" spans="1:18" x14ac:dyDescent="0.25">
      <c r="A1144" s="170">
        <v>43686</v>
      </c>
      <c r="B1144" s="116">
        <v>187.2</v>
      </c>
      <c r="C1144" s="116">
        <v>186</v>
      </c>
      <c r="D1144" s="116">
        <v>185.35</v>
      </c>
      <c r="E1144" s="116">
        <v>186.35</v>
      </c>
      <c r="F1144" s="116">
        <v>372</v>
      </c>
      <c r="G1144">
        <v>3641</v>
      </c>
      <c r="H1144" s="116"/>
      <c r="I1144" s="116"/>
      <c r="L1144" s="170">
        <v>43686</v>
      </c>
      <c r="M1144" s="116">
        <v>185.82499999999999</v>
      </c>
      <c r="N1144" s="116">
        <v>187.5</v>
      </c>
      <c r="O1144" s="116">
        <v>184.52500000000001</v>
      </c>
      <c r="P1144" s="116">
        <v>184.52500000000001</v>
      </c>
      <c r="Q1144" s="116">
        <v>371.65</v>
      </c>
      <c r="R1144">
        <v>197682</v>
      </c>
    </row>
    <row r="1145" spans="1:18" x14ac:dyDescent="0.25">
      <c r="A1145" s="170">
        <v>43690</v>
      </c>
      <c r="B1145" s="116">
        <v>189</v>
      </c>
      <c r="C1145" s="116">
        <v>187.4</v>
      </c>
      <c r="D1145" s="116">
        <v>186</v>
      </c>
      <c r="E1145" s="116">
        <v>187.22499999999999</v>
      </c>
      <c r="F1145" s="116">
        <v>374.8</v>
      </c>
      <c r="G1145">
        <v>15204</v>
      </c>
      <c r="H1145" s="116"/>
      <c r="I1145" s="116"/>
      <c r="L1145" s="170">
        <v>43690</v>
      </c>
      <c r="M1145" s="116">
        <v>187.17500000000001</v>
      </c>
      <c r="N1145" s="116">
        <v>189.95</v>
      </c>
      <c r="O1145" s="116">
        <v>185.07499999999999</v>
      </c>
      <c r="P1145" s="116">
        <v>186.02500000000001</v>
      </c>
      <c r="Q1145" s="116">
        <v>374.35</v>
      </c>
      <c r="R1145">
        <v>105376</v>
      </c>
    </row>
    <row r="1146" spans="1:18" x14ac:dyDescent="0.25">
      <c r="A1146" s="170">
        <v>43691</v>
      </c>
      <c r="B1146" s="116">
        <v>190</v>
      </c>
      <c r="C1146" s="116">
        <v>187.6</v>
      </c>
      <c r="D1146" s="116">
        <v>186.32499999999999</v>
      </c>
      <c r="E1146" s="116">
        <v>187.5</v>
      </c>
      <c r="F1146" s="116">
        <v>375.2</v>
      </c>
      <c r="G1146">
        <v>8270</v>
      </c>
      <c r="H1146" s="116"/>
      <c r="I1146" s="116"/>
      <c r="L1146" s="170">
        <v>43691</v>
      </c>
      <c r="M1146" s="116">
        <v>187.72499999999999</v>
      </c>
      <c r="N1146" s="116">
        <v>190.45</v>
      </c>
      <c r="O1146" s="116">
        <v>186.3</v>
      </c>
      <c r="P1146" s="116">
        <v>189</v>
      </c>
      <c r="Q1146" s="116">
        <v>375.45</v>
      </c>
      <c r="R1146">
        <v>78627</v>
      </c>
    </row>
    <row r="1147" spans="1:18" x14ac:dyDescent="0.25">
      <c r="A1147" s="170">
        <v>43693</v>
      </c>
      <c r="B1147" s="116">
        <v>188.4</v>
      </c>
      <c r="C1147" s="116">
        <v>188</v>
      </c>
      <c r="D1147" s="116">
        <v>187</v>
      </c>
      <c r="E1147" s="116">
        <v>188.4</v>
      </c>
      <c r="F1147" s="116">
        <v>376</v>
      </c>
      <c r="G1147">
        <v>6243</v>
      </c>
      <c r="H1147" s="116"/>
      <c r="I1147" s="116"/>
      <c r="L1147" s="170">
        <v>43693</v>
      </c>
      <c r="M1147" s="116">
        <v>187.95</v>
      </c>
      <c r="N1147" s="116">
        <v>188.95</v>
      </c>
      <c r="O1147" s="116">
        <v>187</v>
      </c>
      <c r="P1147" s="116">
        <v>187.72499999999999</v>
      </c>
      <c r="Q1147" s="116">
        <v>375.9</v>
      </c>
      <c r="R1147">
        <v>23045</v>
      </c>
    </row>
    <row r="1148" spans="1:18" x14ac:dyDescent="0.25">
      <c r="A1148" s="170">
        <v>43696</v>
      </c>
      <c r="B1148" s="116">
        <v>190.5</v>
      </c>
      <c r="C1148" s="116">
        <v>189.125</v>
      </c>
      <c r="D1148" s="116">
        <v>188.15</v>
      </c>
      <c r="E1148" s="116">
        <v>189.7</v>
      </c>
      <c r="F1148" s="116">
        <v>378.25</v>
      </c>
      <c r="G1148">
        <v>3468</v>
      </c>
      <c r="H1148" s="116"/>
      <c r="I1148" s="116"/>
      <c r="L1148" s="170">
        <v>43696</v>
      </c>
      <c r="M1148" s="116">
        <v>189.65</v>
      </c>
      <c r="N1148" s="116">
        <v>190.7</v>
      </c>
      <c r="O1148" s="116">
        <v>187.95</v>
      </c>
      <c r="P1148" s="116">
        <v>187.95</v>
      </c>
      <c r="Q1148" s="116">
        <v>379.3</v>
      </c>
      <c r="R1148">
        <v>29102</v>
      </c>
    </row>
    <row r="1149" spans="1:18" x14ac:dyDescent="0.25">
      <c r="A1149" s="170">
        <v>43697</v>
      </c>
      <c r="B1149" s="116">
        <v>190.97499999999999</v>
      </c>
      <c r="C1149" s="116">
        <v>189.8</v>
      </c>
      <c r="D1149" s="116">
        <v>188.625</v>
      </c>
      <c r="E1149" s="116">
        <v>190.5</v>
      </c>
      <c r="F1149" s="116">
        <v>379.6</v>
      </c>
      <c r="G1149">
        <v>3920</v>
      </c>
      <c r="H1149" s="116"/>
      <c r="I1149" s="116"/>
      <c r="L1149" s="170">
        <v>43697</v>
      </c>
      <c r="M1149" s="116">
        <v>190.02500000000001</v>
      </c>
      <c r="N1149" s="116">
        <v>191.45</v>
      </c>
      <c r="O1149" s="116">
        <v>188.5</v>
      </c>
      <c r="P1149" s="116">
        <v>189.27500000000001</v>
      </c>
      <c r="Q1149" s="116">
        <v>380.05</v>
      </c>
      <c r="R1149">
        <v>40626</v>
      </c>
    </row>
    <row r="1150" spans="1:18" x14ac:dyDescent="0.25">
      <c r="A1150" s="170">
        <v>43698</v>
      </c>
      <c r="B1150" s="116">
        <v>190.97499999999999</v>
      </c>
      <c r="C1150" s="116">
        <v>189.65</v>
      </c>
      <c r="D1150" s="116">
        <v>189.2</v>
      </c>
      <c r="E1150" s="116">
        <v>190.3</v>
      </c>
      <c r="F1150" s="116">
        <v>379.3</v>
      </c>
      <c r="G1150">
        <v>2520</v>
      </c>
      <c r="H1150" s="116"/>
      <c r="I1150" s="116"/>
      <c r="L1150" s="170">
        <v>43698</v>
      </c>
      <c r="M1150" s="116">
        <v>190</v>
      </c>
      <c r="N1150" s="116">
        <v>191.3</v>
      </c>
      <c r="O1150" s="116">
        <v>189.5</v>
      </c>
      <c r="P1150" s="116">
        <v>190.97499999999999</v>
      </c>
      <c r="Q1150" s="116">
        <v>380</v>
      </c>
      <c r="R1150">
        <v>26003</v>
      </c>
    </row>
    <row r="1151" spans="1:18" x14ac:dyDescent="0.25">
      <c r="A1151" s="170">
        <v>43699</v>
      </c>
      <c r="B1151" s="116">
        <v>190.7</v>
      </c>
      <c r="C1151" s="116">
        <v>190.15</v>
      </c>
      <c r="D1151" s="116">
        <v>189.85</v>
      </c>
      <c r="E1151" s="116">
        <v>190.57499999999999</v>
      </c>
      <c r="F1151" s="116">
        <v>380.3</v>
      </c>
      <c r="G1151">
        <v>3899</v>
      </c>
      <c r="H1151" s="116"/>
      <c r="I1151" s="116"/>
      <c r="L1151" s="170">
        <v>43699</v>
      </c>
      <c r="M1151" s="116">
        <v>190</v>
      </c>
      <c r="N1151" s="116">
        <v>191</v>
      </c>
      <c r="O1151" s="116">
        <v>189.125</v>
      </c>
      <c r="P1151" s="116">
        <v>190.02500000000001</v>
      </c>
      <c r="Q1151" s="116">
        <v>380</v>
      </c>
      <c r="R1151">
        <v>109039</v>
      </c>
    </row>
    <row r="1152" spans="1:18" x14ac:dyDescent="0.25">
      <c r="A1152" s="170">
        <v>43700</v>
      </c>
      <c r="B1152" s="116">
        <v>187.5</v>
      </c>
      <c r="C1152" s="116">
        <v>187.1</v>
      </c>
      <c r="D1152" s="116">
        <v>185.5</v>
      </c>
      <c r="E1152" s="116">
        <v>186.3</v>
      </c>
      <c r="F1152" s="116">
        <v>374.2</v>
      </c>
      <c r="G1152">
        <v>1347</v>
      </c>
      <c r="H1152" s="116"/>
      <c r="I1152" s="116"/>
      <c r="L1152" s="170">
        <v>43700</v>
      </c>
      <c r="M1152" s="116">
        <v>187.15</v>
      </c>
      <c r="N1152" s="116">
        <v>190.05</v>
      </c>
      <c r="O1152" s="116">
        <v>185.35</v>
      </c>
      <c r="P1152" s="116">
        <v>190.05</v>
      </c>
      <c r="Q1152" s="116">
        <v>374.3</v>
      </c>
      <c r="R1152">
        <v>27102</v>
      </c>
    </row>
    <row r="1153" spans="1:18" x14ac:dyDescent="0.25">
      <c r="A1153" s="170">
        <v>43703</v>
      </c>
      <c r="B1153" s="116">
        <v>189.3</v>
      </c>
      <c r="C1153" s="116">
        <v>187.52500000000001</v>
      </c>
      <c r="D1153" s="116">
        <v>187.3</v>
      </c>
      <c r="E1153" s="116">
        <v>189.02500000000001</v>
      </c>
      <c r="F1153" s="116">
        <v>375.05</v>
      </c>
      <c r="G1153">
        <v>2382</v>
      </c>
      <c r="H1153" s="116"/>
      <c r="I1153" s="116"/>
      <c r="L1153" s="170">
        <v>43703</v>
      </c>
      <c r="M1153" s="116">
        <v>187.6</v>
      </c>
      <c r="N1153" s="116">
        <v>191.15</v>
      </c>
      <c r="O1153" s="116">
        <v>187.05</v>
      </c>
      <c r="P1153" s="116">
        <v>191.15</v>
      </c>
      <c r="Q1153" s="116">
        <v>375.2</v>
      </c>
      <c r="R1153">
        <v>12811</v>
      </c>
    </row>
    <row r="1154" spans="1:18" x14ac:dyDescent="0.25">
      <c r="A1154" s="170">
        <v>43704</v>
      </c>
      <c r="B1154" s="116">
        <v>189.27500000000001</v>
      </c>
      <c r="C1154" s="116">
        <v>188.42500000000001</v>
      </c>
      <c r="D1154" s="116">
        <v>186.72499999999999</v>
      </c>
      <c r="E1154" s="116">
        <v>187.92500000000001</v>
      </c>
      <c r="F1154" s="116">
        <v>376.85</v>
      </c>
      <c r="G1154">
        <v>1838</v>
      </c>
      <c r="H1154" s="116"/>
      <c r="I1154" s="116"/>
      <c r="L1154" s="170">
        <v>43704</v>
      </c>
      <c r="M1154" s="116">
        <v>188.45</v>
      </c>
      <c r="N1154" s="116">
        <v>189.875</v>
      </c>
      <c r="O1154" s="116">
        <v>186.85</v>
      </c>
      <c r="P1154" s="116">
        <v>187.75</v>
      </c>
      <c r="Q1154" s="116">
        <v>376.9</v>
      </c>
      <c r="R1154">
        <v>31108</v>
      </c>
    </row>
    <row r="1155" spans="1:18" x14ac:dyDescent="0.25">
      <c r="A1155" s="170">
        <v>43705</v>
      </c>
      <c r="B1155" s="116">
        <v>188.125</v>
      </c>
      <c r="C1155" s="116">
        <v>187.9</v>
      </c>
      <c r="D1155" s="116">
        <v>186.75</v>
      </c>
      <c r="E1155" s="116">
        <v>187.25</v>
      </c>
      <c r="F1155" s="116">
        <v>375.8</v>
      </c>
      <c r="G1155">
        <v>11084</v>
      </c>
      <c r="H1155" s="116"/>
      <c r="I1155" s="116"/>
      <c r="L1155" s="170">
        <v>43705</v>
      </c>
      <c r="M1155" s="116">
        <v>188.05</v>
      </c>
      <c r="N1155" s="116">
        <v>188.97499999999999</v>
      </c>
      <c r="O1155" s="116">
        <v>186.52500000000001</v>
      </c>
      <c r="P1155" s="116">
        <v>186.52500000000001</v>
      </c>
      <c r="Q1155" s="116">
        <v>376.1</v>
      </c>
      <c r="R1155">
        <v>43073</v>
      </c>
    </row>
    <row r="1156" spans="1:18" x14ac:dyDescent="0.25">
      <c r="A1156" s="170">
        <v>43706</v>
      </c>
      <c r="B1156" s="116">
        <v>189</v>
      </c>
      <c r="C1156" s="116">
        <v>188.2</v>
      </c>
      <c r="D1156" s="116">
        <v>187.52500000000001</v>
      </c>
      <c r="E1156" s="116">
        <v>188.25</v>
      </c>
      <c r="F1156" s="116">
        <v>376.4</v>
      </c>
      <c r="G1156">
        <v>749</v>
      </c>
      <c r="H1156" s="116"/>
      <c r="I1156" s="116"/>
      <c r="L1156" s="170">
        <v>43706</v>
      </c>
      <c r="M1156" s="116">
        <v>188.5</v>
      </c>
      <c r="N1156" s="116">
        <v>190</v>
      </c>
      <c r="O1156" s="116">
        <v>185.5</v>
      </c>
      <c r="P1156" s="116">
        <v>185.5</v>
      </c>
      <c r="Q1156" s="116">
        <v>377</v>
      </c>
      <c r="R1156">
        <v>100352</v>
      </c>
    </row>
    <row r="1157" spans="1:18" x14ac:dyDescent="0.25">
      <c r="A1157" s="170">
        <v>43707</v>
      </c>
      <c r="B1157" s="116">
        <v>194.9</v>
      </c>
      <c r="C1157" s="116">
        <v>191.07499999999999</v>
      </c>
      <c r="D1157" s="116">
        <v>188.75</v>
      </c>
      <c r="E1157" s="116">
        <v>188.75</v>
      </c>
      <c r="F1157" s="116">
        <v>382.15</v>
      </c>
      <c r="G1157">
        <v>7384</v>
      </c>
      <c r="H1157" s="116"/>
      <c r="I1157" s="116"/>
      <c r="L1157" s="170">
        <v>43707</v>
      </c>
      <c r="M1157" s="116">
        <v>191.375</v>
      </c>
      <c r="N1157" s="116">
        <v>195.25</v>
      </c>
      <c r="O1157" s="116">
        <v>188.05</v>
      </c>
      <c r="P1157" s="116">
        <v>188.5</v>
      </c>
      <c r="Q1157" s="116">
        <v>382.75</v>
      </c>
      <c r="R1157">
        <v>152177</v>
      </c>
    </row>
    <row r="1158" spans="1:18" x14ac:dyDescent="0.25">
      <c r="A1158" s="170">
        <v>43711</v>
      </c>
      <c r="B1158" s="116">
        <v>194</v>
      </c>
      <c r="C1158" s="116">
        <v>189.07499999999999</v>
      </c>
      <c r="D1158" s="116">
        <v>188.5</v>
      </c>
      <c r="E1158" s="116">
        <v>191</v>
      </c>
      <c r="F1158" s="116">
        <v>378.15</v>
      </c>
      <c r="G1158">
        <v>2205</v>
      </c>
      <c r="H1158" s="116"/>
      <c r="I1158" s="116"/>
      <c r="L1158" s="170">
        <v>43711</v>
      </c>
      <c r="M1158" s="116">
        <v>188.85</v>
      </c>
      <c r="N1158" s="116">
        <v>194.97499999999999</v>
      </c>
      <c r="O1158" s="116">
        <v>188.5</v>
      </c>
      <c r="P1158" s="116">
        <v>191.5</v>
      </c>
      <c r="Q1158" s="116">
        <v>377.7</v>
      </c>
      <c r="R1158">
        <v>135504</v>
      </c>
    </row>
    <row r="1159" spans="1:18" x14ac:dyDescent="0.25">
      <c r="A1159" s="170">
        <v>43712</v>
      </c>
      <c r="B1159" s="116">
        <v>190</v>
      </c>
      <c r="C1159" s="116">
        <v>188.27500000000001</v>
      </c>
      <c r="D1159" s="116">
        <v>187.05</v>
      </c>
      <c r="E1159" s="116">
        <v>190</v>
      </c>
      <c r="F1159" s="116">
        <v>376.55</v>
      </c>
      <c r="G1159">
        <v>1901</v>
      </c>
      <c r="H1159" s="116"/>
      <c r="I1159" s="116"/>
      <c r="L1159" s="170">
        <v>43712</v>
      </c>
      <c r="M1159" s="116">
        <v>188.2</v>
      </c>
      <c r="N1159" s="116">
        <v>191.97499999999999</v>
      </c>
      <c r="O1159" s="116">
        <v>187.02500000000001</v>
      </c>
      <c r="P1159" s="116">
        <v>188.5</v>
      </c>
      <c r="Q1159" s="116">
        <v>376.4</v>
      </c>
      <c r="R1159">
        <v>34061</v>
      </c>
    </row>
    <row r="1160" spans="1:18" x14ac:dyDescent="0.25">
      <c r="A1160" s="170">
        <v>43713</v>
      </c>
      <c r="B1160" s="116">
        <v>192.22499999999999</v>
      </c>
      <c r="C1160" s="116">
        <v>189.75</v>
      </c>
      <c r="D1160" s="116">
        <v>188.3</v>
      </c>
      <c r="E1160" s="116">
        <v>190.47499999999999</v>
      </c>
      <c r="F1160" s="116">
        <v>379.5</v>
      </c>
      <c r="G1160">
        <v>1363</v>
      </c>
      <c r="H1160" s="116"/>
      <c r="I1160" s="116"/>
      <c r="L1160" s="170">
        <v>43713</v>
      </c>
      <c r="M1160" s="116">
        <v>189</v>
      </c>
      <c r="N1160" s="116">
        <v>192.5</v>
      </c>
      <c r="O1160" s="116">
        <v>188.05</v>
      </c>
      <c r="P1160" s="116">
        <v>188.5</v>
      </c>
      <c r="Q1160" s="116">
        <v>378</v>
      </c>
      <c r="R1160">
        <v>56604</v>
      </c>
    </row>
    <row r="1161" spans="1:18" x14ac:dyDescent="0.25">
      <c r="A1161" s="170">
        <v>43714</v>
      </c>
      <c r="B1161" s="116">
        <v>190.92500000000001</v>
      </c>
      <c r="C1161" s="116">
        <v>189.45</v>
      </c>
      <c r="D1161" s="116">
        <v>187.82499999999999</v>
      </c>
      <c r="E1161" s="116">
        <v>188.57499999999999</v>
      </c>
      <c r="F1161" s="116">
        <v>378.9</v>
      </c>
      <c r="G1161">
        <v>1402</v>
      </c>
      <c r="H1161" s="116"/>
      <c r="I1161" s="116"/>
      <c r="L1161" s="170">
        <v>43714</v>
      </c>
      <c r="M1161" s="116">
        <v>189.55</v>
      </c>
      <c r="N1161" s="116">
        <v>191.2</v>
      </c>
      <c r="O1161" s="116">
        <v>187.55</v>
      </c>
      <c r="P1161" s="116">
        <v>189</v>
      </c>
      <c r="Q1161" s="116">
        <v>379.1</v>
      </c>
      <c r="R1161">
        <v>31638</v>
      </c>
    </row>
    <row r="1162" spans="1:18" x14ac:dyDescent="0.25">
      <c r="A1162" s="170">
        <v>43717</v>
      </c>
      <c r="B1162" s="116">
        <v>191.92500000000001</v>
      </c>
      <c r="C1162" s="116">
        <v>191.25</v>
      </c>
      <c r="D1162" s="116">
        <v>188.125</v>
      </c>
      <c r="E1162" s="116">
        <v>188.125</v>
      </c>
      <c r="F1162" s="116">
        <v>382.5</v>
      </c>
      <c r="G1162">
        <v>711</v>
      </c>
      <c r="H1162" s="116"/>
      <c r="I1162" s="116"/>
      <c r="L1162" s="170">
        <v>43717</v>
      </c>
      <c r="M1162" s="116">
        <v>190.375</v>
      </c>
      <c r="N1162" s="116">
        <v>191.95</v>
      </c>
      <c r="O1162" s="116">
        <v>187.52500000000001</v>
      </c>
      <c r="P1162" s="116">
        <v>187.52500000000001</v>
      </c>
      <c r="Q1162" s="116">
        <v>380.75</v>
      </c>
      <c r="R1162">
        <v>153966</v>
      </c>
    </row>
    <row r="1163" spans="1:18" x14ac:dyDescent="0.25">
      <c r="A1163" s="170">
        <v>43719</v>
      </c>
      <c r="B1163" s="116">
        <v>191.75</v>
      </c>
      <c r="C1163" s="116">
        <v>190.57499999999999</v>
      </c>
      <c r="D1163" s="116">
        <v>189.8</v>
      </c>
      <c r="E1163" s="116">
        <v>191.5</v>
      </c>
      <c r="F1163" s="116">
        <v>381.15</v>
      </c>
      <c r="G1163">
        <v>1642</v>
      </c>
      <c r="H1163" s="116"/>
      <c r="I1163" s="116"/>
      <c r="L1163" s="170">
        <v>43719</v>
      </c>
      <c r="M1163" s="116">
        <v>190.55</v>
      </c>
      <c r="N1163" s="116">
        <v>191.97499999999999</v>
      </c>
      <c r="O1163" s="116">
        <v>189.875</v>
      </c>
      <c r="P1163" s="116">
        <v>191.5</v>
      </c>
      <c r="Q1163" s="116">
        <v>381.1</v>
      </c>
      <c r="R1163">
        <v>35222</v>
      </c>
    </row>
    <row r="1164" spans="1:18" x14ac:dyDescent="0.25">
      <c r="A1164" s="170">
        <v>43720</v>
      </c>
      <c r="B1164" s="116">
        <v>191.3</v>
      </c>
      <c r="C1164" s="116">
        <v>190.05</v>
      </c>
      <c r="D1164" s="116">
        <v>189.5</v>
      </c>
      <c r="E1164" s="116">
        <v>190.5</v>
      </c>
      <c r="F1164" s="116">
        <v>380.1</v>
      </c>
      <c r="G1164">
        <v>2110</v>
      </c>
      <c r="H1164" s="116"/>
      <c r="I1164" s="116"/>
      <c r="L1164" s="170">
        <v>43720</v>
      </c>
      <c r="M1164" s="116">
        <v>190.27500000000001</v>
      </c>
      <c r="N1164" s="116">
        <v>192.45</v>
      </c>
      <c r="O1164" s="116">
        <v>189.57499999999999</v>
      </c>
      <c r="P1164" s="116">
        <v>192.45</v>
      </c>
      <c r="Q1164" s="116">
        <v>380.55</v>
      </c>
      <c r="R1164">
        <v>12901</v>
      </c>
    </row>
    <row r="1165" spans="1:18" x14ac:dyDescent="0.25">
      <c r="A1165" s="170">
        <v>43721</v>
      </c>
      <c r="B1165" s="116">
        <v>205.5</v>
      </c>
      <c r="C1165" s="116">
        <v>202.32499999999999</v>
      </c>
      <c r="D1165" s="116">
        <v>190</v>
      </c>
      <c r="E1165" s="116">
        <v>190.6</v>
      </c>
      <c r="F1165" s="116">
        <v>404.65</v>
      </c>
      <c r="G1165">
        <v>29506</v>
      </c>
      <c r="H1165" s="116"/>
      <c r="I1165" s="116"/>
      <c r="L1165" s="170">
        <v>43721</v>
      </c>
      <c r="M1165" s="116">
        <v>202.27500000000001</v>
      </c>
      <c r="N1165" s="116">
        <v>205.5</v>
      </c>
      <c r="O1165" s="116">
        <v>189.875</v>
      </c>
      <c r="P1165" s="116">
        <v>191.95</v>
      </c>
      <c r="Q1165" s="116">
        <v>404.55</v>
      </c>
      <c r="R1165">
        <v>298669</v>
      </c>
    </row>
    <row r="1166" spans="1:18" x14ac:dyDescent="0.25">
      <c r="A1166" s="170">
        <v>43724</v>
      </c>
      <c r="B1166" s="116">
        <v>204.22499999999999</v>
      </c>
      <c r="C1166" s="116">
        <v>197.3</v>
      </c>
      <c r="D1166" s="116">
        <v>196.5</v>
      </c>
      <c r="E1166" s="116">
        <v>201.95</v>
      </c>
      <c r="F1166" s="116">
        <v>394.6</v>
      </c>
      <c r="G1166">
        <v>13836</v>
      </c>
      <c r="H1166" s="116"/>
      <c r="I1166" s="116"/>
      <c r="L1166" s="170">
        <v>43724</v>
      </c>
      <c r="M1166" s="116">
        <v>197.375</v>
      </c>
      <c r="N1166" s="116">
        <v>204.8</v>
      </c>
      <c r="O1166" s="116">
        <v>196.02500000000001</v>
      </c>
      <c r="P1166" s="116">
        <v>201.95</v>
      </c>
      <c r="Q1166" s="116">
        <v>394.75</v>
      </c>
      <c r="R1166">
        <v>168621</v>
      </c>
    </row>
    <row r="1167" spans="1:18" x14ac:dyDescent="0.25">
      <c r="A1167" s="170">
        <v>43725</v>
      </c>
      <c r="B1167" s="116">
        <v>199.7</v>
      </c>
      <c r="C1167" s="116">
        <v>195.875</v>
      </c>
      <c r="D1167" s="116">
        <v>194</v>
      </c>
      <c r="E1167" s="116">
        <v>199.7</v>
      </c>
      <c r="F1167" s="116">
        <v>391.75</v>
      </c>
      <c r="G1167">
        <v>4894</v>
      </c>
      <c r="H1167" s="116"/>
      <c r="I1167" s="116"/>
      <c r="L1167" s="170">
        <v>43725</v>
      </c>
      <c r="M1167" s="116">
        <v>196.05</v>
      </c>
      <c r="N1167" s="116">
        <v>201.27500000000001</v>
      </c>
      <c r="O1167" s="116">
        <v>193.77500000000001</v>
      </c>
      <c r="P1167" s="116">
        <v>197.97499999999999</v>
      </c>
      <c r="Q1167" s="116">
        <v>392.1</v>
      </c>
      <c r="R1167">
        <v>107912</v>
      </c>
    </row>
    <row r="1168" spans="1:18" x14ac:dyDescent="0.25">
      <c r="A1168" s="170">
        <v>43726</v>
      </c>
      <c r="B1168" s="116">
        <v>201.5</v>
      </c>
      <c r="C1168" s="116">
        <v>195.92500000000001</v>
      </c>
      <c r="D1168" s="116">
        <v>193.47499999999999</v>
      </c>
      <c r="E1168" s="116">
        <v>201.5</v>
      </c>
      <c r="F1168" s="116">
        <v>391.85</v>
      </c>
      <c r="G1168">
        <v>3972</v>
      </c>
      <c r="H1168" s="116"/>
      <c r="I1168" s="116"/>
      <c r="L1168" s="170">
        <v>43726</v>
      </c>
      <c r="M1168" s="116">
        <v>195.65</v>
      </c>
      <c r="N1168" s="116">
        <v>201.47499999999999</v>
      </c>
      <c r="O1168" s="116">
        <v>193</v>
      </c>
      <c r="P1168" s="116">
        <v>198.5</v>
      </c>
      <c r="Q1168" s="116">
        <v>391.3</v>
      </c>
      <c r="R1168">
        <v>49859</v>
      </c>
    </row>
    <row r="1169" spans="1:18" x14ac:dyDescent="0.25">
      <c r="A1169" s="170">
        <v>43727</v>
      </c>
      <c r="B1169" s="116">
        <v>199.5</v>
      </c>
      <c r="C1169" s="116">
        <v>191.92500000000001</v>
      </c>
      <c r="D1169" s="116">
        <v>191.6</v>
      </c>
      <c r="E1169" s="116">
        <v>199.5</v>
      </c>
      <c r="F1169" s="116">
        <v>383.85</v>
      </c>
      <c r="G1169">
        <v>1475</v>
      </c>
      <c r="H1169" s="116"/>
      <c r="I1169" s="116"/>
      <c r="L1169" s="170">
        <v>43727</v>
      </c>
      <c r="M1169" s="116">
        <v>191.85</v>
      </c>
      <c r="N1169" s="116">
        <v>196.45</v>
      </c>
      <c r="O1169" s="116">
        <v>191.5</v>
      </c>
      <c r="P1169" s="116">
        <v>191.5</v>
      </c>
      <c r="Q1169" s="116">
        <v>383.7</v>
      </c>
      <c r="R1169">
        <v>39786</v>
      </c>
    </row>
    <row r="1170" spans="1:18" x14ac:dyDescent="0.25">
      <c r="A1170" s="170">
        <v>43728</v>
      </c>
      <c r="B1170" s="116">
        <v>200.25</v>
      </c>
      <c r="C1170" s="116">
        <v>197.35</v>
      </c>
      <c r="D1170" s="116">
        <v>191.875</v>
      </c>
      <c r="E1170" s="116">
        <v>191.875</v>
      </c>
      <c r="F1170" s="116">
        <v>394.7</v>
      </c>
      <c r="G1170">
        <v>1467</v>
      </c>
      <c r="H1170" s="116"/>
      <c r="I1170" s="116"/>
      <c r="L1170" s="170">
        <v>43728</v>
      </c>
      <c r="M1170" s="116">
        <v>197.625</v>
      </c>
      <c r="N1170" s="116">
        <v>201.75</v>
      </c>
      <c r="O1170" s="116">
        <v>190.57499999999999</v>
      </c>
      <c r="P1170" s="116">
        <v>190.57499999999999</v>
      </c>
      <c r="Q1170" s="116">
        <v>395.25</v>
      </c>
      <c r="R1170">
        <v>96188</v>
      </c>
    </row>
    <row r="1171" spans="1:18" x14ac:dyDescent="0.25">
      <c r="A1171" s="170">
        <v>43731</v>
      </c>
      <c r="B1171" s="116">
        <v>202</v>
      </c>
      <c r="C1171" s="116">
        <v>192.65</v>
      </c>
      <c r="D1171" s="116">
        <v>191.82499999999999</v>
      </c>
      <c r="E1171" s="116">
        <v>197.5</v>
      </c>
      <c r="F1171" s="116">
        <v>385.3</v>
      </c>
      <c r="G1171">
        <v>5825</v>
      </c>
      <c r="H1171" s="116"/>
      <c r="I1171" s="116"/>
      <c r="L1171" s="170">
        <v>43731</v>
      </c>
      <c r="M1171" s="116">
        <v>193.52500000000001</v>
      </c>
      <c r="N1171" s="116">
        <v>203.625</v>
      </c>
      <c r="O1171" s="116">
        <v>191.57499999999999</v>
      </c>
      <c r="P1171" s="116">
        <v>203.25</v>
      </c>
      <c r="Q1171" s="116">
        <v>387.05</v>
      </c>
      <c r="R1171">
        <v>155752</v>
      </c>
    </row>
    <row r="1172" spans="1:18" x14ac:dyDescent="0.25">
      <c r="A1172" s="170">
        <v>43732</v>
      </c>
      <c r="B1172" s="116">
        <v>193.97499999999999</v>
      </c>
      <c r="C1172" s="116">
        <v>187.55</v>
      </c>
      <c r="D1172" s="116">
        <v>186.07499999999999</v>
      </c>
      <c r="E1172" s="116">
        <v>193.97499999999999</v>
      </c>
      <c r="F1172" s="116">
        <v>375.1</v>
      </c>
      <c r="G1172">
        <v>4720</v>
      </c>
      <c r="H1172" s="116"/>
      <c r="I1172" s="116"/>
      <c r="L1172" s="170">
        <v>43732</v>
      </c>
      <c r="M1172" s="116">
        <v>186.875</v>
      </c>
      <c r="N1172" s="116">
        <v>193.6</v>
      </c>
      <c r="O1172" s="116">
        <v>186</v>
      </c>
      <c r="P1172" s="116">
        <v>193.52500000000001</v>
      </c>
      <c r="Q1172" s="116">
        <v>373.75</v>
      </c>
      <c r="R1172">
        <v>410673</v>
      </c>
    </row>
    <row r="1173" spans="1:18" x14ac:dyDescent="0.25">
      <c r="A1173" s="170">
        <v>43733</v>
      </c>
      <c r="B1173" s="116">
        <v>188</v>
      </c>
      <c r="C1173" s="116">
        <v>179.5</v>
      </c>
      <c r="D1173" s="116">
        <v>176.15</v>
      </c>
      <c r="E1173" s="116">
        <v>185.5</v>
      </c>
      <c r="F1173" s="116">
        <v>359</v>
      </c>
      <c r="G1173">
        <v>10162</v>
      </c>
      <c r="H1173" s="116"/>
      <c r="I1173" s="116"/>
      <c r="L1173" s="170">
        <v>43733</v>
      </c>
      <c r="M1173" s="116">
        <v>179.47499999999999</v>
      </c>
      <c r="N1173" s="116">
        <v>188.3</v>
      </c>
      <c r="O1173" s="116">
        <v>176.55</v>
      </c>
      <c r="P1173" s="116">
        <v>186</v>
      </c>
      <c r="Q1173" s="116">
        <v>358.95</v>
      </c>
      <c r="R1173">
        <v>127394</v>
      </c>
    </row>
    <row r="1174" spans="1:18" x14ac:dyDescent="0.25">
      <c r="A1174" s="170">
        <v>43734</v>
      </c>
      <c r="B1174" s="116">
        <v>182.85</v>
      </c>
      <c r="C1174" s="116">
        <v>176.25</v>
      </c>
      <c r="D1174" s="116">
        <v>175.15</v>
      </c>
      <c r="E1174" s="116">
        <v>180.5</v>
      </c>
      <c r="F1174" s="116">
        <v>352.5</v>
      </c>
      <c r="G1174">
        <v>6667</v>
      </c>
      <c r="H1174" s="116"/>
      <c r="I1174" s="116"/>
      <c r="L1174" s="170">
        <v>43734</v>
      </c>
      <c r="M1174" s="116">
        <v>175.97499999999999</v>
      </c>
      <c r="N1174" s="116">
        <v>183</v>
      </c>
      <c r="O1174" s="116">
        <v>174.42500000000001</v>
      </c>
      <c r="P1174" s="116">
        <v>180.125</v>
      </c>
      <c r="Q1174" s="116">
        <v>351.95</v>
      </c>
      <c r="R1174">
        <v>116199</v>
      </c>
    </row>
    <row r="1175" spans="1:18" x14ac:dyDescent="0.25">
      <c r="A1175" s="170">
        <v>43735</v>
      </c>
      <c r="B1175" s="116">
        <v>183.15</v>
      </c>
      <c r="C1175" s="116">
        <v>177.95</v>
      </c>
      <c r="D1175" s="116">
        <v>175.875</v>
      </c>
      <c r="E1175" s="116">
        <v>177.82499999999999</v>
      </c>
      <c r="F1175" s="116">
        <v>355.9</v>
      </c>
      <c r="G1175">
        <v>10360</v>
      </c>
      <c r="H1175" s="116"/>
      <c r="I1175" s="116"/>
      <c r="L1175" s="170">
        <v>43735</v>
      </c>
      <c r="M1175" s="116">
        <v>177.7</v>
      </c>
      <c r="N1175" s="116">
        <v>183.72499999999999</v>
      </c>
      <c r="O1175" s="116">
        <v>175.92500000000001</v>
      </c>
      <c r="P1175" s="116">
        <v>177.45</v>
      </c>
      <c r="Q1175" s="116">
        <v>355.4</v>
      </c>
      <c r="R1175">
        <v>127752</v>
      </c>
    </row>
    <row r="1176" spans="1:18" x14ac:dyDescent="0.25">
      <c r="A1176" s="170">
        <v>43738</v>
      </c>
      <c r="B1176" s="116">
        <v>189</v>
      </c>
      <c r="C1176" s="116">
        <v>185.3</v>
      </c>
      <c r="D1176" s="116">
        <v>175</v>
      </c>
      <c r="E1176" s="116">
        <v>176.8</v>
      </c>
      <c r="F1176" s="116">
        <v>370.6</v>
      </c>
      <c r="G1176">
        <v>17612</v>
      </c>
      <c r="H1176" s="116"/>
      <c r="I1176" s="116"/>
      <c r="L1176" s="170">
        <v>43738</v>
      </c>
      <c r="M1176" s="116">
        <v>185.3</v>
      </c>
      <c r="N1176" s="116">
        <v>189.2</v>
      </c>
      <c r="O1176" s="116">
        <v>175</v>
      </c>
      <c r="P1176" s="116">
        <v>179.97499999999999</v>
      </c>
      <c r="Q1176" s="116">
        <v>370.6</v>
      </c>
      <c r="R1176">
        <v>489167</v>
      </c>
    </row>
    <row r="1177" spans="1:18" x14ac:dyDescent="0.25">
      <c r="A1177" s="170">
        <v>43739</v>
      </c>
      <c r="B1177" s="116">
        <v>187.2</v>
      </c>
      <c r="C1177" s="116">
        <v>180.95</v>
      </c>
      <c r="D1177" s="116">
        <v>179</v>
      </c>
      <c r="E1177" s="116">
        <v>187.2</v>
      </c>
      <c r="F1177" s="116">
        <v>361.9</v>
      </c>
      <c r="G1177">
        <v>15101</v>
      </c>
      <c r="H1177" s="116"/>
      <c r="I1177" s="116"/>
      <c r="L1177" s="170">
        <v>43739</v>
      </c>
      <c r="M1177" s="116">
        <v>181.15</v>
      </c>
      <c r="N1177" s="116">
        <v>187.3</v>
      </c>
      <c r="O1177" s="116">
        <v>177.5</v>
      </c>
      <c r="P1177" s="116">
        <v>186</v>
      </c>
      <c r="Q1177" s="116">
        <v>362.3</v>
      </c>
      <c r="R1177">
        <v>51682</v>
      </c>
    </row>
    <row r="1178" spans="1:18" x14ac:dyDescent="0.25">
      <c r="A1178" s="170">
        <v>43741</v>
      </c>
      <c r="B1178" s="116">
        <v>184.9</v>
      </c>
      <c r="C1178" s="116">
        <v>180.3</v>
      </c>
      <c r="D1178" s="116">
        <v>176.5</v>
      </c>
      <c r="E1178" s="116">
        <v>180</v>
      </c>
      <c r="F1178" s="116">
        <v>360.6</v>
      </c>
      <c r="G1178">
        <v>307585</v>
      </c>
      <c r="H1178" s="116"/>
      <c r="I1178" s="116"/>
      <c r="L1178" s="170">
        <v>43741</v>
      </c>
      <c r="M1178" s="116">
        <v>180.32499999999999</v>
      </c>
      <c r="N1178" s="116">
        <v>185.5</v>
      </c>
      <c r="O1178" s="116">
        <v>176.3</v>
      </c>
      <c r="P1178" s="116">
        <v>181</v>
      </c>
      <c r="Q1178" s="116">
        <v>360.65</v>
      </c>
      <c r="R1178">
        <v>404060</v>
      </c>
    </row>
    <row r="1179" spans="1:18" x14ac:dyDescent="0.25">
      <c r="A1179" s="170">
        <v>43742</v>
      </c>
      <c r="B1179" s="116">
        <v>186.05</v>
      </c>
      <c r="C1179" s="116">
        <v>183.42500000000001</v>
      </c>
      <c r="D1179" s="116">
        <v>177.9</v>
      </c>
      <c r="E1179" s="116">
        <v>180.95</v>
      </c>
      <c r="F1179" s="116">
        <v>366.85</v>
      </c>
      <c r="G1179">
        <v>23927</v>
      </c>
      <c r="H1179" s="116"/>
      <c r="I1179" s="116"/>
      <c r="L1179" s="170">
        <v>43742</v>
      </c>
      <c r="M1179" s="116">
        <v>184.4</v>
      </c>
      <c r="N1179" s="116">
        <v>186</v>
      </c>
      <c r="O1179" s="116">
        <v>178</v>
      </c>
      <c r="P1179" s="116">
        <v>182.5</v>
      </c>
      <c r="Q1179" s="116">
        <v>368.8</v>
      </c>
      <c r="R1179">
        <v>69776</v>
      </c>
    </row>
    <row r="1180" spans="1:18" x14ac:dyDescent="0.25">
      <c r="A1180" s="170">
        <v>43745</v>
      </c>
      <c r="B1180" s="116">
        <v>185.7</v>
      </c>
      <c r="C1180" s="116">
        <v>181.3</v>
      </c>
      <c r="D1180" s="116">
        <v>180.875</v>
      </c>
      <c r="E1180" s="116">
        <v>185</v>
      </c>
      <c r="F1180" s="116">
        <v>362.6</v>
      </c>
      <c r="G1180">
        <v>4104</v>
      </c>
      <c r="H1180" s="116"/>
      <c r="I1180" s="116"/>
      <c r="L1180" s="170">
        <v>43745</v>
      </c>
      <c r="M1180" s="116">
        <v>181.42500000000001</v>
      </c>
      <c r="N1180" s="116">
        <v>186.15</v>
      </c>
      <c r="O1180" s="116">
        <v>179.125</v>
      </c>
      <c r="P1180" s="116">
        <v>182.75</v>
      </c>
      <c r="Q1180" s="116">
        <v>362.85</v>
      </c>
      <c r="R1180">
        <v>25902</v>
      </c>
    </row>
    <row r="1181" spans="1:18" x14ac:dyDescent="0.25">
      <c r="A1181" s="170">
        <v>43747</v>
      </c>
      <c r="B1181" s="116">
        <v>185.5</v>
      </c>
      <c r="C1181" s="116">
        <v>181.25</v>
      </c>
      <c r="D1181" s="116">
        <v>178.5</v>
      </c>
      <c r="E1181" s="116">
        <v>183.5</v>
      </c>
      <c r="F1181" s="116">
        <v>362.5</v>
      </c>
      <c r="G1181">
        <v>3980</v>
      </c>
      <c r="H1181" s="116"/>
      <c r="I1181" s="116"/>
      <c r="L1181" s="170">
        <v>43747</v>
      </c>
      <c r="M1181" s="116">
        <v>180.47499999999999</v>
      </c>
      <c r="N1181" s="116">
        <v>185.45</v>
      </c>
      <c r="O1181" s="116">
        <v>179.25</v>
      </c>
      <c r="P1181" s="116">
        <v>181.25</v>
      </c>
      <c r="Q1181" s="116">
        <v>360.95</v>
      </c>
      <c r="R1181">
        <v>81545</v>
      </c>
    </row>
    <row r="1182" spans="1:18" x14ac:dyDescent="0.25">
      <c r="A1182" s="170">
        <v>43748</v>
      </c>
      <c r="B1182" s="116">
        <v>182.9</v>
      </c>
      <c r="C1182" s="116">
        <v>178.95</v>
      </c>
      <c r="D1182" s="116">
        <v>177.5</v>
      </c>
      <c r="E1182" s="116">
        <v>182.22499999999999</v>
      </c>
      <c r="F1182" s="116">
        <v>357.9</v>
      </c>
      <c r="G1182">
        <v>3674</v>
      </c>
      <c r="H1182" s="116"/>
      <c r="I1182" s="116"/>
      <c r="L1182" s="170">
        <v>43748</v>
      </c>
      <c r="M1182" s="116">
        <v>178.8</v>
      </c>
      <c r="N1182" s="116">
        <v>183.17500000000001</v>
      </c>
      <c r="O1182" s="116">
        <v>177.6</v>
      </c>
      <c r="P1182" s="116">
        <v>181.3</v>
      </c>
      <c r="Q1182" s="116">
        <v>357.6</v>
      </c>
      <c r="R1182">
        <v>56296</v>
      </c>
    </row>
    <row r="1183" spans="1:18" x14ac:dyDescent="0.25">
      <c r="A1183" s="170">
        <v>43749</v>
      </c>
      <c r="B1183" s="116">
        <v>181.3</v>
      </c>
      <c r="C1183" s="116">
        <v>180.4</v>
      </c>
      <c r="D1183" s="116">
        <v>176.57499999999999</v>
      </c>
      <c r="E1183" s="116">
        <v>177.5</v>
      </c>
      <c r="F1183" s="116">
        <v>360.8</v>
      </c>
      <c r="G1183">
        <v>3583</v>
      </c>
      <c r="H1183" s="116"/>
      <c r="I1183" s="116"/>
      <c r="L1183" s="170">
        <v>43749</v>
      </c>
      <c r="M1183" s="116">
        <v>180.22499999999999</v>
      </c>
      <c r="N1183" s="116">
        <v>180.8</v>
      </c>
      <c r="O1183" s="116">
        <v>177.02500000000001</v>
      </c>
      <c r="P1183" s="116">
        <v>177.25</v>
      </c>
      <c r="Q1183" s="116">
        <v>360.45</v>
      </c>
      <c r="R1183">
        <v>37276</v>
      </c>
    </row>
    <row r="1184" spans="1:18" x14ac:dyDescent="0.25">
      <c r="A1184" s="170">
        <v>43752</v>
      </c>
      <c r="B1184" s="116">
        <v>180.7</v>
      </c>
      <c r="C1184" s="116">
        <v>179.2</v>
      </c>
      <c r="D1184" s="116">
        <v>178.82499999999999</v>
      </c>
      <c r="E1184" s="116">
        <v>180.7</v>
      </c>
      <c r="F1184" s="116">
        <v>358.4</v>
      </c>
      <c r="G1184">
        <v>2741</v>
      </c>
      <c r="H1184" s="116"/>
      <c r="I1184" s="116"/>
      <c r="L1184" s="170">
        <v>43752</v>
      </c>
      <c r="M1184" s="116">
        <v>179.75</v>
      </c>
      <c r="N1184" s="116">
        <v>184.4</v>
      </c>
      <c r="O1184" s="116">
        <v>178.72499999999999</v>
      </c>
      <c r="P1184" s="116">
        <v>184.4</v>
      </c>
      <c r="Q1184" s="116">
        <v>359.5</v>
      </c>
      <c r="R1184">
        <v>22529</v>
      </c>
    </row>
    <row r="1185" spans="1:18" x14ac:dyDescent="0.25">
      <c r="A1185" s="170">
        <v>43753</v>
      </c>
      <c r="B1185" s="116">
        <v>180.35</v>
      </c>
      <c r="C1185" s="116">
        <v>178.17500000000001</v>
      </c>
      <c r="D1185" s="116">
        <v>172.1</v>
      </c>
      <c r="E1185" s="116">
        <v>179.82499999999999</v>
      </c>
      <c r="F1185" s="116">
        <v>356.35</v>
      </c>
      <c r="G1185">
        <v>6112</v>
      </c>
      <c r="H1185" s="116"/>
      <c r="I1185" s="116"/>
      <c r="L1185" s="170">
        <v>43753</v>
      </c>
      <c r="M1185" s="116">
        <v>178.02500000000001</v>
      </c>
      <c r="N1185" s="116">
        <v>180.57499999999999</v>
      </c>
      <c r="O1185" s="116">
        <v>177.2</v>
      </c>
      <c r="P1185" s="116">
        <v>179.57499999999999</v>
      </c>
      <c r="Q1185" s="116">
        <v>356.05</v>
      </c>
      <c r="R1185">
        <v>37373</v>
      </c>
    </row>
    <row r="1186" spans="1:18" x14ac:dyDescent="0.25">
      <c r="A1186" s="170">
        <v>43754</v>
      </c>
      <c r="B1186" s="116">
        <v>182.55</v>
      </c>
      <c r="C1186" s="116">
        <v>179.1</v>
      </c>
      <c r="D1186" s="116">
        <v>176.5</v>
      </c>
      <c r="E1186" s="116">
        <v>176.5</v>
      </c>
      <c r="F1186" s="116">
        <v>358.2</v>
      </c>
      <c r="G1186">
        <v>5994</v>
      </c>
      <c r="H1186" s="116"/>
      <c r="I1186" s="116"/>
      <c r="L1186" s="170">
        <v>43754</v>
      </c>
      <c r="M1186" s="116">
        <v>178.82499999999999</v>
      </c>
      <c r="N1186" s="116">
        <v>182.45</v>
      </c>
      <c r="O1186" s="116">
        <v>177.5</v>
      </c>
      <c r="P1186" s="116">
        <v>177.5</v>
      </c>
      <c r="Q1186" s="116">
        <v>357.65</v>
      </c>
      <c r="R1186">
        <v>36909</v>
      </c>
    </row>
    <row r="1187" spans="1:18" x14ac:dyDescent="0.25">
      <c r="A1187" s="170">
        <v>43755</v>
      </c>
      <c r="B1187" s="116">
        <v>181.75</v>
      </c>
      <c r="C1187" s="116">
        <v>177.1</v>
      </c>
      <c r="D1187" s="116">
        <v>174.45</v>
      </c>
      <c r="E1187" s="116">
        <v>180</v>
      </c>
      <c r="F1187" s="116">
        <v>354.2</v>
      </c>
      <c r="G1187">
        <v>5157</v>
      </c>
      <c r="H1187" s="116"/>
      <c r="I1187" s="116"/>
      <c r="L1187" s="170">
        <v>43755</v>
      </c>
      <c r="M1187" s="116">
        <v>179.625</v>
      </c>
      <c r="N1187" s="116">
        <v>182</v>
      </c>
      <c r="O1187" s="116">
        <v>177.52500000000001</v>
      </c>
      <c r="P1187" s="116">
        <v>180</v>
      </c>
      <c r="Q1187" s="116">
        <v>359.25</v>
      </c>
      <c r="R1187">
        <v>29997</v>
      </c>
    </row>
    <row r="1188" spans="1:18" x14ac:dyDescent="0.25">
      <c r="A1188" s="170">
        <v>43756</v>
      </c>
      <c r="B1188" s="116">
        <v>185.5</v>
      </c>
      <c r="C1188" s="116">
        <v>182.7</v>
      </c>
      <c r="D1188" s="116">
        <v>179</v>
      </c>
      <c r="E1188" s="116">
        <v>180</v>
      </c>
      <c r="F1188" s="116">
        <v>365.4</v>
      </c>
      <c r="G1188">
        <v>5123</v>
      </c>
      <c r="H1188" s="116"/>
      <c r="I1188" s="116"/>
      <c r="L1188" s="170">
        <v>43756</v>
      </c>
      <c r="M1188" s="116">
        <v>183.27500000000001</v>
      </c>
      <c r="N1188" s="116">
        <v>185.95</v>
      </c>
      <c r="O1188" s="116">
        <v>178.8</v>
      </c>
      <c r="P1188" s="116">
        <v>181.1</v>
      </c>
      <c r="Q1188" s="116">
        <v>366.55</v>
      </c>
      <c r="R1188">
        <v>139422</v>
      </c>
    </row>
    <row r="1189" spans="1:18" x14ac:dyDescent="0.25">
      <c r="A1189" s="170">
        <v>43760</v>
      </c>
      <c r="B1189" s="116">
        <v>185.95</v>
      </c>
      <c r="C1189" s="116">
        <v>180</v>
      </c>
      <c r="D1189" s="116">
        <v>179</v>
      </c>
      <c r="E1189" s="116">
        <v>185.47499999999999</v>
      </c>
      <c r="F1189" s="116">
        <v>360</v>
      </c>
      <c r="G1189">
        <v>2365</v>
      </c>
      <c r="H1189" s="116"/>
      <c r="I1189" s="116"/>
      <c r="L1189" s="170">
        <v>43760</v>
      </c>
      <c r="M1189" s="116">
        <v>179.9</v>
      </c>
      <c r="N1189" s="116">
        <v>187</v>
      </c>
      <c r="O1189" s="116">
        <v>179</v>
      </c>
      <c r="P1189" s="116">
        <v>187</v>
      </c>
      <c r="Q1189" s="116">
        <v>359.8</v>
      </c>
      <c r="R1189">
        <v>38294</v>
      </c>
    </row>
    <row r="1190" spans="1:18" x14ac:dyDescent="0.25">
      <c r="A1190" s="170">
        <v>43761</v>
      </c>
      <c r="B1190" s="116">
        <v>180.97499999999999</v>
      </c>
      <c r="C1190" s="116">
        <v>177.1</v>
      </c>
      <c r="D1190" s="116">
        <v>176.35</v>
      </c>
      <c r="E1190" s="116">
        <v>180.97499999999999</v>
      </c>
      <c r="F1190" s="116">
        <v>354.2</v>
      </c>
      <c r="G1190">
        <v>3772</v>
      </c>
      <c r="H1190" s="116"/>
      <c r="I1190" s="116"/>
      <c r="L1190" s="170">
        <v>43761</v>
      </c>
      <c r="M1190" s="116">
        <v>177.5</v>
      </c>
      <c r="N1190" s="116">
        <v>181.65</v>
      </c>
      <c r="O1190" s="116">
        <v>176.25</v>
      </c>
      <c r="P1190" s="116">
        <v>179.15</v>
      </c>
      <c r="Q1190" s="116">
        <v>355</v>
      </c>
      <c r="R1190">
        <v>72594</v>
      </c>
    </row>
    <row r="1191" spans="1:18" x14ac:dyDescent="0.25">
      <c r="A1191" s="170">
        <v>43762</v>
      </c>
      <c r="B1191" s="116">
        <v>179.4</v>
      </c>
      <c r="C1191" s="116">
        <v>165.7</v>
      </c>
      <c r="D1191" s="116">
        <v>160.85</v>
      </c>
      <c r="E1191" s="116">
        <v>179.2</v>
      </c>
      <c r="F1191" s="116">
        <v>331.4</v>
      </c>
      <c r="G1191">
        <v>12117</v>
      </c>
      <c r="H1191" s="116"/>
      <c r="I1191" s="116"/>
      <c r="L1191" s="170">
        <v>43762</v>
      </c>
      <c r="M1191" s="116">
        <v>165.25</v>
      </c>
      <c r="N1191" s="116">
        <v>179.75</v>
      </c>
      <c r="O1191" s="116">
        <v>160.75</v>
      </c>
      <c r="P1191" s="116">
        <v>178.4</v>
      </c>
      <c r="Q1191" s="116">
        <v>330.5</v>
      </c>
      <c r="R1191">
        <v>109837</v>
      </c>
    </row>
    <row r="1192" spans="1:18" x14ac:dyDescent="0.25">
      <c r="A1192" s="170">
        <v>43763</v>
      </c>
      <c r="B1192" s="116">
        <v>171.95</v>
      </c>
      <c r="C1192" s="116">
        <v>168.67500000000001</v>
      </c>
      <c r="D1192" s="116">
        <v>167.4</v>
      </c>
      <c r="E1192" s="116">
        <v>168.15</v>
      </c>
      <c r="F1192" s="116">
        <v>337.35</v>
      </c>
      <c r="G1192">
        <v>11296</v>
      </c>
      <c r="H1192" s="116"/>
      <c r="I1192" s="116"/>
      <c r="L1192" s="170">
        <v>43763</v>
      </c>
      <c r="M1192" s="116">
        <v>168.7</v>
      </c>
      <c r="N1192" s="116">
        <v>172</v>
      </c>
      <c r="O1192" s="116">
        <v>164.97499999999999</v>
      </c>
      <c r="P1192" s="116">
        <v>165</v>
      </c>
      <c r="Q1192" s="116">
        <v>337.4</v>
      </c>
      <c r="R1192">
        <v>58326</v>
      </c>
    </row>
    <row r="1193" spans="1:18" x14ac:dyDescent="0.25">
      <c r="A1193" s="170">
        <v>43765</v>
      </c>
      <c r="B1193" s="116">
        <v>170.47499999999999</v>
      </c>
      <c r="C1193" s="116">
        <v>168.85</v>
      </c>
      <c r="D1193" s="116">
        <v>168.5</v>
      </c>
      <c r="E1193" s="116">
        <v>170</v>
      </c>
      <c r="F1193" s="116">
        <v>337.7</v>
      </c>
      <c r="G1193">
        <v>512</v>
      </c>
      <c r="H1193" s="116"/>
      <c r="I1193" s="116"/>
      <c r="L1193" s="170">
        <v>43765</v>
      </c>
      <c r="M1193" s="116">
        <v>169.02500000000001</v>
      </c>
      <c r="N1193" s="116">
        <v>170.5</v>
      </c>
      <c r="O1193" s="116">
        <v>168</v>
      </c>
      <c r="P1193" s="116">
        <v>170</v>
      </c>
      <c r="Q1193" s="116">
        <v>338.05</v>
      </c>
      <c r="R1193">
        <v>5142</v>
      </c>
    </row>
    <row r="1194" spans="1:18" x14ac:dyDescent="0.25">
      <c r="A1194" s="170">
        <v>43767</v>
      </c>
      <c r="B1194" s="116">
        <v>168.92500000000001</v>
      </c>
      <c r="C1194" s="116">
        <v>166.7</v>
      </c>
      <c r="D1194" s="116">
        <v>165</v>
      </c>
      <c r="E1194" s="116">
        <v>168.92500000000001</v>
      </c>
      <c r="F1194" s="116">
        <v>333.4</v>
      </c>
      <c r="G1194">
        <v>5002</v>
      </c>
      <c r="H1194" s="116"/>
      <c r="I1194" s="116"/>
      <c r="L1194" s="170">
        <v>43767</v>
      </c>
      <c r="M1194" s="116">
        <v>165.85</v>
      </c>
      <c r="N1194" s="116">
        <v>169.27500000000001</v>
      </c>
      <c r="O1194" s="116">
        <v>162.52500000000001</v>
      </c>
      <c r="P1194" s="116">
        <v>169</v>
      </c>
      <c r="Q1194" s="116">
        <v>331.7</v>
      </c>
      <c r="R1194">
        <v>67043</v>
      </c>
    </row>
    <row r="1195" spans="1:18" x14ac:dyDescent="0.25">
      <c r="A1195" s="170">
        <v>43768</v>
      </c>
      <c r="B1195" s="116">
        <v>168.8</v>
      </c>
      <c r="C1195" s="116">
        <v>165.67500000000001</v>
      </c>
      <c r="D1195" s="116">
        <v>165.05</v>
      </c>
      <c r="E1195" s="116">
        <v>165.625</v>
      </c>
      <c r="F1195" s="116">
        <v>331.35</v>
      </c>
      <c r="G1195">
        <v>2022</v>
      </c>
      <c r="H1195" s="116"/>
      <c r="I1195" s="116"/>
      <c r="L1195" s="170">
        <v>43768</v>
      </c>
      <c r="M1195" s="116">
        <v>165.7</v>
      </c>
      <c r="N1195" s="116">
        <v>168.85</v>
      </c>
      <c r="O1195" s="116">
        <v>164.25</v>
      </c>
      <c r="P1195" s="116">
        <v>164.25</v>
      </c>
      <c r="Q1195" s="116">
        <v>331.4</v>
      </c>
      <c r="R1195">
        <v>36182</v>
      </c>
    </row>
    <row r="1196" spans="1:18" x14ac:dyDescent="0.25">
      <c r="A1196" s="170">
        <v>43769</v>
      </c>
      <c r="B1196" s="116">
        <v>172.5</v>
      </c>
      <c r="C1196" s="116">
        <v>170</v>
      </c>
      <c r="D1196" s="116">
        <v>167.25</v>
      </c>
      <c r="E1196" s="116">
        <v>167.25</v>
      </c>
      <c r="F1196" s="116">
        <v>340</v>
      </c>
      <c r="G1196">
        <v>3862</v>
      </c>
      <c r="H1196" s="116"/>
      <c r="I1196" s="116"/>
      <c r="L1196" s="170">
        <v>43769</v>
      </c>
      <c r="M1196" s="116">
        <v>170.57499999999999</v>
      </c>
      <c r="N1196" s="116">
        <v>172.5</v>
      </c>
      <c r="O1196" s="116">
        <v>165.5</v>
      </c>
      <c r="P1196" s="116">
        <v>166.97499999999999</v>
      </c>
      <c r="Q1196" s="116">
        <v>341.15</v>
      </c>
      <c r="R1196">
        <v>46727</v>
      </c>
    </row>
    <row r="1197" spans="1:18" x14ac:dyDescent="0.25">
      <c r="A1197" s="170">
        <v>43770</v>
      </c>
      <c r="B1197" s="116">
        <v>173.875</v>
      </c>
      <c r="C1197" s="116">
        <v>173.05</v>
      </c>
      <c r="D1197" s="116">
        <v>171.15</v>
      </c>
      <c r="E1197" s="116">
        <v>171.8</v>
      </c>
      <c r="F1197" s="116">
        <v>346.1</v>
      </c>
      <c r="G1197">
        <v>2403</v>
      </c>
      <c r="H1197" s="116"/>
      <c r="I1197" s="116"/>
      <c r="L1197" s="170">
        <v>43770</v>
      </c>
      <c r="M1197" s="116">
        <v>173.125</v>
      </c>
      <c r="N1197" s="116">
        <v>174</v>
      </c>
      <c r="O1197" s="116">
        <v>170.8</v>
      </c>
      <c r="P1197" s="116">
        <v>174</v>
      </c>
      <c r="Q1197" s="116">
        <v>346.25</v>
      </c>
      <c r="R1197">
        <v>38900</v>
      </c>
    </row>
    <row r="1198" spans="1:18" x14ac:dyDescent="0.25">
      <c r="A1198" s="170">
        <v>43773</v>
      </c>
      <c r="B1198" s="116">
        <v>185</v>
      </c>
      <c r="C1198" s="116">
        <v>183.4</v>
      </c>
      <c r="D1198" s="116">
        <v>175</v>
      </c>
      <c r="E1198" s="116">
        <v>175</v>
      </c>
      <c r="F1198" s="116">
        <v>366.8</v>
      </c>
      <c r="G1198">
        <v>11501</v>
      </c>
      <c r="H1198" s="116"/>
      <c r="I1198" s="116"/>
      <c r="L1198" s="170">
        <v>43773</v>
      </c>
      <c r="M1198" s="116">
        <v>183.32499999999999</v>
      </c>
      <c r="N1198" s="116">
        <v>185</v>
      </c>
      <c r="O1198" s="116">
        <v>174.97499999999999</v>
      </c>
      <c r="P1198" s="116">
        <v>175</v>
      </c>
      <c r="Q1198" s="116">
        <v>366.65</v>
      </c>
      <c r="R1198">
        <v>128145</v>
      </c>
    </row>
    <row r="1199" spans="1:18" x14ac:dyDescent="0.25">
      <c r="A1199" s="170">
        <v>43774</v>
      </c>
      <c r="B1199" s="116">
        <v>184.5</v>
      </c>
      <c r="C1199" s="116">
        <v>182.4</v>
      </c>
      <c r="D1199" s="116">
        <v>176.3</v>
      </c>
      <c r="E1199" s="116">
        <v>182.02500000000001</v>
      </c>
      <c r="F1199" s="116">
        <v>364.8</v>
      </c>
      <c r="G1199">
        <v>8595</v>
      </c>
      <c r="H1199" s="116"/>
      <c r="I1199" s="116"/>
      <c r="L1199" s="170">
        <v>43774</v>
      </c>
      <c r="M1199" s="116">
        <v>182.17500000000001</v>
      </c>
      <c r="N1199" s="116">
        <v>184.77500000000001</v>
      </c>
      <c r="O1199" s="116">
        <v>176</v>
      </c>
      <c r="P1199" s="116">
        <v>184.5</v>
      </c>
      <c r="Q1199" s="116">
        <v>364.35</v>
      </c>
      <c r="R1199">
        <v>174536</v>
      </c>
    </row>
    <row r="1200" spans="1:18" x14ac:dyDescent="0.25">
      <c r="A1200" s="170">
        <v>43775</v>
      </c>
      <c r="B1200" s="116">
        <v>184.1</v>
      </c>
      <c r="C1200" s="116">
        <v>180.8</v>
      </c>
      <c r="D1200" s="116">
        <v>180</v>
      </c>
      <c r="E1200" s="116">
        <v>182.9</v>
      </c>
      <c r="F1200" s="116">
        <v>361.6</v>
      </c>
      <c r="G1200">
        <v>1541</v>
      </c>
      <c r="H1200" s="116"/>
      <c r="I1200" s="116"/>
      <c r="L1200" s="170">
        <v>43775</v>
      </c>
      <c r="M1200" s="116">
        <v>181.85</v>
      </c>
      <c r="N1200" s="116">
        <v>184.35</v>
      </c>
      <c r="O1200" s="116">
        <v>179.75</v>
      </c>
      <c r="P1200" s="116">
        <v>184</v>
      </c>
      <c r="Q1200" s="116">
        <v>363.7</v>
      </c>
      <c r="R1200">
        <v>50382</v>
      </c>
    </row>
    <row r="1201" spans="1:18" x14ac:dyDescent="0.25">
      <c r="A1201" s="170">
        <v>43776</v>
      </c>
      <c r="B1201" s="116">
        <v>195.75</v>
      </c>
      <c r="C1201" s="116">
        <v>190.625</v>
      </c>
      <c r="D1201" s="116">
        <v>186</v>
      </c>
      <c r="E1201" s="116">
        <v>187</v>
      </c>
      <c r="F1201" s="116">
        <v>381.25</v>
      </c>
      <c r="G1201">
        <v>21212</v>
      </c>
      <c r="H1201" s="116"/>
      <c r="I1201" s="116"/>
      <c r="L1201" s="170">
        <v>43776</v>
      </c>
      <c r="M1201" s="116">
        <v>190.75</v>
      </c>
      <c r="N1201" s="116">
        <v>196.05</v>
      </c>
      <c r="O1201" s="116">
        <v>185.625</v>
      </c>
      <c r="P1201" s="116">
        <v>187.3</v>
      </c>
      <c r="Q1201" s="116">
        <v>381.5</v>
      </c>
      <c r="R1201">
        <v>291520</v>
      </c>
    </row>
    <row r="1202" spans="1:18" x14ac:dyDescent="0.25">
      <c r="A1202" s="170">
        <v>43777</v>
      </c>
      <c r="B1202" s="116">
        <v>196.45</v>
      </c>
      <c r="C1202" s="116">
        <v>192.4</v>
      </c>
      <c r="D1202" s="116">
        <v>189.67500000000001</v>
      </c>
      <c r="E1202" s="116">
        <v>196.45</v>
      </c>
      <c r="F1202" s="116">
        <v>384.8</v>
      </c>
      <c r="G1202">
        <v>7636</v>
      </c>
      <c r="H1202" s="116"/>
      <c r="I1202" s="116"/>
      <c r="L1202" s="170">
        <v>43777</v>
      </c>
      <c r="M1202" s="116">
        <v>192.67500000000001</v>
      </c>
      <c r="N1202" s="116">
        <v>194.95</v>
      </c>
      <c r="O1202" s="116">
        <v>189.22499999999999</v>
      </c>
      <c r="P1202" s="116">
        <v>191.5</v>
      </c>
      <c r="Q1202" s="116">
        <v>385.35</v>
      </c>
      <c r="R1202">
        <v>131728</v>
      </c>
    </row>
    <row r="1203" spans="1:18" x14ac:dyDescent="0.25">
      <c r="A1203" s="170">
        <v>43780</v>
      </c>
      <c r="B1203" s="116">
        <v>200</v>
      </c>
      <c r="C1203" s="116">
        <v>198.65</v>
      </c>
      <c r="D1203" s="116">
        <v>194.82499999999999</v>
      </c>
      <c r="E1203" s="116">
        <v>195.92500000000001</v>
      </c>
      <c r="F1203" s="116">
        <v>397.3</v>
      </c>
      <c r="G1203">
        <v>6155</v>
      </c>
      <c r="H1203" s="116"/>
      <c r="I1203" s="116"/>
      <c r="L1203" s="170">
        <v>43780</v>
      </c>
      <c r="M1203" s="116">
        <v>198.4</v>
      </c>
      <c r="N1203" s="116">
        <v>200</v>
      </c>
      <c r="O1203" s="116">
        <v>193.5</v>
      </c>
      <c r="P1203" s="116">
        <v>193.97499999999999</v>
      </c>
      <c r="Q1203" s="116">
        <v>396.8</v>
      </c>
      <c r="R1203">
        <v>67210</v>
      </c>
    </row>
    <row r="1204" spans="1:18" x14ac:dyDescent="0.25">
      <c r="A1204" s="170">
        <v>43782</v>
      </c>
      <c r="B1204" s="116">
        <v>204</v>
      </c>
      <c r="C1204" s="116">
        <v>197.55</v>
      </c>
      <c r="D1204" s="116">
        <v>197</v>
      </c>
      <c r="E1204" s="116">
        <v>203.5</v>
      </c>
      <c r="F1204" s="116">
        <v>395.1</v>
      </c>
      <c r="G1204">
        <v>12168</v>
      </c>
      <c r="H1204" s="116"/>
      <c r="I1204" s="116"/>
      <c r="L1204" s="170">
        <v>43782</v>
      </c>
      <c r="M1204" s="116">
        <v>197.85</v>
      </c>
      <c r="N1204" s="116">
        <v>204.47499999999999</v>
      </c>
      <c r="O1204" s="116">
        <v>196.65</v>
      </c>
      <c r="P1204" s="116">
        <v>204.2</v>
      </c>
      <c r="Q1204" s="116">
        <v>395.7</v>
      </c>
      <c r="R1204">
        <v>218610</v>
      </c>
    </row>
    <row r="1205" spans="1:18" x14ac:dyDescent="0.25">
      <c r="A1205" s="170">
        <v>43783</v>
      </c>
      <c r="B1205" s="116">
        <v>199.5</v>
      </c>
      <c r="C1205" s="116">
        <v>197.97499999999999</v>
      </c>
      <c r="D1205" s="116">
        <v>195.02500000000001</v>
      </c>
      <c r="E1205" s="116">
        <v>195.2</v>
      </c>
      <c r="F1205" s="116">
        <v>395.95</v>
      </c>
      <c r="G1205">
        <v>6643</v>
      </c>
      <c r="H1205" s="116"/>
      <c r="I1205" s="116"/>
      <c r="L1205" s="170">
        <v>43783</v>
      </c>
      <c r="M1205" s="116">
        <v>198.17500000000001</v>
      </c>
      <c r="N1205" s="116">
        <v>199.3</v>
      </c>
      <c r="O1205" s="116">
        <v>195</v>
      </c>
      <c r="P1205" s="116">
        <v>195</v>
      </c>
      <c r="Q1205" s="116">
        <v>396.35</v>
      </c>
      <c r="R1205">
        <v>83596</v>
      </c>
    </row>
    <row r="1206" spans="1:18" x14ac:dyDescent="0.25">
      <c r="A1206" s="170">
        <v>43784</v>
      </c>
      <c r="B1206" s="116">
        <v>199.5</v>
      </c>
      <c r="C1206" s="116">
        <v>198.02500000000001</v>
      </c>
      <c r="D1206" s="116">
        <v>196.2</v>
      </c>
      <c r="E1206" s="116">
        <v>198.4</v>
      </c>
      <c r="F1206" s="116">
        <v>396.05</v>
      </c>
      <c r="G1206">
        <v>8092</v>
      </c>
      <c r="H1206" s="116"/>
      <c r="I1206" s="116"/>
      <c r="L1206" s="170">
        <v>43784</v>
      </c>
      <c r="M1206" s="116">
        <v>198.2</v>
      </c>
      <c r="N1206" s="116">
        <v>199.5</v>
      </c>
      <c r="O1206" s="116">
        <v>196</v>
      </c>
      <c r="P1206" s="116">
        <v>197.97499999999999</v>
      </c>
      <c r="Q1206" s="116">
        <v>396.4</v>
      </c>
      <c r="R1206">
        <v>50857</v>
      </c>
    </row>
    <row r="1207" spans="1:18" x14ac:dyDescent="0.25">
      <c r="A1207" s="170">
        <v>43787</v>
      </c>
      <c r="B1207" s="116">
        <v>203</v>
      </c>
      <c r="C1207" s="116">
        <v>198.2</v>
      </c>
      <c r="D1207" s="116">
        <v>197.35</v>
      </c>
      <c r="E1207" s="116">
        <v>203</v>
      </c>
      <c r="F1207" s="116">
        <v>396.4</v>
      </c>
      <c r="G1207">
        <v>9453</v>
      </c>
      <c r="H1207" s="116"/>
      <c r="I1207" s="116"/>
      <c r="L1207" s="170">
        <v>43787</v>
      </c>
      <c r="M1207" s="116">
        <v>198.4</v>
      </c>
      <c r="N1207" s="116">
        <v>199.45</v>
      </c>
      <c r="O1207" s="116">
        <v>197.02500000000001</v>
      </c>
      <c r="P1207" s="116">
        <v>198.02500000000001</v>
      </c>
      <c r="Q1207" s="116">
        <v>396.8</v>
      </c>
      <c r="R1207">
        <v>97334</v>
      </c>
    </row>
    <row r="1208" spans="1:18" x14ac:dyDescent="0.25">
      <c r="A1208" s="170">
        <v>43788</v>
      </c>
      <c r="B1208" s="116">
        <v>198.75</v>
      </c>
      <c r="C1208" s="116">
        <v>198.3</v>
      </c>
      <c r="D1208" s="116">
        <v>197.15</v>
      </c>
      <c r="E1208" s="116">
        <v>198.2</v>
      </c>
      <c r="F1208" s="116">
        <v>396.6</v>
      </c>
      <c r="G1208">
        <v>3958</v>
      </c>
      <c r="H1208" s="116"/>
      <c r="I1208" s="116"/>
      <c r="L1208" s="170">
        <v>43788</v>
      </c>
      <c r="M1208" s="116">
        <v>198.17500000000001</v>
      </c>
      <c r="N1208" s="116">
        <v>199.375</v>
      </c>
      <c r="O1208" s="116">
        <v>196.95</v>
      </c>
      <c r="P1208" s="116">
        <v>198.95</v>
      </c>
      <c r="Q1208" s="116">
        <v>396.35</v>
      </c>
      <c r="R1208">
        <v>86640</v>
      </c>
    </row>
    <row r="1209" spans="1:18" x14ac:dyDescent="0.25">
      <c r="A1209" s="170">
        <v>43789</v>
      </c>
      <c r="B1209" s="116">
        <v>198.1</v>
      </c>
      <c r="C1209" s="116">
        <v>194.35</v>
      </c>
      <c r="D1209" s="116">
        <v>190.95</v>
      </c>
      <c r="E1209" s="116">
        <v>198</v>
      </c>
      <c r="F1209" s="116">
        <v>388.7</v>
      </c>
      <c r="G1209">
        <v>24840</v>
      </c>
      <c r="H1209" s="116"/>
      <c r="I1209" s="116"/>
      <c r="L1209" s="170">
        <v>43789</v>
      </c>
      <c r="M1209" s="116">
        <v>194.32499999999999</v>
      </c>
      <c r="N1209" s="116">
        <v>198.6</v>
      </c>
      <c r="O1209" s="116">
        <v>192.55</v>
      </c>
      <c r="P1209" s="116">
        <v>197.5</v>
      </c>
      <c r="Q1209" s="116">
        <v>388.65</v>
      </c>
      <c r="R1209">
        <v>77473</v>
      </c>
    </row>
    <row r="1210" spans="1:18" x14ac:dyDescent="0.25">
      <c r="A1210" s="170">
        <v>43790</v>
      </c>
      <c r="B1210" s="116">
        <v>195.92500000000001</v>
      </c>
      <c r="C1210" s="116">
        <v>194.5</v>
      </c>
      <c r="D1210" s="116">
        <v>185</v>
      </c>
      <c r="E1210" s="116">
        <v>190</v>
      </c>
      <c r="F1210" s="116">
        <v>389</v>
      </c>
      <c r="G1210">
        <v>15194</v>
      </c>
      <c r="H1210" s="116"/>
      <c r="I1210" s="116"/>
      <c r="L1210" s="170">
        <v>43790</v>
      </c>
      <c r="M1210" s="116">
        <v>193.77500000000001</v>
      </c>
      <c r="N1210" s="116">
        <v>195.95</v>
      </c>
      <c r="O1210" s="116">
        <v>157.52500000000001</v>
      </c>
      <c r="P1210" s="116">
        <v>187.5</v>
      </c>
      <c r="Q1210" s="116">
        <v>387.55</v>
      </c>
      <c r="R1210">
        <v>100014</v>
      </c>
    </row>
    <row r="1211" spans="1:18" x14ac:dyDescent="0.25">
      <c r="A1211" s="170">
        <v>43791</v>
      </c>
      <c r="B1211" s="116">
        <v>197.875</v>
      </c>
      <c r="C1211" s="116">
        <v>197</v>
      </c>
      <c r="D1211" s="116">
        <v>190.22499999999999</v>
      </c>
      <c r="E1211" s="116">
        <v>192.05</v>
      </c>
      <c r="F1211" s="116">
        <v>394</v>
      </c>
      <c r="G1211">
        <v>31103</v>
      </c>
      <c r="H1211" s="116"/>
      <c r="I1211" s="116"/>
      <c r="L1211" s="170">
        <v>43791</v>
      </c>
      <c r="M1211" s="116">
        <v>196.77500000000001</v>
      </c>
      <c r="N1211" s="116">
        <v>197.95</v>
      </c>
      <c r="O1211" s="116">
        <v>189.47499999999999</v>
      </c>
      <c r="P1211" s="116">
        <v>193</v>
      </c>
      <c r="Q1211" s="116">
        <v>393.55</v>
      </c>
      <c r="R1211">
        <v>122664</v>
      </c>
    </row>
    <row r="1212" spans="1:18" x14ac:dyDescent="0.25">
      <c r="A1212" s="170">
        <v>43794</v>
      </c>
      <c r="B1212" s="116">
        <v>196.67500000000001</v>
      </c>
      <c r="C1212" s="116">
        <v>194.55</v>
      </c>
      <c r="D1212" s="116">
        <v>191.07499999999999</v>
      </c>
      <c r="E1212" s="116">
        <v>191.3</v>
      </c>
      <c r="F1212" s="116">
        <v>389.1</v>
      </c>
      <c r="G1212">
        <v>9387</v>
      </c>
      <c r="H1212" s="116"/>
      <c r="I1212" s="116"/>
      <c r="L1212" s="170">
        <v>43794</v>
      </c>
      <c r="M1212" s="116">
        <v>194.9</v>
      </c>
      <c r="N1212" s="116">
        <v>196.77500000000001</v>
      </c>
      <c r="O1212" s="116">
        <v>189.6</v>
      </c>
      <c r="P1212" s="116">
        <v>193</v>
      </c>
      <c r="Q1212" s="116">
        <v>389.8</v>
      </c>
      <c r="R1212">
        <v>38090</v>
      </c>
    </row>
    <row r="1213" spans="1:18" x14ac:dyDescent="0.25">
      <c r="A1213" s="170">
        <v>43795</v>
      </c>
      <c r="B1213" s="116">
        <v>203.8</v>
      </c>
      <c r="C1213" s="116">
        <v>202.47499999999999</v>
      </c>
      <c r="D1213" s="116">
        <v>196.9</v>
      </c>
      <c r="E1213" s="116">
        <v>196.9</v>
      </c>
      <c r="F1213" s="116">
        <v>404.95</v>
      </c>
      <c r="G1213">
        <v>8068</v>
      </c>
      <c r="H1213" s="116"/>
      <c r="I1213" s="116"/>
      <c r="L1213" s="170">
        <v>43795</v>
      </c>
      <c r="M1213" s="116">
        <v>202.47499999999999</v>
      </c>
      <c r="N1213" s="116">
        <v>204</v>
      </c>
      <c r="O1213" s="116">
        <v>194.25</v>
      </c>
      <c r="P1213" s="116">
        <v>194.25</v>
      </c>
      <c r="Q1213" s="116">
        <v>404.95</v>
      </c>
      <c r="R1213">
        <v>106142</v>
      </c>
    </row>
    <row r="1214" spans="1:18" x14ac:dyDescent="0.25">
      <c r="A1214" s="170">
        <v>43796</v>
      </c>
      <c r="B1214" s="116">
        <v>204.5</v>
      </c>
      <c r="C1214" s="116">
        <v>201.82499999999999</v>
      </c>
      <c r="D1214" s="116">
        <v>199.32499999999999</v>
      </c>
      <c r="E1214" s="116">
        <v>204.5</v>
      </c>
      <c r="F1214" s="116">
        <v>403.65</v>
      </c>
      <c r="G1214">
        <v>7676</v>
      </c>
      <c r="H1214" s="116"/>
      <c r="I1214" s="116"/>
      <c r="L1214" s="170">
        <v>43796</v>
      </c>
      <c r="M1214" s="116">
        <v>202.05</v>
      </c>
      <c r="N1214" s="116">
        <v>204.22499999999999</v>
      </c>
      <c r="O1214" s="116">
        <v>199.375</v>
      </c>
      <c r="P1214" s="116">
        <v>203.32499999999999</v>
      </c>
      <c r="Q1214" s="116">
        <v>404.1</v>
      </c>
      <c r="R1214">
        <v>51762</v>
      </c>
    </row>
    <row r="1215" spans="1:18" x14ac:dyDescent="0.25">
      <c r="A1215" s="170">
        <v>43797</v>
      </c>
      <c r="B1215" s="116">
        <v>203.02500000000001</v>
      </c>
      <c r="C1215" s="116">
        <v>197.85</v>
      </c>
      <c r="D1215" s="116">
        <v>197.5</v>
      </c>
      <c r="E1215" s="116">
        <v>203.02500000000001</v>
      </c>
      <c r="F1215" s="116">
        <v>395.7</v>
      </c>
      <c r="G1215">
        <v>11258</v>
      </c>
      <c r="H1215" s="116"/>
      <c r="I1215" s="116"/>
      <c r="L1215" s="170">
        <v>43797</v>
      </c>
      <c r="M1215" s="116">
        <v>198.02500000000001</v>
      </c>
      <c r="N1215" s="116">
        <v>202.5</v>
      </c>
      <c r="O1215" s="116">
        <v>197</v>
      </c>
      <c r="P1215" s="116">
        <v>202.5</v>
      </c>
      <c r="Q1215" s="116">
        <v>396.05</v>
      </c>
      <c r="R1215">
        <v>81470</v>
      </c>
    </row>
    <row r="1216" spans="1:18" x14ac:dyDescent="0.25">
      <c r="A1216" s="170">
        <v>43798</v>
      </c>
      <c r="B1216" s="116">
        <v>202.72499999999999</v>
      </c>
      <c r="C1216" s="116">
        <v>198.125</v>
      </c>
      <c r="D1216" s="116">
        <v>197.2</v>
      </c>
      <c r="E1216" s="116">
        <v>202.7</v>
      </c>
      <c r="F1216" s="116">
        <v>396.25</v>
      </c>
      <c r="G1216">
        <v>4678</v>
      </c>
      <c r="H1216" s="116"/>
      <c r="I1216" s="116"/>
      <c r="L1216" s="170">
        <v>43798</v>
      </c>
      <c r="M1216" s="116">
        <v>197.85</v>
      </c>
      <c r="N1216" s="116">
        <v>203</v>
      </c>
      <c r="O1216" s="116">
        <v>197</v>
      </c>
      <c r="P1216" s="116">
        <v>198.02500000000001</v>
      </c>
      <c r="Q1216" s="116">
        <v>395.7</v>
      </c>
      <c r="R1216">
        <v>46653</v>
      </c>
    </row>
    <row r="1217" spans="1:18" x14ac:dyDescent="0.25">
      <c r="A1217" s="170">
        <v>43801</v>
      </c>
      <c r="B1217" s="116">
        <v>201.7</v>
      </c>
      <c r="C1217" s="116">
        <v>200.72499999999999</v>
      </c>
      <c r="D1217" s="116">
        <v>198.1</v>
      </c>
      <c r="E1217" s="116">
        <v>198.57499999999999</v>
      </c>
      <c r="F1217" s="116">
        <v>401.45</v>
      </c>
      <c r="G1217">
        <v>5033</v>
      </c>
      <c r="H1217" s="116"/>
      <c r="I1217" s="116"/>
      <c r="L1217" s="170">
        <v>43801</v>
      </c>
      <c r="M1217" s="116">
        <v>200.57499999999999</v>
      </c>
      <c r="N1217" s="116">
        <v>202.47499999999999</v>
      </c>
      <c r="O1217" s="116">
        <v>197.9</v>
      </c>
      <c r="P1217" s="116">
        <v>201.5</v>
      </c>
      <c r="Q1217" s="116">
        <v>401.15</v>
      </c>
      <c r="R1217">
        <v>108228</v>
      </c>
    </row>
    <row r="1218" spans="1:18" x14ac:dyDescent="0.25">
      <c r="A1218" s="170">
        <v>43802</v>
      </c>
      <c r="B1218" s="116">
        <v>202.85</v>
      </c>
      <c r="C1218" s="116">
        <v>201.67500000000001</v>
      </c>
      <c r="D1218" s="116">
        <v>199.5</v>
      </c>
      <c r="E1218" s="116">
        <v>201.5</v>
      </c>
      <c r="F1218" s="116">
        <v>403.35</v>
      </c>
      <c r="G1218">
        <v>12156</v>
      </c>
      <c r="H1218" s="116"/>
      <c r="I1218" s="116"/>
      <c r="L1218" s="170">
        <v>43802</v>
      </c>
      <c r="M1218" s="116">
        <v>201.92500000000001</v>
      </c>
      <c r="N1218" s="116">
        <v>202.875</v>
      </c>
      <c r="O1218" s="116">
        <v>199.5</v>
      </c>
      <c r="P1218" s="116">
        <v>201.625</v>
      </c>
      <c r="Q1218" s="116">
        <v>403.85</v>
      </c>
      <c r="R1218">
        <v>51015</v>
      </c>
    </row>
    <row r="1219" spans="1:18" x14ac:dyDescent="0.25">
      <c r="A1219" s="170">
        <v>43803</v>
      </c>
      <c r="B1219" s="116">
        <v>203.45</v>
      </c>
      <c r="C1219" s="116">
        <v>202.875</v>
      </c>
      <c r="D1219" s="116">
        <v>201</v>
      </c>
      <c r="E1219" s="116">
        <v>203.375</v>
      </c>
      <c r="F1219" s="116">
        <v>405.75</v>
      </c>
      <c r="G1219">
        <v>5537</v>
      </c>
      <c r="H1219" s="116"/>
      <c r="I1219" s="116"/>
      <c r="L1219" s="170">
        <v>43803</v>
      </c>
      <c r="M1219" s="116">
        <v>202.7</v>
      </c>
      <c r="N1219" s="116">
        <v>204.4</v>
      </c>
      <c r="O1219" s="116">
        <v>200.6</v>
      </c>
      <c r="P1219" s="116">
        <v>202.97499999999999</v>
      </c>
      <c r="Q1219" s="116">
        <v>405.4</v>
      </c>
      <c r="R1219">
        <v>48240</v>
      </c>
    </row>
    <row r="1220" spans="1:18" x14ac:dyDescent="0.25">
      <c r="A1220" s="170">
        <v>43804</v>
      </c>
      <c r="B1220" s="116">
        <v>203.15</v>
      </c>
      <c r="C1220" s="116">
        <v>200.8</v>
      </c>
      <c r="D1220" s="116">
        <v>200.02500000000001</v>
      </c>
      <c r="E1220" s="116">
        <v>202.875</v>
      </c>
      <c r="F1220" s="116">
        <v>401.6</v>
      </c>
      <c r="G1220">
        <v>2072</v>
      </c>
      <c r="H1220" s="116"/>
      <c r="I1220" s="116"/>
      <c r="L1220" s="170">
        <v>43804</v>
      </c>
      <c r="M1220" s="116">
        <v>200.8</v>
      </c>
      <c r="N1220" s="116">
        <v>204.5</v>
      </c>
      <c r="O1220" s="116">
        <v>200</v>
      </c>
      <c r="P1220" s="116">
        <v>204.5</v>
      </c>
      <c r="Q1220" s="116">
        <v>401.6</v>
      </c>
      <c r="R1220">
        <v>74766</v>
      </c>
    </row>
    <row r="1221" spans="1:18" x14ac:dyDescent="0.25">
      <c r="A1221" s="170">
        <v>43805</v>
      </c>
      <c r="B1221" s="116">
        <v>203</v>
      </c>
      <c r="C1221" s="116">
        <v>201.35</v>
      </c>
      <c r="D1221" s="116">
        <v>201.05</v>
      </c>
      <c r="E1221" s="116">
        <v>202.7</v>
      </c>
      <c r="F1221" s="116">
        <v>402.7</v>
      </c>
      <c r="G1221">
        <v>945</v>
      </c>
      <c r="H1221" s="116"/>
      <c r="I1221" s="116"/>
      <c r="L1221" s="170">
        <v>43805</v>
      </c>
      <c r="M1221" s="116">
        <v>201.625</v>
      </c>
      <c r="N1221" s="116">
        <v>202.95</v>
      </c>
      <c r="O1221" s="116">
        <v>200.65</v>
      </c>
      <c r="P1221" s="116">
        <v>202.3</v>
      </c>
      <c r="Q1221" s="116">
        <v>403.25</v>
      </c>
      <c r="R1221">
        <v>38227</v>
      </c>
    </row>
    <row r="1222" spans="1:18" x14ac:dyDescent="0.25">
      <c r="A1222" s="170">
        <v>43808</v>
      </c>
      <c r="B1222" s="116">
        <v>202.95</v>
      </c>
      <c r="C1222" s="116">
        <v>201.1</v>
      </c>
      <c r="D1222" s="116">
        <v>199.25</v>
      </c>
      <c r="E1222" s="116">
        <v>202.95</v>
      </c>
      <c r="F1222" s="116">
        <v>402.2</v>
      </c>
      <c r="G1222">
        <v>16318</v>
      </c>
      <c r="H1222" s="116"/>
      <c r="I1222" s="116"/>
      <c r="L1222" s="170">
        <v>43808</v>
      </c>
      <c r="M1222" s="116">
        <v>200.85</v>
      </c>
      <c r="N1222" s="116">
        <v>204</v>
      </c>
      <c r="O1222" s="116">
        <v>199</v>
      </c>
      <c r="P1222" s="116">
        <v>204</v>
      </c>
      <c r="Q1222" s="116">
        <v>401.7</v>
      </c>
      <c r="R1222">
        <v>46215</v>
      </c>
    </row>
    <row r="1223" spans="1:18" x14ac:dyDescent="0.25">
      <c r="A1223" s="170">
        <v>43809</v>
      </c>
      <c r="B1223" s="116">
        <v>217.25</v>
      </c>
      <c r="C1223" s="116">
        <v>211.05</v>
      </c>
      <c r="D1223" s="116">
        <v>200.17500000000001</v>
      </c>
      <c r="E1223" s="116">
        <v>202.4</v>
      </c>
      <c r="F1223" s="116">
        <v>422.1</v>
      </c>
      <c r="G1223">
        <v>73800</v>
      </c>
      <c r="H1223" s="116"/>
      <c r="I1223" s="116"/>
      <c r="L1223" s="170">
        <v>43809</v>
      </c>
      <c r="M1223" s="116">
        <v>211.17500000000001</v>
      </c>
      <c r="N1223" s="116">
        <v>217.45</v>
      </c>
      <c r="O1223" s="116">
        <v>199.8</v>
      </c>
      <c r="P1223" s="116">
        <v>202.1</v>
      </c>
      <c r="Q1223" s="116">
        <v>422.35</v>
      </c>
      <c r="R1223">
        <v>796606</v>
      </c>
    </row>
    <row r="1224" spans="1:18" x14ac:dyDescent="0.25">
      <c r="A1224" s="170">
        <v>43810</v>
      </c>
      <c r="B1224" s="116">
        <v>213</v>
      </c>
      <c r="C1224" s="116">
        <v>209.17500000000001</v>
      </c>
      <c r="D1224" s="116">
        <v>208.05</v>
      </c>
      <c r="E1224" s="116">
        <v>211.5</v>
      </c>
      <c r="F1224" s="116">
        <v>418.35</v>
      </c>
      <c r="G1224">
        <v>19062</v>
      </c>
      <c r="H1224" s="116"/>
      <c r="I1224" s="116"/>
      <c r="L1224" s="170">
        <v>43810</v>
      </c>
      <c r="M1224" s="116">
        <v>209.375</v>
      </c>
      <c r="N1224" s="116">
        <v>213.22499999999999</v>
      </c>
      <c r="O1224" s="116">
        <v>207.5</v>
      </c>
      <c r="P1224" s="116">
        <v>211.5</v>
      </c>
      <c r="Q1224" s="116">
        <v>418.75</v>
      </c>
      <c r="R1224">
        <v>154002</v>
      </c>
    </row>
    <row r="1225" spans="1:18" x14ac:dyDescent="0.25">
      <c r="A1225" s="170">
        <v>43811</v>
      </c>
      <c r="B1225" s="116">
        <v>211.25</v>
      </c>
      <c r="C1225" s="116">
        <v>207.27500000000001</v>
      </c>
      <c r="D1225" s="116">
        <v>206.875</v>
      </c>
      <c r="E1225" s="116">
        <v>209.35</v>
      </c>
      <c r="F1225" s="116">
        <v>414.55</v>
      </c>
      <c r="G1225">
        <v>9004</v>
      </c>
      <c r="H1225" s="116"/>
      <c r="I1225" s="116"/>
      <c r="L1225" s="170">
        <v>43811</v>
      </c>
      <c r="M1225" s="116">
        <v>207.57499999999999</v>
      </c>
      <c r="N1225" s="116">
        <v>211.4</v>
      </c>
      <c r="O1225" s="116">
        <v>206.55</v>
      </c>
      <c r="P1225" s="116">
        <v>209.4</v>
      </c>
      <c r="Q1225" s="116">
        <v>415.15</v>
      </c>
      <c r="R1225">
        <v>48973</v>
      </c>
    </row>
    <row r="1226" spans="1:18" x14ac:dyDescent="0.25">
      <c r="A1226" s="170">
        <v>43812</v>
      </c>
      <c r="B1226" s="116">
        <v>211.375</v>
      </c>
      <c r="C1226" s="116">
        <v>209.82499999999999</v>
      </c>
      <c r="D1226" s="116">
        <v>206.5</v>
      </c>
      <c r="E1226" s="116">
        <v>208.9</v>
      </c>
      <c r="F1226" s="116">
        <v>419.65</v>
      </c>
      <c r="G1226">
        <v>18429</v>
      </c>
      <c r="H1226" s="116"/>
      <c r="I1226" s="116"/>
      <c r="L1226" s="170">
        <v>43812</v>
      </c>
      <c r="M1226" s="116">
        <v>209.97499999999999</v>
      </c>
      <c r="N1226" s="116">
        <v>211.5</v>
      </c>
      <c r="O1226" s="116">
        <v>206.125</v>
      </c>
      <c r="P1226" s="116">
        <v>207.2</v>
      </c>
      <c r="Q1226" s="116">
        <v>419.95</v>
      </c>
      <c r="R1226">
        <v>381855</v>
      </c>
    </row>
    <row r="1227" spans="1:18" x14ac:dyDescent="0.25">
      <c r="A1227" s="170">
        <v>43815</v>
      </c>
      <c r="B1227" s="116">
        <v>215.77500000000001</v>
      </c>
      <c r="C1227" s="116">
        <v>212.07499999999999</v>
      </c>
      <c r="D1227" s="116">
        <v>211.32499999999999</v>
      </c>
      <c r="E1227" s="116">
        <v>212</v>
      </c>
      <c r="F1227" s="116">
        <v>424.15</v>
      </c>
      <c r="G1227">
        <v>15579</v>
      </c>
      <c r="H1227" s="116"/>
      <c r="I1227" s="116"/>
      <c r="L1227" s="170">
        <v>43815</v>
      </c>
      <c r="M1227" s="116">
        <v>212.27500000000001</v>
      </c>
      <c r="N1227" s="116">
        <v>216.05</v>
      </c>
      <c r="O1227" s="116">
        <v>210.55</v>
      </c>
      <c r="P1227" s="116">
        <v>212.3</v>
      </c>
      <c r="Q1227" s="116">
        <v>424.55</v>
      </c>
      <c r="R1227">
        <v>260703</v>
      </c>
    </row>
    <row r="1228" spans="1:18" x14ac:dyDescent="0.25">
      <c r="A1228" s="170">
        <v>43816</v>
      </c>
      <c r="B1228" s="116">
        <v>213.57499999999999</v>
      </c>
      <c r="C1228" s="116">
        <v>212.2</v>
      </c>
      <c r="D1228" s="116">
        <v>211.375</v>
      </c>
      <c r="E1228" s="116">
        <v>212.3</v>
      </c>
      <c r="F1228" s="116">
        <v>424.4</v>
      </c>
      <c r="G1228">
        <v>5200</v>
      </c>
      <c r="H1228" s="116"/>
      <c r="I1228" s="116"/>
      <c r="L1228" s="170">
        <v>43816</v>
      </c>
      <c r="M1228" s="116">
        <v>212.57499999999999</v>
      </c>
      <c r="N1228" s="116">
        <v>213.75</v>
      </c>
      <c r="O1228" s="116">
        <v>211.1</v>
      </c>
      <c r="P1228" s="116">
        <v>211.1</v>
      </c>
      <c r="Q1228" s="116">
        <v>425.15</v>
      </c>
      <c r="R1228">
        <v>88789</v>
      </c>
    </row>
    <row r="1229" spans="1:18" x14ac:dyDescent="0.25">
      <c r="A1229" s="170">
        <v>43817</v>
      </c>
      <c r="B1229" s="116">
        <v>214.5</v>
      </c>
      <c r="C1229" s="116">
        <v>213.45</v>
      </c>
      <c r="D1229" s="116">
        <v>212.45</v>
      </c>
      <c r="E1229" s="116">
        <v>214.5</v>
      </c>
      <c r="F1229" s="116">
        <v>426.9</v>
      </c>
      <c r="G1229">
        <v>6495</v>
      </c>
      <c r="H1229" s="116"/>
      <c r="I1229" s="116"/>
      <c r="L1229" s="170">
        <v>43817</v>
      </c>
      <c r="M1229" s="116">
        <v>213.5</v>
      </c>
      <c r="N1229" s="116">
        <v>214.82499999999999</v>
      </c>
      <c r="O1229" s="116">
        <v>212.45</v>
      </c>
      <c r="P1229" s="116">
        <v>213.97499999999999</v>
      </c>
      <c r="Q1229" s="116">
        <v>427</v>
      </c>
      <c r="R1229">
        <v>74975</v>
      </c>
    </row>
    <row r="1230" spans="1:18" x14ac:dyDescent="0.25">
      <c r="A1230" s="170">
        <v>43818</v>
      </c>
      <c r="B1230" s="116">
        <v>213.8</v>
      </c>
      <c r="C1230" s="116">
        <v>212.65</v>
      </c>
      <c r="D1230" s="116">
        <v>211.9</v>
      </c>
      <c r="E1230" s="116">
        <v>213.5</v>
      </c>
      <c r="F1230" s="116">
        <v>425.3</v>
      </c>
      <c r="G1230">
        <v>11098</v>
      </c>
      <c r="H1230" s="116"/>
      <c r="I1230" s="116"/>
      <c r="L1230" s="170">
        <v>43818</v>
      </c>
      <c r="M1230" s="116">
        <v>212.875</v>
      </c>
      <c r="N1230" s="116">
        <v>214.5</v>
      </c>
      <c r="O1230" s="116">
        <v>211.77500000000001</v>
      </c>
      <c r="P1230" s="116">
        <v>214.5</v>
      </c>
      <c r="Q1230" s="116">
        <v>425.75</v>
      </c>
      <c r="R1230">
        <v>201243</v>
      </c>
    </row>
    <row r="1231" spans="1:18" x14ac:dyDescent="0.25">
      <c r="A1231" s="170">
        <v>43819</v>
      </c>
      <c r="B1231" s="116">
        <v>214</v>
      </c>
      <c r="C1231" s="116">
        <v>211.52500000000001</v>
      </c>
      <c r="D1231" s="116">
        <v>210.75</v>
      </c>
      <c r="E1231" s="116">
        <v>212.92500000000001</v>
      </c>
      <c r="F1231" s="116">
        <v>423.05</v>
      </c>
      <c r="G1231">
        <v>7994</v>
      </c>
      <c r="H1231" s="116"/>
      <c r="I1231" s="116"/>
      <c r="L1231" s="170">
        <v>43819</v>
      </c>
      <c r="M1231" s="116">
        <v>211.52500000000001</v>
      </c>
      <c r="N1231" s="116">
        <v>214.5</v>
      </c>
      <c r="O1231" s="116">
        <v>210.55</v>
      </c>
      <c r="P1231" s="116">
        <v>213.42500000000001</v>
      </c>
      <c r="Q1231" s="116">
        <v>423.05</v>
      </c>
      <c r="R1231">
        <v>146884</v>
      </c>
    </row>
    <row r="1232" spans="1:18" x14ac:dyDescent="0.25">
      <c r="A1232" s="170">
        <v>43822</v>
      </c>
      <c r="B1232" s="116">
        <v>215.9</v>
      </c>
      <c r="C1232" s="116">
        <v>215.17500000000001</v>
      </c>
      <c r="D1232" s="116">
        <v>212.47499999999999</v>
      </c>
      <c r="E1232" s="116">
        <v>212.57499999999999</v>
      </c>
      <c r="F1232" s="116">
        <v>430.35</v>
      </c>
      <c r="G1232">
        <v>11778</v>
      </c>
      <c r="H1232" s="116"/>
      <c r="I1232" s="116"/>
      <c r="L1232" s="170">
        <v>43822</v>
      </c>
      <c r="M1232" s="116">
        <v>215.27500000000001</v>
      </c>
      <c r="N1232" s="116">
        <v>216</v>
      </c>
      <c r="O1232" s="116">
        <v>211.52500000000001</v>
      </c>
      <c r="P1232" s="116">
        <v>213.25</v>
      </c>
      <c r="Q1232" s="116">
        <v>430.55</v>
      </c>
      <c r="R1232">
        <v>123133</v>
      </c>
    </row>
    <row r="1233" spans="1:18" x14ac:dyDescent="0.25">
      <c r="A1233" s="170">
        <v>43823</v>
      </c>
      <c r="B1233" s="116">
        <v>216.5</v>
      </c>
      <c r="C1233" s="116">
        <v>213.57499999999999</v>
      </c>
      <c r="D1233" s="116">
        <v>212.5</v>
      </c>
      <c r="E1233" s="116">
        <v>214.72499999999999</v>
      </c>
      <c r="F1233" s="116">
        <v>427.15</v>
      </c>
      <c r="G1233">
        <v>3382</v>
      </c>
      <c r="H1233" s="116"/>
      <c r="I1233" s="116"/>
      <c r="L1233" s="170">
        <v>43823</v>
      </c>
      <c r="M1233" s="116">
        <v>213.05</v>
      </c>
      <c r="N1233" s="116">
        <v>216.45</v>
      </c>
      <c r="O1233" s="116">
        <v>212.5</v>
      </c>
      <c r="P1233" s="116">
        <v>215.8</v>
      </c>
      <c r="Q1233" s="116">
        <v>426.1</v>
      </c>
      <c r="R1233">
        <v>27406</v>
      </c>
    </row>
    <row r="1234" spans="1:18" x14ac:dyDescent="0.25">
      <c r="A1234" s="170">
        <v>43825</v>
      </c>
      <c r="B1234" s="116">
        <v>215.97499999999999</v>
      </c>
      <c r="C1234" s="116">
        <v>214.77500000000001</v>
      </c>
      <c r="D1234" s="116">
        <v>212.02500000000001</v>
      </c>
      <c r="E1234" s="116">
        <v>213.5</v>
      </c>
      <c r="F1234" s="116">
        <v>429.55</v>
      </c>
      <c r="G1234">
        <v>5527</v>
      </c>
      <c r="H1234" s="116"/>
      <c r="I1234" s="116"/>
      <c r="L1234" s="170">
        <v>43825</v>
      </c>
      <c r="M1234" s="116">
        <v>214.85</v>
      </c>
      <c r="N1234" s="116">
        <v>216</v>
      </c>
      <c r="O1234" s="116">
        <v>211.3</v>
      </c>
      <c r="P1234" s="116">
        <v>213</v>
      </c>
      <c r="Q1234" s="116">
        <v>429.7</v>
      </c>
      <c r="R1234">
        <v>48432</v>
      </c>
    </row>
    <row r="1235" spans="1:18" x14ac:dyDescent="0.25">
      <c r="A1235" s="170">
        <v>43826</v>
      </c>
      <c r="B1235" s="116">
        <v>217.45</v>
      </c>
      <c r="C1235" s="116">
        <v>214.375</v>
      </c>
      <c r="D1235" s="116">
        <v>213.3</v>
      </c>
      <c r="E1235" s="116">
        <v>217.45</v>
      </c>
      <c r="F1235" s="116">
        <v>428.75</v>
      </c>
      <c r="G1235">
        <v>5809</v>
      </c>
      <c r="H1235" s="116"/>
      <c r="I1235" s="116"/>
      <c r="L1235" s="170">
        <v>43826</v>
      </c>
      <c r="M1235" s="116">
        <v>214.4</v>
      </c>
      <c r="N1235" s="116">
        <v>216</v>
      </c>
      <c r="O1235" s="116">
        <v>213.05</v>
      </c>
      <c r="P1235" s="116">
        <v>216</v>
      </c>
      <c r="Q1235" s="116">
        <v>428.8</v>
      </c>
      <c r="R1235">
        <v>25406</v>
      </c>
    </row>
    <row r="1236" spans="1:18" x14ac:dyDescent="0.25">
      <c r="A1236" s="170">
        <v>43829</v>
      </c>
      <c r="B1236" s="116">
        <v>217.5</v>
      </c>
      <c r="C1236" s="116">
        <v>215.67500000000001</v>
      </c>
      <c r="D1236" s="116">
        <v>215</v>
      </c>
      <c r="E1236" s="116">
        <v>217</v>
      </c>
      <c r="F1236" s="116">
        <v>431.35</v>
      </c>
      <c r="G1236">
        <v>4137</v>
      </c>
      <c r="H1236" s="116"/>
      <c r="I1236" s="116"/>
      <c r="L1236" s="170">
        <v>43829</v>
      </c>
      <c r="M1236" s="116">
        <v>215.5</v>
      </c>
      <c r="N1236" s="116">
        <v>218.5</v>
      </c>
      <c r="O1236" s="116">
        <v>215</v>
      </c>
      <c r="P1236" s="116">
        <v>218.5</v>
      </c>
      <c r="Q1236" s="116">
        <v>431</v>
      </c>
      <c r="R1236">
        <v>59088</v>
      </c>
    </row>
    <row r="1237" spans="1:18" x14ac:dyDescent="0.25">
      <c r="A1237" s="170">
        <v>43830</v>
      </c>
      <c r="B1237" s="116">
        <v>216.1</v>
      </c>
      <c r="C1237" s="116">
        <v>212.9</v>
      </c>
      <c r="D1237" s="116">
        <v>212.05</v>
      </c>
      <c r="E1237" s="116">
        <v>215.125</v>
      </c>
      <c r="F1237" s="116">
        <v>425.8</v>
      </c>
      <c r="G1237">
        <v>2943</v>
      </c>
      <c r="H1237" s="116"/>
      <c r="I1237" s="116"/>
      <c r="L1237" s="170">
        <v>43830</v>
      </c>
      <c r="M1237" s="116">
        <v>212.82499999999999</v>
      </c>
      <c r="N1237" s="116">
        <v>216.57499999999999</v>
      </c>
      <c r="O1237" s="116">
        <v>212.47499999999999</v>
      </c>
      <c r="P1237" s="116">
        <v>216.57499999999999</v>
      </c>
      <c r="Q1237" s="116">
        <v>425.65</v>
      </c>
      <c r="R1237">
        <v>41312</v>
      </c>
    </row>
    <row r="1238" spans="1:18" x14ac:dyDescent="0.25">
      <c r="A1238" s="170">
        <v>43831</v>
      </c>
      <c r="B1238" s="116">
        <v>215.57499999999999</v>
      </c>
      <c r="C1238" s="116">
        <v>214.22499999999999</v>
      </c>
      <c r="D1238" s="116">
        <v>212.27500000000001</v>
      </c>
      <c r="E1238" s="116">
        <v>212.3</v>
      </c>
      <c r="F1238" s="116">
        <v>428.45</v>
      </c>
      <c r="G1238">
        <v>5339</v>
      </c>
      <c r="H1238" s="116"/>
      <c r="I1238" s="116"/>
      <c r="L1238" s="170">
        <v>43831</v>
      </c>
      <c r="M1238" s="116">
        <v>214.75</v>
      </c>
      <c r="N1238" s="116">
        <v>215.75</v>
      </c>
      <c r="O1238" s="116">
        <v>212.5</v>
      </c>
      <c r="P1238" s="116">
        <v>212.5</v>
      </c>
      <c r="Q1238" s="116">
        <v>429.5</v>
      </c>
      <c r="R1238">
        <v>37648</v>
      </c>
    </row>
    <row r="1239" spans="1:18" x14ac:dyDescent="0.25">
      <c r="A1239" s="170">
        <v>43832</v>
      </c>
      <c r="B1239" s="116">
        <v>217.5</v>
      </c>
      <c r="C1239" s="116">
        <v>216.42500000000001</v>
      </c>
      <c r="D1239" s="116">
        <v>215.15</v>
      </c>
      <c r="E1239" s="116">
        <v>215.5</v>
      </c>
      <c r="F1239" s="116">
        <v>432.85</v>
      </c>
      <c r="G1239">
        <v>5136</v>
      </c>
      <c r="H1239" s="116"/>
      <c r="I1239" s="116"/>
      <c r="L1239" s="170">
        <v>43832</v>
      </c>
      <c r="M1239" s="116">
        <v>216.77500000000001</v>
      </c>
      <c r="N1239" s="116">
        <v>218.22499999999999</v>
      </c>
      <c r="O1239" s="116">
        <v>215.05</v>
      </c>
      <c r="P1239" s="116">
        <v>215.72499999999999</v>
      </c>
      <c r="Q1239" s="116">
        <v>433.55</v>
      </c>
      <c r="R1239">
        <v>47665</v>
      </c>
    </row>
    <row r="1240" spans="1:18" x14ac:dyDescent="0.25">
      <c r="A1240" s="170">
        <v>43833</v>
      </c>
      <c r="B1240" s="116">
        <v>220</v>
      </c>
      <c r="C1240" s="116">
        <v>219.22499999999999</v>
      </c>
      <c r="D1240" s="116">
        <v>215</v>
      </c>
      <c r="E1240" s="116">
        <v>216</v>
      </c>
      <c r="F1240" s="116">
        <v>438.45</v>
      </c>
      <c r="G1240">
        <v>11851</v>
      </c>
      <c r="H1240" s="116"/>
      <c r="I1240" s="116"/>
      <c r="L1240" s="170">
        <v>43833</v>
      </c>
      <c r="M1240" s="116">
        <v>219.45</v>
      </c>
      <c r="N1240" s="116">
        <v>220</v>
      </c>
      <c r="O1240" s="116">
        <v>215.02500000000001</v>
      </c>
      <c r="P1240" s="116">
        <v>217.2</v>
      </c>
      <c r="Q1240" s="116">
        <v>438.9</v>
      </c>
      <c r="R1240">
        <v>63567</v>
      </c>
    </row>
    <row r="1241" spans="1:18" x14ac:dyDescent="0.25">
      <c r="A1241" s="170">
        <v>43836</v>
      </c>
      <c r="B1241" s="116">
        <v>224.97499999999999</v>
      </c>
      <c r="C1241" s="116">
        <v>218.375</v>
      </c>
      <c r="D1241" s="116">
        <v>215.6</v>
      </c>
      <c r="E1241" s="116">
        <v>224.97499999999999</v>
      </c>
      <c r="F1241" s="116">
        <v>436.75</v>
      </c>
      <c r="G1241">
        <v>13566</v>
      </c>
      <c r="H1241" s="116"/>
      <c r="I1241" s="116"/>
      <c r="L1241" s="170">
        <v>43836</v>
      </c>
      <c r="M1241" s="116">
        <v>217.95</v>
      </c>
      <c r="N1241" s="116">
        <v>221.9</v>
      </c>
      <c r="O1241" s="116">
        <v>215.65</v>
      </c>
      <c r="P1241" s="116">
        <v>221.9</v>
      </c>
      <c r="Q1241" s="116">
        <v>435.9</v>
      </c>
      <c r="R1241">
        <v>175288</v>
      </c>
    </row>
    <row r="1242" spans="1:18" x14ac:dyDescent="0.25">
      <c r="A1242" s="170">
        <v>43837</v>
      </c>
      <c r="B1242" s="116">
        <v>219.97499999999999</v>
      </c>
      <c r="C1242" s="116">
        <v>218.8</v>
      </c>
      <c r="D1242" s="116">
        <v>216.92500000000001</v>
      </c>
      <c r="E1242" s="116">
        <v>219.97499999999999</v>
      </c>
      <c r="F1242" s="116">
        <v>437.6</v>
      </c>
      <c r="G1242">
        <v>6555</v>
      </c>
      <c r="H1242" s="116"/>
      <c r="I1242" s="116"/>
      <c r="L1242" s="170">
        <v>43837</v>
      </c>
      <c r="M1242" s="116">
        <v>218.65</v>
      </c>
      <c r="N1242" s="116">
        <v>219.92500000000001</v>
      </c>
      <c r="O1242" s="116">
        <v>216.65</v>
      </c>
      <c r="P1242" s="116">
        <v>219</v>
      </c>
      <c r="Q1242" s="116">
        <v>437.3</v>
      </c>
      <c r="R1242">
        <v>43266</v>
      </c>
    </row>
    <row r="1243" spans="1:18" x14ac:dyDescent="0.25">
      <c r="A1243" s="170">
        <v>43838</v>
      </c>
      <c r="B1243" s="116">
        <v>219.75</v>
      </c>
      <c r="C1243" s="116">
        <v>218.875</v>
      </c>
      <c r="D1243" s="116">
        <v>214.5</v>
      </c>
      <c r="E1243" s="116">
        <v>214.5</v>
      </c>
      <c r="F1243" s="116">
        <v>437.75</v>
      </c>
      <c r="G1243">
        <v>5670</v>
      </c>
      <c r="H1243" s="116"/>
      <c r="I1243" s="116"/>
      <c r="L1243" s="170">
        <v>43838</v>
      </c>
      <c r="M1243" s="116">
        <v>218.42500000000001</v>
      </c>
      <c r="N1243" s="116">
        <v>219.67500000000001</v>
      </c>
      <c r="O1243" s="116">
        <v>214.375</v>
      </c>
      <c r="P1243" s="116">
        <v>215.5</v>
      </c>
      <c r="Q1243" s="116">
        <v>436.85</v>
      </c>
      <c r="R1243">
        <v>63641</v>
      </c>
    </row>
    <row r="1244" spans="1:18" x14ac:dyDescent="0.25">
      <c r="A1244" s="170">
        <v>43839</v>
      </c>
      <c r="B1244" s="116">
        <v>220</v>
      </c>
      <c r="C1244" s="116">
        <v>218.47499999999999</v>
      </c>
      <c r="D1244" s="116">
        <v>217.7</v>
      </c>
      <c r="E1244" s="116">
        <v>219.67500000000001</v>
      </c>
      <c r="F1244" s="116">
        <v>436.95</v>
      </c>
      <c r="G1244">
        <v>11485</v>
      </c>
      <c r="H1244" s="116"/>
      <c r="I1244" s="116"/>
      <c r="L1244" s="170">
        <v>43839</v>
      </c>
      <c r="M1244" s="116">
        <v>218.57499999999999</v>
      </c>
      <c r="N1244" s="116">
        <v>220</v>
      </c>
      <c r="O1244" s="116">
        <v>217.55</v>
      </c>
      <c r="P1244" s="116">
        <v>219.27500000000001</v>
      </c>
      <c r="Q1244" s="116">
        <v>437.15</v>
      </c>
      <c r="R1244">
        <v>109829</v>
      </c>
    </row>
    <row r="1245" spans="1:18" x14ac:dyDescent="0.25">
      <c r="A1245" s="170">
        <v>43840</v>
      </c>
      <c r="B1245" s="116">
        <v>227.67500000000001</v>
      </c>
      <c r="C1245" s="116">
        <v>221.75</v>
      </c>
      <c r="D1245" s="116">
        <v>219.42500000000001</v>
      </c>
      <c r="E1245" s="116">
        <v>219.92500000000001</v>
      </c>
      <c r="F1245" s="116">
        <v>443.5</v>
      </c>
      <c r="G1245">
        <v>29076</v>
      </c>
      <c r="H1245" s="116"/>
      <c r="I1245" s="116"/>
      <c r="L1245" s="170">
        <v>43840</v>
      </c>
      <c r="M1245" s="116">
        <v>221.52500000000001</v>
      </c>
      <c r="N1245" s="116">
        <v>227.9</v>
      </c>
      <c r="O1245" s="116">
        <v>218.92500000000001</v>
      </c>
      <c r="P1245" s="116">
        <v>219.15</v>
      </c>
      <c r="Q1245" s="116">
        <v>443.05</v>
      </c>
      <c r="R1245">
        <v>222524</v>
      </c>
    </row>
    <row r="1246" spans="1:18" x14ac:dyDescent="0.25">
      <c r="A1246" s="170">
        <v>43843</v>
      </c>
      <c r="B1246" s="116">
        <v>231.625</v>
      </c>
      <c r="C1246" s="116">
        <v>229.82499999999999</v>
      </c>
      <c r="D1246" s="116">
        <v>223.32499999999999</v>
      </c>
      <c r="E1246" s="116">
        <v>223.32499999999999</v>
      </c>
      <c r="F1246" s="116">
        <v>459.65</v>
      </c>
      <c r="G1246">
        <v>10743</v>
      </c>
      <c r="H1246" s="116"/>
      <c r="I1246" s="116"/>
      <c r="L1246" s="170">
        <v>43843</v>
      </c>
      <c r="M1246" s="116">
        <v>229.82499999999999</v>
      </c>
      <c r="N1246" s="116">
        <v>231.5</v>
      </c>
      <c r="O1246" s="116">
        <v>221.47499999999999</v>
      </c>
      <c r="P1246" s="116">
        <v>221.5</v>
      </c>
      <c r="Q1246" s="116">
        <v>459.65</v>
      </c>
      <c r="R1246">
        <v>152819</v>
      </c>
    </row>
    <row r="1247" spans="1:18" x14ac:dyDescent="0.25">
      <c r="A1247" s="170">
        <v>43844</v>
      </c>
      <c r="B1247" s="116">
        <v>231.9</v>
      </c>
      <c r="C1247" s="116">
        <v>230.52500000000001</v>
      </c>
      <c r="D1247" s="116">
        <v>227.5</v>
      </c>
      <c r="E1247" s="116">
        <v>231.45</v>
      </c>
      <c r="F1247" s="116">
        <v>461.05</v>
      </c>
      <c r="G1247">
        <v>7762</v>
      </c>
      <c r="H1247" s="116"/>
      <c r="I1247" s="116"/>
      <c r="L1247" s="170">
        <v>43844</v>
      </c>
      <c r="M1247" s="116">
        <v>230.375</v>
      </c>
      <c r="N1247" s="116">
        <v>232.45</v>
      </c>
      <c r="O1247" s="116">
        <v>227.67500000000001</v>
      </c>
      <c r="P1247" s="116">
        <v>230.97499999999999</v>
      </c>
      <c r="Q1247" s="116">
        <v>460.75</v>
      </c>
      <c r="R1247">
        <v>85113</v>
      </c>
    </row>
    <row r="1248" spans="1:18" x14ac:dyDescent="0.25">
      <c r="A1248" s="170">
        <v>43845</v>
      </c>
      <c r="B1248" s="116">
        <v>231</v>
      </c>
      <c r="C1248" s="116">
        <v>229.67500000000001</v>
      </c>
      <c r="D1248" s="116">
        <v>228.27500000000001</v>
      </c>
      <c r="E1248" s="116">
        <v>228.97499999999999</v>
      </c>
      <c r="F1248" s="116">
        <v>459.35</v>
      </c>
      <c r="G1248">
        <v>8714</v>
      </c>
      <c r="H1248" s="116"/>
      <c r="I1248" s="116"/>
      <c r="L1248" s="170">
        <v>43845</v>
      </c>
      <c r="M1248" s="116">
        <v>230.22499999999999</v>
      </c>
      <c r="N1248" s="116">
        <v>231</v>
      </c>
      <c r="O1248" s="116">
        <v>228.27500000000001</v>
      </c>
      <c r="P1248" s="116">
        <v>230.92500000000001</v>
      </c>
      <c r="Q1248" s="116">
        <v>460.45</v>
      </c>
      <c r="R1248">
        <v>29590</v>
      </c>
    </row>
    <row r="1249" spans="1:18" x14ac:dyDescent="0.25">
      <c r="A1249" s="170">
        <v>43846</v>
      </c>
      <c r="B1249" s="116">
        <v>238.5</v>
      </c>
      <c r="C1249" s="116">
        <v>236.3</v>
      </c>
      <c r="D1249" s="116">
        <v>230.5</v>
      </c>
      <c r="E1249" s="116">
        <v>236.5</v>
      </c>
      <c r="F1249" s="116">
        <v>472.6</v>
      </c>
      <c r="G1249">
        <v>8278</v>
      </c>
      <c r="H1249" s="116"/>
      <c r="I1249" s="116"/>
      <c r="L1249" s="170">
        <v>43846</v>
      </c>
      <c r="M1249" s="116">
        <v>236.75</v>
      </c>
      <c r="N1249" s="116">
        <v>238.45</v>
      </c>
      <c r="O1249" s="116">
        <v>230.05</v>
      </c>
      <c r="P1249" s="116">
        <v>230.05</v>
      </c>
      <c r="Q1249" s="116">
        <v>473.5</v>
      </c>
      <c r="R1249">
        <v>123594</v>
      </c>
    </row>
    <row r="1250" spans="1:18" x14ac:dyDescent="0.25">
      <c r="A1250" s="170">
        <v>43847</v>
      </c>
      <c r="B1250" s="116">
        <v>242.27500000000001</v>
      </c>
      <c r="C1250" s="116">
        <v>237.55</v>
      </c>
      <c r="D1250" s="116">
        <v>230.17500000000001</v>
      </c>
      <c r="E1250" s="116">
        <v>238.5</v>
      </c>
      <c r="F1250" s="116">
        <v>475.1</v>
      </c>
      <c r="G1250">
        <v>15217</v>
      </c>
      <c r="H1250" s="116"/>
      <c r="I1250" s="116"/>
      <c r="L1250" s="170">
        <v>43847</v>
      </c>
      <c r="M1250" s="116">
        <v>237.625</v>
      </c>
      <c r="N1250" s="116">
        <v>242.47499999999999</v>
      </c>
      <c r="O1250" s="116">
        <v>230</v>
      </c>
      <c r="P1250" s="116">
        <v>238.82499999999999</v>
      </c>
      <c r="Q1250" s="116">
        <v>475.25</v>
      </c>
      <c r="R1250">
        <v>158080</v>
      </c>
    </row>
    <row r="1251" spans="1:18" x14ac:dyDescent="0.25">
      <c r="A1251" s="170">
        <v>43850</v>
      </c>
      <c r="B1251" s="116">
        <v>245.45</v>
      </c>
      <c r="C1251" s="116">
        <v>241.6</v>
      </c>
      <c r="D1251" s="116">
        <v>239</v>
      </c>
      <c r="E1251" s="116">
        <v>239</v>
      </c>
      <c r="F1251" s="116">
        <v>483.2</v>
      </c>
      <c r="G1251">
        <v>6557</v>
      </c>
      <c r="H1251" s="116"/>
      <c r="I1251" s="116"/>
      <c r="L1251" s="170">
        <v>43850</v>
      </c>
      <c r="M1251" s="116">
        <v>241.125</v>
      </c>
      <c r="N1251" s="116">
        <v>245.5</v>
      </c>
      <c r="O1251" s="116">
        <v>237.5</v>
      </c>
      <c r="P1251" s="116">
        <v>237.5</v>
      </c>
      <c r="Q1251" s="116">
        <v>482.25</v>
      </c>
      <c r="R1251">
        <v>109029</v>
      </c>
    </row>
    <row r="1252" spans="1:18" x14ac:dyDescent="0.25">
      <c r="A1252" s="170">
        <v>43851</v>
      </c>
      <c r="B1252" s="116">
        <v>242.92500000000001</v>
      </c>
      <c r="C1252" s="116">
        <v>242.32499999999999</v>
      </c>
      <c r="D1252" s="116">
        <v>234</v>
      </c>
      <c r="E1252" s="116">
        <v>241.4</v>
      </c>
      <c r="F1252" s="116">
        <v>484.65</v>
      </c>
      <c r="G1252">
        <v>9175</v>
      </c>
      <c r="H1252" s="116"/>
      <c r="I1252" s="116"/>
      <c r="L1252" s="170">
        <v>43851</v>
      </c>
      <c r="M1252" s="116">
        <v>242</v>
      </c>
      <c r="N1252" s="116">
        <v>243</v>
      </c>
      <c r="O1252" s="116">
        <v>233.65</v>
      </c>
      <c r="P1252" s="116">
        <v>242.4</v>
      </c>
      <c r="Q1252" s="116">
        <v>484</v>
      </c>
      <c r="R1252">
        <v>64328</v>
      </c>
    </row>
    <row r="1253" spans="1:18" x14ac:dyDescent="0.25">
      <c r="A1253" s="170">
        <v>43852</v>
      </c>
      <c r="B1253" s="116">
        <v>256</v>
      </c>
      <c r="C1253" s="116">
        <v>248.67500000000001</v>
      </c>
      <c r="D1253" s="116">
        <v>243.5</v>
      </c>
      <c r="E1253" s="116">
        <v>243.5</v>
      </c>
      <c r="F1253" s="116">
        <v>497.35</v>
      </c>
      <c r="G1253">
        <v>17338</v>
      </c>
      <c r="H1253" s="116"/>
      <c r="I1253" s="116"/>
      <c r="L1253" s="170">
        <v>43852</v>
      </c>
      <c r="M1253" s="116">
        <v>248.6</v>
      </c>
      <c r="N1253" s="116">
        <v>256.5</v>
      </c>
      <c r="O1253" s="116">
        <v>242.9</v>
      </c>
      <c r="P1253" s="116">
        <v>242.95</v>
      </c>
      <c r="Q1253" s="116">
        <v>497.2</v>
      </c>
      <c r="R1253">
        <v>163438</v>
      </c>
    </row>
    <row r="1254" spans="1:18" x14ac:dyDescent="0.25">
      <c r="A1254" s="170">
        <v>43853</v>
      </c>
      <c r="B1254" s="116">
        <v>250.125</v>
      </c>
      <c r="C1254" s="116">
        <v>247.97499999999999</v>
      </c>
      <c r="D1254" s="116">
        <v>246.75</v>
      </c>
      <c r="E1254" s="116">
        <v>250</v>
      </c>
      <c r="F1254" s="116">
        <v>495.95</v>
      </c>
      <c r="G1254">
        <v>5527</v>
      </c>
      <c r="H1254" s="116"/>
      <c r="I1254" s="116"/>
      <c r="L1254" s="170">
        <v>43853</v>
      </c>
      <c r="M1254" s="116">
        <v>248.67500000000001</v>
      </c>
      <c r="N1254" s="116">
        <v>251.45</v>
      </c>
      <c r="O1254" s="116">
        <v>247.05</v>
      </c>
      <c r="P1254" s="116">
        <v>251</v>
      </c>
      <c r="Q1254" s="116">
        <v>497.35</v>
      </c>
      <c r="R1254">
        <v>51731</v>
      </c>
    </row>
    <row r="1255" spans="1:18" x14ac:dyDescent="0.25">
      <c r="A1255" s="170">
        <v>43854</v>
      </c>
      <c r="B1255" s="116">
        <v>251.75</v>
      </c>
      <c r="C1255" s="116">
        <v>248.7</v>
      </c>
      <c r="D1255" s="116">
        <v>246.5</v>
      </c>
      <c r="E1255" s="116">
        <v>247.77500000000001</v>
      </c>
      <c r="F1255" s="116">
        <v>497.4</v>
      </c>
      <c r="G1255">
        <v>3061</v>
      </c>
      <c r="H1255" s="116"/>
      <c r="I1255" s="116"/>
      <c r="L1255" s="170">
        <v>43854</v>
      </c>
      <c r="M1255" s="116">
        <v>248</v>
      </c>
      <c r="N1255" s="116">
        <v>252</v>
      </c>
      <c r="O1255" s="116">
        <v>246.1</v>
      </c>
      <c r="P1255" s="116">
        <v>249.32499999999999</v>
      </c>
      <c r="Q1255" s="116">
        <v>496</v>
      </c>
      <c r="R1255">
        <v>51151</v>
      </c>
    </row>
    <row r="1256" spans="1:18" x14ac:dyDescent="0.25">
      <c r="A1256" s="170">
        <v>43857</v>
      </c>
      <c r="B1256" s="116">
        <v>250</v>
      </c>
      <c r="C1256" s="116">
        <v>248.67500000000001</v>
      </c>
      <c r="D1256" s="116">
        <v>247.3</v>
      </c>
      <c r="E1256" s="116">
        <v>247.3</v>
      </c>
      <c r="F1256" s="116">
        <v>497.35</v>
      </c>
      <c r="G1256">
        <v>1583</v>
      </c>
      <c r="H1256" s="116"/>
      <c r="I1256" s="116"/>
      <c r="L1256" s="170">
        <v>43857</v>
      </c>
      <c r="M1256" s="116">
        <v>248.67500000000001</v>
      </c>
      <c r="N1256" s="116">
        <v>250.22499999999999</v>
      </c>
      <c r="O1256" s="116">
        <v>245.6</v>
      </c>
      <c r="P1256" s="116">
        <v>246.5</v>
      </c>
      <c r="Q1256" s="116">
        <v>497.35</v>
      </c>
      <c r="R1256">
        <v>31654</v>
      </c>
    </row>
    <row r="1257" spans="1:18" x14ac:dyDescent="0.25">
      <c r="A1257" s="170">
        <v>43858</v>
      </c>
      <c r="B1257" s="116">
        <v>251.5</v>
      </c>
      <c r="C1257" s="116">
        <v>250.77500000000001</v>
      </c>
      <c r="D1257" s="116">
        <v>244.05</v>
      </c>
      <c r="E1257" s="116">
        <v>249.5</v>
      </c>
      <c r="F1257" s="116">
        <v>501.55</v>
      </c>
      <c r="G1257">
        <v>6334</v>
      </c>
      <c r="H1257" s="116"/>
      <c r="I1257" s="116"/>
      <c r="L1257" s="170">
        <v>43858</v>
      </c>
      <c r="M1257" s="116">
        <v>250.05</v>
      </c>
      <c r="N1257" s="116">
        <v>251.9</v>
      </c>
      <c r="O1257" s="116">
        <v>243.72499999999999</v>
      </c>
      <c r="P1257" s="116">
        <v>250</v>
      </c>
      <c r="Q1257" s="116">
        <v>500.1</v>
      </c>
      <c r="R1257">
        <v>62072</v>
      </c>
    </row>
    <row r="1258" spans="1:18" x14ac:dyDescent="0.25">
      <c r="A1258" s="170">
        <v>43859</v>
      </c>
      <c r="B1258" s="116">
        <v>258.95</v>
      </c>
      <c r="C1258" s="116">
        <v>247.47499999999999</v>
      </c>
      <c r="D1258" s="116">
        <v>247</v>
      </c>
      <c r="E1258" s="116">
        <v>250.75</v>
      </c>
      <c r="F1258" s="116">
        <v>494.95</v>
      </c>
      <c r="G1258">
        <v>4705</v>
      </c>
      <c r="H1258" s="116"/>
      <c r="I1258" s="116"/>
      <c r="L1258" s="170">
        <v>43859</v>
      </c>
      <c r="M1258" s="116">
        <v>247.375</v>
      </c>
      <c r="N1258" s="116">
        <v>259.25</v>
      </c>
      <c r="O1258" s="116">
        <v>246.5</v>
      </c>
      <c r="P1258" s="116">
        <v>250.97499999999999</v>
      </c>
      <c r="Q1258" s="116">
        <v>494.75</v>
      </c>
      <c r="R1258">
        <v>138270</v>
      </c>
    </row>
    <row r="1259" spans="1:18" x14ac:dyDescent="0.25">
      <c r="A1259" s="170">
        <v>43860</v>
      </c>
      <c r="B1259" s="116">
        <v>251.125</v>
      </c>
      <c r="C1259" s="116">
        <v>248.72499999999999</v>
      </c>
      <c r="D1259" s="116">
        <v>247.77500000000001</v>
      </c>
      <c r="E1259" s="116">
        <v>250</v>
      </c>
      <c r="F1259" s="116">
        <v>497.45</v>
      </c>
      <c r="G1259">
        <v>1224</v>
      </c>
      <c r="H1259" s="116"/>
      <c r="I1259" s="116"/>
      <c r="L1259" s="170">
        <v>43860</v>
      </c>
      <c r="M1259" s="116">
        <v>249.25</v>
      </c>
      <c r="N1259" s="116">
        <v>250.92500000000001</v>
      </c>
      <c r="O1259" s="116">
        <v>247</v>
      </c>
      <c r="P1259" s="116">
        <v>249.375</v>
      </c>
      <c r="Q1259" s="116">
        <v>498.5</v>
      </c>
      <c r="R1259">
        <v>34147</v>
      </c>
    </row>
    <row r="1260" spans="1:18" x14ac:dyDescent="0.25">
      <c r="A1260" s="170">
        <v>43861</v>
      </c>
      <c r="B1260" s="116">
        <v>252.72499999999999</v>
      </c>
      <c r="C1260" s="116">
        <v>248.25</v>
      </c>
      <c r="D1260" s="116">
        <v>246.52500000000001</v>
      </c>
      <c r="E1260" s="116">
        <v>251.2</v>
      </c>
      <c r="F1260" s="116">
        <v>496.5</v>
      </c>
      <c r="G1260">
        <v>2493</v>
      </c>
      <c r="H1260" s="116"/>
      <c r="I1260" s="116"/>
      <c r="L1260" s="170">
        <v>43861</v>
      </c>
      <c r="M1260" s="116">
        <v>247.65</v>
      </c>
      <c r="N1260" s="116">
        <v>253.5</v>
      </c>
      <c r="O1260" s="116">
        <v>246.52500000000001</v>
      </c>
      <c r="P1260" s="116">
        <v>249.85</v>
      </c>
      <c r="Q1260" s="116">
        <v>495.3</v>
      </c>
      <c r="R1260">
        <v>33099</v>
      </c>
    </row>
    <row r="1261" spans="1:18" x14ac:dyDescent="0.25">
      <c r="A1261" s="170">
        <v>43862</v>
      </c>
      <c r="B1261" s="116">
        <v>251.5</v>
      </c>
      <c r="C1261" s="116">
        <v>246.875</v>
      </c>
      <c r="D1261" s="116">
        <v>242.92500000000001</v>
      </c>
      <c r="E1261" s="116">
        <v>249.45</v>
      </c>
      <c r="F1261" s="116">
        <v>493.75</v>
      </c>
      <c r="G1261">
        <v>3223</v>
      </c>
      <c r="H1261" s="116"/>
      <c r="I1261" s="116"/>
      <c r="L1261" s="170">
        <v>43862</v>
      </c>
      <c r="M1261" s="116">
        <v>246.35</v>
      </c>
      <c r="N1261" s="116">
        <v>251.52500000000001</v>
      </c>
      <c r="O1261" s="116">
        <v>241.75</v>
      </c>
      <c r="P1261" s="116">
        <v>250.97499999999999</v>
      </c>
      <c r="Q1261" s="116">
        <v>492.7</v>
      </c>
      <c r="R1261">
        <v>34936</v>
      </c>
    </row>
    <row r="1262" spans="1:18" x14ac:dyDescent="0.25">
      <c r="A1262" s="170">
        <v>43864</v>
      </c>
      <c r="B1262" s="116">
        <v>249.3</v>
      </c>
      <c r="C1262" s="116">
        <v>246.52500000000001</v>
      </c>
      <c r="D1262" s="116">
        <v>244.6</v>
      </c>
      <c r="E1262" s="116">
        <v>245.55</v>
      </c>
      <c r="F1262" s="116">
        <v>493.05</v>
      </c>
      <c r="G1262">
        <v>999</v>
      </c>
      <c r="H1262" s="116"/>
      <c r="I1262" s="116"/>
      <c r="L1262" s="170">
        <v>43864</v>
      </c>
      <c r="M1262" s="116">
        <v>246.65</v>
      </c>
      <c r="N1262" s="116">
        <v>249.5</v>
      </c>
      <c r="O1262" s="116">
        <v>243.42500000000001</v>
      </c>
      <c r="P1262" s="116">
        <v>249.47499999999999</v>
      </c>
      <c r="Q1262" s="116">
        <v>493.3</v>
      </c>
      <c r="R1262">
        <v>52240</v>
      </c>
    </row>
    <row r="1263" spans="1:18" x14ac:dyDescent="0.25">
      <c r="A1263" s="170">
        <v>43865</v>
      </c>
      <c r="B1263" s="116">
        <v>257.2</v>
      </c>
      <c r="C1263" s="116">
        <v>249.35</v>
      </c>
      <c r="D1263" s="116">
        <v>247.5</v>
      </c>
      <c r="E1263" s="116">
        <v>251.75</v>
      </c>
      <c r="F1263" s="116">
        <v>498.7</v>
      </c>
      <c r="G1263">
        <v>16768</v>
      </c>
      <c r="H1263" s="116"/>
      <c r="I1263" s="116"/>
      <c r="L1263" s="170">
        <v>43865</v>
      </c>
      <c r="M1263" s="116">
        <v>248.92500000000001</v>
      </c>
      <c r="N1263" s="116">
        <v>257.45</v>
      </c>
      <c r="O1263" s="116">
        <v>247</v>
      </c>
      <c r="P1263" s="116">
        <v>248.07499999999999</v>
      </c>
      <c r="Q1263" s="116">
        <v>497.85</v>
      </c>
      <c r="R1263">
        <v>168434</v>
      </c>
    </row>
    <row r="1264" spans="1:18" x14ac:dyDescent="0.25">
      <c r="A1264" s="170">
        <v>43866</v>
      </c>
      <c r="B1264" s="116">
        <v>264.5</v>
      </c>
      <c r="C1264" s="116">
        <v>261.47500000000002</v>
      </c>
      <c r="D1264" s="116">
        <v>250</v>
      </c>
      <c r="E1264" s="116">
        <v>250</v>
      </c>
      <c r="F1264" s="116">
        <v>522.95000000000005</v>
      </c>
      <c r="G1264">
        <v>17965</v>
      </c>
      <c r="H1264" s="116"/>
      <c r="I1264" s="116"/>
      <c r="L1264" s="170">
        <v>43866</v>
      </c>
      <c r="M1264" s="116">
        <v>260.97500000000002</v>
      </c>
      <c r="N1264" s="116">
        <v>264.5</v>
      </c>
      <c r="O1264" s="116">
        <v>247</v>
      </c>
      <c r="P1264" s="116">
        <v>247</v>
      </c>
      <c r="Q1264" s="116">
        <v>521.95000000000005</v>
      </c>
      <c r="R1264">
        <v>284046</v>
      </c>
    </row>
    <row r="1265" spans="1:18" x14ac:dyDescent="0.25">
      <c r="A1265" s="170">
        <v>43867</v>
      </c>
      <c r="B1265" s="116">
        <v>279.5</v>
      </c>
      <c r="C1265" s="116">
        <v>274.55</v>
      </c>
      <c r="D1265" s="116">
        <v>262.27499999999998</v>
      </c>
      <c r="E1265" s="116">
        <v>262.27499999999998</v>
      </c>
      <c r="F1265" s="116">
        <v>549.1</v>
      </c>
      <c r="G1265">
        <v>28431</v>
      </c>
      <c r="H1265" s="116"/>
      <c r="I1265" s="116"/>
      <c r="L1265" s="170">
        <v>43867</v>
      </c>
      <c r="M1265" s="116">
        <v>274.07499999999999</v>
      </c>
      <c r="N1265" s="116">
        <v>279.5</v>
      </c>
      <c r="O1265" s="116">
        <v>261.05</v>
      </c>
      <c r="P1265" s="116">
        <v>263.5</v>
      </c>
      <c r="Q1265" s="116">
        <v>548.15</v>
      </c>
      <c r="R1265">
        <v>293206</v>
      </c>
    </row>
    <row r="1266" spans="1:18" x14ac:dyDescent="0.25">
      <c r="A1266" s="170">
        <v>43868</v>
      </c>
      <c r="B1266" s="116">
        <v>281.52499999999998</v>
      </c>
      <c r="C1266" s="116">
        <v>280.55</v>
      </c>
      <c r="D1266" s="116">
        <v>269.25</v>
      </c>
      <c r="E1266" s="116">
        <v>271.47500000000002</v>
      </c>
      <c r="F1266" s="116">
        <v>561.1</v>
      </c>
      <c r="G1266">
        <v>15670</v>
      </c>
      <c r="H1266" s="116"/>
      <c r="I1266" s="116"/>
      <c r="L1266" s="170">
        <v>43868</v>
      </c>
      <c r="M1266" s="116">
        <v>281.02499999999998</v>
      </c>
      <c r="N1266" s="116">
        <v>282</v>
      </c>
      <c r="O1266" s="116">
        <v>268.8</v>
      </c>
      <c r="P1266" s="116">
        <v>274.25</v>
      </c>
      <c r="Q1266" s="116">
        <v>562.04999999999995</v>
      </c>
      <c r="R1266">
        <v>149257</v>
      </c>
    </row>
    <row r="1267" spans="1:18" x14ac:dyDescent="0.25">
      <c r="A1267" s="170">
        <v>43871</v>
      </c>
      <c r="B1267" s="116">
        <v>290</v>
      </c>
      <c r="C1267" s="116">
        <v>288.47500000000002</v>
      </c>
      <c r="D1267" s="116">
        <v>273.77499999999998</v>
      </c>
      <c r="E1267" s="116">
        <v>285.7</v>
      </c>
      <c r="F1267" s="116">
        <v>576.95000000000005</v>
      </c>
      <c r="G1267">
        <v>12052</v>
      </c>
      <c r="H1267" s="116"/>
      <c r="I1267" s="116"/>
      <c r="L1267" s="170">
        <v>43871</v>
      </c>
      <c r="M1267" s="116">
        <v>288.625</v>
      </c>
      <c r="N1267" s="116">
        <v>290.5</v>
      </c>
      <c r="O1267" s="116">
        <v>272.39999999999998</v>
      </c>
      <c r="P1267" s="116">
        <v>283.875</v>
      </c>
      <c r="Q1267" s="116">
        <v>577.25</v>
      </c>
      <c r="R1267">
        <v>237969</v>
      </c>
    </row>
    <row r="1268" spans="1:18" x14ac:dyDescent="0.25">
      <c r="A1268" s="170">
        <v>43872</v>
      </c>
      <c r="B1268" s="116">
        <v>295.7</v>
      </c>
      <c r="C1268" s="116">
        <v>288.64999999999998</v>
      </c>
      <c r="D1268" s="116">
        <v>286.45</v>
      </c>
      <c r="E1268" s="116">
        <v>291.42500000000001</v>
      </c>
      <c r="F1268" s="116">
        <v>577.29999999999995</v>
      </c>
      <c r="G1268">
        <v>8530</v>
      </c>
      <c r="H1268" s="116"/>
      <c r="I1268" s="116"/>
      <c r="L1268" s="170">
        <v>43872</v>
      </c>
      <c r="M1268" s="116">
        <v>288.60000000000002</v>
      </c>
      <c r="N1268" s="116">
        <v>296.75</v>
      </c>
      <c r="O1268" s="116">
        <v>286.05</v>
      </c>
      <c r="P1268" s="116">
        <v>290.25</v>
      </c>
      <c r="Q1268" s="116">
        <v>577.20000000000005</v>
      </c>
      <c r="R1268">
        <v>146005</v>
      </c>
    </row>
    <row r="1269" spans="1:18" x14ac:dyDescent="0.25">
      <c r="A1269" s="170">
        <v>43873</v>
      </c>
      <c r="B1269" s="116">
        <v>288.5</v>
      </c>
      <c r="C1269" s="116">
        <v>282.7</v>
      </c>
      <c r="D1269" s="116">
        <v>281</v>
      </c>
      <c r="E1269" s="116">
        <v>288.5</v>
      </c>
      <c r="F1269" s="116">
        <v>565.4</v>
      </c>
      <c r="G1269">
        <v>10050</v>
      </c>
      <c r="H1269" s="116"/>
      <c r="I1269" s="116"/>
      <c r="L1269" s="170">
        <v>43873</v>
      </c>
      <c r="M1269" s="116">
        <v>283.375</v>
      </c>
      <c r="N1269" s="116">
        <v>289.64999999999998</v>
      </c>
      <c r="O1269" s="116">
        <v>280.17500000000001</v>
      </c>
      <c r="P1269" s="116">
        <v>288.5</v>
      </c>
      <c r="Q1269" s="116">
        <v>566.75</v>
      </c>
      <c r="R1269">
        <v>62333</v>
      </c>
    </row>
    <row r="1270" spans="1:18" x14ac:dyDescent="0.25">
      <c r="A1270" s="170">
        <v>43874</v>
      </c>
      <c r="B1270" s="116">
        <v>294.5</v>
      </c>
      <c r="C1270" s="116">
        <v>291.27499999999998</v>
      </c>
      <c r="D1270" s="116">
        <v>285</v>
      </c>
      <c r="E1270" s="116">
        <v>285</v>
      </c>
      <c r="F1270" s="116">
        <v>582.54999999999995</v>
      </c>
      <c r="G1270">
        <v>15143</v>
      </c>
      <c r="H1270" s="116"/>
      <c r="I1270" s="116"/>
      <c r="L1270" s="170">
        <v>43874</v>
      </c>
      <c r="M1270" s="116">
        <v>292</v>
      </c>
      <c r="N1270" s="116">
        <v>294.97500000000002</v>
      </c>
      <c r="O1270" s="116">
        <v>284.5</v>
      </c>
      <c r="P1270" s="116">
        <v>284.89999999999998</v>
      </c>
      <c r="Q1270" s="116">
        <v>584</v>
      </c>
      <c r="R1270">
        <v>87674</v>
      </c>
    </row>
    <row r="1271" spans="1:18" x14ac:dyDescent="0.25">
      <c r="A1271" s="170">
        <v>43875</v>
      </c>
      <c r="B1271" s="116">
        <v>299.5</v>
      </c>
      <c r="C1271" s="116">
        <v>291.92500000000001</v>
      </c>
      <c r="D1271" s="116">
        <v>290.07499999999999</v>
      </c>
      <c r="E1271" s="116">
        <v>293.5</v>
      </c>
      <c r="F1271" s="116">
        <v>583.85</v>
      </c>
      <c r="G1271">
        <v>9537</v>
      </c>
      <c r="H1271" s="116"/>
      <c r="I1271" s="116"/>
      <c r="L1271" s="170">
        <v>43875</v>
      </c>
      <c r="M1271" s="116">
        <v>291.95</v>
      </c>
      <c r="N1271" s="116">
        <v>299.95</v>
      </c>
      <c r="O1271" s="116">
        <v>289</v>
      </c>
      <c r="P1271" s="116">
        <v>289</v>
      </c>
      <c r="Q1271" s="116">
        <v>583.9</v>
      </c>
      <c r="R1271">
        <v>83848</v>
      </c>
    </row>
    <row r="1272" spans="1:18" x14ac:dyDescent="0.25">
      <c r="A1272" s="170">
        <v>43878</v>
      </c>
      <c r="B1272" s="116">
        <v>290.32499999999999</v>
      </c>
      <c r="C1272" s="116">
        <v>278.57499999999999</v>
      </c>
      <c r="D1272" s="116">
        <v>267.375</v>
      </c>
      <c r="E1272" s="116">
        <v>290.32499999999999</v>
      </c>
      <c r="F1272" s="116">
        <v>557.15</v>
      </c>
      <c r="G1272">
        <v>13854</v>
      </c>
      <c r="H1272" s="116"/>
      <c r="I1272" s="116"/>
      <c r="L1272" s="170">
        <v>43878</v>
      </c>
      <c r="M1272" s="116">
        <v>277.95</v>
      </c>
      <c r="N1272" s="116">
        <v>294.45</v>
      </c>
      <c r="O1272" s="116">
        <v>266.97500000000002</v>
      </c>
      <c r="P1272" s="116">
        <v>294.45</v>
      </c>
      <c r="Q1272" s="116">
        <v>555.9</v>
      </c>
      <c r="R1272">
        <v>114082</v>
      </c>
    </row>
    <row r="1273" spans="1:18" x14ac:dyDescent="0.25">
      <c r="A1273" s="170">
        <v>43879</v>
      </c>
      <c r="B1273" s="116">
        <v>280.72500000000002</v>
      </c>
      <c r="C1273" s="116">
        <v>266.64999999999998</v>
      </c>
      <c r="D1273" s="116">
        <v>258.22500000000002</v>
      </c>
      <c r="E1273" s="116">
        <v>280.72500000000002</v>
      </c>
      <c r="F1273" s="116">
        <v>533.29999999999995</v>
      </c>
      <c r="G1273">
        <v>20025</v>
      </c>
      <c r="H1273" s="116"/>
      <c r="I1273" s="116"/>
      <c r="L1273" s="170">
        <v>43879</v>
      </c>
      <c r="M1273" s="116">
        <v>267.60000000000002</v>
      </c>
      <c r="N1273" s="116">
        <v>277.95</v>
      </c>
      <c r="O1273" s="116">
        <v>261.89999999999998</v>
      </c>
      <c r="P1273" s="116">
        <v>277.95</v>
      </c>
      <c r="Q1273" s="116">
        <v>535.20000000000005</v>
      </c>
      <c r="R1273">
        <v>96478</v>
      </c>
    </row>
    <row r="1274" spans="1:18" x14ac:dyDescent="0.25">
      <c r="A1274" s="170">
        <v>43880</v>
      </c>
      <c r="B1274" s="116">
        <v>276.47500000000002</v>
      </c>
      <c r="C1274" s="116">
        <v>266.5</v>
      </c>
      <c r="D1274" s="116">
        <v>264.77499999999998</v>
      </c>
      <c r="E1274" s="116">
        <v>273.45</v>
      </c>
      <c r="F1274" s="116">
        <v>533</v>
      </c>
      <c r="G1274">
        <v>4345</v>
      </c>
      <c r="H1274" s="116"/>
      <c r="I1274" s="116"/>
      <c r="L1274" s="170">
        <v>43880</v>
      </c>
      <c r="M1274" s="116">
        <v>267.47500000000002</v>
      </c>
      <c r="N1274" s="116">
        <v>276.5</v>
      </c>
      <c r="O1274" s="116">
        <v>265.7</v>
      </c>
      <c r="P1274" s="116">
        <v>268.95</v>
      </c>
      <c r="Q1274" s="116">
        <v>534.95000000000005</v>
      </c>
      <c r="R1274">
        <v>129304</v>
      </c>
    </row>
    <row r="1275" spans="1:18" x14ac:dyDescent="0.25">
      <c r="A1275" s="170">
        <v>43881</v>
      </c>
      <c r="B1275" s="116">
        <v>284</v>
      </c>
      <c r="C1275" s="116">
        <v>267.3</v>
      </c>
      <c r="D1275" s="116">
        <v>266</v>
      </c>
      <c r="E1275" s="116">
        <v>284</v>
      </c>
      <c r="F1275" s="116">
        <v>534.6</v>
      </c>
      <c r="G1275">
        <v>6484</v>
      </c>
      <c r="H1275" s="116"/>
      <c r="I1275" s="116"/>
      <c r="L1275" s="170">
        <v>43881</v>
      </c>
      <c r="M1275" s="116">
        <v>266.92500000000001</v>
      </c>
      <c r="N1275" s="116">
        <v>272</v>
      </c>
      <c r="O1275" s="116">
        <v>266.25</v>
      </c>
      <c r="P1275" s="116">
        <v>266.25</v>
      </c>
      <c r="Q1275" s="116">
        <v>533.85</v>
      </c>
      <c r="R1275">
        <v>83973</v>
      </c>
    </row>
    <row r="1276" spans="1:18" x14ac:dyDescent="0.25">
      <c r="A1276" s="170">
        <v>43885</v>
      </c>
      <c r="B1276" s="116">
        <v>268.85000000000002</v>
      </c>
      <c r="C1276" s="116">
        <v>267.45</v>
      </c>
      <c r="D1276" s="116">
        <v>262.45</v>
      </c>
      <c r="E1276" s="116">
        <v>266.5</v>
      </c>
      <c r="F1276" s="116">
        <v>534.9</v>
      </c>
      <c r="G1276">
        <v>2150</v>
      </c>
      <c r="H1276" s="116"/>
      <c r="I1276" s="116"/>
      <c r="L1276" s="170">
        <v>43885</v>
      </c>
      <c r="M1276" s="116">
        <v>267.57499999999999</v>
      </c>
      <c r="N1276" s="116">
        <v>270</v>
      </c>
      <c r="O1276" s="116">
        <v>263.14999999999998</v>
      </c>
      <c r="P1276" s="116">
        <v>270</v>
      </c>
      <c r="Q1276" s="116">
        <v>535.15</v>
      </c>
      <c r="R1276">
        <v>105101</v>
      </c>
    </row>
    <row r="1277" spans="1:18" x14ac:dyDescent="0.25">
      <c r="A1277" s="170">
        <v>43886</v>
      </c>
      <c r="B1277" s="116">
        <v>274.5</v>
      </c>
      <c r="C1277" s="116">
        <v>267.92500000000001</v>
      </c>
      <c r="D1277" s="116">
        <v>265.97500000000002</v>
      </c>
      <c r="E1277" s="116">
        <v>274.5</v>
      </c>
      <c r="F1277" s="116">
        <v>535.85</v>
      </c>
      <c r="G1277">
        <v>12707</v>
      </c>
      <c r="H1277" s="116"/>
      <c r="I1277" s="116"/>
      <c r="L1277" s="170">
        <v>43886</v>
      </c>
      <c r="M1277" s="116">
        <v>267.32499999999999</v>
      </c>
      <c r="N1277" s="116">
        <v>269.95</v>
      </c>
      <c r="O1277" s="116">
        <v>265.8</v>
      </c>
      <c r="P1277" s="116">
        <v>268.02499999999998</v>
      </c>
      <c r="Q1277" s="116">
        <v>534.65</v>
      </c>
      <c r="R1277">
        <v>43510</v>
      </c>
    </row>
    <row r="1278" spans="1:18" x14ac:dyDescent="0.25">
      <c r="A1278" s="170">
        <v>43887</v>
      </c>
      <c r="B1278" s="116">
        <v>288.25</v>
      </c>
      <c r="C1278" s="116">
        <v>280.05</v>
      </c>
      <c r="D1278" s="116">
        <v>269.72500000000002</v>
      </c>
      <c r="E1278" s="116">
        <v>269.72500000000002</v>
      </c>
      <c r="F1278" s="116">
        <v>560.1</v>
      </c>
      <c r="G1278">
        <v>12479</v>
      </c>
      <c r="H1278" s="116"/>
      <c r="I1278" s="116"/>
      <c r="L1278" s="170">
        <v>43887</v>
      </c>
      <c r="M1278" s="116">
        <v>280.875</v>
      </c>
      <c r="N1278" s="116">
        <v>288.25</v>
      </c>
      <c r="O1278" s="116">
        <v>267.42500000000001</v>
      </c>
      <c r="P1278" s="116">
        <v>269.42500000000001</v>
      </c>
      <c r="Q1278" s="116">
        <v>561.75</v>
      </c>
      <c r="R1278">
        <v>308187</v>
      </c>
    </row>
    <row r="1279" spans="1:18" x14ac:dyDescent="0.25">
      <c r="A1279" s="170">
        <v>43888</v>
      </c>
      <c r="B1279" s="116">
        <v>284.7</v>
      </c>
      <c r="C1279" s="116">
        <v>278.47500000000002</v>
      </c>
      <c r="D1279" s="116">
        <v>276</v>
      </c>
      <c r="E1279" s="116">
        <v>283.5</v>
      </c>
      <c r="F1279" s="116">
        <v>556.95000000000005</v>
      </c>
      <c r="G1279">
        <v>11374</v>
      </c>
      <c r="H1279" s="116"/>
      <c r="I1279" s="116"/>
      <c r="L1279" s="170">
        <v>43888</v>
      </c>
      <c r="M1279" s="116">
        <v>278.39999999999998</v>
      </c>
      <c r="N1279" s="116">
        <v>285.10000000000002</v>
      </c>
      <c r="O1279" s="116">
        <v>275.10000000000002</v>
      </c>
      <c r="P1279" s="116">
        <v>283.125</v>
      </c>
      <c r="Q1279" s="116">
        <v>556.79999999999995</v>
      </c>
      <c r="R1279">
        <v>173925</v>
      </c>
    </row>
    <row r="1280" spans="1:18" x14ac:dyDescent="0.25">
      <c r="A1280" s="170">
        <v>43889</v>
      </c>
      <c r="B1280" s="116">
        <v>275</v>
      </c>
      <c r="C1280" s="116">
        <v>268.7</v>
      </c>
      <c r="D1280" s="116">
        <v>264.5</v>
      </c>
      <c r="E1280" s="116">
        <v>275</v>
      </c>
      <c r="F1280" s="116">
        <v>537.4</v>
      </c>
      <c r="G1280">
        <v>3388</v>
      </c>
      <c r="H1280" s="116"/>
      <c r="I1280" s="116"/>
      <c r="L1280" s="170">
        <v>43889</v>
      </c>
      <c r="M1280" s="116">
        <v>269.35000000000002</v>
      </c>
      <c r="N1280" s="116">
        <v>274.95</v>
      </c>
      <c r="O1280" s="116">
        <v>263.45</v>
      </c>
      <c r="P1280" s="116">
        <v>270.5</v>
      </c>
      <c r="Q1280" s="116">
        <v>538.70000000000005</v>
      </c>
      <c r="R1280">
        <v>90956</v>
      </c>
    </row>
    <row r="1281" spans="1:18" x14ac:dyDescent="0.25">
      <c r="A1281" s="170">
        <v>43892</v>
      </c>
      <c r="B1281" s="116">
        <v>284.10000000000002</v>
      </c>
      <c r="C1281" s="116">
        <v>267.2</v>
      </c>
      <c r="D1281" s="116">
        <v>264.25</v>
      </c>
      <c r="E1281" s="116">
        <v>279.5</v>
      </c>
      <c r="F1281" s="116">
        <v>534.4</v>
      </c>
      <c r="G1281">
        <v>8416</v>
      </c>
      <c r="H1281" s="116"/>
      <c r="I1281" s="116"/>
      <c r="L1281" s="170">
        <v>43892</v>
      </c>
      <c r="M1281" s="116">
        <v>266.10000000000002</v>
      </c>
      <c r="N1281" s="116">
        <v>284.5</v>
      </c>
      <c r="O1281" s="116">
        <v>264.5</v>
      </c>
      <c r="P1281" s="116">
        <v>284.5</v>
      </c>
      <c r="Q1281" s="116">
        <v>532.20000000000005</v>
      </c>
      <c r="R1281">
        <v>108686</v>
      </c>
    </row>
    <row r="1282" spans="1:18" x14ac:dyDescent="0.25">
      <c r="A1282" s="170">
        <v>43893</v>
      </c>
      <c r="B1282" s="116">
        <v>280.52499999999998</v>
      </c>
      <c r="C1282" s="116">
        <v>279.47500000000002</v>
      </c>
      <c r="D1282" s="116">
        <v>267.92500000000001</v>
      </c>
      <c r="E1282" s="116">
        <v>269.8</v>
      </c>
      <c r="F1282" s="116">
        <v>558.95000000000005</v>
      </c>
      <c r="G1282">
        <v>8164</v>
      </c>
      <c r="H1282" s="116"/>
      <c r="I1282" s="116"/>
      <c r="L1282" s="170">
        <v>43893</v>
      </c>
      <c r="M1282" s="116">
        <v>278.92500000000001</v>
      </c>
      <c r="N1282" s="116">
        <v>281</v>
      </c>
      <c r="O1282" s="116">
        <v>267.7</v>
      </c>
      <c r="P1282" s="116">
        <v>270</v>
      </c>
      <c r="Q1282" s="116">
        <v>557.85</v>
      </c>
      <c r="R1282">
        <v>82109</v>
      </c>
    </row>
    <row r="1283" spans="1:18" x14ac:dyDescent="0.25">
      <c r="A1283" s="170">
        <v>43894</v>
      </c>
      <c r="B1283" s="116">
        <v>291.60000000000002</v>
      </c>
      <c r="C1283" s="116">
        <v>287.05</v>
      </c>
      <c r="D1283" s="116">
        <v>272.39999999999998</v>
      </c>
      <c r="E1283" s="116">
        <v>280.45</v>
      </c>
      <c r="F1283" s="116">
        <v>574.1</v>
      </c>
      <c r="G1283">
        <v>15844</v>
      </c>
      <c r="H1283" s="116"/>
      <c r="I1283" s="116"/>
      <c r="L1283" s="170">
        <v>43894</v>
      </c>
      <c r="M1283" s="116">
        <v>287.47500000000002</v>
      </c>
      <c r="N1283" s="116">
        <v>291.5</v>
      </c>
      <c r="O1283" s="116">
        <v>271.92500000000001</v>
      </c>
      <c r="P1283" s="116">
        <v>280</v>
      </c>
      <c r="Q1283" s="116">
        <v>574.95000000000005</v>
      </c>
      <c r="R1283">
        <v>283840</v>
      </c>
    </row>
    <row r="1284" spans="1:18" x14ac:dyDescent="0.25">
      <c r="A1284" s="170">
        <v>43895</v>
      </c>
      <c r="B1284" s="116">
        <v>297.97500000000002</v>
      </c>
      <c r="C1284" s="116">
        <v>286.32499999999999</v>
      </c>
      <c r="D1284" s="116">
        <v>283.89999999999998</v>
      </c>
      <c r="E1284" s="116">
        <v>290</v>
      </c>
      <c r="F1284" s="116">
        <v>572.65</v>
      </c>
      <c r="G1284">
        <v>9664</v>
      </c>
      <c r="H1284" s="116"/>
      <c r="I1284" s="116"/>
      <c r="L1284" s="170">
        <v>43895</v>
      </c>
      <c r="M1284" s="116">
        <v>286.875</v>
      </c>
      <c r="N1284" s="116">
        <v>297.97500000000002</v>
      </c>
      <c r="O1284" s="116">
        <v>284</v>
      </c>
      <c r="P1284" s="116">
        <v>290.72500000000002</v>
      </c>
      <c r="Q1284" s="116">
        <v>573.75</v>
      </c>
      <c r="R1284">
        <v>206525</v>
      </c>
    </row>
    <row r="1285" spans="1:18" x14ac:dyDescent="0.25">
      <c r="A1285" s="170">
        <v>43896</v>
      </c>
      <c r="B1285" s="116">
        <v>297.89999999999998</v>
      </c>
      <c r="C1285" s="116">
        <v>291.97500000000002</v>
      </c>
      <c r="D1285" s="116">
        <v>275</v>
      </c>
      <c r="E1285" s="116">
        <v>280</v>
      </c>
      <c r="F1285" s="116">
        <v>583.95000000000005</v>
      </c>
      <c r="G1285">
        <v>16425</v>
      </c>
      <c r="H1285" s="116"/>
      <c r="I1285" s="116"/>
      <c r="L1285" s="170">
        <v>43896</v>
      </c>
      <c r="M1285" s="116">
        <v>292.45</v>
      </c>
      <c r="N1285" s="116">
        <v>298.45</v>
      </c>
      <c r="O1285" s="116">
        <v>265.67500000000001</v>
      </c>
      <c r="P1285" s="116">
        <v>284</v>
      </c>
      <c r="Q1285" s="116">
        <v>584.9</v>
      </c>
      <c r="R1285">
        <v>168129</v>
      </c>
    </row>
    <row r="1286" spans="1:18" x14ac:dyDescent="0.25">
      <c r="A1286" s="170">
        <v>43899</v>
      </c>
      <c r="B1286" s="116">
        <v>298.95</v>
      </c>
      <c r="C1286" s="116">
        <v>274.60000000000002</v>
      </c>
      <c r="D1286" s="116">
        <v>270.89999999999998</v>
      </c>
      <c r="E1286" s="116">
        <v>298.95</v>
      </c>
      <c r="F1286" s="116">
        <v>549.20000000000005</v>
      </c>
      <c r="G1286">
        <v>13639</v>
      </c>
      <c r="H1286" s="116"/>
      <c r="I1286" s="116"/>
      <c r="L1286" s="170">
        <v>43899</v>
      </c>
      <c r="M1286" s="116">
        <v>275.35000000000002</v>
      </c>
      <c r="N1286" s="116">
        <v>294</v>
      </c>
      <c r="O1286" s="116">
        <v>270.5</v>
      </c>
      <c r="P1286" s="116">
        <v>292.45</v>
      </c>
      <c r="Q1286" s="116">
        <v>550.70000000000005</v>
      </c>
      <c r="R1286">
        <v>137854</v>
      </c>
    </row>
    <row r="1287" spans="1:18" x14ac:dyDescent="0.25">
      <c r="A1287" s="170">
        <v>43901</v>
      </c>
      <c r="B1287" s="116">
        <v>291.42500000000001</v>
      </c>
      <c r="C1287" s="116">
        <v>274.67500000000001</v>
      </c>
      <c r="D1287" s="116">
        <v>272.5</v>
      </c>
      <c r="E1287" s="116">
        <v>275.97500000000002</v>
      </c>
      <c r="F1287" s="116">
        <v>549.35</v>
      </c>
      <c r="G1287">
        <v>7970</v>
      </c>
      <c r="H1287" s="116"/>
      <c r="I1287" s="116"/>
      <c r="L1287" s="170">
        <v>43901</v>
      </c>
      <c r="M1287" s="116">
        <v>275.10000000000002</v>
      </c>
      <c r="N1287" s="116">
        <v>291.375</v>
      </c>
      <c r="O1287" s="116">
        <v>272.22500000000002</v>
      </c>
      <c r="P1287" s="116">
        <v>275.3</v>
      </c>
      <c r="Q1287" s="116">
        <v>550.20000000000005</v>
      </c>
      <c r="R1287">
        <v>161508</v>
      </c>
    </row>
    <row r="1288" spans="1:18" x14ac:dyDescent="0.25">
      <c r="A1288" s="170">
        <v>43902</v>
      </c>
      <c r="B1288" s="116">
        <v>270.89999999999998</v>
      </c>
      <c r="C1288" s="116">
        <v>254.375</v>
      </c>
      <c r="D1288" s="116">
        <v>234</v>
      </c>
      <c r="E1288" s="116">
        <v>266.89999999999998</v>
      </c>
      <c r="F1288" s="116">
        <v>508.75</v>
      </c>
      <c r="G1288">
        <v>14799</v>
      </c>
      <c r="H1288" s="116"/>
      <c r="I1288" s="116"/>
      <c r="L1288" s="170">
        <v>43902</v>
      </c>
      <c r="M1288" s="116">
        <v>254.47499999999999</v>
      </c>
      <c r="N1288" s="116">
        <v>272.375</v>
      </c>
      <c r="O1288" s="116">
        <v>233.72499999999999</v>
      </c>
      <c r="P1288" s="116">
        <v>263.5</v>
      </c>
      <c r="Q1288" s="116">
        <v>508.95</v>
      </c>
      <c r="R1288">
        <v>272912</v>
      </c>
    </row>
    <row r="1289" spans="1:18" x14ac:dyDescent="0.25">
      <c r="A1289" s="170">
        <v>43903</v>
      </c>
      <c r="B1289" s="116">
        <v>287.95</v>
      </c>
      <c r="C1289" s="116">
        <v>284.07499999999999</v>
      </c>
      <c r="D1289" s="116">
        <v>229.9</v>
      </c>
      <c r="E1289" s="116">
        <v>229.9</v>
      </c>
      <c r="F1289" s="116">
        <v>568.15</v>
      </c>
      <c r="G1289">
        <v>9667</v>
      </c>
      <c r="H1289" s="116"/>
      <c r="I1289" s="116"/>
      <c r="L1289" s="170">
        <v>43903</v>
      </c>
      <c r="M1289" s="116">
        <v>284.10000000000002</v>
      </c>
      <c r="N1289" s="116">
        <v>287.625</v>
      </c>
      <c r="O1289" s="116">
        <v>207.5</v>
      </c>
      <c r="P1289" s="116">
        <v>226.5</v>
      </c>
      <c r="Q1289" s="116">
        <v>568.20000000000005</v>
      </c>
      <c r="R1289">
        <v>221947</v>
      </c>
    </row>
    <row r="1290" spans="1:18" x14ac:dyDescent="0.25">
      <c r="A1290" s="170">
        <v>43906</v>
      </c>
      <c r="B1290" s="116">
        <v>281.39999999999998</v>
      </c>
      <c r="C1290" s="116">
        <v>268.14999999999998</v>
      </c>
      <c r="D1290" s="116">
        <v>265.625</v>
      </c>
      <c r="E1290" s="116">
        <v>280.52499999999998</v>
      </c>
      <c r="F1290" s="116">
        <v>536.29999999999995</v>
      </c>
      <c r="G1290">
        <v>12989</v>
      </c>
      <c r="H1290" s="116"/>
      <c r="I1290" s="116"/>
      <c r="L1290" s="170">
        <v>43906</v>
      </c>
      <c r="M1290" s="116">
        <v>267.75</v>
      </c>
      <c r="N1290" s="116">
        <v>285</v>
      </c>
      <c r="O1290" s="116">
        <v>257.82499999999999</v>
      </c>
      <c r="P1290" s="116">
        <v>284</v>
      </c>
      <c r="Q1290" s="116">
        <v>535.5</v>
      </c>
      <c r="R1290">
        <v>110620</v>
      </c>
    </row>
    <row r="1291" spans="1:18" x14ac:dyDescent="0.25">
      <c r="A1291" s="170">
        <v>43907</v>
      </c>
      <c r="B1291" s="116">
        <v>278.47500000000002</v>
      </c>
      <c r="C1291" s="116">
        <v>270.95</v>
      </c>
      <c r="D1291" s="116">
        <v>269.97500000000002</v>
      </c>
      <c r="E1291" s="116">
        <v>272.75</v>
      </c>
      <c r="F1291" s="116">
        <v>541.9</v>
      </c>
      <c r="G1291">
        <v>6233</v>
      </c>
      <c r="H1291" s="116"/>
      <c r="I1291" s="116"/>
      <c r="L1291" s="170">
        <v>43907</v>
      </c>
      <c r="M1291" s="116">
        <v>273.39999999999998</v>
      </c>
      <c r="N1291" s="116">
        <v>279.27499999999998</v>
      </c>
      <c r="O1291" s="116">
        <v>268.75</v>
      </c>
      <c r="P1291" s="116">
        <v>277</v>
      </c>
      <c r="Q1291" s="116">
        <v>546.79999999999995</v>
      </c>
      <c r="R1291">
        <v>118804</v>
      </c>
    </row>
    <row r="1292" spans="1:18" x14ac:dyDescent="0.25">
      <c r="A1292" s="170">
        <v>43908</v>
      </c>
      <c r="B1292" s="116">
        <v>275.89999999999998</v>
      </c>
      <c r="C1292" s="116">
        <v>255.22499999999999</v>
      </c>
      <c r="D1292" s="116">
        <v>251.17500000000001</v>
      </c>
      <c r="E1292" s="116">
        <v>275.45</v>
      </c>
      <c r="F1292" s="116">
        <v>510.45</v>
      </c>
      <c r="G1292">
        <v>3758</v>
      </c>
      <c r="H1292" s="116"/>
      <c r="I1292" s="116"/>
      <c r="L1292" s="170">
        <v>43908</v>
      </c>
      <c r="M1292" s="116">
        <v>255.125</v>
      </c>
      <c r="N1292" s="116">
        <v>276.89999999999998</v>
      </c>
      <c r="O1292" s="116">
        <v>250.5</v>
      </c>
      <c r="P1292" s="116">
        <v>276.89999999999998</v>
      </c>
      <c r="Q1292" s="116">
        <v>510.25</v>
      </c>
      <c r="R1292">
        <v>126546</v>
      </c>
    </row>
    <row r="1293" spans="1:18" x14ac:dyDescent="0.25">
      <c r="A1293" s="170">
        <v>43909</v>
      </c>
      <c r="B1293" s="116">
        <v>274.10000000000002</v>
      </c>
      <c r="C1293" s="116">
        <v>256.92500000000001</v>
      </c>
      <c r="D1293" s="116">
        <v>239.77500000000001</v>
      </c>
      <c r="E1293" s="116">
        <v>247</v>
      </c>
      <c r="F1293" s="116">
        <v>513.85</v>
      </c>
      <c r="G1293">
        <v>19150</v>
      </c>
      <c r="H1293" s="116"/>
      <c r="I1293" s="116"/>
      <c r="L1293" s="170">
        <v>43909</v>
      </c>
      <c r="M1293" s="116">
        <v>257.17500000000001</v>
      </c>
      <c r="N1293" s="116">
        <v>274.47500000000002</v>
      </c>
      <c r="O1293" s="116">
        <v>232</v>
      </c>
      <c r="P1293" s="116">
        <v>232</v>
      </c>
      <c r="Q1293" s="116">
        <v>514.35</v>
      </c>
      <c r="R1293">
        <v>172445</v>
      </c>
    </row>
    <row r="1294" spans="1:18" x14ac:dyDescent="0.25">
      <c r="A1294" s="170">
        <v>43910</v>
      </c>
      <c r="B1294" s="116">
        <v>270.39999999999998</v>
      </c>
      <c r="C1294" s="116">
        <v>253.47499999999999</v>
      </c>
      <c r="D1294" s="116">
        <v>251</v>
      </c>
      <c r="E1294" s="116">
        <v>264.7</v>
      </c>
      <c r="F1294" s="116">
        <v>506.95</v>
      </c>
      <c r="G1294">
        <v>5899</v>
      </c>
      <c r="H1294" s="116"/>
      <c r="I1294" s="116"/>
      <c r="L1294" s="170">
        <v>43910</v>
      </c>
      <c r="M1294" s="116">
        <v>253</v>
      </c>
      <c r="N1294" s="116">
        <v>271</v>
      </c>
      <c r="O1294" s="116">
        <v>251.02500000000001</v>
      </c>
      <c r="P1294" s="116">
        <v>257.39999999999998</v>
      </c>
      <c r="Q1294" s="116">
        <v>506</v>
      </c>
      <c r="R1294">
        <v>72281</v>
      </c>
    </row>
    <row r="1295" spans="1:18" x14ac:dyDescent="0.25">
      <c r="A1295" s="170">
        <v>43913</v>
      </c>
      <c r="B1295" s="116">
        <v>252.35</v>
      </c>
      <c r="C1295" s="116">
        <v>224.57499999999999</v>
      </c>
      <c r="D1295" s="116">
        <v>217.45</v>
      </c>
      <c r="E1295" s="116">
        <v>242.15</v>
      </c>
      <c r="F1295" s="116">
        <v>449.15</v>
      </c>
      <c r="G1295">
        <v>7295</v>
      </c>
      <c r="H1295" s="116"/>
      <c r="I1295" s="116"/>
      <c r="L1295" s="170">
        <v>43913</v>
      </c>
      <c r="M1295" s="116">
        <v>224.25</v>
      </c>
      <c r="N1295" s="116">
        <v>252.47499999999999</v>
      </c>
      <c r="O1295" s="116">
        <v>210</v>
      </c>
      <c r="P1295" s="116">
        <v>238</v>
      </c>
      <c r="Q1295" s="116">
        <v>448.5</v>
      </c>
      <c r="R1295">
        <v>188704</v>
      </c>
    </row>
    <row r="1296" spans="1:18" x14ac:dyDescent="0.25">
      <c r="A1296" s="170">
        <v>43914</v>
      </c>
      <c r="B1296" s="116">
        <v>254.5</v>
      </c>
      <c r="C1296" s="116">
        <v>246.02500000000001</v>
      </c>
      <c r="D1296" s="116">
        <v>222</v>
      </c>
      <c r="E1296" s="116">
        <v>239.85</v>
      </c>
      <c r="F1296" s="116">
        <v>492.05</v>
      </c>
      <c r="G1296">
        <v>2453</v>
      </c>
      <c r="H1296" s="116"/>
      <c r="I1296" s="116"/>
      <c r="L1296" s="170">
        <v>43914</v>
      </c>
      <c r="M1296" s="116">
        <v>247.57499999999999</v>
      </c>
      <c r="N1296" s="116">
        <v>255</v>
      </c>
      <c r="O1296" s="116">
        <v>222</v>
      </c>
      <c r="P1296" s="116">
        <v>239.5</v>
      </c>
      <c r="Q1296" s="116">
        <v>495.15</v>
      </c>
      <c r="R1296">
        <v>73454</v>
      </c>
    </row>
    <row r="1297" spans="1:18" x14ac:dyDescent="0.25">
      <c r="A1297" s="170">
        <v>43915</v>
      </c>
      <c r="B1297" s="116">
        <v>259.95</v>
      </c>
      <c r="C1297" s="116">
        <v>252.82499999999999</v>
      </c>
      <c r="D1297" s="116">
        <v>242.75</v>
      </c>
      <c r="E1297" s="116">
        <v>247.1</v>
      </c>
      <c r="F1297" s="116">
        <v>505.65</v>
      </c>
      <c r="G1297">
        <v>5404</v>
      </c>
      <c r="H1297" s="116"/>
      <c r="I1297" s="116"/>
      <c r="L1297" s="170">
        <v>43915</v>
      </c>
      <c r="M1297" s="116">
        <v>254.07499999999999</v>
      </c>
      <c r="N1297" s="116">
        <v>260</v>
      </c>
      <c r="O1297" s="116">
        <v>237.5</v>
      </c>
      <c r="P1297" s="116">
        <v>245</v>
      </c>
      <c r="Q1297" s="116">
        <v>508.15</v>
      </c>
      <c r="R1297">
        <v>66888</v>
      </c>
    </row>
    <row r="1298" spans="1:18" x14ac:dyDescent="0.25">
      <c r="A1298" s="170">
        <v>43916</v>
      </c>
      <c r="B1298" s="116">
        <v>262.875</v>
      </c>
      <c r="C1298" s="116">
        <v>255.02500000000001</v>
      </c>
      <c r="D1298" s="116">
        <v>245</v>
      </c>
      <c r="E1298" s="116">
        <v>254.7</v>
      </c>
      <c r="F1298" s="116">
        <v>510.05</v>
      </c>
      <c r="G1298">
        <v>3627</v>
      </c>
      <c r="H1298" s="116"/>
      <c r="I1298" s="116"/>
      <c r="L1298" s="170">
        <v>43916</v>
      </c>
      <c r="M1298" s="116">
        <v>252.92500000000001</v>
      </c>
      <c r="N1298" s="116">
        <v>263.625</v>
      </c>
      <c r="O1298" s="116">
        <v>242.42500000000001</v>
      </c>
      <c r="P1298" s="116">
        <v>253.375</v>
      </c>
      <c r="Q1298" s="116">
        <v>505.85</v>
      </c>
      <c r="R1298">
        <v>52360</v>
      </c>
    </row>
    <row r="1299" spans="1:18" x14ac:dyDescent="0.25">
      <c r="A1299" s="170">
        <v>43917</v>
      </c>
      <c r="B1299" s="116">
        <v>259.77499999999998</v>
      </c>
      <c r="C1299" s="116">
        <v>252.95</v>
      </c>
      <c r="D1299" s="116">
        <v>249.75</v>
      </c>
      <c r="E1299" s="116">
        <v>257.52499999999998</v>
      </c>
      <c r="F1299" s="116">
        <v>505.9</v>
      </c>
      <c r="G1299">
        <v>7964</v>
      </c>
      <c r="H1299" s="116"/>
      <c r="I1299" s="116"/>
      <c r="L1299" s="170">
        <v>43917</v>
      </c>
      <c r="M1299" s="116">
        <v>254.17500000000001</v>
      </c>
      <c r="N1299" s="116">
        <v>259.5</v>
      </c>
      <c r="O1299" s="116">
        <v>251</v>
      </c>
      <c r="P1299" s="116">
        <v>259.5</v>
      </c>
      <c r="Q1299" s="116">
        <v>508.35</v>
      </c>
      <c r="R1299">
        <v>118787</v>
      </c>
    </row>
    <row r="1300" spans="1:18" x14ac:dyDescent="0.25">
      <c r="A1300" s="170">
        <v>43920</v>
      </c>
      <c r="B1300" s="116">
        <v>254.5</v>
      </c>
      <c r="C1300" s="116">
        <v>250.47499999999999</v>
      </c>
      <c r="D1300" s="116">
        <v>242.2</v>
      </c>
      <c r="E1300" s="116">
        <v>250</v>
      </c>
      <c r="F1300" s="116">
        <v>500.95</v>
      </c>
      <c r="G1300">
        <v>5021</v>
      </c>
      <c r="H1300" s="116"/>
      <c r="I1300" s="116"/>
      <c r="L1300" s="170">
        <v>43920</v>
      </c>
      <c r="M1300" s="116">
        <v>250.57499999999999</v>
      </c>
      <c r="N1300" s="116">
        <v>254.15</v>
      </c>
      <c r="O1300" s="116">
        <v>243.4</v>
      </c>
      <c r="P1300" s="116">
        <v>249.85</v>
      </c>
      <c r="Q1300" s="116">
        <v>501.15</v>
      </c>
      <c r="R1300">
        <v>34826</v>
      </c>
    </row>
    <row r="1301" spans="1:18" x14ac:dyDescent="0.25">
      <c r="A1301" s="170">
        <v>43921</v>
      </c>
      <c r="B1301" s="116">
        <v>256.5</v>
      </c>
      <c r="C1301" s="116">
        <v>254.17500000000001</v>
      </c>
      <c r="D1301" s="116">
        <v>247.15</v>
      </c>
      <c r="E1301" s="116">
        <v>253.65</v>
      </c>
      <c r="F1301" s="116">
        <v>508.35</v>
      </c>
      <c r="G1301">
        <v>1884</v>
      </c>
      <c r="H1301" s="116"/>
      <c r="I1301" s="116"/>
      <c r="L1301" s="170">
        <v>43921</v>
      </c>
      <c r="M1301" s="116">
        <v>254.5</v>
      </c>
      <c r="N1301" s="116">
        <v>257.47500000000002</v>
      </c>
      <c r="O1301" s="116">
        <v>250</v>
      </c>
      <c r="P1301" s="116">
        <v>257.47500000000002</v>
      </c>
      <c r="Q1301" s="116">
        <v>509</v>
      </c>
      <c r="R1301">
        <v>75328</v>
      </c>
    </row>
    <row r="1302" spans="1:18" x14ac:dyDescent="0.25">
      <c r="A1302" s="170">
        <v>43922</v>
      </c>
      <c r="B1302" s="116">
        <v>262.5</v>
      </c>
      <c r="C1302" s="116">
        <v>252.375</v>
      </c>
      <c r="D1302" s="116">
        <v>246.6</v>
      </c>
      <c r="E1302" s="116">
        <v>262.5</v>
      </c>
      <c r="F1302" s="116">
        <v>504.75</v>
      </c>
      <c r="G1302">
        <v>3444</v>
      </c>
      <c r="H1302" s="116"/>
      <c r="I1302" s="116"/>
      <c r="L1302" s="170">
        <v>43922</v>
      </c>
      <c r="M1302" s="116">
        <v>252.8</v>
      </c>
      <c r="N1302" s="116">
        <v>262</v>
      </c>
      <c r="O1302" s="116">
        <v>246.125</v>
      </c>
      <c r="P1302" s="116">
        <v>262</v>
      </c>
      <c r="Q1302" s="116">
        <v>505.6</v>
      </c>
      <c r="R1302">
        <v>106011</v>
      </c>
    </row>
    <row r="1303" spans="1:18" x14ac:dyDescent="0.25">
      <c r="A1303" s="170">
        <v>43924</v>
      </c>
      <c r="B1303" s="116">
        <v>246</v>
      </c>
      <c r="C1303" s="116">
        <v>224.1</v>
      </c>
      <c r="D1303" s="116">
        <v>221.5</v>
      </c>
      <c r="E1303" s="116">
        <v>246</v>
      </c>
      <c r="F1303" s="116">
        <v>448.2</v>
      </c>
      <c r="G1303">
        <v>10969</v>
      </c>
      <c r="H1303" s="116"/>
      <c r="I1303" s="116"/>
      <c r="L1303" s="170">
        <v>43924</v>
      </c>
      <c r="M1303" s="116">
        <v>223.65</v>
      </c>
      <c r="N1303" s="116">
        <v>244.5</v>
      </c>
      <c r="O1303" s="116">
        <v>220.22499999999999</v>
      </c>
      <c r="P1303" s="116">
        <v>244.5</v>
      </c>
      <c r="Q1303" s="116">
        <v>447.3</v>
      </c>
      <c r="R1303">
        <v>339700</v>
      </c>
    </row>
    <row r="1304" spans="1:18" x14ac:dyDescent="0.25">
      <c r="A1304" s="170">
        <v>43928</v>
      </c>
      <c r="B1304" s="116">
        <v>243.9</v>
      </c>
      <c r="C1304" s="116">
        <v>235.375</v>
      </c>
      <c r="D1304" s="116">
        <v>231.15</v>
      </c>
      <c r="E1304" s="116">
        <v>240.5</v>
      </c>
      <c r="F1304" s="116">
        <v>470.75</v>
      </c>
      <c r="G1304">
        <v>7087</v>
      </c>
      <c r="H1304" s="116"/>
      <c r="I1304" s="116"/>
      <c r="L1304" s="170">
        <v>43928</v>
      </c>
      <c r="M1304" s="116">
        <v>235.32499999999999</v>
      </c>
      <c r="N1304" s="116">
        <v>245.45</v>
      </c>
      <c r="O1304" s="116">
        <v>231</v>
      </c>
      <c r="P1304" s="116">
        <v>235.05</v>
      </c>
      <c r="Q1304" s="116">
        <v>470.65</v>
      </c>
      <c r="R1304">
        <v>276739</v>
      </c>
    </row>
    <row r="1305" spans="1:18" x14ac:dyDescent="0.25">
      <c r="A1305" s="170">
        <v>43929</v>
      </c>
      <c r="B1305" s="116">
        <v>273</v>
      </c>
      <c r="C1305" s="116">
        <v>254.52500000000001</v>
      </c>
      <c r="D1305" s="116">
        <v>231.67500000000001</v>
      </c>
      <c r="E1305" s="116">
        <v>235.375</v>
      </c>
      <c r="F1305" s="116">
        <v>509.05</v>
      </c>
      <c r="G1305">
        <v>35951</v>
      </c>
      <c r="H1305" s="116"/>
      <c r="I1305" s="116"/>
      <c r="L1305" s="170">
        <v>43929</v>
      </c>
      <c r="M1305" s="116">
        <v>254.92500000000001</v>
      </c>
      <c r="N1305" s="116">
        <v>274.5</v>
      </c>
      <c r="O1305" s="116">
        <v>231</v>
      </c>
      <c r="P1305" s="116">
        <v>238.25</v>
      </c>
      <c r="Q1305" s="116">
        <v>509.85</v>
      </c>
      <c r="R1305">
        <v>641059</v>
      </c>
    </row>
    <row r="1306" spans="1:18" x14ac:dyDescent="0.25">
      <c r="A1306" s="170">
        <v>43930</v>
      </c>
      <c r="B1306" s="116">
        <v>264</v>
      </c>
      <c r="C1306" s="116">
        <v>256.55</v>
      </c>
      <c r="D1306" s="116">
        <v>251.57499999999999</v>
      </c>
      <c r="E1306" s="116">
        <v>264</v>
      </c>
      <c r="F1306" s="116">
        <v>513.1</v>
      </c>
      <c r="G1306">
        <v>12510</v>
      </c>
      <c r="H1306" s="116"/>
      <c r="I1306" s="116"/>
      <c r="L1306" s="170">
        <v>43930</v>
      </c>
      <c r="M1306" s="116">
        <v>256.55</v>
      </c>
      <c r="N1306" s="116">
        <v>267</v>
      </c>
      <c r="O1306" s="116">
        <v>252.5</v>
      </c>
      <c r="P1306" s="116">
        <v>266.7</v>
      </c>
      <c r="Q1306" s="116">
        <v>513.1</v>
      </c>
      <c r="R1306">
        <v>611439</v>
      </c>
    </row>
    <row r="1307" spans="1:18" x14ac:dyDescent="0.25">
      <c r="A1307" s="170">
        <v>43934</v>
      </c>
      <c r="B1307" s="116">
        <v>263.85000000000002</v>
      </c>
      <c r="C1307" s="116">
        <v>257.97500000000002</v>
      </c>
      <c r="D1307" s="116">
        <v>250.05</v>
      </c>
      <c r="E1307" s="116">
        <v>260.7</v>
      </c>
      <c r="F1307" s="116">
        <v>515.95000000000005</v>
      </c>
      <c r="G1307">
        <v>6294</v>
      </c>
      <c r="H1307" s="116"/>
      <c r="I1307" s="116"/>
      <c r="L1307" s="170">
        <v>43934</v>
      </c>
      <c r="M1307" s="116">
        <v>258.52499999999998</v>
      </c>
      <c r="N1307" s="116">
        <v>264</v>
      </c>
      <c r="O1307" s="116">
        <v>249.5</v>
      </c>
      <c r="P1307" s="116">
        <v>258.95</v>
      </c>
      <c r="Q1307" s="116">
        <v>517.04999999999995</v>
      </c>
      <c r="R1307">
        <v>273162</v>
      </c>
    </row>
    <row r="1308" spans="1:18" x14ac:dyDescent="0.25">
      <c r="A1308" s="170">
        <v>43936</v>
      </c>
      <c r="B1308" s="116">
        <v>273.625</v>
      </c>
      <c r="C1308" s="116">
        <v>258.27499999999998</v>
      </c>
      <c r="D1308" s="116">
        <v>256.17500000000001</v>
      </c>
      <c r="E1308" s="116">
        <v>259.5</v>
      </c>
      <c r="F1308" s="116">
        <v>516.54999999999995</v>
      </c>
      <c r="G1308">
        <v>17118</v>
      </c>
      <c r="H1308" s="116"/>
      <c r="I1308" s="116"/>
      <c r="L1308" s="170">
        <v>43936</v>
      </c>
      <c r="M1308" s="116">
        <v>258.2</v>
      </c>
      <c r="N1308" s="116">
        <v>274</v>
      </c>
      <c r="O1308" s="116">
        <v>255.7</v>
      </c>
      <c r="P1308" s="116">
        <v>261.05</v>
      </c>
      <c r="Q1308" s="116">
        <v>516.4</v>
      </c>
      <c r="R1308">
        <v>507339</v>
      </c>
    </row>
    <row r="1309" spans="1:18" x14ac:dyDescent="0.25">
      <c r="A1309" s="170">
        <v>43937</v>
      </c>
      <c r="B1309" s="116">
        <v>263.95</v>
      </c>
      <c r="C1309" s="116">
        <v>261.07499999999999</v>
      </c>
      <c r="D1309" s="116">
        <v>259.125</v>
      </c>
      <c r="E1309" s="116">
        <v>259.89999999999998</v>
      </c>
      <c r="F1309" s="116">
        <v>522.15</v>
      </c>
      <c r="G1309">
        <v>3566</v>
      </c>
      <c r="H1309" s="116"/>
      <c r="I1309" s="116"/>
      <c r="L1309" s="170">
        <v>43937</v>
      </c>
      <c r="M1309" s="116">
        <v>260.64999999999998</v>
      </c>
      <c r="N1309" s="116">
        <v>264.2</v>
      </c>
      <c r="O1309" s="116">
        <v>252.77500000000001</v>
      </c>
      <c r="P1309" s="116">
        <v>252.77500000000001</v>
      </c>
      <c r="Q1309" s="116">
        <v>521.29999999999995</v>
      </c>
      <c r="R1309">
        <v>87754</v>
      </c>
    </row>
    <row r="1310" spans="1:18" x14ac:dyDescent="0.25">
      <c r="A1310" s="170">
        <v>43938</v>
      </c>
      <c r="B1310" s="116">
        <v>271</v>
      </c>
      <c r="C1310" s="116">
        <v>269.02499999999998</v>
      </c>
      <c r="D1310" s="116">
        <v>262.375</v>
      </c>
      <c r="E1310" s="116">
        <v>267.3</v>
      </c>
      <c r="F1310" s="116">
        <v>538.04999999999995</v>
      </c>
      <c r="G1310">
        <v>6071</v>
      </c>
      <c r="H1310" s="116"/>
      <c r="I1310" s="116"/>
      <c r="L1310" s="170">
        <v>43938</v>
      </c>
      <c r="M1310" s="116">
        <v>268.42500000000001</v>
      </c>
      <c r="N1310" s="116">
        <v>272.35000000000002</v>
      </c>
      <c r="O1310" s="116">
        <v>262.25</v>
      </c>
      <c r="P1310" s="116">
        <v>265</v>
      </c>
      <c r="Q1310" s="116">
        <v>536.85</v>
      </c>
      <c r="R1310">
        <v>122630</v>
      </c>
    </row>
    <row r="1311" spans="1:18" x14ac:dyDescent="0.25">
      <c r="A1311" s="170">
        <v>43941</v>
      </c>
      <c r="B1311" s="116">
        <v>294.02499999999998</v>
      </c>
      <c r="C1311" s="116">
        <v>282.92500000000001</v>
      </c>
      <c r="D1311" s="116">
        <v>272</v>
      </c>
      <c r="E1311" s="116">
        <v>277.5</v>
      </c>
      <c r="F1311" s="116">
        <v>565.85</v>
      </c>
      <c r="G1311">
        <v>23664</v>
      </c>
      <c r="H1311" s="116"/>
      <c r="I1311" s="116"/>
      <c r="L1311" s="170">
        <v>43941</v>
      </c>
      <c r="M1311" s="116">
        <v>283.17500000000001</v>
      </c>
      <c r="N1311" s="116">
        <v>294</v>
      </c>
      <c r="O1311" s="116">
        <v>277.5</v>
      </c>
      <c r="P1311" s="116">
        <v>282</v>
      </c>
      <c r="Q1311" s="116">
        <v>566.35</v>
      </c>
      <c r="R1311">
        <v>335197</v>
      </c>
    </row>
    <row r="1312" spans="1:18" x14ac:dyDescent="0.25">
      <c r="A1312" s="170">
        <v>43942</v>
      </c>
      <c r="B1312" s="116">
        <v>291.02499999999998</v>
      </c>
      <c r="C1312" s="116">
        <v>280.10000000000002</v>
      </c>
      <c r="D1312" s="116">
        <v>273.47500000000002</v>
      </c>
      <c r="E1312" s="116">
        <v>283.5</v>
      </c>
      <c r="F1312" s="116">
        <v>560.20000000000005</v>
      </c>
      <c r="G1312">
        <v>10516</v>
      </c>
      <c r="H1312" s="116"/>
      <c r="I1312" s="116"/>
      <c r="L1312" s="170">
        <v>43942</v>
      </c>
      <c r="M1312" s="116">
        <v>280.375</v>
      </c>
      <c r="N1312" s="116">
        <v>294.7</v>
      </c>
      <c r="O1312" s="116">
        <v>273.02499999999998</v>
      </c>
      <c r="P1312" s="116">
        <v>282.5</v>
      </c>
      <c r="Q1312" s="116">
        <v>560.75</v>
      </c>
      <c r="R1312">
        <v>351590</v>
      </c>
    </row>
    <row r="1313" spans="1:18" x14ac:dyDescent="0.25">
      <c r="A1313" s="170">
        <v>43943</v>
      </c>
      <c r="B1313" s="116">
        <v>280.47500000000002</v>
      </c>
      <c r="C1313" s="116">
        <v>279.375</v>
      </c>
      <c r="D1313" s="116">
        <v>277.95</v>
      </c>
      <c r="E1313" s="116">
        <v>279</v>
      </c>
      <c r="F1313" s="116">
        <v>558.75</v>
      </c>
      <c r="G1313">
        <v>4641</v>
      </c>
      <c r="H1313" s="116"/>
      <c r="I1313" s="116"/>
      <c r="L1313" s="170">
        <v>43943</v>
      </c>
      <c r="M1313" s="116">
        <v>279.82499999999999</v>
      </c>
      <c r="N1313" s="116">
        <v>282.5</v>
      </c>
      <c r="O1313" s="116">
        <v>277.55</v>
      </c>
      <c r="P1313" s="116">
        <v>282.47500000000002</v>
      </c>
      <c r="Q1313" s="116">
        <v>559.65</v>
      </c>
      <c r="R1313">
        <v>234037</v>
      </c>
    </row>
    <row r="1314" spans="1:18" x14ac:dyDescent="0.25">
      <c r="A1314" s="170">
        <v>43944</v>
      </c>
      <c r="B1314" s="116">
        <v>284</v>
      </c>
      <c r="C1314" s="116">
        <v>279.17500000000001</v>
      </c>
      <c r="D1314" s="116">
        <v>278</v>
      </c>
      <c r="E1314" s="116">
        <v>280.52499999999998</v>
      </c>
      <c r="F1314" s="116">
        <v>558.35</v>
      </c>
      <c r="G1314">
        <v>15645</v>
      </c>
      <c r="H1314" s="116"/>
      <c r="I1314" s="116"/>
      <c r="L1314" s="170">
        <v>43944</v>
      </c>
      <c r="M1314" s="116">
        <v>280.35000000000002</v>
      </c>
      <c r="N1314" s="116">
        <v>284.07499999999999</v>
      </c>
      <c r="O1314" s="116">
        <v>278</v>
      </c>
      <c r="P1314" s="116">
        <v>282.47500000000002</v>
      </c>
      <c r="Q1314" s="116">
        <v>560.70000000000005</v>
      </c>
      <c r="R1314">
        <v>228529</v>
      </c>
    </row>
    <row r="1315" spans="1:18" x14ac:dyDescent="0.25">
      <c r="A1315" s="170">
        <v>43945</v>
      </c>
      <c r="B1315" s="116">
        <v>285</v>
      </c>
      <c r="C1315" s="116">
        <v>276.32499999999999</v>
      </c>
      <c r="D1315" s="116">
        <v>273.77499999999998</v>
      </c>
      <c r="E1315" s="116">
        <v>285</v>
      </c>
      <c r="F1315" s="116">
        <v>552.65</v>
      </c>
      <c r="G1315">
        <v>4062</v>
      </c>
      <c r="H1315" s="116"/>
      <c r="I1315" s="116"/>
      <c r="L1315" s="170">
        <v>43945</v>
      </c>
      <c r="M1315" s="116">
        <v>276.25</v>
      </c>
      <c r="N1315" s="116">
        <v>283.5</v>
      </c>
      <c r="O1315" s="116">
        <v>273.27499999999998</v>
      </c>
      <c r="P1315" s="116">
        <v>280.5</v>
      </c>
      <c r="Q1315" s="116">
        <v>552.5</v>
      </c>
      <c r="R1315">
        <v>117944</v>
      </c>
    </row>
    <row r="1316" spans="1:18" x14ac:dyDescent="0.25">
      <c r="A1316" s="170">
        <v>43948</v>
      </c>
      <c r="B1316" s="116">
        <v>283.85000000000002</v>
      </c>
      <c r="C1316" s="116">
        <v>276.60000000000002</v>
      </c>
      <c r="D1316" s="116">
        <v>274</v>
      </c>
      <c r="E1316" s="116">
        <v>279.97500000000002</v>
      </c>
      <c r="F1316" s="116">
        <v>553.20000000000005</v>
      </c>
      <c r="G1316">
        <v>9753</v>
      </c>
      <c r="H1316" s="116"/>
      <c r="I1316" s="116"/>
      <c r="L1316" s="170">
        <v>43948</v>
      </c>
      <c r="M1316" s="116">
        <v>276.72500000000002</v>
      </c>
      <c r="N1316" s="116">
        <v>283.75</v>
      </c>
      <c r="O1316" s="116">
        <v>274.5</v>
      </c>
      <c r="P1316" s="116">
        <v>277.5</v>
      </c>
      <c r="Q1316" s="116">
        <v>553.45000000000005</v>
      </c>
      <c r="R1316">
        <v>420743</v>
      </c>
    </row>
    <row r="1317" spans="1:18" x14ac:dyDescent="0.25">
      <c r="A1317" s="170">
        <v>43949</v>
      </c>
      <c r="B1317" s="116">
        <v>285</v>
      </c>
      <c r="C1317" s="116">
        <v>277.92500000000001</v>
      </c>
      <c r="D1317" s="116">
        <v>274.52499999999998</v>
      </c>
      <c r="E1317" s="116">
        <v>285</v>
      </c>
      <c r="F1317" s="116">
        <v>555.85</v>
      </c>
      <c r="G1317">
        <v>13340</v>
      </c>
      <c r="H1317" s="116"/>
      <c r="I1317" s="116"/>
      <c r="L1317" s="170">
        <v>43949</v>
      </c>
      <c r="M1317" s="116">
        <v>278.02499999999998</v>
      </c>
      <c r="N1317" s="116">
        <v>287.5</v>
      </c>
      <c r="O1317" s="116">
        <v>274.27499999999998</v>
      </c>
      <c r="P1317" s="116">
        <v>281</v>
      </c>
      <c r="Q1317" s="116">
        <v>556.04999999999995</v>
      </c>
      <c r="R1317">
        <v>279018</v>
      </c>
    </row>
    <row r="1318" spans="1:18" x14ac:dyDescent="0.25">
      <c r="A1318" s="170">
        <v>43950</v>
      </c>
      <c r="B1318" s="116">
        <v>291.5</v>
      </c>
      <c r="C1318" s="116">
        <v>285.64999999999998</v>
      </c>
      <c r="D1318" s="116">
        <v>278</v>
      </c>
      <c r="E1318" s="116">
        <v>278.55</v>
      </c>
      <c r="F1318" s="116">
        <v>571.29999999999995</v>
      </c>
      <c r="G1318">
        <v>13105</v>
      </c>
      <c r="H1318" s="116"/>
      <c r="I1318" s="116"/>
      <c r="L1318" s="170">
        <v>43950</v>
      </c>
      <c r="M1318" s="116">
        <v>285.67500000000001</v>
      </c>
      <c r="N1318" s="116">
        <v>292.17500000000001</v>
      </c>
      <c r="O1318" s="116">
        <v>277.5</v>
      </c>
      <c r="P1318" s="116">
        <v>278.02499999999998</v>
      </c>
      <c r="Q1318" s="116">
        <v>571.35</v>
      </c>
      <c r="R1318">
        <v>502767</v>
      </c>
    </row>
    <row r="1319" spans="1:18" x14ac:dyDescent="0.25">
      <c r="A1319" s="170">
        <v>43951</v>
      </c>
      <c r="B1319" s="116">
        <v>290.64999999999998</v>
      </c>
      <c r="C1319" s="116">
        <v>278.67500000000001</v>
      </c>
      <c r="D1319" s="116">
        <v>276.17500000000001</v>
      </c>
      <c r="E1319" s="116">
        <v>290.10000000000002</v>
      </c>
      <c r="F1319" s="116">
        <v>557.35</v>
      </c>
      <c r="G1319">
        <v>10359</v>
      </c>
      <c r="H1319" s="116"/>
      <c r="I1319" s="116"/>
      <c r="L1319" s="170">
        <v>43951</v>
      </c>
      <c r="M1319" s="116">
        <v>278.95</v>
      </c>
      <c r="N1319" s="116">
        <v>292</v>
      </c>
      <c r="O1319" s="116">
        <v>276.3</v>
      </c>
      <c r="P1319" s="116">
        <v>292</v>
      </c>
      <c r="Q1319" s="116">
        <v>557.9</v>
      </c>
      <c r="R1319">
        <v>233142</v>
      </c>
    </row>
    <row r="1320" spans="1:18" x14ac:dyDescent="0.25">
      <c r="A1320" s="170">
        <v>43955</v>
      </c>
      <c r="B1320" s="116">
        <v>283.5</v>
      </c>
      <c r="C1320" s="116">
        <v>275.10000000000002</v>
      </c>
      <c r="D1320" s="116">
        <v>269.77499999999998</v>
      </c>
      <c r="E1320" s="116">
        <v>278.5</v>
      </c>
      <c r="F1320" s="116">
        <v>550.20000000000005</v>
      </c>
      <c r="G1320">
        <v>9855</v>
      </c>
      <c r="H1320" s="116"/>
      <c r="I1320" s="116"/>
      <c r="L1320" s="170">
        <v>43955</v>
      </c>
      <c r="M1320" s="116">
        <v>275.14999999999998</v>
      </c>
      <c r="N1320" s="116">
        <v>283.95</v>
      </c>
      <c r="O1320" s="116">
        <v>270.82499999999999</v>
      </c>
      <c r="P1320" s="116">
        <v>276.95</v>
      </c>
      <c r="Q1320" s="116">
        <v>550.29999999999995</v>
      </c>
      <c r="R1320">
        <v>130979</v>
      </c>
    </row>
    <row r="1321" spans="1:18" x14ac:dyDescent="0.25">
      <c r="A1321" s="170">
        <v>43956</v>
      </c>
      <c r="B1321" s="116">
        <v>290.2</v>
      </c>
      <c r="C1321" s="116">
        <v>280.14999999999998</v>
      </c>
      <c r="D1321" s="116">
        <v>278</v>
      </c>
      <c r="E1321" s="116">
        <v>281</v>
      </c>
      <c r="F1321" s="116">
        <v>560.29999999999995</v>
      </c>
      <c r="G1321">
        <v>13623</v>
      </c>
      <c r="H1321" s="116"/>
      <c r="I1321" s="116"/>
      <c r="L1321" s="170">
        <v>43956</v>
      </c>
      <c r="M1321" s="116">
        <v>279.625</v>
      </c>
      <c r="N1321" s="116">
        <v>290.8</v>
      </c>
      <c r="O1321" s="116">
        <v>277.25</v>
      </c>
      <c r="P1321" s="116">
        <v>279.5</v>
      </c>
      <c r="Q1321" s="116">
        <v>559.25</v>
      </c>
      <c r="R1321">
        <v>283311</v>
      </c>
    </row>
    <row r="1322" spans="1:18" x14ac:dyDescent="0.25">
      <c r="A1322" s="170">
        <v>43957</v>
      </c>
      <c r="B1322" s="116">
        <v>310.64999999999998</v>
      </c>
      <c r="C1322" s="116">
        <v>299.27499999999998</v>
      </c>
      <c r="D1322" s="116">
        <v>285.5</v>
      </c>
      <c r="E1322" s="116">
        <v>289</v>
      </c>
      <c r="F1322" s="116">
        <v>598.54999999999995</v>
      </c>
      <c r="G1322">
        <v>54687</v>
      </c>
      <c r="H1322" s="116"/>
      <c r="I1322" s="116"/>
      <c r="L1322" s="170">
        <v>43957</v>
      </c>
      <c r="M1322" s="116">
        <v>298.82499999999999</v>
      </c>
      <c r="N1322" s="116">
        <v>310.875</v>
      </c>
      <c r="O1322" s="116">
        <v>281.89999999999998</v>
      </c>
      <c r="P1322" s="116">
        <v>290</v>
      </c>
      <c r="Q1322" s="116">
        <v>597.65</v>
      </c>
      <c r="R1322">
        <v>1222444</v>
      </c>
    </row>
    <row r="1323" spans="1:18" x14ac:dyDescent="0.25">
      <c r="A1323" s="170">
        <v>43958</v>
      </c>
      <c r="B1323" s="116">
        <v>307.5</v>
      </c>
      <c r="C1323" s="116">
        <v>304.42500000000001</v>
      </c>
      <c r="D1323" s="116">
        <v>296.39999999999998</v>
      </c>
      <c r="E1323" s="116">
        <v>303.47500000000002</v>
      </c>
      <c r="F1323" s="116">
        <v>608.85</v>
      </c>
      <c r="G1323">
        <v>18703</v>
      </c>
      <c r="H1323" s="116"/>
      <c r="I1323" s="116"/>
      <c r="L1323" s="170">
        <v>43958</v>
      </c>
      <c r="M1323" s="116">
        <v>305.2</v>
      </c>
      <c r="N1323" s="116">
        <v>307.8</v>
      </c>
      <c r="O1323" s="116">
        <v>296</v>
      </c>
      <c r="P1323" s="116">
        <v>300</v>
      </c>
      <c r="Q1323" s="116">
        <v>610.4</v>
      </c>
      <c r="R1323">
        <v>367422</v>
      </c>
    </row>
    <row r="1324" spans="1:18" x14ac:dyDescent="0.25">
      <c r="A1324" s="170">
        <v>43959</v>
      </c>
      <c r="B1324" s="116">
        <v>325</v>
      </c>
      <c r="C1324" s="116">
        <v>322.625</v>
      </c>
      <c r="D1324" s="116">
        <v>306.8</v>
      </c>
      <c r="E1324" s="116">
        <v>310</v>
      </c>
      <c r="F1324" s="116">
        <v>645.25</v>
      </c>
      <c r="G1324">
        <v>44264</v>
      </c>
      <c r="H1324" s="116"/>
      <c r="I1324" s="116"/>
      <c r="L1324" s="170">
        <v>43959</v>
      </c>
      <c r="M1324" s="116">
        <v>322.64999999999998</v>
      </c>
      <c r="N1324" s="116">
        <v>325</v>
      </c>
      <c r="O1324" s="116">
        <v>306.25</v>
      </c>
      <c r="P1324" s="116">
        <v>310.5</v>
      </c>
      <c r="Q1324" s="116">
        <v>645.29999999999995</v>
      </c>
      <c r="R1324">
        <v>1030588</v>
      </c>
    </row>
    <row r="1325" spans="1:18" x14ac:dyDescent="0.25">
      <c r="A1325" s="170">
        <v>43962</v>
      </c>
      <c r="B1325" s="116">
        <v>329.7</v>
      </c>
      <c r="C1325" s="116">
        <v>321.92500000000001</v>
      </c>
      <c r="D1325" s="116">
        <v>318.27499999999998</v>
      </c>
      <c r="E1325" s="116">
        <v>329.7</v>
      </c>
      <c r="F1325" s="116">
        <v>643.85</v>
      </c>
      <c r="G1325">
        <v>16698</v>
      </c>
      <c r="H1325" s="116"/>
      <c r="I1325" s="116"/>
      <c r="L1325" s="170">
        <v>43962</v>
      </c>
      <c r="M1325" s="116">
        <v>322.75</v>
      </c>
      <c r="N1325" s="116">
        <v>330</v>
      </c>
      <c r="O1325" s="116">
        <v>317.60000000000002</v>
      </c>
      <c r="P1325" s="116">
        <v>328.67500000000001</v>
      </c>
      <c r="Q1325" s="116">
        <v>645.5</v>
      </c>
      <c r="R1325">
        <v>493173</v>
      </c>
    </row>
    <row r="1326" spans="1:18" x14ac:dyDescent="0.25">
      <c r="A1326" s="170">
        <v>43963</v>
      </c>
      <c r="B1326" s="116">
        <v>328.5</v>
      </c>
      <c r="C1326" s="116">
        <v>320.125</v>
      </c>
      <c r="D1326" s="116">
        <v>305.92500000000001</v>
      </c>
      <c r="E1326" s="116">
        <v>328.5</v>
      </c>
      <c r="F1326" s="116">
        <v>640.25</v>
      </c>
      <c r="G1326">
        <v>15312</v>
      </c>
      <c r="H1326" s="116"/>
      <c r="I1326" s="116"/>
      <c r="L1326" s="170">
        <v>43963</v>
      </c>
      <c r="M1326" s="116">
        <v>320.875</v>
      </c>
      <c r="N1326" s="116">
        <v>323.82499999999999</v>
      </c>
      <c r="O1326" s="116">
        <v>305.625</v>
      </c>
      <c r="P1326" s="116">
        <v>318.02499999999998</v>
      </c>
      <c r="Q1326" s="116">
        <v>641.75</v>
      </c>
      <c r="R1326">
        <v>446480</v>
      </c>
    </row>
    <row r="1327" spans="1:18" x14ac:dyDescent="0.25">
      <c r="A1327" s="170">
        <v>43964</v>
      </c>
      <c r="B1327" s="116">
        <v>328.6</v>
      </c>
      <c r="C1327" s="116">
        <v>308.55</v>
      </c>
      <c r="D1327" s="116">
        <v>294.89999999999998</v>
      </c>
      <c r="E1327" s="116">
        <v>325.60000000000002</v>
      </c>
      <c r="F1327" s="116">
        <v>617.1</v>
      </c>
      <c r="G1327">
        <v>11175</v>
      </c>
      <c r="H1327" s="116"/>
      <c r="I1327" s="116"/>
      <c r="L1327" s="170">
        <v>43964</v>
      </c>
      <c r="M1327" s="116">
        <v>312.17500000000001</v>
      </c>
      <c r="N1327" s="116">
        <v>329</v>
      </c>
      <c r="O1327" s="116">
        <v>293.05</v>
      </c>
      <c r="P1327" s="116">
        <v>328</v>
      </c>
      <c r="Q1327" s="116">
        <v>624.35</v>
      </c>
      <c r="R1327">
        <v>198698</v>
      </c>
    </row>
    <row r="1328" spans="1:18" x14ac:dyDescent="0.25">
      <c r="A1328" s="170">
        <v>43965</v>
      </c>
      <c r="B1328" s="116">
        <v>318.5</v>
      </c>
      <c r="C1328" s="116">
        <v>316.3</v>
      </c>
      <c r="D1328" s="116">
        <v>306.3</v>
      </c>
      <c r="E1328" s="116">
        <v>308.10000000000002</v>
      </c>
      <c r="F1328" s="116">
        <v>632.6</v>
      </c>
      <c r="G1328">
        <v>9105</v>
      </c>
      <c r="H1328" s="116"/>
      <c r="I1328" s="116"/>
      <c r="L1328" s="170">
        <v>43965</v>
      </c>
      <c r="M1328" s="116">
        <v>316.07499999999999</v>
      </c>
      <c r="N1328" s="116">
        <v>318.625</v>
      </c>
      <c r="O1328" s="116">
        <v>305.85000000000002</v>
      </c>
      <c r="P1328" s="116">
        <v>309.5</v>
      </c>
      <c r="Q1328" s="116">
        <v>632.15</v>
      </c>
      <c r="R1328">
        <v>284762</v>
      </c>
    </row>
    <row r="1329" spans="1:18" x14ac:dyDescent="0.25">
      <c r="A1329" s="170">
        <v>43966</v>
      </c>
      <c r="B1329" s="116">
        <v>319.52499999999998</v>
      </c>
      <c r="C1329" s="116">
        <v>316.17500000000001</v>
      </c>
      <c r="D1329" s="116">
        <v>309.02499999999998</v>
      </c>
      <c r="E1329" s="116">
        <v>309.02499999999998</v>
      </c>
      <c r="F1329" s="116">
        <v>632.35</v>
      </c>
      <c r="G1329">
        <v>5446</v>
      </c>
      <c r="H1329" s="116"/>
      <c r="I1329" s="116"/>
      <c r="L1329" s="170">
        <v>43966</v>
      </c>
      <c r="M1329" s="116">
        <v>317.125</v>
      </c>
      <c r="N1329" s="116">
        <v>319.625</v>
      </c>
      <c r="O1329" s="116">
        <v>310.52499999999998</v>
      </c>
      <c r="P1329" s="116">
        <v>317.67500000000001</v>
      </c>
      <c r="Q1329" s="116">
        <v>634.25</v>
      </c>
      <c r="R1329">
        <v>180781</v>
      </c>
    </row>
    <row r="1330" spans="1:18" x14ac:dyDescent="0.25">
      <c r="A1330" s="170">
        <v>43969</v>
      </c>
      <c r="B1330" s="116">
        <v>315.52499999999998</v>
      </c>
      <c r="C1330" s="116">
        <v>305.07499999999999</v>
      </c>
      <c r="D1330" s="116">
        <v>302.39999999999998</v>
      </c>
      <c r="E1330" s="116">
        <v>315</v>
      </c>
      <c r="F1330" s="116">
        <v>610.15</v>
      </c>
      <c r="G1330">
        <v>5489</v>
      </c>
      <c r="H1330" s="116"/>
      <c r="I1330" s="116"/>
      <c r="L1330" s="170">
        <v>43969</v>
      </c>
      <c r="M1330" s="116">
        <v>305</v>
      </c>
      <c r="N1330" s="116">
        <v>318.72500000000002</v>
      </c>
      <c r="O1330" s="116">
        <v>301.5</v>
      </c>
      <c r="P1330" s="116">
        <v>318.72500000000002</v>
      </c>
      <c r="Q1330" s="116">
        <v>610</v>
      </c>
      <c r="R1330">
        <v>170399</v>
      </c>
    </row>
    <row r="1331" spans="1:18" x14ac:dyDescent="0.25">
      <c r="A1331" s="170">
        <v>43970</v>
      </c>
      <c r="B1331" s="116">
        <v>311.97500000000002</v>
      </c>
      <c r="C1331" s="116">
        <v>306.52499999999998</v>
      </c>
      <c r="D1331" s="116">
        <v>303.35000000000002</v>
      </c>
      <c r="E1331" s="116">
        <v>308</v>
      </c>
      <c r="F1331" s="116">
        <v>613.04999999999995</v>
      </c>
      <c r="G1331">
        <v>8318</v>
      </c>
      <c r="H1331" s="116"/>
      <c r="I1331" s="116"/>
      <c r="L1331" s="170">
        <v>43970</v>
      </c>
      <c r="M1331" s="116">
        <v>306.32499999999999</v>
      </c>
      <c r="N1331" s="116">
        <v>312.5</v>
      </c>
      <c r="O1331" s="116">
        <v>303.02499999999998</v>
      </c>
      <c r="P1331" s="116">
        <v>311</v>
      </c>
      <c r="Q1331" s="116">
        <v>612.65</v>
      </c>
      <c r="R1331">
        <v>140682</v>
      </c>
    </row>
    <row r="1332" spans="1:18" x14ac:dyDescent="0.25">
      <c r="A1332" s="170">
        <v>43971</v>
      </c>
      <c r="B1332" s="116">
        <v>327.5</v>
      </c>
      <c r="C1332" s="116">
        <v>324.125</v>
      </c>
      <c r="D1332" s="116">
        <v>307.52499999999998</v>
      </c>
      <c r="E1332" s="116">
        <v>308.52499999999998</v>
      </c>
      <c r="F1332" s="116">
        <v>648.25</v>
      </c>
      <c r="G1332">
        <v>15007</v>
      </c>
      <c r="H1332" s="116"/>
      <c r="I1332" s="116"/>
      <c r="L1332" s="170">
        <v>43971</v>
      </c>
      <c r="M1332" s="116">
        <v>324.82499999999999</v>
      </c>
      <c r="N1332" s="116">
        <v>327.5</v>
      </c>
      <c r="O1332" s="116">
        <v>306.32499999999999</v>
      </c>
      <c r="P1332" s="116">
        <v>306.32499999999999</v>
      </c>
      <c r="Q1332" s="116">
        <v>649.65</v>
      </c>
      <c r="R1332">
        <v>378496</v>
      </c>
    </row>
    <row r="1333" spans="1:18" x14ac:dyDescent="0.25">
      <c r="A1333" s="170">
        <v>43972</v>
      </c>
      <c r="B1333" s="116">
        <v>342.5</v>
      </c>
      <c r="C1333" s="116">
        <v>334.52499999999998</v>
      </c>
      <c r="D1333" s="116">
        <v>330.8</v>
      </c>
      <c r="E1333" s="116">
        <v>336.2</v>
      </c>
      <c r="F1333" s="116">
        <v>669.05</v>
      </c>
      <c r="G1333">
        <v>17861</v>
      </c>
      <c r="H1333" s="116"/>
      <c r="I1333" s="116"/>
      <c r="L1333" s="170">
        <v>43972</v>
      </c>
      <c r="M1333" s="116">
        <v>334.72500000000002</v>
      </c>
      <c r="N1333" s="116">
        <v>343</v>
      </c>
      <c r="O1333" s="116">
        <v>330.55</v>
      </c>
      <c r="P1333" s="116">
        <v>334</v>
      </c>
      <c r="Q1333" s="116">
        <v>669.45</v>
      </c>
      <c r="R1333">
        <v>434821</v>
      </c>
    </row>
    <row r="1334" spans="1:18" x14ac:dyDescent="0.25">
      <c r="A1334" s="170">
        <v>43973</v>
      </c>
      <c r="B1334" s="116">
        <v>335</v>
      </c>
      <c r="C1334" s="116">
        <v>329.1</v>
      </c>
      <c r="D1334" s="116">
        <v>322.7</v>
      </c>
      <c r="E1334" s="116">
        <v>335</v>
      </c>
      <c r="F1334" s="116">
        <v>658.2</v>
      </c>
      <c r="G1334">
        <v>13327</v>
      </c>
      <c r="H1334" s="116"/>
      <c r="I1334" s="116"/>
      <c r="L1334" s="170">
        <v>43973</v>
      </c>
      <c r="M1334" s="116">
        <v>328.625</v>
      </c>
      <c r="N1334" s="116">
        <v>336.27499999999998</v>
      </c>
      <c r="O1334" s="116">
        <v>322.55</v>
      </c>
      <c r="P1334" s="116">
        <v>335.97500000000002</v>
      </c>
      <c r="Q1334" s="116">
        <v>657.25</v>
      </c>
      <c r="R1334">
        <v>172092</v>
      </c>
    </row>
    <row r="1335" spans="1:18" x14ac:dyDescent="0.25">
      <c r="A1335" s="170">
        <v>43977</v>
      </c>
      <c r="B1335" s="116">
        <v>332.95</v>
      </c>
      <c r="C1335" s="116">
        <v>331.7</v>
      </c>
      <c r="D1335" s="116">
        <v>328.7</v>
      </c>
      <c r="E1335" s="116">
        <v>329</v>
      </c>
      <c r="F1335" s="116">
        <v>663.4</v>
      </c>
      <c r="G1335">
        <v>4793</v>
      </c>
      <c r="H1335" s="116"/>
      <c r="I1335" s="116"/>
      <c r="L1335" s="170">
        <v>43977</v>
      </c>
      <c r="M1335" s="116">
        <v>331.97500000000002</v>
      </c>
      <c r="N1335" s="116">
        <v>333</v>
      </c>
      <c r="O1335" s="116">
        <v>328.625</v>
      </c>
      <c r="P1335" s="116">
        <v>328.625</v>
      </c>
      <c r="Q1335" s="116">
        <v>663.95</v>
      </c>
      <c r="R1335">
        <v>166578</v>
      </c>
    </row>
    <row r="1336" spans="1:18" x14ac:dyDescent="0.25">
      <c r="A1336" s="170">
        <v>43978</v>
      </c>
      <c r="B1336" s="116">
        <v>332.27499999999998</v>
      </c>
      <c r="C1336" s="116">
        <v>326.57499999999999</v>
      </c>
      <c r="D1336" s="116">
        <v>318.125</v>
      </c>
      <c r="E1336" s="116">
        <v>331.5</v>
      </c>
      <c r="F1336" s="116">
        <v>653.15</v>
      </c>
      <c r="G1336">
        <v>4411</v>
      </c>
      <c r="H1336" s="116"/>
      <c r="I1336" s="116"/>
      <c r="L1336" s="170">
        <v>43978</v>
      </c>
      <c r="M1336" s="116">
        <v>327.60000000000002</v>
      </c>
      <c r="N1336" s="116">
        <v>333.65</v>
      </c>
      <c r="O1336" s="116">
        <v>317.5</v>
      </c>
      <c r="P1336" s="116">
        <v>332.97500000000002</v>
      </c>
      <c r="Q1336" s="116">
        <v>655.20000000000005</v>
      </c>
      <c r="R1336">
        <v>102479</v>
      </c>
    </row>
    <row r="1337" spans="1:18" x14ac:dyDescent="0.25">
      <c r="A1337" s="170">
        <v>43979</v>
      </c>
      <c r="B1337" s="116">
        <v>327.875</v>
      </c>
      <c r="C1337" s="116">
        <v>322.77499999999998</v>
      </c>
      <c r="D1337" s="116">
        <v>316.35000000000002</v>
      </c>
      <c r="E1337" s="116">
        <v>327.75</v>
      </c>
      <c r="F1337" s="116">
        <v>645.54999999999995</v>
      </c>
      <c r="G1337">
        <v>4078</v>
      </c>
      <c r="H1337" s="116"/>
      <c r="I1337" s="116"/>
      <c r="L1337" s="170">
        <v>43979</v>
      </c>
      <c r="M1337" s="116">
        <v>322.5</v>
      </c>
      <c r="N1337" s="116">
        <v>330</v>
      </c>
      <c r="O1337" s="116">
        <v>315.77499999999998</v>
      </c>
      <c r="P1337" s="116">
        <v>330</v>
      </c>
      <c r="Q1337" s="116">
        <v>645</v>
      </c>
      <c r="R1337">
        <v>225261</v>
      </c>
    </row>
    <row r="1338" spans="1:18" x14ac:dyDescent="0.25">
      <c r="A1338" s="170">
        <v>43980</v>
      </c>
      <c r="B1338" s="116">
        <v>348.72500000000002</v>
      </c>
      <c r="C1338" s="116">
        <v>340.92500000000001</v>
      </c>
      <c r="D1338" s="116">
        <v>325.05</v>
      </c>
      <c r="E1338" s="116">
        <v>328.45</v>
      </c>
      <c r="F1338" s="116">
        <v>681.85</v>
      </c>
      <c r="G1338">
        <v>12186</v>
      </c>
      <c r="H1338" s="116"/>
      <c r="I1338" s="116"/>
      <c r="L1338" s="170">
        <v>43980</v>
      </c>
      <c r="M1338" s="116">
        <v>341.07499999999999</v>
      </c>
      <c r="N1338" s="116">
        <v>348.45</v>
      </c>
      <c r="O1338" s="116">
        <v>323.5</v>
      </c>
      <c r="P1338" s="116">
        <v>325.02499999999998</v>
      </c>
      <c r="Q1338" s="116">
        <v>682.15</v>
      </c>
      <c r="R1338">
        <v>499198</v>
      </c>
    </row>
    <row r="1339" spans="1:18" x14ac:dyDescent="0.25">
      <c r="A1339" s="170">
        <v>43983</v>
      </c>
      <c r="B1339" s="116">
        <v>353.5</v>
      </c>
      <c r="C1339" s="116">
        <v>343.92500000000001</v>
      </c>
      <c r="D1339" s="116">
        <v>337.4</v>
      </c>
      <c r="E1339" s="116">
        <v>353.5</v>
      </c>
      <c r="F1339" s="116">
        <v>687.85</v>
      </c>
      <c r="G1339">
        <v>19409</v>
      </c>
      <c r="H1339" s="116"/>
      <c r="I1339" s="116"/>
      <c r="L1339" s="170">
        <v>43983</v>
      </c>
      <c r="M1339" s="116">
        <v>343.77499999999998</v>
      </c>
      <c r="N1339" s="116">
        <v>350</v>
      </c>
      <c r="O1339" s="116">
        <v>337</v>
      </c>
      <c r="P1339" s="116">
        <v>346</v>
      </c>
      <c r="Q1339" s="116">
        <v>687.55</v>
      </c>
      <c r="R1339">
        <v>244823</v>
      </c>
    </row>
    <row r="1340" spans="1:18" x14ac:dyDescent="0.25">
      <c r="A1340" s="170">
        <v>43984</v>
      </c>
      <c r="B1340" s="116">
        <v>367</v>
      </c>
      <c r="C1340" s="116">
        <v>350.25</v>
      </c>
      <c r="D1340" s="116">
        <v>341.9</v>
      </c>
      <c r="E1340" s="116">
        <v>344</v>
      </c>
      <c r="F1340" s="116">
        <v>700.5</v>
      </c>
      <c r="G1340">
        <v>18499</v>
      </c>
      <c r="H1340" s="116"/>
      <c r="I1340" s="116"/>
      <c r="L1340" s="170">
        <v>43984</v>
      </c>
      <c r="M1340" s="116">
        <v>349.92500000000001</v>
      </c>
      <c r="N1340" s="116">
        <v>369.4</v>
      </c>
      <c r="O1340" s="116">
        <v>341.27499999999998</v>
      </c>
      <c r="P1340" s="116">
        <v>345.82499999999999</v>
      </c>
      <c r="Q1340" s="116">
        <v>699.85</v>
      </c>
      <c r="R1340">
        <v>472039</v>
      </c>
    </row>
    <row r="1341" spans="1:18" x14ac:dyDescent="0.25">
      <c r="A1341" s="170">
        <v>43985</v>
      </c>
      <c r="B1341" s="116">
        <v>352.77499999999998</v>
      </c>
      <c r="C1341" s="116">
        <v>342.35</v>
      </c>
      <c r="D1341" s="116">
        <v>339</v>
      </c>
      <c r="E1341" s="116">
        <v>351.65</v>
      </c>
      <c r="F1341" s="116">
        <v>684.7</v>
      </c>
      <c r="G1341">
        <v>7267</v>
      </c>
      <c r="H1341" s="116"/>
      <c r="I1341" s="116"/>
      <c r="L1341" s="170">
        <v>43985</v>
      </c>
      <c r="M1341" s="116">
        <v>342.5</v>
      </c>
      <c r="N1341" s="116">
        <v>355</v>
      </c>
      <c r="O1341" s="116">
        <v>339.17500000000001</v>
      </c>
      <c r="P1341" s="116">
        <v>355</v>
      </c>
      <c r="Q1341" s="116">
        <v>685</v>
      </c>
      <c r="R1341">
        <v>280989</v>
      </c>
    </row>
    <row r="1342" spans="1:18" x14ac:dyDescent="0.25">
      <c r="A1342" s="170">
        <v>43986</v>
      </c>
      <c r="B1342" s="116">
        <v>355.2</v>
      </c>
      <c r="C1342" s="116">
        <v>348.875</v>
      </c>
      <c r="D1342" s="116">
        <v>341.02499999999998</v>
      </c>
      <c r="E1342" s="116">
        <v>344.45</v>
      </c>
      <c r="F1342" s="116">
        <v>697.75</v>
      </c>
      <c r="G1342">
        <v>8243</v>
      </c>
      <c r="H1342" s="116"/>
      <c r="I1342" s="116"/>
      <c r="L1342" s="170">
        <v>43986</v>
      </c>
      <c r="M1342" s="116">
        <v>348.95</v>
      </c>
      <c r="N1342" s="116">
        <v>355.92500000000001</v>
      </c>
      <c r="O1342" s="116">
        <v>340.2</v>
      </c>
      <c r="P1342" s="116">
        <v>343.7</v>
      </c>
      <c r="Q1342" s="116">
        <v>697.9</v>
      </c>
      <c r="R1342">
        <v>277331</v>
      </c>
    </row>
    <row r="1343" spans="1:18" x14ac:dyDescent="0.25">
      <c r="A1343" s="170">
        <v>43987</v>
      </c>
      <c r="B1343" s="116">
        <v>358.5</v>
      </c>
      <c r="C1343" s="116">
        <v>353.67500000000001</v>
      </c>
      <c r="D1343" s="116">
        <v>350</v>
      </c>
      <c r="E1343" s="116">
        <v>358.5</v>
      </c>
      <c r="F1343" s="116">
        <v>707.35</v>
      </c>
      <c r="G1343">
        <v>5514</v>
      </c>
      <c r="H1343" s="116"/>
      <c r="I1343" s="116"/>
      <c r="L1343" s="170">
        <v>43987</v>
      </c>
      <c r="M1343" s="116">
        <v>353.82499999999999</v>
      </c>
      <c r="N1343" s="116">
        <v>358.5</v>
      </c>
      <c r="O1343" s="116">
        <v>348.5</v>
      </c>
      <c r="P1343" s="116">
        <v>351.97500000000002</v>
      </c>
      <c r="Q1343" s="116">
        <v>707.65</v>
      </c>
      <c r="R1343">
        <v>154360</v>
      </c>
    </row>
    <row r="1344" spans="1:18" x14ac:dyDescent="0.25">
      <c r="A1344" s="170">
        <v>43990</v>
      </c>
      <c r="B1344" s="116">
        <v>358.72500000000002</v>
      </c>
      <c r="C1344" s="116">
        <v>356.2</v>
      </c>
      <c r="D1344" s="116">
        <v>352.52499999999998</v>
      </c>
      <c r="E1344" s="116">
        <v>355</v>
      </c>
      <c r="F1344" s="116">
        <v>712.4</v>
      </c>
      <c r="G1344">
        <v>7354</v>
      </c>
      <c r="H1344" s="116"/>
      <c r="I1344" s="116"/>
      <c r="L1344" s="170">
        <v>43990</v>
      </c>
      <c r="M1344" s="116">
        <v>355.95</v>
      </c>
      <c r="N1344" s="116">
        <v>358.625</v>
      </c>
      <c r="O1344" s="116">
        <v>351.77499999999998</v>
      </c>
      <c r="P1344" s="116">
        <v>357.5</v>
      </c>
      <c r="Q1344" s="116">
        <v>711.9</v>
      </c>
      <c r="R1344">
        <v>104956</v>
      </c>
    </row>
    <row r="1345" spans="1:18" x14ac:dyDescent="0.25">
      <c r="A1345" s="170">
        <v>43991</v>
      </c>
      <c r="B1345" s="116">
        <v>361</v>
      </c>
      <c r="C1345" s="116">
        <v>340.95</v>
      </c>
      <c r="D1345" s="116">
        <v>336.3</v>
      </c>
      <c r="E1345" s="116">
        <v>361</v>
      </c>
      <c r="F1345" s="116">
        <v>681.9</v>
      </c>
      <c r="G1345">
        <v>5664</v>
      </c>
      <c r="H1345" s="116"/>
      <c r="I1345" s="116"/>
      <c r="L1345" s="170">
        <v>43991</v>
      </c>
      <c r="M1345" s="116">
        <v>340.35</v>
      </c>
      <c r="N1345" s="116">
        <v>357.5</v>
      </c>
      <c r="O1345" s="116">
        <v>335.4</v>
      </c>
      <c r="P1345" s="116">
        <v>357.5</v>
      </c>
      <c r="Q1345" s="116">
        <v>680.7</v>
      </c>
      <c r="R1345">
        <v>217511</v>
      </c>
    </row>
    <row r="1346" spans="1:18" x14ac:dyDescent="0.25">
      <c r="A1346" s="170">
        <v>43992</v>
      </c>
      <c r="B1346" s="116">
        <v>352.1</v>
      </c>
      <c r="C1346" s="116">
        <v>346.75</v>
      </c>
      <c r="D1346" s="116">
        <v>344</v>
      </c>
      <c r="E1346" s="116">
        <v>345.67500000000001</v>
      </c>
      <c r="F1346" s="116">
        <v>693.5</v>
      </c>
      <c r="G1346">
        <v>6122</v>
      </c>
      <c r="H1346" s="116"/>
      <c r="I1346" s="116"/>
      <c r="L1346" s="170">
        <v>43992</v>
      </c>
      <c r="M1346" s="116">
        <v>346.57499999999999</v>
      </c>
      <c r="N1346" s="116">
        <v>352</v>
      </c>
      <c r="O1346" s="116">
        <v>342.97500000000002</v>
      </c>
      <c r="P1346" s="116">
        <v>344.85</v>
      </c>
      <c r="Q1346" s="116">
        <v>693.15</v>
      </c>
      <c r="R1346">
        <v>111778</v>
      </c>
    </row>
    <row r="1347" spans="1:18" x14ac:dyDescent="0.25">
      <c r="A1347" s="170">
        <v>43993</v>
      </c>
      <c r="B1347" s="116">
        <v>359.375</v>
      </c>
      <c r="C1347" s="116">
        <v>345.07499999999999</v>
      </c>
      <c r="D1347" s="116">
        <v>343.9</v>
      </c>
      <c r="E1347" s="116">
        <v>357.57499999999999</v>
      </c>
      <c r="F1347" s="116">
        <v>690.15</v>
      </c>
      <c r="G1347">
        <v>14085</v>
      </c>
      <c r="H1347" s="116"/>
      <c r="I1347" s="116"/>
      <c r="L1347" s="170">
        <v>43993</v>
      </c>
      <c r="M1347" s="116">
        <v>346.625</v>
      </c>
      <c r="N1347" s="116">
        <v>359</v>
      </c>
      <c r="O1347" s="116">
        <v>342.625</v>
      </c>
      <c r="P1347" s="116">
        <v>359</v>
      </c>
      <c r="Q1347" s="116">
        <v>693.25</v>
      </c>
      <c r="R1347">
        <v>195731</v>
      </c>
    </row>
    <row r="1348" spans="1:18" x14ac:dyDescent="0.25">
      <c r="A1348" s="170">
        <v>43994</v>
      </c>
      <c r="B1348" s="116">
        <v>348.2</v>
      </c>
      <c r="C1348" s="116">
        <v>346.875</v>
      </c>
      <c r="D1348" s="116">
        <v>335</v>
      </c>
      <c r="E1348" s="116">
        <v>335</v>
      </c>
      <c r="F1348" s="116">
        <v>693.75</v>
      </c>
      <c r="G1348">
        <v>4828</v>
      </c>
      <c r="H1348" s="116"/>
      <c r="I1348" s="116"/>
      <c r="L1348" s="170">
        <v>43994</v>
      </c>
      <c r="M1348" s="116">
        <v>346.85</v>
      </c>
      <c r="N1348" s="116">
        <v>349.5</v>
      </c>
      <c r="O1348" s="116">
        <v>330.625</v>
      </c>
      <c r="P1348" s="116">
        <v>333.35</v>
      </c>
      <c r="Q1348" s="116">
        <v>693.7</v>
      </c>
      <c r="R1348">
        <v>115322</v>
      </c>
    </row>
    <row r="1349" spans="1:18" x14ac:dyDescent="0.25">
      <c r="A1349" s="170">
        <v>43997</v>
      </c>
      <c r="B1349" s="116">
        <v>355.4</v>
      </c>
      <c r="C1349" s="116">
        <v>349.82499999999999</v>
      </c>
      <c r="D1349" s="116">
        <v>346.8</v>
      </c>
      <c r="E1349" s="116">
        <v>355</v>
      </c>
      <c r="F1349" s="116">
        <v>699.65</v>
      </c>
      <c r="G1349">
        <v>7257</v>
      </c>
      <c r="H1349" s="116"/>
      <c r="I1349" s="116"/>
      <c r="L1349" s="170">
        <v>43997</v>
      </c>
      <c r="M1349" s="116">
        <v>350.57499999999999</v>
      </c>
      <c r="N1349" s="116">
        <v>357</v>
      </c>
      <c r="O1349" s="116">
        <v>346.25</v>
      </c>
      <c r="P1349" s="116">
        <v>357</v>
      </c>
      <c r="Q1349" s="116">
        <v>701.15</v>
      </c>
      <c r="R1349">
        <v>180297</v>
      </c>
    </row>
    <row r="1350" spans="1:18" x14ac:dyDescent="0.25">
      <c r="A1350" s="170">
        <v>43998</v>
      </c>
      <c r="B1350" s="116">
        <v>364.875</v>
      </c>
      <c r="C1350" s="116">
        <v>358.72500000000002</v>
      </c>
      <c r="D1350" s="116">
        <v>350.625</v>
      </c>
      <c r="E1350" s="116">
        <v>355.32499999999999</v>
      </c>
      <c r="F1350" s="116">
        <v>717.45</v>
      </c>
      <c r="G1350">
        <v>8979</v>
      </c>
      <c r="H1350" s="116"/>
      <c r="I1350" s="116"/>
      <c r="L1350" s="170">
        <v>43998</v>
      </c>
      <c r="M1350" s="116">
        <v>359.35</v>
      </c>
      <c r="N1350" s="116">
        <v>365</v>
      </c>
      <c r="O1350" s="116">
        <v>350.47500000000002</v>
      </c>
      <c r="P1350" s="116">
        <v>355.02499999999998</v>
      </c>
      <c r="Q1350" s="116">
        <v>718.7</v>
      </c>
      <c r="R1350">
        <v>234666</v>
      </c>
    </row>
    <row r="1351" spans="1:18" x14ac:dyDescent="0.25">
      <c r="A1351" s="170">
        <v>43999</v>
      </c>
      <c r="B1351" s="116">
        <v>362.35</v>
      </c>
      <c r="C1351" s="116">
        <v>353.4</v>
      </c>
      <c r="D1351" s="116">
        <v>348.5</v>
      </c>
      <c r="E1351" s="116">
        <v>357.82499999999999</v>
      </c>
      <c r="F1351" s="116">
        <v>706.8</v>
      </c>
      <c r="G1351">
        <v>6672</v>
      </c>
      <c r="H1351" s="116"/>
      <c r="I1351" s="116"/>
      <c r="L1351" s="170">
        <v>43999</v>
      </c>
      <c r="M1351" s="116">
        <v>353.7</v>
      </c>
      <c r="N1351" s="116">
        <v>364.5</v>
      </c>
      <c r="O1351" s="116">
        <v>351</v>
      </c>
      <c r="P1351" s="116">
        <v>359.35</v>
      </c>
      <c r="Q1351" s="116">
        <v>707.4</v>
      </c>
      <c r="R1351">
        <v>139976</v>
      </c>
    </row>
    <row r="1352" spans="1:18" x14ac:dyDescent="0.25">
      <c r="A1352" s="170">
        <v>44000</v>
      </c>
      <c r="B1352" s="116">
        <v>361.5</v>
      </c>
      <c r="C1352" s="116">
        <v>352.77499999999998</v>
      </c>
      <c r="D1352" s="116">
        <v>347.5</v>
      </c>
      <c r="E1352" s="116">
        <v>361.5</v>
      </c>
      <c r="F1352" s="116">
        <v>705.55</v>
      </c>
      <c r="G1352">
        <v>4955</v>
      </c>
      <c r="H1352" s="116"/>
      <c r="I1352" s="116"/>
      <c r="L1352" s="170">
        <v>44000</v>
      </c>
      <c r="M1352" s="116">
        <v>353.05</v>
      </c>
      <c r="N1352" s="116">
        <v>356.97500000000002</v>
      </c>
      <c r="O1352" s="116">
        <v>348.05</v>
      </c>
      <c r="P1352" s="116">
        <v>354.9</v>
      </c>
      <c r="Q1352" s="116">
        <v>706.1</v>
      </c>
      <c r="R1352">
        <v>63839</v>
      </c>
    </row>
    <row r="1353" spans="1:18" x14ac:dyDescent="0.25">
      <c r="A1353" s="170">
        <v>44001</v>
      </c>
      <c r="B1353" s="116">
        <v>357.55</v>
      </c>
      <c r="C1353" s="116">
        <v>355.2</v>
      </c>
      <c r="D1353" s="116">
        <v>353.125</v>
      </c>
      <c r="E1353" s="116">
        <v>354</v>
      </c>
      <c r="F1353" s="116">
        <v>710.4</v>
      </c>
      <c r="G1353">
        <v>3298</v>
      </c>
      <c r="H1353" s="116"/>
      <c r="I1353" s="116"/>
      <c r="L1353" s="170">
        <v>44001</v>
      </c>
      <c r="M1353" s="116">
        <v>355.67500000000001</v>
      </c>
      <c r="N1353" s="116">
        <v>357.625</v>
      </c>
      <c r="O1353" s="116">
        <v>352.85</v>
      </c>
      <c r="P1353" s="116">
        <v>353.35</v>
      </c>
      <c r="Q1353" s="116">
        <v>711.35</v>
      </c>
      <c r="R1353">
        <v>223325</v>
      </c>
    </row>
    <row r="1354" spans="1:18" x14ac:dyDescent="0.25">
      <c r="A1354" s="170">
        <v>44004</v>
      </c>
      <c r="B1354" s="116">
        <v>371.5</v>
      </c>
      <c r="C1354" s="116">
        <v>359.52499999999998</v>
      </c>
      <c r="D1354" s="116">
        <v>355.15</v>
      </c>
      <c r="E1354" s="116">
        <v>362.4</v>
      </c>
      <c r="F1354" s="116">
        <v>719.05</v>
      </c>
      <c r="G1354">
        <v>20427</v>
      </c>
      <c r="H1354" s="116"/>
      <c r="I1354" s="116"/>
      <c r="L1354" s="170">
        <v>44004</v>
      </c>
      <c r="M1354" s="116">
        <v>359.55</v>
      </c>
      <c r="N1354" s="116">
        <v>371.9</v>
      </c>
      <c r="O1354" s="116">
        <v>357.25</v>
      </c>
      <c r="P1354" s="116">
        <v>361</v>
      </c>
      <c r="Q1354" s="116">
        <v>719.1</v>
      </c>
      <c r="R1354">
        <v>374493</v>
      </c>
    </row>
    <row r="1355" spans="1:18" x14ac:dyDescent="0.25">
      <c r="A1355" s="170">
        <v>44005</v>
      </c>
      <c r="B1355" s="116">
        <v>366.7</v>
      </c>
      <c r="C1355" s="116">
        <v>361.7</v>
      </c>
      <c r="D1355" s="116">
        <v>360.32499999999999</v>
      </c>
      <c r="E1355" s="116">
        <v>362.92500000000001</v>
      </c>
      <c r="F1355" s="116">
        <v>723.4</v>
      </c>
      <c r="G1355">
        <v>3086</v>
      </c>
      <c r="H1355" s="116"/>
      <c r="I1355" s="116"/>
      <c r="L1355" s="170">
        <v>44005</v>
      </c>
      <c r="M1355" s="116">
        <v>361.67500000000001</v>
      </c>
      <c r="N1355" s="116">
        <v>366.5</v>
      </c>
      <c r="O1355" s="116">
        <v>360</v>
      </c>
      <c r="P1355" s="116">
        <v>362.5</v>
      </c>
      <c r="Q1355" s="116">
        <v>723.35</v>
      </c>
      <c r="R1355">
        <v>135883</v>
      </c>
    </row>
    <row r="1356" spans="1:18" x14ac:dyDescent="0.25">
      <c r="A1356" s="170">
        <v>44006</v>
      </c>
      <c r="B1356" s="116">
        <v>367.25</v>
      </c>
      <c r="C1356" s="116">
        <v>344.9</v>
      </c>
      <c r="D1356" s="116">
        <v>343</v>
      </c>
      <c r="E1356" s="116">
        <v>353.5</v>
      </c>
      <c r="F1356" s="116">
        <v>689.8</v>
      </c>
      <c r="G1356">
        <v>11524</v>
      </c>
      <c r="H1356" s="116"/>
      <c r="I1356" s="116"/>
      <c r="L1356" s="170">
        <v>44006</v>
      </c>
      <c r="M1356" s="116">
        <v>344.625</v>
      </c>
      <c r="N1356" s="116">
        <v>367.47500000000002</v>
      </c>
      <c r="O1356" s="116">
        <v>342.5</v>
      </c>
      <c r="P1356" s="116">
        <v>365.625</v>
      </c>
      <c r="Q1356" s="116">
        <v>689.25</v>
      </c>
      <c r="R1356">
        <v>288857</v>
      </c>
    </row>
    <row r="1357" spans="1:18" x14ac:dyDescent="0.25">
      <c r="A1357" s="170">
        <v>44007</v>
      </c>
      <c r="B1357" s="116">
        <v>359.75</v>
      </c>
      <c r="C1357" s="116">
        <v>347.3</v>
      </c>
      <c r="D1357" s="116">
        <v>329.72500000000002</v>
      </c>
      <c r="E1357" s="116">
        <v>345</v>
      </c>
      <c r="F1357" s="116">
        <v>694.6</v>
      </c>
      <c r="G1357">
        <v>34310</v>
      </c>
      <c r="H1357" s="116"/>
      <c r="I1357" s="116"/>
      <c r="L1357" s="170">
        <v>44007</v>
      </c>
      <c r="M1357" s="116">
        <v>346.42500000000001</v>
      </c>
      <c r="N1357" s="116">
        <v>359</v>
      </c>
      <c r="O1357" s="116">
        <v>328.42500000000001</v>
      </c>
      <c r="P1357" s="116">
        <v>345</v>
      </c>
      <c r="Q1357" s="116">
        <v>692.85</v>
      </c>
      <c r="R1357">
        <v>517653</v>
      </c>
    </row>
    <row r="1358" spans="1:18" x14ac:dyDescent="0.25">
      <c r="A1358" s="170">
        <v>44008</v>
      </c>
      <c r="B1358" s="116">
        <v>358</v>
      </c>
      <c r="C1358" s="116">
        <v>338.7</v>
      </c>
      <c r="D1358" s="116">
        <v>329.05</v>
      </c>
      <c r="E1358" s="116">
        <v>341</v>
      </c>
      <c r="F1358" s="116">
        <v>677.4</v>
      </c>
      <c r="G1358">
        <v>26112</v>
      </c>
      <c r="H1358" s="116"/>
      <c r="I1358" s="116"/>
      <c r="L1358" s="170">
        <v>44008</v>
      </c>
      <c r="M1358" s="116">
        <v>338.92500000000001</v>
      </c>
      <c r="N1358" s="116">
        <v>346.9</v>
      </c>
      <c r="O1358" s="116">
        <v>329.05</v>
      </c>
      <c r="P1358" s="116">
        <v>344.95</v>
      </c>
      <c r="Q1358" s="116">
        <v>677.85</v>
      </c>
      <c r="R1358">
        <v>419681</v>
      </c>
    </row>
    <row r="1359" spans="1:18" x14ac:dyDescent="0.25">
      <c r="A1359" s="170">
        <v>44011</v>
      </c>
      <c r="B1359" s="116">
        <v>352.5</v>
      </c>
      <c r="C1359" s="116">
        <v>350.82499999999999</v>
      </c>
      <c r="D1359" s="116">
        <v>337.5</v>
      </c>
      <c r="E1359" s="116">
        <v>340.5</v>
      </c>
      <c r="F1359" s="116">
        <v>701.65</v>
      </c>
      <c r="G1359">
        <v>5793</v>
      </c>
      <c r="H1359" s="116"/>
      <c r="I1359" s="116"/>
      <c r="L1359" s="170">
        <v>44011</v>
      </c>
      <c r="M1359" s="116">
        <v>351.35</v>
      </c>
      <c r="N1359" s="116">
        <v>352.5</v>
      </c>
      <c r="O1359" s="116">
        <v>334</v>
      </c>
      <c r="P1359" s="116">
        <v>334</v>
      </c>
      <c r="Q1359" s="116">
        <v>702.7</v>
      </c>
      <c r="R1359">
        <v>292346</v>
      </c>
    </row>
    <row r="1360" spans="1:18" x14ac:dyDescent="0.25">
      <c r="A1360" s="170">
        <v>44012</v>
      </c>
      <c r="B1360" s="116">
        <v>360</v>
      </c>
      <c r="C1360" s="116">
        <v>353.6</v>
      </c>
      <c r="D1360" s="116">
        <v>350</v>
      </c>
      <c r="E1360" s="116">
        <v>360</v>
      </c>
      <c r="F1360" s="116">
        <v>707.2</v>
      </c>
      <c r="G1360">
        <v>4653</v>
      </c>
      <c r="H1360" s="116"/>
      <c r="I1360" s="116"/>
      <c r="L1360" s="170">
        <v>44012</v>
      </c>
      <c r="M1360" s="116">
        <v>353.72500000000002</v>
      </c>
      <c r="N1360" s="116">
        <v>357.45</v>
      </c>
      <c r="O1360" s="116">
        <v>350.5</v>
      </c>
      <c r="P1360" s="116">
        <v>351.95</v>
      </c>
      <c r="Q1360" s="116">
        <v>707.45</v>
      </c>
      <c r="R1360">
        <v>266721</v>
      </c>
    </row>
    <row r="1361" spans="1:18" x14ac:dyDescent="0.25">
      <c r="A1361" s="170">
        <v>44013</v>
      </c>
      <c r="B1361" s="116">
        <v>354.55</v>
      </c>
      <c r="C1361" s="116">
        <v>352.72500000000002</v>
      </c>
      <c r="D1361" s="116">
        <v>348.67500000000001</v>
      </c>
      <c r="E1361" s="116">
        <v>353.4</v>
      </c>
      <c r="F1361" s="116">
        <v>705.45</v>
      </c>
      <c r="G1361">
        <v>3245</v>
      </c>
      <c r="H1361" s="116"/>
      <c r="I1361" s="116"/>
      <c r="L1361" s="170">
        <v>44013</v>
      </c>
      <c r="M1361" s="116">
        <v>353.05</v>
      </c>
      <c r="N1361" s="116">
        <v>355.52499999999998</v>
      </c>
      <c r="O1361" s="116">
        <v>348.55</v>
      </c>
      <c r="P1361" s="116">
        <v>355</v>
      </c>
      <c r="Q1361" s="116">
        <v>706.1</v>
      </c>
      <c r="R1361">
        <v>78945</v>
      </c>
    </row>
    <row r="1362" spans="1:18" x14ac:dyDescent="0.25">
      <c r="A1362" s="170">
        <v>44014</v>
      </c>
      <c r="B1362" s="116">
        <v>359</v>
      </c>
      <c r="C1362" s="116">
        <v>357.7</v>
      </c>
      <c r="D1362" s="116">
        <v>354.02499999999998</v>
      </c>
      <c r="E1362" s="116">
        <v>354.5</v>
      </c>
      <c r="F1362" s="116">
        <v>715.4</v>
      </c>
      <c r="G1362">
        <v>3488</v>
      </c>
      <c r="H1362" s="116"/>
      <c r="I1362" s="116"/>
      <c r="L1362" s="170">
        <v>44014</v>
      </c>
      <c r="M1362" s="116">
        <v>357.1</v>
      </c>
      <c r="N1362" s="116">
        <v>359.5</v>
      </c>
      <c r="O1362" s="116">
        <v>352</v>
      </c>
      <c r="P1362" s="116">
        <v>352</v>
      </c>
      <c r="Q1362" s="116">
        <v>714.2</v>
      </c>
      <c r="R1362">
        <v>123195</v>
      </c>
    </row>
    <row r="1363" spans="1:18" x14ac:dyDescent="0.25">
      <c r="A1363" s="170">
        <v>44015</v>
      </c>
      <c r="B1363" s="116">
        <v>371</v>
      </c>
      <c r="C1363" s="116">
        <v>359.02499999999998</v>
      </c>
      <c r="D1363" s="116">
        <v>350.72500000000002</v>
      </c>
      <c r="E1363" s="116">
        <v>370</v>
      </c>
      <c r="F1363" s="116">
        <v>718.05</v>
      </c>
      <c r="G1363">
        <v>49071</v>
      </c>
      <c r="H1363" s="116"/>
      <c r="I1363" s="116"/>
      <c r="L1363" s="170">
        <v>44015</v>
      </c>
      <c r="M1363" s="116">
        <v>359.32499999999999</v>
      </c>
      <c r="N1363" s="116">
        <v>371</v>
      </c>
      <c r="O1363" s="116">
        <v>350.6</v>
      </c>
      <c r="P1363" s="116">
        <v>367</v>
      </c>
      <c r="Q1363" s="116">
        <v>718.65</v>
      </c>
      <c r="R1363">
        <v>1250696</v>
      </c>
    </row>
    <row r="1364" spans="1:18" x14ac:dyDescent="0.25">
      <c r="A1364" s="170">
        <v>44018</v>
      </c>
      <c r="B1364" s="116">
        <v>366</v>
      </c>
      <c r="C1364" s="116">
        <v>359.625</v>
      </c>
      <c r="D1364" s="116">
        <v>358.8</v>
      </c>
      <c r="E1364" s="116">
        <v>360</v>
      </c>
      <c r="F1364" s="116">
        <v>719.25</v>
      </c>
      <c r="G1364">
        <v>19501</v>
      </c>
      <c r="H1364" s="116"/>
      <c r="I1364" s="116"/>
      <c r="L1364" s="170">
        <v>44018</v>
      </c>
      <c r="M1364" s="116">
        <v>359.67500000000001</v>
      </c>
      <c r="N1364" s="116">
        <v>366.9</v>
      </c>
      <c r="O1364" s="116">
        <v>358.5</v>
      </c>
      <c r="P1364" s="116">
        <v>359.375</v>
      </c>
      <c r="Q1364" s="116">
        <v>719.35</v>
      </c>
      <c r="R1364">
        <v>415602</v>
      </c>
    </row>
    <row r="1365" spans="1:18" x14ac:dyDescent="0.25">
      <c r="A1365" s="170">
        <v>44019</v>
      </c>
      <c r="B1365" s="116">
        <v>364.97500000000002</v>
      </c>
      <c r="C1365" s="116">
        <v>355.625</v>
      </c>
      <c r="D1365" s="116">
        <v>355.27499999999998</v>
      </c>
      <c r="E1365" s="116">
        <v>364.97500000000002</v>
      </c>
      <c r="F1365" s="116">
        <v>711.25</v>
      </c>
      <c r="G1365">
        <v>9178</v>
      </c>
      <c r="H1365" s="116"/>
      <c r="I1365" s="116"/>
      <c r="L1365" s="170">
        <v>44019</v>
      </c>
      <c r="M1365" s="116">
        <v>355.77499999999998</v>
      </c>
      <c r="N1365" s="116">
        <v>362.47500000000002</v>
      </c>
      <c r="O1365" s="116">
        <v>355.1</v>
      </c>
      <c r="P1365" s="116">
        <v>360.47500000000002</v>
      </c>
      <c r="Q1365" s="116">
        <v>711.55</v>
      </c>
      <c r="R1365">
        <v>134654</v>
      </c>
    </row>
    <row r="1366" spans="1:18" x14ac:dyDescent="0.25">
      <c r="A1366" s="170">
        <v>44020</v>
      </c>
      <c r="B1366" s="116">
        <v>359.72500000000002</v>
      </c>
      <c r="C1366" s="116">
        <v>356.4</v>
      </c>
      <c r="D1366" s="116">
        <v>355.45</v>
      </c>
      <c r="E1366" s="116">
        <v>358.25</v>
      </c>
      <c r="F1366" s="116">
        <v>712.8</v>
      </c>
      <c r="G1366">
        <v>5603</v>
      </c>
      <c r="H1366" s="116"/>
      <c r="I1366" s="116"/>
      <c r="L1366" s="170">
        <v>44020</v>
      </c>
      <c r="M1366" s="116">
        <v>356.3</v>
      </c>
      <c r="N1366" s="116">
        <v>359.5</v>
      </c>
      <c r="O1366" s="116">
        <v>355</v>
      </c>
      <c r="P1366" s="116">
        <v>356</v>
      </c>
      <c r="Q1366" s="116">
        <v>712.6</v>
      </c>
      <c r="R1366">
        <v>373896</v>
      </c>
    </row>
    <row r="1367" spans="1:18" x14ac:dyDescent="0.25">
      <c r="A1367" s="170">
        <v>44021</v>
      </c>
      <c r="B1367" s="116">
        <v>358.97500000000002</v>
      </c>
      <c r="C1367" s="116">
        <v>356.6</v>
      </c>
      <c r="D1367" s="116">
        <v>355.9</v>
      </c>
      <c r="E1367" s="116">
        <v>356</v>
      </c>
      <c r="F1367" s="116">
        <v>713.2</v>
      </c>
      <c r="G1367">
        <v>8730</v>
      </c>
      <c r="H1367" s="116"/>
      <c r="I1367" s="116"/>
      <c r="L1367" s="170">
        <v>44021</v>
      </c>
      <c r="M1367" s="116">
        <v>356.85</v>
      </c>
      <c r="N1367" s="116">
        <v>359.25</v>
      </c>
      <c r="O1367" s="116">
        <v>356.02499999999998</v>
      </c>
      <c r="P1367" s="116">
        <v>357.47500000000002</v>
      </c>
      <c r="Q1367" s="116">
        <v>713.7</v>
      </c>
      <c r="R1367">
        <v>277057</v>
      </c>
    </row>
    <row r="1368" spans="1:18" x14ac:dyDescent="0.25">
      <c r="A1368" s="170">
        <v>44022</v>
      </c>
      <c r="B1368" s="116">
        <v>361.02499999999998</v>
      </c>
      <c r="C1368" s="116">
        <v>359.7</v>
      </c>
      <c r="D1368" s="116">
        <v>356.5</v>
      </c>
      <c r="E1368" s="116">
        <v>358.97500000000002</v>
      </c>
      <c r="F1368" s="116">
        <v>719.4</v>
      </c>
      <c r="G1368">
        <v>8063</v>
      </c>
      <c r="H1368" s="116"/>
      <c r="I1368" s="116"/>
      <c r="L1368" s="170">
        <v>44022</v>
      </c>
      <c r="M1368" s="116">
        <v>359.32499999999999</v>
      </c>
      <c r="N1368" s="116">
        <v>361</v>
      </c>
      <c r="O1368" s="116">
        <v>356.75</v>
      </c>
      <c r="P1368" s="116">
        <v>358.17500000000001</v>
      </c>
      <c r="Q1368" s="116">
        <v>718.65</v>
      </c>
      <c r="R1368">
        <v>493744</v>
      </c>
    </row>
    <row r="1369" spans="1:18" x14ac:dyDescent="0.25">
      <c r="A1369" s="170">
        <v>44025</v>
      </c>
      <c r="B1369" s="116">
        <v>362</v>
      </c>
      <c r="C1369" s="116">
        <v>357.6</v>
      </c>
      <c r="D1369" s="116">
        <v>356.92500000000001</v>
      </c>
      <c r="E1369" s="116">
        <v>362</v>
      </c>
      <c r="F1369" s="116">
        <v>715.2</v>
      </c>
      <c r="G1369">
        <v>10911</v>
      </c>
      <c r="H1369" s="116"/>
      <c r="I1369" s="116"/>
      <c r="L1369" s="170">
        <v>44025</v>
      </c>
      <c r="M1369" s="116">
        <v>357.77499999999998</v>
      </c>
      <c r="N1369" s="116">
        <v>361.97500000000002</v>
      </c>
      <c r="O1369" s="116">
        <v>357.02499999999998</v>
      </c>
      <c r="P1369" s="116">
        <v>359.5</v>
      </c>
      <c r="Q1369" s="116">
        <v>715.55</v>
      </c>
      <c r="R1369">
        <v>315312</v>
      </c>
    </row>
    <row r="1370" spans="1:18" x14ac:dyDescent="0.25">
      <c r="A1370" s="170">
        <v>44026</v>
      </c>
      <c r="B1370" s="116">
        <v>359.97500000000002</v>
      </c>
      <c r="C1370" s="116">
        <v>356.72500000000002</v>
      </c>
      <c r="D1370" s="116">
        <v>353.7</v>
      </c>
      <c r="E1370" s="116">
        <v>355.3</v>
      </c>
      <c r="F1370" s="116">
        <v>713.45</v>
      </c>
      <c r="G1370">
        <v>5102</v>
      </c>
      <c r="H1370" s="116"/>
      <c r="I1370" s="116"/>
      <c r="L1370" s="170">
        <v>44026</v>
      </c>
      <c r="M1370" s="116">
        <v>357.02499999999998</v>
      </c>
      <c r="N1370" s="116">
        <v>360</v>
      </c>
      <c r="O1370" s="116">
        <v>353.6</v>
      </c>
      <c r="P1370" s="116">
        <v>356.5</v>
      </c>
      <c r="Q1370" s="116">
        <v>714.05</v>
      </c>
      <c r="R1370">
        <v>88425</v>
      </c>
    </row>
    <row r="1371" spans="1:18" x14ac:dyDescent="0.25">
      <c r="A1371" s="170">
        <v>44027</v>
      </c>
      <c r="B1371" s="116">
        <v>359.5</v>
      </c>
      <c r="C1371" s="116">
        <v>357.22500000000002</v>
      </c>
      <c r="D1371" s="116">
        <v>356.02499999999998</v>
      </c>
      <c r="E1371" s="116">
        <v>356.5</v>
      </c>
      <c r="F1371" s="116">
        <v>714.45</v>
      </c>
      <c r="G1371">
        <v>1978</v>
      </c>
      <c r="H1371" s="116"/>
      <c r="I1371" s="116"/>
      <c r="L1371" s="170">
        <v>44027</v>
      </c>
      <c r="M1371" s="116">
        <v>357.42500000000001</v>
      </c>
      <c r="N1371" s="116">
        <v>359.875</v>
      </c>
      <c r="O1371" s="116">
        <v>355.9</v>
      </c>
      <c r="P1371" s="116">
        <v>359.875</v>
      </c>
      <c r="Q1371" s="116">
        <v>714.85</v>
      </c>
      <c r="R1371">
        <v>64788</v>
      </c>
    </row>
    <row r="1372" spans="1:18" x14ac:dyDescent="0.25">
      <c r="A1372" s="170">
        <v>44028</v>
      </c>
      <c r="B1372" s="116">
        <v>358.5</v>
      </c>
      <c r="C1372" s="116">
        <v>356.92500000000001</v>
      </c>
      <c r="D1372" s="116">
        <v>355.5</v>
      </c>
      <c r="E1372" s="116">
        <v>358.5</v>
      </c>
      <c r="F1372" s="116">
        <v>713.85</v>
      </c>
      <c r="G1372">
        <v>1450</v>
      </c>
      <c r="H1372" s="116"/>
      <c r="I1372" s="116"/>
      <c r="L1372" s="170">
        <v>44028</v>
      </c>
      <c r="M1372" s="116">
        <v>357.52499999999998</v>
      </c>
      <c r="N1372" s="116">
        <v>358</v>
      </c>
      <c r="O1372" s="116">
        <v>355.02499999999998</v>
      </c>
      <c r="P1372" s="116">
        <v>357.02499999999998</v>
      </c>
      <c r="Q1372" s="116">
        <v>715.05</v>
      </c>
      <c r="R1372">
        <v>78702</v>
      </c>
    </row>
    <row r="1373" spans="1:18" x14ac:dyDescent="0.25">
      <c r="A1373" s="170">
        <v>44029</v>
      </c>
      <c r="B1373" s="116">
        <v>360</v>
      </c>
      <c r="C1373" s="116">
        <v>356.65</v>
      </c>
      <c r="D1373" s="116">
        <v>356.5</v>
      </c>
      <c r="E1373" s="116">
        <v>360</v>
      </c>
      <c r="F1373" s="116">
        <v>713.3</v>
      </c>
      <c r="G1373">
        <v>781</v>
      </c>
      <c r="H1373" s="116"/>
      <c r="I1373" s="116"/>
      <c r="L1373" s="170">
        <v>44029</v>
      </c>
      <c r="M1373" s="116">
        <v>356.75</v>
      </c>
      <c r="N1373" s="116">
        <v>360</v>
      </c>
      <c r="O1373" s="116">
        <v>356.125</v>
      </c>
      <c r="P1373" s="116">
        <v>359.2</v>
      </c>
      <c r="Q1373" s="116">
        <v>713.5</v>
      </c>
      <c r="R1373">
        <v>78872</v>
      </c>
    </row>
    <row r="1374" spans="1:18" x14ac:dyDescent="0.25">
      <c r="A1374" s="170">
        <v>44032</v>
      </c>
      <c r="B1374" s="116">
        <v>359.35</v>
      </c>
      <c r="C1374" s="116">
        <v>356.35</v>
      </c>
      <c r="D1374" s="116">
        <v>355.65</v>
      </c>
      <c r="E1374" s="116">
        <v>359</v>
      </c>
      <c r="F1374" s="116">
        <v>712.7</v>
      </c>
      <c r="G1374">
        <v>3145</v>
      </c>
      <c r="H1374" s="116"/>
      <c r="I1374" s="116"/>
      <c r="L1374" s="170">
        <v>44032</v>
      </c>
      <c r="M1374" s="116">
        <v>356.7</v>
      </c>
      <c r="N1374" s="116">
        <v>359.97500000000002</v>
      </c>
      <c r="O1374" s="116">
        <v>356.02499999999998</v>
      </c>
      <c r="P1374" s="116">
        <v>357.92500000000001</v>
      </c>
      <c r="Q1374" s="116">
        <v>713.4</v>
      </c>
      <c r="R1374">
        <v>80985</v>
      </c>
    </row>
    <row r="1375" spans="1:18" x14ac:dyDescent="0.25">
      <c r="A1375" s="170">
        <v>44033</v>
      </c>
      <c r="B1375" s="116">
        <v>358.4</v>
      </c>
      <c r="C1375" s="116">
        <v>357.42500000000001</v>
      </c>
      <c r="D1375" s="116">
        <v>356.5</v>
      </c>
      <c r="E1375" s="116">
        <v>357.3</v>
      </c>
      <c r="F1375" s="116">
        <v>714.85</v>
      </c>
      <c r="G1375">
        <v>2264</v>
      </c>
      <c r="H1375" s="116"/>
      <c r="I1375" s="116"/>
      <c r="L1375" s="170">
        <v>44033</v>
      </c>
      <c r="M1375" s="116">
        <v>357.625</v>
      </c>
      <c r="N1375" s="116">
        <v>359.45</v>
      </c>
      <c r="O1375" s="116">
        <v>356.5</v>
      </c>
      <c r="P1375" s="116">
        <v>357.02499999999998</v>
      </c>
      <c r="Q1375" s="116">
        <v>715.25</v>
      </c>
      <c r="R1375">
        <v>163843</v>
      </c>
    </row>
    <row r="1376" spans="1:18" x14ac:dyDescent="0.25">
      <c r="A1376" s="170">
        <v>44034</v>
      </c>
      <c r="B1376" s="116">
        <v>358.92500000000001</v>
      </c>
      <c r="C1376" s="116">
        <v>357.85</v>
      </c>
      <c r="D1376" s="116">
        <v>357.3</v>
      </c>
      <c r="E1376" s="116">
        <v>358.02499999999998</v>
      </c>
      <c r="F1376" s="116">
        <v>715.7</v>
      </c>
      <c r="G1376">
        <v>1325</v>
      </c>
      <c r="H1376" s="116"/>
      <c r="I1376" s="116"/>
      <c r="L1376" s="170">
        <v>44034</v>
      </c>
      <c r="M1376" s="116">
        <v>358.1</v>
      </c>
      <c r="N1376" s="116">
        <v>359.47500000000002</v>
      </c>
      <c r="O1376" s="116">
        <v>356.8</v>
      </c>
      <c r="P1376" s="116">
        <v>359</v>
      </c>
      <c r="Q1376" s="116">
        <v>716.2</v>
      </c>
      <c r="R1376">
        <v>164243</v>
      </c>
    </row>
    <row r="1377" spans="1:18" x14ac:dyDescent="0.25">
      <c r="A1377" s="170">
        <v>44035</v>
      </c>
      <c r="B1377" s="116">
        <v>368.5</v>
      </c>
      <c r="C1377" s="116">
        <v>359.15</v>
      </c>
      <c r="D1377" s="116">
        <v>358.25</v>
      </c>
      <c r="E1377" s="116">
        <v>359</v>
      </c>
      <c r="F1377" s="116">
        <v>718.3</v>
      </c>
      <c r="G1377">
        <v>3908</v>
      </c>
      <c r="H1377" s="116"/>
      <c r="I1377" s="116"/>
      <c r="L1377" s="170">
        <v>44035</v>
      </c>
      <c r="M1377" s="116">
        <v>359.15</v>
      </c>
      <c r="N1377" s="116">
        <v>369.42500000000001</v>
      </c>
      <c r="O1377" s="116">
        <v>358.35</v>
      </c>
      <c r="P1377" s="116">
        <v>358.52499999999998</v>
      </c>
      <c r="Q1377" s="116">
        <v>718.3</v>
      </c>
      <c r="R1377">
        <v>133340</v>
      </c>
    </row>
    <row r="1378" spans="1:18" x14ac:dyDescent="0.25">
      <c r="A1378" s="170">
        <v>44036</v>
      </c>
      <c r="B1378" s="116">
        <v>375</v>
      </c>
      <c r="C1378" s="116">
        <v>364.75</v>
      </c>
      <c r="D1378" s="116">
        <v>357.5</v>
      </c>
      <c r="E1378" s="116">
        <v>359.5</v>
      </c>
      <c r="F1378" s="116">
        <v>729.5</v>
      </c>
      <c r="G1378">
        <v>10828</v>
      </c>
      <c r="H1378" s="116"/>
      <c r="I1378" s="116"/>
      <c r="L1378" s="170">
        <v>44036</v>
      </c>
      <c r="M1378" s="116">
        <v>364.75</v>
      </c>
      <c r="N1378" s="116">
        <v>375</v>
      </c>
      <c r="O1378" s="116">
        <v>357.5</v>
      </c>
      <c r="P1378" s="116">
        <v>358.5</v>
      </c>
      <c r="Q1378" s="116">
        <v>729.5</v>
      </c>
      <c r="R1378">
        <v>511994</v>
      </c>
    </row>
    <row r="1379" spans="1:18" x14ac:dyDescent="0.25">
      <c r="A1379" s="170">
        <v>44039</v>
      </c>
      <c r="B1379" s="116">
        <v>370</v>
      </c>
      <c r="C1379" s="116">
        <v>360.4</v>
      </c>
      <c r="D1379" s="116">
        <v>359.4</v>
      </c>
      <c r="E1379" s="116">
        <v>369.95</v>
      </c>
      <c r="F1379" s="116">
        <v>720.8</v>
      </c>
      <c r="G1379">
        <v>8656</v>
      </c>
      <c r="H1379" s="116"/>
      <c r="I1379" s="116"/>
      <c r="L1379" s="170">
        <v>44039</v>
      </c>
      <c r="M1379" s="116">
        <v>360.47500000000002</v>
      </c>
      <c r="N1379" s="116">
        <v>370.2</v>
      </c>
      <c r="O1379" s="116">
        <v>359.52499999999998</v>
      </c>
      <c r="P1379" s="116">
        <v>366.95</v>
      </c>
      <c r="Q1379" s="116">
        <v>720.95</v>
      </c>
      <c r="R1379">
        <v>123750</v>
      </c>
    </row>
    <row r="1380" spans="1:18" x14ac:dyDescent="0.25">
      <c r="A1380" s="170">
        <v>44040</v>
      </c>
      <c r="B1380" s="116">
        <v>365</v>
      </c>
      <c r="C1380" s="116">
        <v>360.22500000000002</v>
      </c>
      <c r="D1380" s="116">
        <v>356.57499999999999</v>
      </c>
      <c r="E1380" s="116">
        <v>356.57499999999999</v>
      </c>
      <c r="F1380" s="116">
        <v>720.45</v>
      </c>
      <c r="G1380">
        <v>2168</v>
      </c>
      <c r="H1380" s="116"/>
      <c r="I1380" s="116"/>
      <c r="L1380" s="170">
        <v>44040</v>
      </c>
      <c r="M1380" s="116">
        <v>360.05</v>
      </c>
      <c r="N1380" s="116">
        <v>366.5</v>
      </c>
      <c r="O1380" s="116">
        <v>360</v>
      </c>
      <c r="P1380" s="116">
        <v>361</v>
      </c>
      <c r="Q1380" s="116">
        <v>720.1</v>
      </c>
      <c r="R1380">
        <v>127954</v>
      </c>
    </row>
    <row r="1381" spans="1:18" x14ac:dyDescent="0.25">
      <c r="A1381" s="170">
        <v>44041</v>
      </c>
      <c r="B1381" s="116">
        <v>362.85</v>
      </c>
      <c r="C1381" s="116">
        <v>360.25</v>
      </c>
      <c r="D1381" s="116">
        <v>359.72500000000002</v>
      </c>
      <c r="E1381" s="116">
        <v>360.47500000000002</v>
      </c>
      <c r="F1381" s="116">
        <v>720.5</v>
      </c>
      <c r="G1381">
        <v>3838</v>
      </c>
      <c r="H1381" s="116"/>
      <c r="I1381" s="116"/>
      <c r="L1381" s="170">
        <v>44041</v>
      </c>
      <c r="M1381" s="116">
        <v>360.5</v>
      </c>
      <c r="N1381" s="116">
        <v>364.5</v>
      </c>
      <c r="O1381" s="116">
        <v>360.05</v>
      </c>
      <c r="P1381" s="116">
        <v>360.5</v>
      </c>
      <c r="Q1381" s="116">
        <v>721</v>
      </c>
      <c r="R1381">
        <v>60190</v>
      </c>
    </row>
    <row r="1382" spans="1:18" x14ac:dyDescent="0.25">
      <c r="A1382" s="170">
        <v>44042</v>
      </c>
      <c r="B1382" s="116">
        <v>369</v>
      </c>
      <c r="C1382" s="116">
        <v>363.32499999999999</v>
      </c>
      <c r="D1382" s="116">
        <v>360.05</v>
      </c>
      <c r="E1382" s="116">
        <v>360.05</v>
      </c>
      <c r="F1382" s="116">
        <v>726.65</v>
      </c>
      <c r="G1382">
        <v>6320</v>
      </c>
      <c r="H1382" s="116"/>
      <c r="I1382" s="116"/>
      <c r="L1382" s="170">
        <v>44042</v>
      </c>
      <c r="M1382" s="116">
        <v>363.42500000000001</v>
      </c>
      <c r="N1382" s="116">
        <v>369.5</v>
      </c>
      <c r="O1382" s="116">
        <v>360</v>
      </c>
      <c r="P1382" s="116">
        <v>362.375</v>
      </c>
      <c r="Q1382" s="116">
        <v>726.85</v>
      </c>
      <c r="R1382">
        <v>515355</v>
      </c>
    </row>
    <row r="1383" spans="1:18" x14ac:dyDescent="0.25">
      <c r="A1383" s="170">
        <v>44043</v>
      </c>
      <c r="B1383" s="116">
        <v>372.5</v>
      </c>
      <c r="C1383" s="116">
        <v>367.05</v>
      </c>
      <c r="D1383" s="116">
        <v>363.6</v>
      </c>
      <c r="E1383" s="116">
        <v>364.72500000000002</v>
      </c>
      <c r="F1383" s="116">
        <v>734.1</v>
      </c>
      <c r="G1383">
        <v>8976</v>
      </c>
      <c r="H1383" s="116"/>
      <c r="I1383" s="116"/>
      <c r="L1383" s="170">
        <v>44043</v>
      </c>
      <c r="M1383" s="116">
        <v>367.1</v>
      </c>
      <c r="N1383" s="116">
        <v>372.5</v>
      </c>
      <c r="O1383" s="116">
        <v>362.92500000000001</v>
      </c>
      <c r="P1383" s="116">
        <v>364.75</v>
      </c>
      <c r="Q1383" s="116">
        <v>734.2</v>
      </c>
      <c r="R1383">
        <v>695574</v>
      </c>
    </row>
    <row r="1384" spans="1:18" x14ac:dyDescent="0.25">
      <c r="A1384" s="170">
        <v>44046</v>
      </c>
      <c r="B1384" s="116">
        <v>372.22500000000002</v>
      </c>
      <c r="C1384" s="116">
        <v>364.52499999999998</v>
      </c>
      <c r="D1384" s="116">
        <v>362.97500000000002</v>
      </c>
      <c r="E1384" s="116">
        <v>372.22500000000002</v>
      </c>
      <c r="F1384" s="116">
        <v>729.05</v>
      </c>
      <c r="G1384">
        <v>8414</v>
      </c>
      <c r="H1384" s="116"/>
      <c r="I1384" s="116"/>
      <c r="L1384" s="170">
        <v>44046</v>
      </c>
      <c r="M1384" s="116">
        <v>364.85</v>
      </c>
      <c r="N1384" s="116">
        <v>371.875</v>
      </c>
      <c r="O1384" s="116">
        <v>363.05</v>
      </c>
      <c r="P1384" s="116">
        <v>371</v>
      </c>
      <c r="Q1384" s="116">
        <v>729.7</v>
      </c>
      <c r="R1384">
        <v>331583</v>
      </c>
    </row>
    <row r="1385" spans="1:18" x14ac:dyDescent="0.25">
      <c r="A1385" s="170">
        <v>44047</v>
      </c>
      <c r="B1385" s="116">
        <v>369.5</v>
      </c>
      <c r="C1385" s="116">
        <v>367.3</v>
      </c>
      <c r="D1385" s="116">
        <v>364.97500000000002</v>
      </c>
      <c r="E1385" s="116">
        <v>369.5</v>
      </c>
      <c r="F1385" s="116">
        <v>734.6</v>
      </c>
      <c r="G1385">
        <v>2442</v>
      </c>
      <c r="H1385" s="116"/>
      <c r="I1385" s="116"/>
      <c r="L1385" s="170">
        <v>44047</v>
      </c>
      <c r="M1385" s="116">
        <v>367.42500000000001</v>
      </c>
      <c r="N1385" s="116">
        <v>367.92500000000001</v>
      </c>
      <c r="O1385" s="116">
        <v>365</v>
      </c>
      <c r="P1385" s="116">
        <v>367.7</v>
      </c>
      <c r="Q1385" s="116">
        <v>734.85</v>
      </c>
      <c r="R1385">
        <v>329765</v>
      </c>
    </row>
    <row r="1386" spans="1:18" x14ac:dyDescent="0.25">
      <c r="A1386" s="170">
        <v>44048</v>
      </c>
      <c r="B1386" s="116">
        <v>367.95</v>
      </c>
      <c r="C1386" s="116">
        <v>365.15</v>
      </c>
      <c r="D1386" s="116">
        <v>364.35</v>
      </c>
      <c r="E1386" s="116">
        <v>367.42500000000001</v>
      </c>
      <c r="F1386" s="116">
        <v>730.3</v>
      </c>
      <c r="G1386">
        <v>4203</v>
      </c>
      <c r="H1386" s="116"/>
      <c r="I1386" s="116"/>
      <c r="L1386" s="170">
        <v>44048</v>
      </c>
      <c r="M1386" s="116">
        <v>365.27499999999998</v>
      </c>
      <c r="N1386" s="116">
        <v>369.47500000000002</v>
      </c>
      <c r="O1386" s="116">
        <v>364.05</v>
      </c>
      <c r="P1386" s="116">
        <v>367.47500000000002</v>
      </c>
      <c r="Q1386" s="116">
        <v>730.55</v>
      </c>
      <c r="R1386">
        <v>446828</v>
      </c>
    </row>
    <row r="1387" spans="1:18" x14ac:dyDescent="0.25">
      <c r="A1387" s="170">
        <v>44049</v>
      </c>
      <c r="B1387" s="116">
        <v>369.5</v>
      </c>
      <c r="C1387" s="116">
        <v>367.85</v>
      </c>
      <c r="D1387" s="116">
        <v>365.05</v>
      </c>
      <c r="E1387" s="116">
        <v>367.32499999999999</v>
      </c>
      <c r="F1387" s="116">
        <v>735.7</v>
      </c>
      <c r="G1387">
        <v>6524</v>
      </c>
      <c r="H1387" s="116"/>
      <c r="I1387" s="116"/>
      <c r="L1387" s="170">
        <v>44049</v>
      </c>
      <c r="M1387" s="116">
        <v>367.6</v>
      </c>
      <c r="N1387" s="116">
        <v>369.5</v>
      </c>
      <c r="O1387" s="116">
        <v>364.27499999999998</v>
      </c>
      <c r="P1387" s="116">
        <v>366</v>
      </c>
      <c r="Q1387" s="116">
        <v>735.2</v>
      </c>
      <c r="R1387">
        <v>201932</v>
      </c>
    </row>
    <row r="1388" spans="1:18" x14ac:dyDescent="0.25">
      <c r="A1388" s="170">
        <v>44050</v>
      </c>
      <c r="B1388" s="116">
        <v>369.22500000000002</v>
      </c>
      <c r="C1388" s="116">
        <v>365.75</v>
      </c>
      <c r="D1388" s="116">
        <v>365</v>
      </c>
      <c r="E1388" s="116">
        <v>369.22500000000002</v>
      </c>
      <c r="F1388" s="116">
        <v>731.5</v>
      </c>
      <c r="G1388">
        <v>6764</v>
      </c>
      <c r="H1388" s="116"/>
      <c r="I1388" s="116"/>
      <c r="L1388" s="170">
        <v>44050</v>
      </c>
      <c r="M1388" s="116">
        <v>366.47500000000002</v>
      </c>
      <c r="N1388" s="116">
        <v>369.4</v>
      </c>
      <c r="O1388" s="116">
        <v>365</v>
      </c>
      <c r="P1388" s="116">
        <v>369.4</v>
      </c>
      <c r="Q1388" s="116">
        <v>732.95</v>
      </c>
      <c r="R1388">
        <v>284247</v>
      </c>
    </row>
    <row r="1389" spans="1:18" x14ac:dyDescent="0.25">
      <c r="A1389" s="170">
        <v>44053</v>
      </c>
      <c r="B1389" s="116">
        <v>369.6</v>
      </c>
      <c r="C1389" s="116">
        <v>367.6</v>
      </c>
      <c r="D1389" s="116">
        <v>366.02499999999998</v>
      </c>
      <c r="E1389" s="116">
        <v>367.5</v>
      </c>
      <c r="F1389" s="116">
        <v>735.2</v>
      </c>
      <c r="G1389">
        <v>3257</v>
      </c>
      <c r="H1389" s="116"/>
      <c r="I1389" s="116"/>
      <c r="L1389" s="170">
        <v>44053</v>
      </c>
      <c r="M1389" s="116">
        <v>367.57499999999999</v>
      </c>
      <c r="N1389" s="116">
        <v>369.5</v>
      </c>
      <c r="O1389" s="116">
        <v>365.55</v>
      </c>
      <c r="P1389" s="116">
        <v>366.875</v>
      </c>
      <c r="Q1389" s="116">
        <v>735.15</v>
      </c>
      <c r="R1389">
        <v>998254</v>
      </c>
    </row>
    <row r="1390" spans="1:18" x14ac:dyDescent="0.25">
      <c r="A1390" s="170">
        <v>44054</v>
      </c>
      <c r="B1390" s="116">
        <v>394.75</v>
      </c>
      <c r="C1390" s="116">
        <v>384.27499999999998</v>
      </c>
      <c r="D1390" s="116">
        <v>366.9</v>
      </c>
      <c r="E1390" s="116">
        <v>368.05</v>
      </c>
      <c r="F1390" s="116">
        <v>768.55</v>
      </c>
      <c r="G1390">
        <v>103871</v>
      </c>
      <c r="H1390" s="116"/>
      <c r="I1390" s="116"/>
      <c r="L1390" s="170">
        <v>44054</v>
      </c>
      <c r="M1390" s="116">
        <v>384.42500000000001</v>
      </c>
      <c r="N1390" s="116">
        <v>394.72500000000002</v>
      </c>
      <c r="O1390" s="116">
        <v>367.32499999999999</v>
      </c>
      <c r="P1390" s="116">
        <v>368.85</v>
      </c>
      <c r="Q1390" s="116">
        <v>768.85</v>
      </c>
      <c r="R1390">
        <v>2116203</v>
      </c>
    </row>
    <row r="1391" spans="1:18" x14ac:dyDescent="0.25">
      <c r="A1391" s="170">
        <v>44055</v>
      </c>
      <c r="B1391" s="116">
        <v>392</v>
      </c>
      <c r="C1391" s="116">
        <v>388.85</v>
      </c>
      <c r="D1391" s="116">
        <v>384.5</v>
      </c>
      <c r="E1391" s="116">
        <v>386.5</v>
      </c>
      <c r="F1391" s="116">
        <v>777.7</v>
      </c>
      <c r="G1391">
        <v>24196</v>
      </c>
      <c r="H1391" s="116"/>
      <c r="I1391" s="116"/>
      <c r="L1391" s="170">
        <v>44055</v>
      </c>
      <c r="M1391" s="116">
        <v>389.2</v>
      </c>
      <c r="N1391" s="116">
        <v>392.25</v>
      </c>
      <c r="O1391" s="116">
        <v>384.42500000000001</v>
      </c>
      <c r="P1391" s="116">
        <v>385.42500000000001</v>
      </c>
      <c r="Q1391" s="116">
        <v>778.4</v>
      </c>
      <c r="R1391">
        <v>487734</v>
      </c>
    </row>
    <row r="1392" spans="1:18" x14ac:dyDescent="0.25">
      <c r="A1392" s="170">
        <v>44056</v>
      </c>
      <c r="B1392" s="116">
        <v>391.65</v>
      </c>
      <c r="C1392" s="116">
        <v>388.42500000000001</v>
      </c>
      <c r="D1392" s="116">
        <v>385</v>
      </c>
      <c r="E1392" s="116">
        <v>390.85</v>
      </c>
      <c r="F1392" s="116">
        <v>776.85</v>
      </c>
      <c r="G1392">
        <v>12306</v>
      </c>
      <c r="H1392" s="116"/>
      <c r="I1392" s="116"/>
      <c r="L1392" s="170">
        <v>44056</v>
      </c>
      <c r="M1392" s="116">
        <v>388.42500000000001</v>
      </c>
      <c r="N1392" s="116">
        <v>391.4</v>
      </c>
      <c r="O1392" s="116">
        <v>385</v>
      </c>
      <c r="P1392" s="116">
        <v>391.4</v>
      </c>
      <c r="Q1392" s="116">
        <v>776.85</v>
      </c>
      <c r="R1392">
        <v>251353</v>
      </c>
    </row>
    <row r="1393" spans="1:18" x14ac:dyDescent="0.25">
      <c r="A1393" s="170">
        <v>44057</v>
      </c>
      <c r="B1393" s="116">
        <v>389.5</v>
      </c>
      <c r="C1393" s="116">
        <v>382.95</v>
      </c>
      <c r="D1393" s="116">
        <v>379.22500000000002</v>
      </c>
      <c r="E1393" s="116">
        <v>389.4</v>
      </c>
      <c r="F1393" s="116">
        <v>765.9</v>
      </c>
      <c r="G1393">
        <v>16488</v>
      </c>
      <c r="H1393" s="116"/>
      <c r="I1393" s="116"/>
      <c r="L1393" s="170">
        <v>44057</v>
      </c>
      <c r="M1393" s="116">
        <v>384.02499999999998</v>
      </c>
      <c r="N1393" s="116">
        <v>390.375</v>
      </c>
      <c r="O1393" s="116">
        <v>378.4</v>
      </c>
      <c r="P1393" s="116">
        <v>389.95</v>
      </c>
      <c r="Q1393" s="116">
        <v>768.05</v>
      </c>
      <c r="R1393">
        <v>282629</v>
      </c>
    </row>
    <row r="1394" spans="1:18" x14ac:dyDescent="0.25">
      <c r="A1394" s="170">
        <v>44060</v>
      </c>
      <c r="B1394" s="116">
        <v>390</v>
      </c>
      <c r="C1394" s="116">
        <v>388.1</v>
      </c>
      <c r="D1394" s="116">
        <v>380.17500000000001</v>
      </c>
      <c r="E1394" s="116">
        <v>388.6</v>
      </c>
      <c r="F1394" s="116">
        <v>776.2</v>
      </c>
      <c r="G1394">
        <v>4702</v>
      </c>
      <c r="H1394" s="116"/>
      <c r="I1394" s="116"/>
      <c r="L1394" s="170">
        <v>44060</v>
      </c>
      <c r="M1394" s="116">
        <v>388.47500000000002</v>
      </c>
      <c r="N1394" s="116">
        <v>389.9</v>
      </c>
      <c r="O1394" s="116">
        <v>380.5</v>
      </c>
      <c r="P1394" s="116">
        <v>389</v>
      </c>
      <c r="Q1394" s="116">
        <v>776.95</v>
      </c>
      <c r="R1394">
        <v>172970</v>
      </c>
    </row>
    <row r="1395" spans="1:18" x14ac:dyDescent="0.25">
      <c r="A1395" s="170">
        <v>44061</v>
      </c>
      <c r="B1395" s="116">
        <v>402.02499999999998</v>
      </c>
      <c r="C1395" s="116">
        <v>389.3</v>
      </c>
      <c r="D1395" s="116">
        <v>386.95</v>
      </c>
      <c r="E1395" s="116">
        <v>388.57499999999999</v>
      </c>
      <c r="F1395" s="116">
        <v>778.6</v>
      </c>
      <c r="G1395">
        <v>24868</v>
      </c>
      <c r="H1395" s="116"/>
      <c r="I1395" s="116"/>
      <c r="L1395" s="170">
        <v>44061</v>
      </c>
      <c r="M1395" s="116">
        <v>389.5</v>
      </c>
      <c r="N1395" s="116">
        <v>402.2</v>
      </c>
      <c r="O1395" s="116">
        <v>387.02499999999998</v>
      </c>
      <c r="P1395" s="116">
        <v>389.47500000000002</v>
      </c>
      <c r="Q1395" s="116">
        <v>779</v>
      </c>
      <c r="R1395">
        <v>564741</v>
      </c>
    </row>
    <row r="1396" spans="1:18" x14ac:dyDescent="0.25">
      <c r="A1396" s="170">
        <v>44062</v>
      </c>
      <c r="B1396" s="116">
        <v>400.22500000000002</v>
      </c>
      <c r="C1396" s="116">
        <v>398.125</v>
      </c>
      <c r="D1396" s="116">
        <v>392</v>
      </c>
      <c r="E1396" s="116">
        <v>392.47500000000002</v>
      </c>
      <c r="F1396" s="116">
        <v>796.25</v>
      </c>
      <c r="G1396">
        <v>59685</v>
      </c>
      <c r="H1396" s="116"/>
      <c r="I1396" s="116"/>
      <c r="L1396" s="170">
        <v>44062</v>
      </c>
      <c r="M1396" s="116">
        <v>398.8</v>
      </c>
      <c r="N1396" s="116">
        <v>400</v>
      </c>
      <c r="O1396" s="116">
        <v>390.67500000000001</v>
      </c>
      <c r="P1396" s="116">
        <v>393.25</v>
      </c>
      <c r="Q1396" s="116">
        <v>797.6</v>
      </c>
      <c r="R1396">
        <v>239378</v>
      </c>
    </row>
    <row r="1397" spans="1:18" x14ac:dyDescent="0.25">
      <c r="A1397" s="170">
        <v>44063</v>
      </c>
      <c r="B1397" s="116">
        <v>405.75</v>
      </c>
      <c r="C1397" s="116">
        <v>392.97500000000002</v>
      </c>
      <c r="D1397" s="116">
        <v>391.22500000000002</v>
      </c>
      <c r="E1397" s="116">
        <v>405</v>
      </c>
      <c r="F1397" s="116">
        <v>785.95</v>
      </c>
      <c r="G1397">
        <v>67728</v>
      </c>
      <c r="H1397" s="116"/>
      <c r="I1397" s="116"/>
      <c r="L1397" s="170">
        <v>44063</v>
      </c>
      <c r="M1397" s="116">
        <v>392.95</v>
      </c>
      <c r="N1397" s="116">
        <v>407</v>
      </c>
      <c r="O1397" s="116">
        <v>391.07499999999999</v>
      </c>
      <c r="P1397" s="116">
        <v>404</v>
      </c>
      <c r="Q1397" s="116">
        <v>785.9</v>
      </c>
      <c r="R1397">
        <v>425108</v>
      </c>
    </row>
    <row r="1398" spans="1:18" x14ac:dyDescent="0.25">
      <c r="A1398" s="170">
        <v>44064</v>
      </c>
      <c r="B1398" s="116">
        <v>399.5</v>
      </c>
      <c r="C1398" s="116">
        <v>391.22500000000002</v>
      </c>
      <c r="D1398" s="116">
        <v>389.92500000000001</v>
      </c>
      <c r="E1398" s="116">
        <v>392.92500000000001</v>
      </c>
      <c r="F1398" s="116">
        <v>782.45</v>
      </c>
      <c r="G1398">
        <v>14444</v>
      </c>
      <c r="H1398" s="116"/>
      <c r="I1398" s="116"/>
      <c r="L1398" s="170">
        <v>44064</v>
      </c>
      <c r="M1398" s="116">
        <v>392.05</v>
      </c>
      <c r="N1398" s="116">
        <v>399.45</v>
      </c>
      <c r="O1398" s="116">
        <v>390.2</v>
      </c>
      <c r="P1398" s="116">
        <v>394.92500000000001</v>
      </c>
      <c r="Q1398" s="116">
        <v>784.1</v>
      </c>
      <c r="R1398">
        <v>146299</v>
      </c>
    </row>
    <row r="1399" spans="1:18" x14ac:dyDescent="0.25">
      <c r="A1399" s="170">
        <v>44067</v>
      </c>
      <c r="B1399" s="116">
        <v>410.125</v>
      </c>
      <c r="C1399" s="116">
        <v>405.2</v>
      </c>
      <c r="D1399" s="116">
        <v>395</v>
      </c>
      <c r="E1399" s="116">
        <v>401</v>
      </c>
      <c r="F1399" s="116">
        <v>810.4</v>
      </c>
      <c r="G1399">
        <v>20530</v>
      </c>
      <c r="H1399" s="116"/>
      <c r="I1399" s="116"/>
      <c r="L1399" s="170">
        <v>44067</v>
      </c>
      <c r="M1399" s="116">
        <v>405.32499999999999</v>
      </c>
      <c r="N1399" s="116">
        <v>410</v>
      </c>
      <c r="O1399" s="116">
        <v>393</v>
      </c>
      <c r="P1399" s="116">
        <v>395</v>
      </c>
      <c r="Q1399" s="116">
        <v>810.65</v>
      </c>
      <c r="R1399">
        <v>398563</v>
      </c>
    </row>
    <row r="1400" spans="1:18" x14ac:dyDescent="0.25">
      <c r="A1400" s="170">
        <v>44068</v>
      </c>
      <c r="B1400" s="116">
        <v>414</v>
      </c>
      <c r="C1400" s="116">
        <v>403.375</v>
      </c>
      <c r="D1400" s="116">
        <v>400.5</v>
      </c>
      <c r="E1400" s="116">
        <v>411</v>
      </c>
      <c r="F1400" s="116">
        <v>806.75</v>
      </c>
      <c r="G1400">
        <v>9417</v>
      </c>
      <c r="H1400" s="116"/>
      <c r="I1400" s="116"/>
      <c r="L1400" s="170">
        <v>44068</v>
      </c>
      <c r="M1400" s="116">
        <v>403.125</v>
      </c>
      <c r="N1400" s="116">
        <v>414.42500000000001</v>
      </c>
      <c r="O1400" s="116">
        <v>400</v>
      </c>
      <c r="P1400" s="116">
        <v>409.35</v>
      </c>
      <c r="Q1400" s="116">
        <v>806.25</v>
      </c>
      <c r="R1400">
        <v>209911</v>
      </c>
    </row>
    <row r="1401" spans="1:18" x14ac:dyDescent="0.25">
      <c r="A1401" s="170">
        <v>44069</v>
      </c>
      <c r="B1401" s="116">
        <v>403.02499999999998</v>
      </c>
      <c r="C1401" s="116">
        <v>394.75</v>
      </c>
      <c r="D1401" s="116">
        <v>392.35</v>
      </c>
      <c r="E1401" s="116">
        <v>402.05</v>
      </c>
      <c r="F1401" s="116">
        <v>789.5</v>
      </c>
      <c r="G1401">
        <v>15341</v>
      </c>
      <c r="H1401" s="116"/>
      <c r="I1401" s="116"/>
      <c r="L1401" s="170">
        <v>44069</v>
      </c>
      <c r="M1401" s="116">
        <v>395.52499999999998</v>
      </c>
      <c r="N1401" s="116">
        <v>404.35</v>
      </c>
      <c r="O1401" s="116">
        <v>392.2</v>
      </c>
      <c r="P1401" s="116">
        <v>404.35</v>
      </c>
      <c r="Q1401" s="116">
        <v>791.05</v>
      </c>
      <c r="R1401">
        <v>192801</v>
      </c>
    </row>
    <row r="1402" spans="1:18" x14ac:dyDescent="0.25">
      <c r="A1402" s="170">
        <v>44070</v>
      </c>
      <c r="B1402" s="116">
        <v>401.8</v>
      </c>
      <c r="C1402" s="116">
        <v>398</v>
      </c>
      <c r="D1402" s="116">
        <v>396.25</v>
      </c>
      <c r="E1402" s="116">
        <v>396.6</v>
      </c>
      <c r="F1402" s="116">
        <v>796</v>
      </c>
      <c r="G1402">
        <v>7982</v>
      </c>
      <c r="H1402" s="116"/>
      <c r="I1402" s="116"/>
      <c r="L1402" s="170">
        <v>44070</v>
      </c>
      <c r="M1402" s="116">
        <v>398.05</v>
      </c>
      <c r="N1402" s="116">
        <v>401.65</v>
      </c>
      <c r="O1402" s="116">
        <v>395.7</v>
      </c>
      <c r="P1402" s="116">
        <v>398.5</v>
      </c>
      <c r="Q1402" s="116">
        <v>796.1</v>
      </c>
      <c r="R1402">
        <v>276156</v>
      </c>
    </row>
    <row r="1403" spans="1:18" x14ac:dyDescent="0.25">
      <c r="A1403" s="170">
        <v>44071</v>
      </c>
      <c r="B1403" s="116">
        <v>400.5</v>
      </c>
      <c r="C1403" s="116">
        <v>399.7</v>
      </c>
      <c r="D1403" s="116">
        <v>395.72500000000002</v>
      </c>
      <c r="E1403" s="116">
        <v>397.67500000000001</v>
      </c>
      <c r="F1403" s="116">
        <v>799.4</v>
      </c>
      <c r="G1403">
        <v>5684</v>
      </c>
      <c r="H1403" s="116"/>
      <c r="I1403" s="116"/>
      <c r="L1403" s="170">
        <v>44071</v>
      </c>
      <c r="M1403" s="116">
        <v>397.92500000000001</v>
      </c>
      <c r="N1403" s="116">
        <v>400</v>
      </c>
      <c r="O1403" s="116">
        <v>395.625</v>
      </c>
      <c r="P1403" s="116">
        <v>396.55</v>
      </c>
      <c r="Q1403" s="116">
        <v>795.85</v>
      </c>
      <c r="R1403">
        <v>138636</v>
      </c>
    </row>
    <row r="1404" spans="1:18" x14ac:dyDescent="0.25">
      <c r="A1404" s="170">
        <v>44074</v>
      </c>
      <c r="B1404" s="116">
        <v>400</v>
      </c>
      <c r="C1404" s="116">
        <v>384.92500000000001</v>
      </c>
      <c r="D1404" s="116">
        <v>381.4</v>
      </c>
      <c r="E1404" s="116">
        <v>395.52499999999998</v>
      </c>
      <c r="F1404" s="116">
        <v>769.85</v>
      </c>
      <c r="G1404">
        <v>42754</v>
      </c>
      <c r="H1404" s="116"/>
      <c r="I1404" s="116"/>
      <c r="L1404" s="170">
        <v>44074</v>
      </c>
      <c r="M1404" s="116">
        <v>385.125</v>
      </c>
      <c r="N1404" s="116">
        <v>400</v>
      </c>
      <c r="O1404" s="116">
        <v>381.5</v>
      </c>
      <c r="P1404" s="116">
        <v>395</v>
      </c>
      <c r="Q1404" s="116">
        <v>770.25</v>
      </c>
      <c r="R1404">
        <v>344357</v>
      </c>
    </row>
    <row r="1405" spans="1:18" x14ac:dyDescent="0.25">
      <c r="A1405" s="170">
        <v>44075</v>
      </c>
      <c r="B1405" s="116">
        <v>393.85</v>
      </c>
      <c r="C1405" s="116">
        <v>381.47500000000002</v>
      </c>
      <c r="D1405" s="116">
        <v>376.5</v>
      </c>
      <c r="E1405" s="116">
        <v>378.625</v>
      </c>
      <c r="F1405" s="116">
        <v>762.95</v>
      </c>
      <c r="G1405">
        <v>21467</v>
      </c>
      <c r="H1405" s="116"/>
      <c r="I1405" s="116"/>
      <c r="L1405" s="170">
        <v>44075</v>
      </c>
      <c r="M1405" s="116">
        <v>381.05</v>
      </c>
      <c r="N1405" s="116">
        <v>393.9</v>
      </c>
      <c r="O1405" s="116">
        <v>376.5</v>
      </c>
      <c r="P1405" s="116">
        <v>380</v>
      </c>
      <c r="Q1405" s="116">
        <v>762.1</v>
      </c>
      <c r="R1405">
        <v>284740</v>
      </c>
    </row>
    <row r="1406" spans="1:18" x14ac:dyDescent="0.25">
      <c r="A1406" s="170">
        <v>44076</v>
      </c>
      <c r="B1406" s="116">
        <v>390</v>
      </c>
      <c r="C1406" s="116">
        <v>383.67500000000001</v>
      </c>
      <c r="D1406" s="116">
        <v>377.85</v>
      </c>
      <c r="E1406" s="116">
        <v>378</v>
      </c>
      <c r="F1406" s="116">
        <v>767.35</v>
      </c>
      <c r="G1406">
        <v>20384</v>
      </c>
      <c r="H1406" s="116"/>
      <c r="I1406" s="116"/>
      <c r="L1406" s="170">
        <v>44076</v>
      </c>
      <c r="M1406" s="116">
        <v>383.47500000000002</v>
      </c>
      <c r="N1406" s="116">
        <v>390</v>
      </c>
      <c r="O1406" s="116">
        <v>377</v>
      </c>
      <c r="P1406" s="116">
        <v>377.5</v>
      </c>
      <c r="Q1406" s="116">
        <v>766.95</v>
      </c>
      <c r="R1406">
        <v>365672</v>
      </c>
    </row>
    <row r="1407" spans="1:18" x14ac:dyDescent="0.25">
      <c r="A1407" s="170">
        <v>44077</v>
      </c>
      <c r="B1407" s="116">
        <v>395.125</v>
      </c>
      <c r="C1407" s="116">
        <v>387.22500000000002</v>
      </c>
      <c r="D1407" s="116">
        <v>380.8</v>
      </c>
      <c r="E1407" s="116">
        <v>380.8</v>
      </c>
      <c r="F1407" s="116">
        <v>774.45</v>
      </c>
      <c r="G1407">
        <v>15035</v>
      </c>
      <c r="H1407" s="116"/>
      <c r="I1407" s="116"/>
      <c r="L1407" s="170">
        <v>44077</v>
      </c>
      <c r="M1407" s="116">
        <v>388.1</v>
      </c>
      <c r="N1407" s="116">
        <v>395</v>
      </c>
      <c r="O1407" s="116">
        <v>381.57499999999999</v>
      </c>
      <c r="P1407" s="116">
        <v>384.95</v>
      </c>
      <c r="Q1407" s="116">
        <v>776.2</v>
      </c>
      <c r="R1407">
        <v>187709</v>
      </c>
    </row>
    <row r="1408" spans="1:18" x14ac:dyDescent="0.25">
      <c r="A1408" s="170">
        <v>44078</v>
      </c>
      <c r="B1408" s="116">
        <v>394.125</v>
      </c>
      <c r="C1408" s="116">
        <v>391.9</v>
      </c>
      <c r="D1408" s="116">
        <v>380</v>
      </c>
      <c r="E1408" s="116">
        <v>380</v>
      </c>
      <c r="F1408" s="116">
        <v>783.8</v>
      </c>
      <c r="G1408">
        <v>6890</v>
      </c>
      <c r="H1408" s="116"/>
      <c r="I1408" s="116"/>
      <c r="L1408" s="170">
        <v>44078</v>
      </c>
      <c r="M1408" s="116">
        <v>392.22500000000002</v>
      </c>
      <c r="N1408" s="116">
        <v>394</v>
      </c>
      <c r="O1408" s="116">
        <v>378.8</v>
      </c>
      <c r="P1408" s="116">
        <v>378.8</v>
      </c>
      <c r="Q1408" s="116">
        <v>784.45</v>
      </c>
      <c r="R1408">
        <v>575033</v>
      </c>
    </row>
    <row r="1409" spans="1:18" x14ac:dyDescent="0.25">
      <c r="A1409" s="170">
        <v>44081</v>
      </c>
      <c r="B1409" s="116">
        <v>388.97500000000002</v>
      </c>
      <c r="C1409" s="116">
        <v>386.625</v>
      </c>
      <c r="D1409" s="116">
        <v>382.5</v>
      </c>
      <c r="E1409" s="116">
        <v>385.5</v>
      </c>
      <c r="F1409" s="116">
        <v>773.25</v>
      </c>
      <c r="G1409">
        <v>11814</v>
      </c>
      <c r="H1409" s="116"/>
      <c r="I1409" s="116"/>
      <c r="L1409" s="170">
        <v>44081</v>
      </c>
      <c r="M1409" s="116">
        <v>386.65</v>
      </c>
      <c r="N1409" s="116">
        <v>392.22500000000002</v>
      </c>
      <c r="O1409" s="116">
        <v>382.15</v>
      </c>
      <c r="P1409" s="116">
        <v>390.72500000000002</v>
      </c>
      <c r="Q1409" s="116">
        <v>773.3</v>
      </c>
      <c r="R1409">
        <v>196352</v>
      </c>
    </row>
    <row r="1410" spans="1:18" x14ac:dyDescent="0.25">
      <c r="A1410" s="170">
        <v>44082</v>
      </c>
      <c r="B1410" s="116">
        <v>397.5</v>
      </c>
      <c r="C1410" s="116">
        <v>394.25</v>
      </c>
      <c r="D1410" s="116">
        <v>389.22500000000002</v>
      </c>
      <c r="E1410" s="116">
        <v>389.22500000000002</v>
      </c>
      <c r="F1410" s="116">
        <v>788.5</v>
      </c>
      <c r="G1410">
        <v>13411</v>
      </c>
      <c r="H1410" s="116"/>
      <c r="I1410" s="116"/>
      <c r="L1410" s="170">
        <v>44082</v>
      </c>
      <c r="M1410" s="116">
        <v>394.1</v>
      </c>
      <c r="N1410" s="116">
        <v>398</v>
      </c>
      <c r="O1410" s="116">
        <v>387.5</v>
      </c>
      <c r="P1410" s="116">
        <v>387.5</v>
      </c>
      <c r="Q1410" s="116">
        <v>788.2</v>
      </c>
      <c r="R1410">
        <v>378890</v>
      </c>
    </row>
    <row r="1411" spans="1:18" x14ac:dyDescent="0.25">
      <c r="A1411" s="170">
        <v>44083</v>
      </c>
      <c r="B1411" s="116">
        <v>397.1</v>
      </c>
      <c r="C1411" s="116">
        <v>394.45</v>
      </c>
      <c r="D1411" s="116">
        <v>387.35</v>
      </c>
      <c r="E1411" s="116">
        <v>390.55</v>
      </c>
      <c r="F1411" s="116">
        <v>788.9</v>
      </c>
      <c r="G1411">
        <v>10379</v>
      </c>
      <c r="H1411" s="116"/>
      <c r="I1411" s="116"/>
      <c r="L1411" s="170">
        <v>44083</v>
      </c>
      <c r="M1411" s="116">
        <v>393.95</v>
      </c>
      <c r="N1411" s="116">
        <v>397.47500000000002</v>
      </c>
      <c r="O1411" s="116">
        <v>387</v>
      </c>
      <c r="P1411" s="116">
        <v>392.125</v>
      </c>
      <c r="Q1411" s="116">
        <v>787.9</v>
      </c>
      <c r="R1411">
        <v>213892</v>
      </c>
    </row>
    <row r="1412" spans="1:18" x14ac:dyDescent="0.25">
      <c r="A1412" s="170">
        <v>44084</v>
      </c>
      <c r="B1412" s="116">
        <v>398.05</v>
      </c>
      <c r="C1412" s="116">
        <v>393.77499999999998</v>
      </c>
      <c r="D1412" s="116">
        <v>393.22500000000002</v>
      </c>
      <c r="E1412" s="116">
        <v>395.05</v>
      </c>
      <c r="F1412" s="116">
        <v>787.55</v>
      </c>
      <c r="G1412">
        <v>20113</v>
      </c>
      <c r="H1412" s="116"/>
      <c r="I1412" s="116"/>
      <c r="L1412" s="170">
        <v>44084</v>
      </c>
      <c r="M1412" s="116">
        <v>394</v>
      </c>
      <c r="N1412" s="116">
        <v>398.35</v>
      </c>
      <c r="O1412" s="116">
        <v>393.52499999999998</v>
      </c>
      <c r="P1412" s="116">
        <v>397</v>
      </c>
      <c r="Q1412" s="116">
        <v>788</v>
      </c>
      <c r="R1412">
        <v>185100</v>
      </c>
    </row>
    <row r="1413" spans="1:18" x14ac:dyDescent="0.25">
      <c r="A1413" s="170">
        <v>44085</v>
      </c>
      <c r="B1413" s="116">
        <v>401.07499999999999</v>
      </c>
      <c r="C1413" s="116">
        <v>399.65</v>
      </c>
      <c r="D1413" s="116">
        <v>393.72500000000002</v>
      </c>
      <c r="E1413" s="116">
        <v>396.25</v>
      </c>
      <c r="F1413" s="116">
        <v>799.3</v>
      </c>
      <c r="G1413">
        <v>16315</v>
      </c>
      <c r="H1413" s="116"/>
      <c r="I1413" s="116"/>
      <c r="L1413" s="170">
        <v>44085</v>
      </c>
      <c r="M1413" s="116">
        <v>399.82499999999999</v>
      </c>
      <c r="N1413" s="116">
        <v>402.25</v>
      </c>
      <c r="O1413" s="116">
        <v>393.02499999999998</v>
      </c>
      <c r="P1413" s="116">
        <v>400</v>
      </c>
      <c r="Q1413" s="116">
        <v>799.65</v>
      </c>
      <c r="R1413">
        <v>340805</v>
      </c>
    </row>
    <row r="1414" spans="1:18" x14ac:dyDescent="0.25">
      <c r="A1414" s="170">
        <v>44088</v>
      </c>
      <c r="B1414" s="116">
        <v>424.5</v>
      </c>
      <c r="C1414" s="116">
        <v>415.05</v>
      </c>
      <c r="D1414" s="116">
        <v>404.72500000000002</v>
      </c>
      <c r="E1414" s="116">
        <v>412</v>
      </c>
      <c r="F1414" s="116">
        <v>830.1</v>
      </c>
      <c r="G1414">
        <v>29986</v>
      </c>
      <c r="H1414" s="116"/>
      <c r="I1414" s="116"/>
      <c r="L1414" s="170">
        <v>44088</v>
      </c>
      <c r="M1414" s="116">
        <v>414.22500000000002</v>
      </c>
      <c r="N1414" s="116">
        <v>424.95</v>
      </c>
      <c r="O1414" s="116">
        <v>402.75</v>
      </c>
      <c r="P1414" s="116">
        <v>403.5</v>
      </c>
      <c r="Q1414" s="116">
        <v>828.45</v>
      </c>
      <c r="R1414">
        <v>843993</v>
      </c>
    </row>
    <row r="1415" spans="1:18" x14ac:dyDescent="0.25">
      <c r="A1415" s="170">
        <v>44089</v>
      </c>
      <c r="B1415" s="116">
        <v>482.5</v>
      </c>
      <c r="C1415" s="116">
        <v>448.32499999999999</v>
      </c>
      <c r="D1415" s="116">
        <v>445.5</v>
      </c>
      <c r="E1415" s="116">
        <v>449.2</v>
      </c>
      <c r="F1415" s="116">
        <v>896.65</v>
      </c>
      <c r="G1415">
        <v>134056</v>
      </c>
      <c r="H1415" s="116"/>
      <c r="I1415" s="116"/>
      <c r="L1415" s="170">
        <v>44089</v>
      </c>
      <c r="M1415" s="116">
        <v>448.72500000000002</v>
      </c>
      <c r="N1415" s="116">
        <v>482.5</v>
      </c>
      <c r="O1415" s="116">
        <v>445.1</v>
      </c>
      <c r="P1415" s="116">
        <v>452</v>
      </c>
      <c r="Q1415" s="116">
        <v>897.45</v>
      </c>
      <c r="R1415">
        <v>2607734</v>
      </c>
    </row>
    <row r="1416" spans="1:18" x14ac:dyDescent="0.25">
      <c r="A1416" s="170">
        <v>44090</v>
      </c>
      <c r="B1416" s="116">
        <v>492.5</v>
      </c>
      <c r="C1416" s="116">
        <v>484.77499999999998</v>
      </c>
      <c r="D1416" s="116">
        <v>452.15</v>
      </c>
      <c r="E1416" s="116">
        <v>452.5</v>
      </c>
      <c r="F1416" s="116">
        <v>969.55</v>
      </c>
      <c r="G1416">
        <v>96004</v>
      </c>
      <c r="H1416" s="116"/>
      <c r="I1416" s="116"/>
      <c r="L1416" s="170">
        <v>44090</v>
      </c>
      <c r="M1416" s="116">
        <v>485.42500000000001</v>
      </c>
      <c r="N1416" s="116">
        <v>492.47500000000002</v>
      </c>
      <c r="O1416" s="116">
        <v>451</v>
      </c>
      <c r="P1416" s="116">
        <v>451</v>
      </c>
      <c r="Q1416" s="116">
        <v>970.85</v>
      </c>
      <c r="R1416">
        <v>2177910</v>
      </c>
    </row>
    <row r="1417" spans="1:18" x14ac:dyDescent="0.25">
      <c r="A1417" s="170">
        <v>44091</v>
      </c>
      <c r="B1417" s="116">
        <v>572.57500000000005</v>
      </c>
      <c r="C1417" s="116">
        <v>534.20000000000005</v>
      </c>
      <c r="D1417" s="116">
        <v>482.75</v>
      </c>
      <c r="E1417" s="116">
        <v>484.55</v>
      </c>
      <c r="F1417" s="116">
        <v>1068.4000000000001</v>
      </c>
      <c r="G1417">
        <v>201091</v>
      </c>
      <c r="H1417" s="116"/>
      <c r="I1417" s="116"/>
      <c r="L1417" s="170">
        <v>44091</v>
      </c>
      <c r="M1417" s="116">
        <v>534.85</v>
      </c>
      <c r="N1417" s="116">
        <v>572.20000000000005</v>
      </c>
      <c r="O1417" s="116">
        <v>483.6</v>
      </c>
      <c r="P1417" s="116">
        <v>485.5</v>
      </c>
      <c r="Q1417" s="116">
        <v>1069.7</v>
      </c>
      <c r="R1417">
        <v>4572424</v>
      </c>
    </row>
    <row r="1418" spans="1:18" x14ac:dyDescent="0.25">
      <c r="A1418" s="170">
        <v>44092</v>
      </c>
      <c r="B1418" s="116">
        <v>574.5</v>
      </c>
      <c r="C1418" s="116">
        <v>564.77499999999998</v>
      </c>
      <c r="D1418" s="116">
        <v>540.5</v>
      </c>
      <c r="E1418" s="116">
        <v>541</v>
      </c>
      <c r="F1418" s="116">
        <v>1129.55</v>
      </c>
      <c r="G1418">
        <v>133089</v>
      </c>
      <c r="H1418" s="116"/>
      <c r="I1418" s="116"/>
      <c r="L1418" s="170">
        <v>44092</v>
      </c>
      <c r="M1418" s="116">
        <v>562.92499999999995</v>
      </c>
      <c r="N1418" s="116">
        <v>574.95000000000005</v>
      </c>
      <c r="O1418" s="116">
        <v>540</v>
      </c>
      <c r="P1418" s="116">
        <v>540</v>
      </c>
      <c r="Q1418" s="116">
        <v>1125.8499999999999</v>
      </c>
      <c r="R1418">
        <v>3582175</v>
      </c>
    </row>
    <row r="1419" spans="1:18" x14ac:dyDescent="0.25">
      <c r="A1419" s="170">
        <v>44095</v>
      </c>
      <c r="B1419" s="116">
        <v>575</v>
      </c>
      <c r="C1419" s="116">
        <v>539.67499999999995</v>
      </c>
      <c r="D1419" s="116">
        <v>523.25</v>
      </c>
      <c r="E1419" s="116">
        <v>568</v>
      </c>
      <c r="F1419" s="116">
        <v>1079.3499999999999</v>
      </c>
      <c r="G1419">
        <v>82823</v>
      </c>
      <c r="H1419" s="116"/>
      <c r="I1419" s="116"/>
      <c r="L1419" s="170">
        <v>44095</v>
      </c>
      <c r="M1419" s="116">
        <v>539.54999999999995</v>
      </c>
      <c r="N1419" s="116">
        <v>574.5</v>
      </c>
      <c r="O1419" s="116">
        <v>532.54999999999995</v>
      </c>
      <c r="P1419" s="116">
        <v>569.5</v>
      </c>
      <c r="Q1419" s="116">
        <v>1079.0999999999999</v>
      </c>
      <c r="R1419">
        <v>776962</v>
      </c>
    </row>
    <row r="1420" spans="1:18" x14ac:dyDescent="0.25">
      <c r="A1420" s="170">
        <v>44096</v>
      </c>
      <c r="B1420" s="116">
        <v>546.97500000000002</v>
      </c>
      <c r="C1420" s="116">
        <v>499.07499999999999</v>
      </c>
      <c r="D1420" s="116">
        <v>486</v>
      </c>
      <c r="E1420" s="116">
        <v>540</v>
      </c>
      <c r="F1420" s="116">
        <v>998.15</v>
      </c>
      <c r="G1420">
        <v>60544</v>
      </c>
      <c r="H1420" s="116"/>
      <c r="I1420" s="116"/>
      <c r="L1420" s="170">
        <v>44096</v>
      </c>
      <c r="M1420" s="116">
        <v>499.5</v>
      </c>
      <c r="N1420" s="116">
        <v>550</v>
      </c>
      <c r="O1420" s="116">
        <v>490</v>
      </c>
      <c r="P1420" s="116">
        <v>543</v>
      </c>
      <c r="Q1420" s="116">
        <v>999</v>
      </c>
      <c r="R1420">
        <v>563656</v>
      </c>
    </row>
    <row r="1421" spans="1:18" x14ac:dyDescent="0.25">
      <c r="A1421" s="170">
        <v>44097</v>
      </c>
      <c r="B1421" s="116">
        <v>514.95000000000005</v>
      </c>
      <c r="C1421" s="116">
        <v>460.625</v>
      </c>
      <c r="D1421" s="116">
        <v>453.875</v>
      </c>
      <c r="E1421" s="116">
        <v>500.6</v>
      </c>
      <c r="F1421" s="116">
        <v>921.25</v>
      </c>
      <c r="G1421">
        <v>30953</v>
      </c>
      <c r="H1421" s="116"/>
      <c r="I1421" s="116"/>
      <c r="L1421" s="170">
        <v>44097</v>
      </c>
      <c r="M1421" s="116">
        <v>461.55</v>
      </c>
      <c r="N1421" s="116">
        <v>515</v>
      </c>
      <c r="O1421" s="116">
        <v>453.07499999999999</v>
      </c>
      <c r="P1421" s="116">
        <v>505.5</v>
      </c>
      <c r="Q1421" s="116">
        <v>923.1</v>
      </c>
      <c r="R1421">
        <v>642462</v>
      </c>
    </row>
    <row r="1422" spans="1:18" x14ac:dyDescent="0.25">
      <c r="A1422" s="170">
        <v>44098</v>
      </c>
      <c r="B1422" s="116">
        <v>478.1</v>
      </c>
      <c r="C1422" s="116">
        <v>459.9</v>
      </c>
      <c r="D1422" s="116">
        <v>436.05</v>
      </c>
      <c r="E1422" s="116">
        <v>459.35</v>
      </c>
      <c r="F1422" s="116">
        <v>919.8</v>
      </c>
      <c r="G1422">
        <v>30172</v>
      </c>
      <c r="H1422" s="116"/>
      <c r="I1422" s="116"/>
      <c r="L1422" s="170">
        <v>44098</v>
      </c>
      <c r="M1422" s="116">
        <v>460.3</v>
      </c>
      <c r="N1422" s="116">
        <v>476.4</v>
      </c>
      <c r="O1422" s="116">
        <v>436.6</v>
      </c>
      <c r="P1422" s="116">
        <v>455</v>
      </c>
      <c r="Q1422" s="116">
        <v>920.6</v>
      </c>
      <c r="R1422">
        <v>829333</v>
      </c>
    </row>
    <row r="1423" spans="1:18" x14ac:dyDescent="0.25">
      <c r="A1423" s="170">
        <v>44099</v>
      </c>
      <c r="B1423" s="116">
        <v>483.3</v>
      </c>
      <c r="C1423" s="116">
        <v>478.2</v>
      </c>
      <c r="D1423" s="116">
        <v>467.27499999999998</v>
      </c>
      <c r="E1423" s="116">
        <v>469</v>
      </c>
      <c r="F1423" s="116">
        <v>956.4</v>
      </c>
      <c r="G1423">
        <v>19708</v>
      </c>
      <c r="H1423" s="116"/>
      <c r="I1423" s="116"/>
      <c r="L1423" s="170">
        <v>44099</v>
      </c>
      <c r="M1423" s="116">
        <v>478.875</v>
      </c>
      <c r="N1423" s="116">
        <v>483.75</v>
      </c>
      <c r="O1423" s="116">
        <v>466</v>
      </c>
      <c r="P1423" s="116">
        <v>470</v>
      </c>
      <c r="Q1423" s="116">
        <v>957.75</v>
      </c>
      <c r="R1423">
        <v>362029</v>
      </c>
    </row>
    <row r="1424" spans="1:18" x14ac:dyDescent="0.25">
      <c r="A1424" s="170">
        <v>44102</v>
      </c>
      <c r="B1424" s="116">
        <v>513.5</v>
      </c>
      <c r="C1424" s="116">
        <v>509.27499999999998</v>
      </c>
      <c r="D1424" s="116">
        <v>478.82499999999999</v>
      </c>
      <c r="E1424" s="116">
        <v>497.47500000000002</v>
      </c>
      <c r="F1424" s="116">
        <v>1018.55</v>
      </c>
      <c r="G1424">
        <v>23715</v>
      </c>
      <c r="H1424" s="116"/>
      <c r="I1424" s="116"/>
      <c r="L1424" s="170">
        <v>44102</v>
      </c>
      <c r="M1424" s="116">
        <v>509</v>
      </c>
      <c r="N1424" s="116">
        <v>513.47500000000002</v>
      </c>
      <c r="O1424" s="116">
        <v>478.97500000000002</v>
      </c>
      <c r="P1424" s="116">
        <v>488.5</v>
      </c>
      <c r="Q1424" s="116">
        <v>1018</v>
      </c>
      <c r="R1424">
        <v>600625</v>
      </c>
    </row>
    <row r="1425" spans="1:18" x14ac:dyDescent="0.25">
      <c r="A1425" s="170">
        <v>44103</v>
      </c>
      <c r="B1425" s="116">
        <v>517.125</v>
      </c>
      <c r="C1425" s="116">
        <v>495.32499999999999</v>
      </c>
      <c r="D1425" s="116">
        <v>487.27499999999998</v>
      </c>
      <c r="E1425" s="116">
        <v>511</v>
      </c>
      <c r="F1425" s="116">
        <v>990.65</v>
      </c>
      <c r="G1425">
        <v>30886</v>
      </c>
      <c r="H1425" s="116"/>
      <c r="I1425" s="116"/>
      <c r="L1425" s="170">
        <v>44103</v>
      </c>
      <c r="M1425" s="116">
        <v>496.35</v>
      </c>
      <c r="N1425" s="116">
        <v>517.5</v>
      </c>
      <c r="O1425" s="116">
        <v>487.5</v>
      </c>
      <c r="P1425" s="116">
        <v>515.57500000000005</v>
      </c>
      <c r="Q1425" s="116">
        <v>992.7</v>
      </c>
      <c r="R1425">
        <v>284486</v>
      </c>
    </row>
    <row r="1426" spans="1:18" x14ac:dyDescent="0.25">
      <c r="A1426" s="170">
        <v>44104</v>
      </c>
      <c r="B1426" s="116">
        <v>503.5</v>
      </c>
      <c r="C1426" s="116">
        <v>493.75</v>
      </c>
      <c r="D1426" s="116">
        <v>486.05</v>
      </c>
      <c r="E1426" s="116">
        <v>496</v>
      </c>
      <c r="F1426" s="116">
        <v>987.5</v>
      </c>
      <c r="G1426">
        <v>6979</v>
      </c>
      <c r="H1426" s="116"/>
      <c r="I1426" s="116"/>
      <c r="L1426" s="170">
        <v>44104</v>
      </c>
      <c r="M1426" s="116">
        <v>494.15</v>
      </c>
      <c r="N1426" s="116">
        <v>500</v>
      </c>
      <c r="O1426" s="116">
        <v>487.75</v>
      </c>
      <c r="P1426" s="116">
        <v>496.5</v>
      </c>
      <c r="Q1426" s="116">
        <v>988.3</v>
      </c>
      <c r="R1426">
        <v>196764</v>
      </c>
    </row>
    <row r="1427" spans="1:18" x14ac:dyDescent="0.25">
      <c r="A1427" s="170">
        <v>44105</v>
      </c>
      <c r="B1427" s="116">
        <v>506.5</v>
      </c>
      <c r="C1427" s="116">
        <v>495.77499999999998</v>
      </c>
      <c r="D1427" s="116">
        <v>489.45</v>
      </c>
      <c r="E1427" s="116">
        <v>506.5</v>
      </c>
      <c r="F1427" s="116">
        <v>991.55</v>
      </c>
      <c r="G1427">
        <v>8315</v>
      </c>
      <c r="H1427" s="116"/>
      <c r="I1427" s="116"/>
      <c r="L1427" s="170">
        <v>44105</v>
      </c>
      <c r="M1427" s="116">
        <v>495.52499999999998</v>
      </c>
      <c r="N1427" s="116">
        <v>499.5</v>
      </c>
      <c r="O1427" s="116">
        <v>489.02499999999998</v>
      </c>
      <c r="P1427" s="116">
        <v>494.5</v>
      </c>
      <c r="Q1427" s="116">
        <v>991.05</v>
      </c>
      <c r="R1427">
        <v>136376</v>
      </c>
    </row>
    <row r="1428" spans="1:18" x14ac:dyDescent="0.25">
      <c r="A1428" s="170">
        <v>44109</v>
      </c>
      <c r="B1428" s="116">
        <v>504</v>
      </c>
      <c r="C1428" s="116">
        <v>488.6</v>
      </c>
      <c r="D1428" s="116">
        <v>486.5</v>
      </c>
      <c r="E1428" s="116">
        <v>491</v>
      </c>
      <c r="F1428" s="116">
        <v>977.2</v>
      </c>
      <c r="G1428">
        <v>13059</v>
      </c>
      <c r="H1428" s="116"/>
      <c r="I1428" s="116"/>
      <c r="L1428" s="170">
        <v>44109</v>
      </c>
      <c r="M1428" s="116">
        <v>489.52499999999998</v>
      </c>
      <c r="N1428" s="116">
        <v>503</v>
      </c>
      <c r="O1428" s="116">
        <v>486.5</v>
      </c>
      <c r="P1428" s="116">
        <v>499.9</v>
      </c>
      <c r="Q1428" s="116">
        <v>979.05</v>
      </c>
      <c r="R1428">
        <v>138842</v>
      </c>
    </row>
    <row r="1429" spans="1:18" x14ac:dyDescent="0.25">
      <c r="A1429" s="170">
        <v>44110</v>
      </c>
      <c r="B1429" s="116">
        <v>492.2</v>
      </c>
      <c r="C1429" s="116">
        <v>484.27499999999998</v>
      </c>
      <c r="D1429" s="116">
        <v>478.15</v>
      </c>
      <c r="E1429" s="116">
        <v>487.57499999999999</v>
      </c>
      <c r="F1429" s="116">
        <v>968.55</v>
      </c>
      <c r="G1429">
        <v>5032</v>
      </c>
      <c r="H1429" s="116"/>
      <c r="I1429" s="116"/>
      <c r="L1429" s="170">
        <v>44110</v>
      </c>
      <c r="M1429" s="116">
        <v>485.07499999999999</v>
      </c>
      <c r="N1429" s="116">
        <v>494.9</v>
      </c>
      <c r="O1429" s="116">
        <v>483.67500000000001</v>
      </c>
      <c r="P1429" s="116">
        <v>493.95</v>
      </c>
      <c r="Q1429" s="116">
        <v>970.15</v>
      </c>
      <c r="R1429">
        <v>165742</v>
      </c>
    </row>
    <row r="1430" spans="1:18" x14ac:dyDescent="0.25">
      <c r="A1430" s="170">
        <v>44111</v>
      </c>
      <c r="B1430" s="116">
        <v>510</v>
      </c>
      <c r="C1430" s="116">
        <v>501.17500000000001</v>
      </c>
      <c r="D1430" s="116">
        <v>485</v>
      </c>
      <c r="E1430" s="116">
        <v>494.5</v>
      </c>
      <c r="F1430" s="116">
        <v>1002.35</v>
      </c>
      <c r="G1430">
        <v>21854</v>
      </c>
      <c r="H1430" s="116"/>
      <c r="I1430" s="116"/>
      <c r="L1430" s="170">
        <v>44111</v>
      </c>
      <c r="M1430" s="116">
        <v>500.22500000000002</v>
      </c>
      <c r="N1430" s="116">
        <v>510</v>
      </c>
      <c r="O1430" s="116">
        <v>485.5</v>
      </c>
      <c r="P1430" s="116">
        <v>488.4</v>
      </c>
      <c r="Q1430" s="116">
        <v>1000.45</v>
      </c>
      <c r="R1430">
        <v>436284</v>
      </c>
    </row>
    <row r="1431" spans="1:18" x14ac:dyDescent="0.25">
      <c r="A1431" s="170">
        <v>44112</v>
      </c>
      <c r="B1431" s="116">
        <v>505.55</v>
      </c>
      <c r="C1431" s="116">
        <v>494.32499999999999</v>
      </c>
      <c r="D1431" s="116">
        <v>485.05</v>
      </c>
      <c r="E1431" s="116">
        <v>505.55</v>
      </c>
      <c r="F1431" s="116">
        <v>988.65</v>
      </c>
      <c r="G1431">
        <v>14265</v>
      </c>
      <c r="H1431" s="116"/>
      <c r="I1431" s="116"/>
      <c r="L1431" s="170">
        <v>44112</v>
      </c>
      <c r="M1431" s="116">
        <v>494.97500000000002</v>
      </c>
      <c r="N1431" s="116">
        <v>507.5</v>
      </c>
      <c r="O1431" s="116">
        <v>490.5</v>
      </c>
      <c r="P1431" s="116">
        <v>505.5</v>
      </c>
      <c r="Q1431" s="116">
        <v>989.95</v>
      </c>
      <c r="R1431">
        <v>215217</v>
      </c>
    </row>
    <row r="1432" spans="1:18" x14ac:dyDescent="0.25">
      <c r="A1432" s="170">
        <v>44113</v>
      </c>
      <c r="B1432" s="116">
        <v>499.5</v>
      </c>
      <c r="C1432" s="116">
        <v>489.97500000000002</v>
      </c>
      <c r="D1432" s="116">
        <v>485.3</v>
      </c>
      <c r="E1432" s="116">
        <v>494</v>
      </c>
      <c r="F1432" s="116">
        <v>979.95</v>
      </c>
      <c r="G1432">
        <v>4083</v>
      </c>
      <c r="H1432" s="116"/>
      <c r="I1432" s="116"/>
      <c r="L1432" s="170">
        <v>44113</v>
      </c>
      <c r="M1432" s="116">
        <v>489.97500000000002</v>
      </c>
      <c r="N1432" s="116">
        <v>500</v>
      </c>
      <c r="O1432" s="116">
        <v>485</v>
      </c>
      <c r="P1432" s="116">
        <v>495.5</v>
      </c>
      <c r="Q1432" s="116">
        <v>979.95</v>
      </c>
      <c r="R1432">
        <v>179373</v>
      </c>
    </row>
    <row r="1433" spans="1:18" x14ac:dyDescent="0.25">
      <c r="A1433" s="170">
        <v>44116</v>
      </c>
      <c r="B1433" s="116">
        <v>494.22500000000002</v>
      </c>
      <c r="C1433" s="116">
        <v>477.92500000000001</v>
      </c>
      <c r="D1433" s="116">
        <v>471.3</v>
      </c>
      <c r="E1433" s="116">
        <v>490</v>
      </c>
      <c r="F1433" s="116">
        <v>955.85</v>
      </c>
      <c r="G1433">
        <v>12531</v>
      </c>
      <c r="H1433" s="116"/>
      <c r="I1433" s="116"/>
      <c r="L1433" s="170">
        <v>44116</v>
      </c>
      <c r="M1433" s="116">
        <v>477.1</v>
      </c>
      <c r="N1433" s="116">
        <v>494.4</v>
      </c>
      <c r="O1433" s="116">
        <v>471.125</v>
      </c>
      <c r="P1433" s="116">
        <v>494.4</v>
      </c>
      <c r="Q1433" s="116">
        <v>954.2</v>
      </c>
      <c r="R1433">
        <v>129160</v>
      </c>
    </row>
    <row r="1434" spans="1:18" x14ac:dyDescent="0.25">
      <c r="A1434" s="170">
        <v>44117</v>
      </c>
      <c r="B1434" s="116">
        <v>507.5</v>
      </c>
      <c r="C1434" s="116">
        <v>502.97500000000002</v>
      </c>
      <c r="D1434" s="116">
        <v>474.07499999999999</v>
      </c>
      <c r="E1434" s="116">
        <v>488.5</v>
      </c>
      <c r="F1434" s="116">
        <v>1005.95</v>
      </c>
      <c r="G1434">
        <v>33784</v>
      </c>
      <c r="H1434" s="116"/>
      <c r="I1434" s="116"/>
      <c r="L1434" s="170">
        <v>44117</v>
      </c>
      <c r="M1434" s="116">
        <v>502.92500000000001</v>
      </c>
      <c r="N1434" s="116">
        <v>507.5</v>
      </c>
      <c r="O1434" s="116">
        <v>472.6</v>
      </c>
      <c r="P1434" s="116">
        <v>479.67500000000001</v>
      </c>
      <c r="Q1434" s="116">
        <v>1005.85</v>
      </c>
      <c r="R1434">
        <v>367787</v>
      </c>
    </row>
    <row r="1435" spans="1:18" x14ac:dyDescent="0.25">
      <c r="A1435" s="170">
        <v>44118</v>
      </c>
      <c r="B1435" s="116">
        <v>528</v>
      </c>
      <c r="C1435" s="116">
        <v>519.45000000000005</v>
      </c>
      <c r="D1435" s="116">
        <v>494.47500000000002</v>
      </c>
      <c r="E1435" s="116">
        <v>505.25</v>
      </c>
      <c r="F1435" s="116">
        <v>1038.9000000000001</v>
      </c>
      <c r="G1435">
        <v>40175</v>
      </c>
      <c r="H1435" s="116"/>
      <c r="I1435" s="116"/>
      <c r="L1435" s="170">
        <v>44118</v>
      </c>
      <c r="M1435" s="116">
        <v>520.5</v>
      </c>
      <c r="N1435" s="116">
        <v>528</v>
      </c>
      <c r="O1435" s="116">
        <v>496</v>
      </c>
      <c r="P1435" s="116">
        <v>500</v>
      </c>
      <c r="Q1435" s="116">
        <v>1041</v>
      </c>
      <c r="R1435">
        <v>374917</v>
      </c>
    </row>
    <row r="1436" spans="1:18" x14ac:dyDescent="0.25">
      <c r="A1436" s="170">
        <v>44119</v>
      </c>
      <c r="B1436" s="116">
        <v>536.95000000000005</v>
      </c>
      <c r="C1436" s="116">
        <v>522.54999999999995</v>
      </c>
      <c r="D1436" s="116">
        <v>515.45000000000005</v>
      </c>
      <c r="E1436" s="116">
        <v>528.5</v>
      </c>
      <c r="F1436" s="116">
        <v>1045.0999999999999</v>
      </c>
      <c r="G1436">
        <v>10133</v>
      </c>
      <c r="H1436" s="116"/>
      <c r="I1436" s="116"/>
      <c r="L1436" s="170">
        <v>44119</v>
      </c>
      <c r="M1436" s="116">
        <v>522.82500000000005</v>
      </c>
      <c r="N1436" s="116">
        <v>536.95000000000005</v>
      </c>
      <c r="O1436" s="116">
        <v>515.52499999999998</v>
      </c>
      <c r="P1436" s="116">
        <v>525</v>
      </c>
      <c r="Q1436" s="116">
        <v>1045.6500000000001</v>
      </c>
      <c r="R1436">
        <v>237344</v>
      </c>
    </row>
    <row r="1437" spans="1:18" x14ac:dyDescent="0.25">
      <c r="A1437" s="170">
        <v>44120</v>
      </c>
      <c r="B1437" s="116">
        <v>532</v>
      </c>
      <c r="C1437" s="116">
        <v>522.77499999999998</v>
      </c>
      <c r="D1437" s="116">
        <v>505.8</v>
      </c>
      <c r="E1437" s="116">
        <v>532</v>
      </c>
      <c r="F1437" s="116">
        <v>1045.55</v>
      </c>
      <c r="G1437">
        <v>4284</v>
      </c>
      <c r="H1437" s="116"/>
      <c r="I1437" s="116"/>
      <c r="L1437" s="170">
        <v>44120</v>
      </c>
      <c r="M1437" s="116">
        <v>524.04999999999995</v>
      </c>
      <c r="N1437" s="116">
        <v>527.4</v>
      </c>
      <c r="O1437" s="116">
        <v>505.02499999999998</v>
      </c>
      <c r="P1437" s="116">
        <v>525.5</v>
      </c>
      <c r="Q1437" s="116">
        <v>1048.0999999999999</v>
      </c>
      <c r="R1437">
        <v>148741</v>
      </c>
    </row>
    <row r="1438" spans="1:18" x14ac:dyDescent="0.25">
      <c r="A1438" s="170">
        <v>44123</v>
      </c>
      <c r="B1438" s="116">
        <v>538.72500000000002</v>
      </c>
      <c r="C1438" s="116">
        <v>531.375</v>
      </c>
      <c r="D1438" s="116">
        <v>513</v>
      </c>
      <c r="E1438" s="116">
        <v>534.5</v>
      </c>
      <c r="F1438" s="116">
        <v>1062.75</v>
      </c>
      <c r="G1438">
        <v>5283</v>
      </c>
      <c r="H1438" s="116"/>
      <c r="I1438" s="116"/>
      <c r="L1438" s="170">
        <v>44123</v>
      </c>
      <c r="M1438" s="116">
        <v>531.79999999999995</v>
      </c>
      <c r="N1438" s="116">
        <v>538</v>
      </c>
      <c r="O1438" s="116">
        <v>513.07500000000005</v>
      </c>
      <c r="P1438" s="116">
        <v>524.04999999999995</v>
      </c>
      <c r="Q1438" s="116">
        <v>1063.5999999999999</v>
      </c>
      <c r="R1438">
        <v>156199</v>
      </c>
    </row>
    <row r="1439" spans="1:18" x14ac:dyDescent="0.25">
      <c r="A1439" s="170">
        <v>44124</v>
      </c>
      <c r="B1439" s="116">
        <v>543.5</v>
      </c>
      <c r="C1439" s="116">
        <v>518.65</v>
      </c>
      <c r="D1439" s="116">
        <v>514.15</v>
      </c>
      <c r="E1439" s="116">
        <v>543.5</v>
      </c>
      <c r="F1439" s="116">
        <v>1037.3</v>
      </c>
      <c r="G1439">
        <v>4372</v>
      </c>
      <c r="H1439" s="116"/>
      <c r="I1439" s="116"/>
      <c r="L1439" s="170">
        <v>44124</v>
      </c>
      <c r="M1439" s="116">
        <v>520</v>
      </c>
      <c r="N1439" s="116">
        <v>532.92499999999995</v>
      </c>
      <c r="O1439" s="116">
        <v>514</v>
      </c>
      <c r="P1439" s="116">
        <v>532.79999999999995</v>
      </c>
      <c r="Q1439" s="116">
        <v>1040</v>
      </c>
      <c r="R1439">
        <v>109884</v>
      </c>
    </row>
    <row r="1440" spans="1:18" x14ac:dyDescent="0.25">
      <c r="A1440" s="170">
        <v>44125</v>
      </c>
      <c r="B1440" s="116">
        <v>535</v>
      </c>
      <c r="C1440" s="116">
        <v>511.05</v>
      </c>
      <c r="D1440" s="116">
        <v>501.55</v>
      </c>
      <c r="E1440" s="116">
        <v>535</v>
      </c>
      <c r="F1440" s="116">
        <v>1022.1</v>
      </c>
      <c r="G1440">
        <v>3690</v>
      </c>
      <c r="H1440" s="116"/>
      <c r="I1440" s="116"/>
      <c r="L1440" s="170">
        <v>44125</v>
      </c>
      <c r="M1440" s="116">
        <v>511</v>
      </c>
      <c r="N1440" s="116">
        <v>527.35</v>
      </c>
      <c r="O1440" s="116">
        <v>501.52499999999998</v>
      </c>
      <c r="P1440" s="116">
        <v>525</v>
      </c>
      <c r="Q1440" s="116">
        <v>1022</v>
      </c>
      <c r="R1440">
        <v>115668</v>
      </c>
    </row>
    <row r="1441" spans="1:18" x14ac:dyDescent="0.25">
      <c r="A1441" s="170">
        <v>44126</v>
      </c>
      <c r="B1441" s="116">
        <v>522</v>
      </c>
      <c r="C1441" s="116">
        <v>516.92499999999995</v>
      </c>
      <c r="D1441" s="116">
        <v>505.75</v>
      </c>
      <c r="E1441" s="116">
        <v>513.45000000000005</v>
      </c>
      <c r="F1441" s="116">
        <v>1033.8499999999999</v>
      </c>
      <c r="G1441">
        <v>4591</v>
      </c>
      <c r="H1441" s="116"/>
      <c r="I1441" s="116"/>
      <c r="L1441" s="170">
        <v>44126</v>
      </c>
      <c r="M1441" s="116">
        <v>513.92499999999995</v>
      </c>
      <c r="N1441" s="116">
        <v>522.5</v>
      </c>
      <c r="O1441" s="116">
        <v>504</v>
      </c>
      <c r="P1441" s="116">
        <v>514.5</v>
      </c>
      <c r="Q1441" s="116">
        <v>1027.8499999999999</v>
      </c>
      <c r="R1441">
        <v>120891</v>
      </c>
    </row>
    <row r="1442" spans="1:18" x14ac:dyDescent="0.25">
      <c r="A1442" s="170">
        <v>44127</v>
      </c>
      <c r="B1442" s="116">
        <v>521.35</v>
      </c>
      <c r="C1442" s="116">
        <v>499.92500000000001</v>
      </c>
      <c r="D1442" s="116">
        <v>496.25</v>
      </c>
      <c r="E1442" s="116">
        <v>506</v>
      </c>
      <c r="F1442" s="116">
        <v>999.85</v>
      </c>
      <c r="G1442">
        <v>8020</v>
      </c>
      <c r="H1442" s="116"/>
      <c r="I1442" s="116"/>
      <c r="L1442" s="170">
        <v>44127</v>
      </c>
      <c r="M1442" s="116">
        <v>499.67500000000001</v>
      </c>
      <c r="N1442" s="116">
        <v>525</v>
      </c>
      <c r="O1442" s="116">
        <v>496.55</v>
      </c>
      <c r="P1442" s="116">
        <v>508</v>
      </c>
      <c r="Q1442" s="116">
        <v>999.35</v>
      </c>
      <c r="R1442">
        <v>60270</v>
      </c>
    </row>
    <row r="1443" spans="1:18" x14ac:dyDescent="0.25">
      <c r="A1443" s="170">
        <v>44130</v>
      </c>
      <c r="B1443" s="116">
        <v>514.54999999999995</v>
      </c>
      <c r="C1443" s="116">
        <v>503.6</v>
      </c>
      <c r="D1443" s="116">
        <v>482.75</v>
      </c>
      <c r="E1443" s="116">
        <v>509</v>
      </c>
      <c r="F1443" s="116">
        <v>1007.2</v>
      </c>
      <c r="G1443">
        <v>14104</v>
      </c>
      <c r="H1443" s="116"/>
      <c r="I1443" s="116"/>
      <c r="L1443" s="170">
        <v>44130</v>
      </c>
      <c r="M1443" s="116">
        <v>503.72500000000002</v>
      </c>
      <c r="N1443" s="116">
        <v>512.45000000000005</v>
      </c>
      <c r="O1443" s="116">
        <v>486</v>
      </c>
      <c r="P1443" s="116">
        <v>500</v>
      </c>
      <c r="Q1443" s="116">
        <v>1007.45</v>
      </c>
      <c r="R1443">
        <v>140809</v>
      </c>
    </row>
    <row r="1444" spans="1:18" x14ac:dyDescent="0.25">
      <c r="A1444" s="170">
        <v>44131</v>
      </c>
      <c r="B1444" s="116">
        <v>521.22500000000002</v>
      </c>
      <c r="C1444" s="116">
        <v>519.375</v>
      </c>
      <c r="D1444" s="116">
        <v>489.3</v>
      </c>
      <c r="E1444" s="116">
        <v>514.5</v>
      </c>
      <c r="F1444" s="116">
        <v>1038.75</v>
      </c>
      <c r="G1444">
        <v>8613</v>
      </c>
      <c r="H1444" s="116"/>
      <c r="I1444" s="116"/>
      <c r="L1444" s="170">
        <v>44131</v>
      </c>
      <c r="M1444" s="116">
        <v>516.75</v>
      </c>
      <c r="N1444" s="116">
        <v>530.5</v>
      </c>
      <c r="O1444" s="116">
        <v>488.47500000000002</v>
      </c>
      <c r="P1444" s="116">
        <v>503.5</v>
      </c>
      <c r="Q1444" s="116">
        <v>1033.5</v>
      </c>
      <c r="R1444">
        <v>105367</v>
      </c>
    </row>
    <row r="1445" spans="1:18" x14ac:dyDescent="0.25">
      <c r="A1445" s="170">
        <v>44132</v>
      </c>
      <c r="B1445" s="116">
        <v>525</v>
      </c>
      <c r="C1445" s="116">
        <v>505.92500000000001</v>
      </c>
      <c r="D1445" s="116">
        <v>500</v>
      </c>
      <c r="E1445" s="116">
        <v>525</v>
      </c>
      <c r="F1445" s="116">
        <v>1011.85</v>
      </c>
      <c r="G1445">
        <v>8819</v>
      </c>
      <c r="H1445" s="116"/>
      <c r="I1445" s="116"/>
      <c r="L1445" s="170">
        <v>44132</v>
      </c>
      <c r="M1445" s="116">
        <v>506.32499999999999</v>
      </c>
      <c r="N1445" s="116">
        <v>520</v>
      </c>
      <c r="O1445" s="116">
        <v>500</v>
      </c>
      <c r="P1445" s="116">
        <v>520</v>
      </c>
      <c r="Q1445" s="116">
        <v>1012.65</v>
      </c>
      <c r="R1445">
        <v>56216</v>
      </c>
    </row>
    <row r="1446" spans="1:18" x14ac:dyDescent="0.25">
      <c r="A1446" s="170">
        <v>44133</v>
      </c>
      <c r="B1446" s="116">
        <v>517</v>
      </c>
      <c r="C1446" s="116">
        <v>495.42500000000001</v>
      </c>
      <c r="D1446" s="116">
        <v>482.55</v>
      </c>
      <c r="E1446" s="116">
        <v>504.4</v>
      </c>
      <c r="F1446" s="116">
        <v>990.85</v>
      </c>
      <c r="G1446">
        <v>4631</v>
      </c>
      <c r="H1446" s="116"/>
      <c r="I1446" s="116"/>
      <c r="L1446" s="170">
        <v>44133</v>
      </c>
      <c r="M1446" s="116">
        <v>496.27499999999998</v>
      </c>
      <c r="N1446" s="116">
        <v>503.15</v>
      </c>
      <c r="O1446" s="116">
        <v>491</v>
      </c>
      <c r="P1446" s="116">
        <v>495.95</v>
      </c>
      <c r="Q1446" s="116">
        <v>992.55</v>
      </c>
      <c r="R1446">
        <v>228419</v>
      </c>
    </row>
    <row r="1447" spans="1:18" x14ac:dyDescent="0.25">
      <c r="A1447" s="170">
        <v>44134</v>
      </c>
      <c r="B1447" s="116">
        <v>515.375</v>
      </c>
      <c r="C1447" s="116">
        <v>504.82499999999999</v>
      </c>
      <c r="D1447" s="116">
        <v>495.5</v>
      </c>
      <c r="E1447" s="116">
        <v>513</v>
      </c>
      <c r="F1447" s="116">
        <v>1009.65</v>
      </c>
      <c r="G1447">
        <v>4579</v>
      </c>
      <c r="H1447" s="116"/>
      <c r="I1447" s="116"/>
      <c r="L1447" s="170">
        <v>44134</v>
      </c>
      <c r="M1447" s="116">
        <v>504.35</v>
      </c>
      <c r="N1447" s="116">
        <v>512.375</v>
      </c>
      <c r="O1447" s="116">
        <v>496.67500000000001</v>
      </c>
      <c r="P1447" s="116">
        <v>501.5</v>
      </c>
      <c r="Q1447" s="116">
        <v>1008.7</v>
      </c>
      <c r="R1447">
        <v>63257</v>
      </c>
    </row>
    <row r="1448" spans="1:18" x14ac:dyDescent="0.25">
      <c r="A1448" s="170">
        <v>44137</v>
      </c>
      <c r="B1448" s="116">
        <v>519.5</v>
      </c>
      <c r="C1448" s="116">
        <v>496.65</v>
      </c>
      <c r="D1448" s="116">
        <v>483.47500000000002</v>
      </c>
      <c r="E1448" s="116">
        <v>519.5</v>
      </c>
      <c r="F1448" s="116">
        <v>993.3</v>
      </c>
      <c r="G1448">
        <v>7827</v>
      </c>
      <c r="H1448" s="116"/>
      <c r="I1448" s="116"/>
      <c r="L1448" s="170">
        <v>44137</v>
      </c>
      <c r="M1448" s="116">
        <v>497.5</v>
      </c>
      <c r="N1448" s="116">
        <v>518</v>
      </c>
      <c r="O1448" s="116">
        <v>466.625</v>
      </c>
      <c r="P1448" s="116">
        <v>466.625</v>
      </c>
      <c r="Q1448" s="116">
        <v>995</v>
      </c>
      <c r="R1448">
        <v>83988</v>
      </c>
    </row>
    <row r="1449" spans="1:18" x14ac:dyDescent="0.25">
      <c r="A1449" s="170">
        <v>44138</v>
      </c>
      <c r="B1449" s="116">
        <v>515</v>
      </c>
      <c r="C1449" s="116">
        <v>490.82499999999999</v>
      </c>
      <c r="D1449" s="116">
        <v>488</v>
      </c>
      <c r="E1449" s="116">
        <v>496.52499999999998</v>
      </c>
      <c r="F1449" s="116">
        <v>981.65</v>
      </c>
      <c r="G1449">
        <v>6134</v>
      </c>
      <c r="H1449" s="116"/>
      <c r="I1449" s="116"/>
      <c r="L1449" s="170">
        <v>44138</v>
      </c>
      <c r="M1449" s="116">
        <v>491.42500000000001</v>
      </c>
      <c r="N1449" s="116">
        <v>500.45</v>
      </c>
      <c r="O1449" s="116">
        <v>485.9</v>
      </c>
      <c r="P1449" s="116">
        <v>500.45</v>
      </c>
      <c r="Q1449" s="116">
        <v>982.85</v>
      </c>
      <c r="R1449">
        <v>52810</v>
      </c>
    </row>
    <row r="1450" spans="1:18" x14ac:dyDescent="0.25">
      <c r="A1450" s="170">
        <v>44139</v>
      </c>
      <c r="B1450" s="116">
        <v>500.72500000000002</v>
      </c>
      <c r="C1450" s="116">
        <v>489.67500000000001</v>
      </c>
      <c r="D1450" s="116">
        <v>485</v>
      </c>
      <c r="E1450" s="116">
        <v>490</v>
      </c>
      <c r="F1450" s="116">
        <v>979.35</v>
      </c>
      <c r="G1450">
        <v>3836</v>
      </c>
      <c r="H1450" s="116"/>
      <c r="I1450" s="116"/>
      <c r="L1450" s="170">
        <v>44139</v>
      </c>
      <c r="M1450" s="116">
        <v>490.8</v>
      </c>
      <c r="N1450" s="116">
        <v>496.35</v>
      </c>
      <c r="O1450" s="116">
        <v>485.5</v>
      </c>
      <c r="P1450" s="116">
        <v>489.95</v>
      </c>
      <c r="Q1450" s="116">
        <v>981.6</v>
      </c>
      <c r="R1450">
        <v>89804</v>
      </c>
    </row>
    <row r="1451" spans="1:18" x14ac:dyDescent="0.25">
      <c r="A1451" s="170">
        <v>44140</v>
      </c>
      <c r="B1451" s="116">
        <v>507.3</v>
      </c>
      <c r="C1451" s="116">
        <v>499.6</v>
      </c>
      <c r="D1451" s="116">
        <v>493.7</v>
      </c>
      <c r="E1451" s="116">
        <v>507.3</v>
      </c>
      <c r="F1451" s="116">
        <v>999.2</v>
      </c>
      <c r="G1451">
        <v>2482</v>
      </c>
      <c r="H1451" s="116"/>
      <c r="I1451" s="116"/>
      <c r="L1451" s="170">
        <v>44140</v>
      </c>
      <c r="M1451" s="116">
        <v>500.07499999999999</v>
      </c>
      <c r="N1451" s="116">
        <v>507</v>
      </c>
      <c r="O1451" s="116">
        <v>492.625</v>
      </c>
      <c r="P1451" s="116">
        <v>496</v>
      </c>
      <c r="Q1451" s="116">
        <v>1000.15</v>
      </c>
      <c r="R1451">
        <v>49880</v>
      </c>
    </row>
    <row r="1452" spans="1:18" x14ac:dyDescent="0.25">
      <c r="A1452" s="170">
        <v>44141</v>
      </c>
      <c r="B1452" s="116">
        <v>512.35</v>
      </c>
      <c r="C1452" s="116">
        <v>510.82499999999999</v>
      </c>
      <c r="D1452" s="116">
        <v>505.07499999999999</v>
      </c>
      <c r="E1452" s="116">
        <v>511.5</v>
      </c>
      <c r="F1452" s="116">
        <v>1021.65</v>
      </c>
      <c r="G1452">
        <v>3532</v>
      </c>
      <c r="H1452" s="116"/>
      <c r="I1452" s="116"/>
      <c r="L1452" s="170">
        <v>44141</v>
      </c>
      <c r="M1452" s="116">
        <v>510.375</v>
      </c>
      <c r="N1452" s="116">
        <v>512.5</v>
      </c>
      <c r="O1452" s="116">
        <v>503.97500000000002</v>
      </c>
      <c r="P1452" s="116">
        <v>506.67500000000001</v>
      </c>
      <c r="Q1452" s="116">
        <v>1020.75</v>
      </c>
      <c r="R1452">
        <v>61957</v>
      </c>
    </row>
    <row r="1453" spans="1:18" x14ac:dyDescent="0.25">
      <c r="A1453" s="170">
        <v>44144</v>
      </c>
      <c r="B1453" s="116">
        <v>526.5</v>
      </c>
      <c r="C1453" s="116">
        <v>502.6</v>
      </c>
      <c r="D1453" s="116">
        <v>495</v>
      </c>
      <c r="E1453" s="116">
        <v>505.4</v>
      </c>
      <c r="F1453" s="116">
        <v>1005.2</v>
      </c>
      <c r="G1453">
        <v>17306</v>
      </c>
      <c r="H1453" s="116"/>
      <c r="I1453" s="116"/>
      <c r="L1453" s="170">
        <v>44144</v>
      </c>
      <c r="M1453" s="116">
        <v>501.4</v>
      </c>
      <c r="N1453" s="116">
        <v>526.5</v>
      </c>
      <c r="O1453" s="116">
        <v>493.5</v>
      </c>
      <c r="P1453" s="116">
        <v>511</v>
      </c>
      <c r="Q1453" s="116">
        <v>1002.8</v>
      </c>
      <c r="R1453">
        <v>154897</v>
      </c>
    </row>
    <row r="1454" spans="1:18" x14ac:dyDescent="0.25">
      <c r="A1454" s="170">
        <v>44145</v>
      </c>
      <c r="B1454" s="116">
        <v>506.95</v>
      </c>
      <c r="C1454" s="116">
        <v>485.2</v>
      </c>
      <c r="D1454" s="116">
        <v>482.5</v>
      </c>
      <c r="E1454" s="116">
        <v>498.5</v>
      </c>
      <c r="F1454" s="116">
        <v>970.4</v>
      </c>
      <c r="G1454">
        <v>17426</v>
      </c>
      <c r="H1454" s="116"/>
      <c r="I1454" s="116"/>
      <c r="L1454" s="170">
        <v>44145</v>
      </c>
      <c r="M1454" s="116">
        <v>485.25</v>
      </c>
      <c r="N1454" s="116">
        <v>505.97500000000002</v>
      </c>
      <c r="O1454" s="116">
        <v>482.5</v>
      </c>
      <c r="P1454" s="116">
        <v>501.4</v>
      </c>
      <c r="Q1454" s="116">
        <v>970.5</v>
      </c>
      <c r="R1454">
        <v>159593</v>
      </c>
    </row>
    <row r="1455" spans="1:18" x14ac:dyDescent="0.25">
      <c r="A1455" s="170">
        <v>44146</v>
      </c>
      <c r="B1455" s="116">
        <v>486.92500000000001</v>
      </c>
      <c r="C1455" s="116">
        <v>480.15</v>
      </c>
      <c r="D1455" s="116">
        <v>446.3</v>
      </c>
      <c r="E1455" s="116">
        <v>475</v>
      </c>
      <c r="F1455" s="116">
        <v>960.3</v>
      </c>
      <c r="G1455">
        <v>14941</v>
      </c>
      <c r="H1455" s="116"/>
      <c r="I1455" s="116"/>
      <c r="L1455" s="170">
        <v>44146</v>
      </c>
      <c r="M1455" s="116">
        <v>479.8</v>
      </c>
      <c r="N1455" s="116">
        <v>487</v>
      </c>
      <c r="O1455" s="116">
        <v>441.65</v>
      </c>
      <c r="P1455" s="116">
        <v>450</v>
      </c>
      <c r="Q1455" s="116">
        <v>959.6</v>
      </c>
      <c r="R1455">
        <v>344220</v>
      </c>
    </row>
    <row r="1456" spans="1:18" x14ac:dyDescent="0.25">
      <c r="A1456" s="170">
        <v>44147</v>
      </c>
      <c r="B1456" s="116">
        <v>490</v>
      </c>
      <c r="C1456" s="116">
        <v>476.8</v>
      </c>
      <c r="D1456" s="116">
        <v>468.65</v>
      </c>
      <c r="E1456" s="116">
        <v>472.5</v>
      </c>
      <c r="F1456" s="116">
        <v>953.6</v>
      </c>
      <c r="G1456">
        <v>9277</v>
      </c>
      <c r="H1456" s="116"/>
      <c r="I1456" s="116"/>
      <c r="L1456" s="170">
        <v>44147</v>
      </c>
      <c r="M1456" s="116">
        <v>476.8</v>
      </c>
      <c r="N1456" s="116">
        <v>490.32499999999999</v>
      </c>
      <c r="O1456" s="116">
        <v>475.5</v>
      </c>
      <c r="P1456" s="116">
        <v>481.5</v>
      </c>
      <c r="Q1456" s="116">
        <v>953.6</v>
      </c>
      <c r="R1456">
        <v>136779</v>
      </c>
    </row>
    <row r="1457" spans="1:18" x14ac:dyDescent="0.25">
      <c r="A1457" s="170">
        <v>44148</v>
      </c>
      <c r="B1457" s="116">
        <v>482.92500000000001</v>
      </c>
      <c r="C1457" s="116">
        <v>476.9</v>
      </c>
      <c r="D1457" s="116">
        <v>470.5</v>
      </c>
      <c r="E1457" s="116">
        <v>470.5</v>
      </c>
      <c r="F1457" s="116">
        <v>953.8</v>
      </c>
      <c r="G1457">
        <v>5532</v>
      </c>
      <c r="H1457" s="116"/>
      <c r="I1457" s="116"/>
      <c r="L1457" s="170">
        <v>44148</v>
      </c>
      <c r="M1457" s="116">
        <v>477.25</v>
      </c>
      <c r="N1457" s="116">
        <v>484.42500000000001</v>
      </c>
      <c r="O1457" s="116">
        <v>475</v>
      </c>
      <c r="P1457" s="116">
        <v>477</v>
      </c>
      <c r="Q1457" s="116">
        <v>954.5</v>
      </c>
      <c r="R1457">
        <v>67832</v>
      </c>
    </row>
    <row r="1458" spans="1:18" x14ac:dyDescent="0.25">
      <c r="A1458" s="170">
        <v>44149</v>
      </c>
      <c r="B1458" s="116">
        <v>494</v>
      </c>
      <c r="C1458" s="116">
        <v>484.125</v>
      </c>
      <c r="D1458" s="116">
        <v>477.6</v>
      </c>
      <c r="E1458" s="116">
        <v>494</v>
      </c>
      <c r="F1458" s="116">
        <v>968.25</v>
      </c>
      <c r="G1458">
        <v>3901</v>
      </c>
      <c r="H1458" s="116"/>
      <c r="I1458" s="116"/>
      <c r="L1458" s="170">
        <v>44149</v>
      </c>
      <c r="M1458" s="116">
        <v>484.02499999999998</v>
      </c>
      <c r="N1458" s="116">
        <v>485</v>
      </c>
      <c r="O1458" s="116">
        <v>479</v>
      </c>
      <c r="P1458" s="116">
        <v>481.5</v>
      </c>
      <c r="Q1458" s="116">
        <v>968.05</v>
      </c>
      <c r="R1458">
        <v>27320</v>
      </c>
    </row>
    <row r="1459" spans="1:18" x14ac:dyDescent="0.25">
      <c r="A1459" s="170">
        <v>44152</v>
      </c>
      <c r="B1459" s="116">
        <v>484.125</v>
      </c>
      <c r="C1459" s="116">
        <v>477.85</v>
      </c>
      <c r="D1459" s="116">
        <v>475</v>
      </c>
      <c r="E1459" s="116">
        <v>482.5</v>
      </c>
      <c r="F1459" s="116">
        <v>955.7</v>
      </c>
      <c r="G1459">
        <v>8811</v>
      </c>
      <c r="H1459" s="116"/>
      <c r="I1459" s="116"/>
      <c r="L1459" s="170">
        <v>44152</v>
      </c>
      <c r="M1459" s="116">
        <v>478</v>
      </c>
      <c r="N1459" s="116">
        <v>484.25</v>
      </c>
      <c r="O1459" s="116">
        <v>475</v>
      </c>
      <c r="P1459" s="116">
        <v>482.5</v>
      </c>
      <c r="Q1459" s="116">
        <v>956</v>
      </c>
      <c r="R1459">
        <v>103008</v>
      </c>
    </row>
    <row r="1460" spans="1:18" x14ac:dyDescent="0.25">
      <c r="A1460" s="170">
        <v>44153</v>
      </c>
      <c r="B1460" s="116">
        <v>482.97500000000002</v>
      </c>
      <c r="C1460" s="116">
        <v>471.72500000000002</v>
      </c>
      <c r="D1460" s="116">
        <v>468.15</v>
      </c>
      <c r="E1460" s="116">
        <v>470.625</v>
      </c>
      <c r="F1460" s="116">
        <v>943.45</v>
      </c>
      <c r="G1460">
        <v>2530</v>
      </c>
      <c r="H1460" s="116"/>
      <c r="I1460" s="116"/>
      <c r="L1460" s="170">
        <v>44153</v>
      </c>
      <c r="M1460" s="116">
        <v>471.35</v>
      </c>
      <c r="N1460" s="116">
        <v>482.9</v>
      </c>
      <c r="O1460" s="116">
        <v>469.95</v>
      </c>
      <c r="P1460" s="116">
        <v>477.5</v>
      </c>
      <c r="Q1460" s="116">
        <v>942.7</v>
      </c>
      <c r="R1460">
        <v>130879</v>
      </c>
    </row>
    <row r="1461" spans="1:18" x14ac:dyDescent="0.25">
      <c r="A1461" s="170">
        <v>44154</v>
      </c>
      <c r="B1461" s="116">
        <v>480.97500000000002</v>
      </c>
      <c r="C1461" s="116">
        <v>463.85</v>
      </c>
      <c r="D1461" s="116">
        <v>460.05</v>
      </c>
      <c r="E1461" s="116">
        <v>471.5</v>
      </c>
      <c r="F1461" s="116">
        <v>927.7</v>
      </c>
      <c r="G1461">
        <v>8648</v>
      </c>
      <c r="H1461" s="116"/>
      <c r="I1461" s="116"/>
      <c r="L1461" s="170">
        <v>44154</v>
      </c>
      <c r="M1461" s="116">
        <v>465.5</v>
      </c>
      <c r="N1461" s="116">
        <v>480.72500000000002</v>
      </c>
      <c r="O1461" s="116">
        <v>462.1</v>
      </c>
      <c r="P1461" s="116">
        <v>473</v>
      </c>
      <c r="Q1461" s="116">
        <v>931</v>
      </c>
      <c r="R1461">
        <v>124621</v>
      </c>
    </row>
    <row r="1462" spans="1:18" x14ac:dyDescent="0.25">
      <c r="A1462" s="170">
        <v>44155</v>
      </c>
      <c r="B1462" s="116">
        <v>470.25</v>
      </c>
      <c r="C1462" s="116">
        <v>468.6</v>
      </c>
      <c r="D1462" s="116">
        <v>456.65</v>
      </c>
      <c r="E1462" s="116">
        <v>456.65</v>
      </c>
      <c r="F1462" s="116">
        <v>937.2</v>
      </c>
      <c r="G1462">
        <v>2331</v>
      </c>
      <c r="H1462" s="116"/>
      <c r="I1462" s="116"/>
      <c r="L1462" s="170">
        <v>44155</v>
      </c>
      <c r="M1462" s="116">
        <v>468.875</v>
      </c>
      <c r="N1462" s="116">
        <v>470</v>
      </c>
      <c r="O1462" s="116">
        <v>459.8</v>
      </c>
      <c r="P1462" s="116">
        <v>465.5</v>
      </c>
      <c r="Q1462" s="116">
        <v>937.75</v>
      </c>
      <c r="R1462">
        <v>82384</v>
      </c>
    </row>
    <row r="1463" spans="1:18" x14ac:dyDescent="0.25">
      <c r="A1463" s="170">
        <v>44158</v>
      </c>
      <c r="B1463" s="116">
        <v>481.82499999999999</v>
      </c>
      <c r="C1463" s="116">
        <v>478.875</v>
      </c>
      <c r="D1463" s="116">
        <v>467</v>
      </c>
      <c r="E1463" s="116">
        <v>467.1</v>
      </c>
      <c r="F1463" s="116">
        <v>957.75</v>
      </c>
      <c r="G1463">
        <v>3955</v>
      </c>
      <c r="H1463" s="116"/>
      <c r="I1463" s="116"/>
      <c r="L1463" s="170">
        <v>44158</v>
      </c>
      <c r="M1463" s="116">
        <v>479.3</v>
      </c>
      <c r="N1463" s="116">
        <v>482</v>
      </c>
      <c r="O1463" s="116">
        <v>469.92500000000001</v>
      </c>
      <c r="P1463" s="116">
        <v>475.7</v>
      </c>
      <c r="Q1463" s="116">
        <v>958.6</v>
      </c>
      <c r="R1463">
        <v>155586</v>
      </c>
    </row>
    <row r="1464" spans="1:18" x14ac:dyDescent="0.25">
      <c r="A1464" s="170">
        <v>44159</v>
      </c>
      <c r="B1464" s="116">
        <v>491.97500000000002</v>
      </c>
      <c r="C1464" s="116">
        <v>489.72500000000002</v>
      </c>
      <c r="D1464" s="116">
        <v>480</v>
      </c>
      <c r="E1464" s="116">
        <v>484.97500000000002</v>
      </c>
      <c r="F1464" s="116">
        <v>979.45</v>
      </c>
      <c r="G1464">
        <v>3628</v>
      </c>
      <c r="H1464" s="116"/>
      <c r="I1464" s="116"/>
      <c r="L1464" s="170">
        <v>44159</v>
      </c>
      <c r="M1464" s="116">
        <v>489.95</v>
      </c>
      <c r="N1464" s="116">
        <v>492</v>
      </c>
      <c r="O1464" s="116">
        <v>480.5</v>
      </c>
      <c r="P1464" s="116">
        <v>485</v>
      </c>
      <c r="Q1464" s="116">
        <v>979.9</v>
      </c>
      <c r="R1464">
        <v>130780</v>
      </c>
    </row>
    <row r="1465" spans="1:18" x14ac:dyDescent="0.25">
      <c r="A1465" s="170">
        <v>44160</v>
      </c>
      <c r="B1465" s="116">
        <v>492.5</v>
      </c>
      <c r="C1465" s="116">
        <v>476.72500000000002</v>
      </c>
      <c r="D1465" s="116">
        <v>475.52499999999998</v>
      </c>
      <c r="E1465" s="116">
        <v>492.25</v>
      </c>
      <c r="F1465" s="116">
        <v>953.45</v>
      </c>
      <c r="G1465">
        <v>2613</v>
      </c>
      <c r="H1465" s="116"/>
      <c r="I1465" s="116"/>
      <c r="L1465" s="170">
        <v>44160</v>
      </c>
      <c r="M1465" s="116">
        <v>476.8</v>
      </c>
      <c r="N1465" s="116">
        <v>493</v>
      </c>
      <c r="O1465" s="116">
        <v>475</v>
      </c>
      <c r="P1465" s="116">
        <v>490</v>
      </c>
      <c r="Q1465" s="116">
        <v>953.6</v>
      </c>
      <c r="R1465">
        <v>162594</v>
      </c>
    </row>
    <row r="1466" spans="1:18" x14ac:dyDescent="0.25">
      <c r="A1466" s="170">
        <v>44161</v>
      </c>
      <c r="B1466" s="116">
        <v>478.5</v>
      </c>
      <c r="C1466" s="116">
        <v>476.15</v>
      </c>
      <c r="D1466" s="116">
        <v>470.55</v>
      </c>
      <c r="E1466" s="116">
        <v>478.5</v>
      </c>
      <c r="F1466" s="116">
        <v>952.3</v>
      </c>
      <c r="G1466">
        <v>1979</v>
      </c>
      <c r="H1466" s="116"/>
      <c r="I1466" s="116"/>
      <c r="L1466" s="170">
        <v>44161</v>
      </c>
      <c r="M1466" s="116">
        <v>477.42500000000001</v>
      </c>
      <c r="N1466" s="116">
        <v>481.25</v>
      </c>
      <c r="O1466" s="116">
        <v>470</v>
      </c>
      <c r="P1466" s="116">
        <v>481.05</v>
      </c>
      <c r="Q1466" s="116">
        <v>954.85</v>
      </c>
      <c r="R1466">
        <v>47849</v>
      </c>
    </row>
    <row r="1467" spans="1:18" x14ac:dyDescent="0.25">
      <c r="A1467" s="170">
        <v>44162</v>
      </c>
      <c r="B1467" s="116">
        <v>504.6</v>
      </c>
      <c r="C1467" s="116">
        <v>497.125</v>
      </c>
      <c r="D1467" s="116">
        <v>479</v>
      </c>
      <c r="E1467" s="116">
        <v>479.42500000000001</v>
      </c>
      <c r="F1467" s="116">
        <v>994.25</v>
      </c>
      <c r="G1467">
        <v>5760</v>
      </c>
      <c r="H1467" s="116"/>
      <c r="I1467" s="116"/>
      <c r="L1467" s="170">
        <v>44162</v>
      </c>
      <c r="M1467" s="116">
        <v>497.35</v>
      </c>
      <c r="N1467" s="116">
        <v>506.95</v>
      </c>
      <c r="O1467" s="116">
        <v>476.02499999999998</v>
      </c>
      <c r="P1467" s="116">
        <v>482.25</v>
      </c>
      <c r="Q1467" s="116">
        <v>994.7</v>
      </c>
      <c r="R1467">
        <v>452211</v>
      </c>
    </row>
    <row r="1468" spans="1:18" x14ac:dyDescent="0.25">
      <c r="A1468" s="170">
        <v>44166</v>
      </c>
      <c r="B1468" s="116">
        <v>516</v>
      </c>
      <c r="C1468" s="116">
        <v>503.6</v>
      </c>
      <c r="D1468" s="116">
        <v>499.9</v>
      </c>
      <c r="E1468" s="116">
        <v>516</v>
      </c>
      <c r="F1468" s="116">
        <v>1007.2</v>
      </c>
      <c r="G1468">
        <v>9193</v>
      </c>
      <c r="H1468" s="116"/>
      <c r="I1468" s="116"/>
      <c r="L1468" s="170">
        <v>44166</v>
      </c>
      <c r="M1468" s="116">
        <v>502.77499999999998</v>
      </c>
      <c r="N1468" s="116">
        <v>505.625</v>
      </c>
      <c r="O1468" s="116">
        <v>498.65</v>
      </c>
      <c r="P1468" s="116">
        <v>505</v>
      </c>
      <c r="Q1468" s="116">
        <v>1005.55</v>
      </c>
      <c r="R1468">
        <v>243979</v>
      </c>
    </row>
    <row r="1469" spans="1:18" x14ac:dyDescent="0.25">
      <c r="A1469" s="170">
        <v>44167</v>
      </c>
      <c r="B1469" s="116">
        <v>504.22500000000002</v>
      </c>
      <c r="C1469" s="116">
        <v>500.32499999999999</v>
      </c>
      <c r="D1469" s="116">
        <v>493.82499999999999</v>
      </c>
      <c r="E1469" s="116">
        <v>500.05</v>
      </c>
      <c r="F1469" s="116">
        <v>1000.65</v>
      </c>
      <c r="G1469">
        <v>8914</v>
      </c>
      <c r="H1469" s="116"/>
      <c r="I1469" s="116"/>
      <c r="L1469" s="170">
        <v>44167</v>
      </c>
      <c r="M1469" s="116">
        <v>500.47500000000002</v>
      </c>
      <c r="N1469" s="116">
        <v>504.9</v>
      </c>
      <c r="O1469" s="116">
        <v>494.125</v>
      </c>
      <c r="P1469" s="116">
        <v>503.5</v>
      </c>
      <c r="Q1469" s="116">
        <v>1000.95</v>
      </c>
      <c r="R1469">
        <v>234056</v>
      </c>
    </row>
    <row r="1470" spans="1:18" x14ac:dyDescent="0.25">
      <c r="A1470" s="170">
        <v>44168</v>
      </c>
      <c r="B1470" s="116">
        <v>502.95</v>
      </c>
      <c r="C1470" s="116">
        <v>496.42500000000001</v>
      </c>
      <c r="D1470" s="116">
        <v>490.95</v>
      </c>
      <c r="E1470" s="116">
        <v>502.5</v>
      </c>
      <c r="F1470" s="116">
        <v>992.85</v>
      </c>
      <c r="G1470">
        <v>2576</v>
      </c>
      <c r="H1470" s="116"/>
      <c r="I1470" s="116"/>
      <c r="L1470" s="170">
        <v>44168</v>
      </c>
      <c r="M1470" s="116">
        <v>496.35</v>
      </c>
      <c r="N1470" s="116">
        <v>503</v>
      </c>
      <c r="O1470" s="116">
        <v>490.5</v>
      </c>
      <c r="P1470" s="116">
        <v>500.5</v>
      </c>
      <c r="Q1470" s="116">
        <v>992.7</v>
      </c>
      <c r="R1470">
        <v>39870</v>
      </c>
    </row>
    <row r="1471" spans="1:18" x14ac:dyDescent="0.25">
      <c r="A1471" s="170">
        <v>44169</v>
      </c>
      <c r="B1471" s="116">
        <v>503.2</v>
      </c>
      <c r="C1471" s="116">
        <v>496.9</v>
      </c>
      <c r="D1471" s="116">
        <v>492</v>
      </c>
      <c r="E1471" s="116">
        <v>503.2</v>
      </c>
      <c r="F1471" s="116">
        <v>993.8</v>
      </c>
      <c r="G1471">
        <v>6183</v>
      </c>
      <c r="H1471" s="116"/>
      <c r="I1471" s="116"/>
      <c r="L1471" s="170">
        <v>44169</v>
      </c>
      <c r="M1471" s="116">
        <v>497.125</v>
      </c>
      <c r="N1471" s="116">
        <v>501.15</v>
      </c>
      <c r="O1471" s="116">
        <v>490.52499999999998</v>
      </c>
      <c r="P1471" s="116">
        <v>490.52499999999998</v>
      </c>
      <c r="Q1471" s="116">
        <v>994.25</v>
      </c>
      <c r="R1471">
        <v>72685</v>
      </c>
    </row>
    <row r="1472" spans="1:18" x14ac:dyDescent="0.25">
      <c r="A1472" s="170">
        <v>44172</v>
      </c>
      <c r="B1472" s="116">
        <v>504.1</v>
      </c>
      <c r="C1472" s="116">
        <v>502</v>
      </c>
      <c r="D1472" s="116">
        <v>497.5</v>
      </c>
      <c r="E1472" s="116">
        <v>500</v>
      </c>
      <c r="F1472" s="116">
        <v>1004</v>
      </c>
      <c r="G1472">
        <v>2187</v>
      </c>
      <c r="H1472" s="116"/>
      <c r="I1472" s="116"/>
      <c r="L1472" s="170">
        <v>44172</v>
      </c>
      <c r="M1472" s="116">
        <v>502.07499999999999</v>
      </c>
      <c r="N1472" s="116">
        <v>504.5</v>
      </c>
      <c r="O1472" s="116">
        <v>497.15</v>
      </c>
      <c r="P1472" s="116">
        <v>504.4</v>
      </c>
      <c r="Q1472" s="116">
        <v>1004.15</v>
      </c>
      <c r="R1472">
        <v>87412</v>
      </c>
    </row>
    <row r="1473" spans="1:18" x14ac:dyDescent="0.25">
      <c r="A1473" s="170">
        <v>44173</v>
      </c>
      <c r="B1473" s="116">
        <v>505.22500000000002</v>
      </c>
      <c r="C1473" s="116">
        <v>501.27499999999998</v>
      </c>
      <c r="D1473" s="116">
        <v>495.22500000000002</v>
      </c>
      <c r="E1473" s="116">
        <v>502.625</v>
      </c>
      <c r="F1473" s="116">
        <v>1002.55</v>
      </c>
      <c r="G1473">
        <v>2111</v>
      </c>
      <c r="H1473" s="116"/>
      <c r="I1473" s="116"/>
      <c r="L1473" s="170">
        <v>44173</v>
      </c>
      <c r="M1473" s="116">
        <v>501.32499999999999</v>
      </c>
      <c r="N1473" s="116">
        <v>505</v>
      </c>
      <c r="O1473" s="116">
        <v>495</v>
      </c>
      <c r="P1473" s="116">
        <v>503.5</v>
      </c>
      <c r="Q1473" s="116">
        <v>1002.65</v>
      </c>
      <c r="R1473">
        <v>89630</v>
      </c>
    </row>
    <row r="1474" spans="1:18" x14ac:dyDescent="0.25">
      <c r="A1474" s="170">
        <v>44174</v>
      </c>
      <c r="B1474" s="116">
        <v>505.3</v>
      </c>
      <c r="C1474" s="116">
        <v>501.3</v>
      </c>
      <c r="D1474" s="116">
        <v>493.875</v>
      </c>
      <c r="E1474" s="116">
        <v>502.75</v>
      </c>
      <c r="F1474" s="116">
        <v>1002.6</v>
      </c>
      <c r="G1474">
        <v>2041</v>
      </c>
      <c r="H1474" s="116"/>
      <c r="I1474" s="116"/>
      <c r="L1474" s="170">
        <v>44174</v>
      </c>
      <c r="M1474" s="116">
        <v>501.625</v>
      </c>
      <c r="N1474" s="116">
        <v>504.97500000000002</v>
      </c>
      <c r="O1474" s="116">
        <v>493.97500000000002</v>
      </c>
      <c r="P1474" s="116">
        <v>501.5</v>
      </c>
      <c r="Q1474" s="116">
        <v>1003.25</v>
      </c>
      <c r="R1474">
        <v>83093</v>
      </c>
    </row>
    <row r="1475" spans="1:18" x14ac:dyDescent="0.25">
      <c r="A1475" s="170">
        <v>44175</v>
      </c>
      <c r="B1475" s="116">
        <v>502.65</v>
      </c>
      <c r="C1475" s="116">
        <v>500.57499999999999</v>
      </c>
      <c r="D1475" s="116">
        <v>495.125</v>
      </c>
      <c r="E1475" s="116">
        <v>497.27499999999998</v>
      </c>
      <c r="F1475" s="116">
        <v>1001.15</v>
      </c>
      <c r="G1475">
        <v>965</v>
      </c>
      <c r="H1475" s="116"/>
      <c r="I1475" s="116"/>
      <c r="L1475" s="170">
        <v>44175</v>
      </c>
      <c r="M1475" s="116">
        <v>501.07499999999999</v>
      </c>
      <c r="N1475" s="116">
        <v>504</v>
      </c>
      <c r="O1475" s="116">
        <v>495.52499999999998</v>
      </c>
      <c r="P1475" s="116">
        <v>501.625</v>
      </c>
      <c r="Q1475" s="116">
        <v>1002.15</v>
      </c>
      <c r="R1475">
        <v>77627</v>
      </c>
    </row>
    <row r="1476" spans="1:18" x14ac:dyDescent="0.25">
      <c r="A1476" s="170">
        <v>44176</v>
      </c>
      <c r="B1476" s="116">
        <v>503.85</v>
      </c>
      <c r="C1476" s="116">
        <v>498.4</v>
      </c>
      <c r="D1476" s="116">
        <v>497.6</v>
      </c>
      <c r="E1476" s="116">
        <v>503.85</v>
      </c>
      <c r="F1476" s="116">
        <v>996.8</v>
      </c>
      <c r="G1476">
        <v>1435</v>
      </c>
      <c r="H1476" s="116"/>
      <c r="I1476" s="116"/>
      <c r="L1476" s="170">
        <v>44176</v>
      </c>
      <c r="M1476" s="116">
        <v>499.6</v>
      </c>
      <c r="N1476" s="116">
        <v>503.9</v>
      </c>
      <c r="O1476" s="116">
        <v>496.95</v>
      </c>
      <c r="P1476" s="116">
        <v>502.5</v>
      </c>
      <c r="Q1476" s="116">
        <v>999.2</v>
      </c>
      <c r="R1476">
        <v>54225</v>
      </c>
    </row>
    <row r="1477" spans="1:18" x14ac:dyDescent="0.25">
      <c r="A1477" s="170">
        <v>44179</v>
      </c>
      <c r="B1477" s="116">
        <v>535</v>
      </c>
      <c r="C1477" s="116">
        <v>510.75</v>
      </c>
      <c r="D1477" s="116">
        <v>500.27499999999998</v>
      </c>
      <c r="E1477" s="116">
        <v>503.5</v>
      </c>
      <c r="F1477" s="116">
        <v>1021.5</v>
      </c>
      <c r="G1477">
        <v>7405</v>
      </c>
      <c r="H1477" s="116"/>
      <c r="I1477" s="116"/>
      <c r="L1477" s="170">
        <v>44179</v>
      </c>
      <c r="M1477" s="116">
        <v>511.1</v>
      </c>
      <c r="N1477" s="116">
        <v>534.5</v>
      </c>
      <c r="O1477" s="116">
        <v>497.65</v>
      </c>
      <c r="P1477" s="116">
        <v>503.9</v>
      </c>
      <c r="Q1477" s="116">
        <v>1022.2</v>
      </c>
      <c r="R1477">
        <v>144642</v>
      </c>
    </row>
    <row r="1478" spans="1:18" x14ac:dyDescent="0.25">
      <c r="A1478" s="170">
        <v>44180</v>
      </c>
      <c r="B1478" s="116">
        <v>540</v>
      </c>
      <c r="C1478" s="116">
        <v>536.4</v>
      </c>
      <c r="D1478" s="116">
        <v>513.57500000000005</v>
      </c>
      <c r="E1478" s="116">
        <v>513.57500000000005</v>
      </c>
      <c r="F1478" s="116">
        <v>1072.8</v>
      </c>
      <c r="G1478">
        <v>15545</v>
      </c>
      <c r="H1478" s="116"/>
      <c r="I1478" s="116"/>
      <c r="L1478" s="170">
        <v>44180</v>
      </c>
      <c r="M1478" s="116">
        <v>534.67499999999995</v>
      </c>
      <c r="N1478" s="116">
        <v>540</v>
      </c>
      <c r="O1478" s="116">
        <v>513.52499999999998</v>
      </c>
      <c r="P1478" s="116">
        <v>526.5</v>
      </c>
      <c r="Q1478" s="116">
        <v>1069.3499999999999</v>
      </c>
      <c r="R1478">
        <v>286290</v>
      </c>
    </row>
    <row r="1479" spans="1:18" x14ac:dyDescent="0.25">
      <c r="A1479" s="170">
        <v>44181</v>
      </c>
      <c r="B1479" s="116">
        <v>546.29999999999995</v>
      </c>
      <c r="C1479" s="116">
        <v>542.77499999999998</v>
      </c>
      <c r="D1479" s="116">
        <v>528.1</v>
      </c>
      <c r="E1479" s="116">
        <v>540</v>
      </c>
      <c r="F1479" s="116">
        <v>1085.55</v>
      </c>
      <c r="G1479">
        <v>17203</v>
      </c>
      <c r="H1479" s="116"/>
      <c r="I1479" s="116"/>
      <c r="L1479" s="170">
        <v>44181</v>
      </c>
      <c r="M1479" s="116">
        <v>541.22500000000002</v>
      </c>
      <c r="N1479" s="116">
        <v>547.5</v>
      </c>
      <c r="O1479" s="116">
        <v>528</v>
      </c>
      <c r="P1479" s="116">
        <v>543.45000000000005</v>
      </c>
      <c r="Q1479" s="116">
        <v>1082.45</v>
      </c>
      <c r="R1479">
        <v>123150</v>
      </c>
    </row>
    <row r="1480" spans="1:18" x14ac:dyDescent="0.25">
      <c r="A1480" s="170">
        <v>44182</v>
      </c>
      <c r="B1480" s="116">
        <v>543.5</v>
      </c>
      <c r="C1480" s="116">
        <v>539.54999999999995</v>
      </c>
      <c r="D1480" s="116">
        <v>530.4</v>
      </c>
      <c r="E1480" s="116">
        <v>540</v>
      </c>
      <c r="F1480" s="116">
        <v>1079.0999999999999</v>
      </c>
      <c r="G1480">
        <v>7514</v>
      </c>
      <c r="H1480" s="116"/>
      <c r="I1480" s="116"/>
      <c r="L1480" s="170">
        <v>44182</v>
      </c>
      <c r="M1480" s="116">
        <v>539.95000000000005</v>
      </c>
      <c r="N1480" s="116">
        <v>546.04999999999995</v>
      </c>
      <c r="O1480" s="116">
        <v>530.54999999999995</v>
      </c>
      <c r="P1480" s="116">
        <v>543.95000000000005</v>
      </c>
      <c r="Q1480" s="116">
        <v>1079.9000000000001</v>
      </c>
      <c r="R1480">
        <v>103688</v>
      </c>
    </row>
    <row r="1481" spans="1:18" x14ac:dyDescent="0.25">
      <c r="A1481" s="170">
        <v>44183</v>
      </c>
      <c r="B1481" s="116">
        <v>537.5</v>
      </c>
      <c r="C1481" s="116">
        <v>532.25</v>
      </c>
      <c r="D1481" s="116">
        <v>525</v>
      </c>
      <c r="E1481" s="116">
        <v>537.5</v>
      </c>
      <c r="F1481" s="116">
        <v>1064.5</v>
      </c>
      <c r="G1481">
        <v>4506</v>
      </c>
      <c r="H1481" s="116"/>
      <c r="I1481" s="116"/>
      <c r="L1481" s="170">
        <v>44183</v>
      </c>
      <c r="M1481" s="116">
        <v>532.54999999999995</v>
      </c>
      <c r="N1481" s="116">
        <v>543</v>
      </c>
      <c r="O1481" s="116">
        <v>525</v>
      </c>
      <c r="P1481" s="116">
        <v>542</v>
      </c>
      <c r="Q1481" s="116">
        <v>1065.0999999999999</v>
      </c>
      <c r="R1481">
        <v>110387</v>
      </c>
    </row>
    <row r="1482" spans="1:18" x14ac:dyDescent="0.25">
      <c r="A1482" s="170">
        <v>44186</v>
      </c>
      <c r="B1482" s="116">
        <v>538.20000000000005</v>
      </c>
      <c r="C1482" s="116">
        <v>526.75</v>
      </c>
      <c r="D1482" s="116">
        <v>518</v>
      </c>
      <c r="E1482" s="116">
        <v>530</v>
      </c>
      <c r="F1482" s="116">
        <v>1053.5</v>
      </c>
      <c r="G1482">
        <v>8693</v>
      </c>
      <c r="H1482" s="116"/>
      <c r="I1482" s="116"/>
      <c r="L1482" s="170">
        <v>44186</v>
      </c>
      <c r="M1482" s="116">
        <v>525.35</v>
      </c>
      <c r="N1482" s="116">
        <v>538.82500000000005</v>
      </c>
      <c r="O1482" s="116">
        <v>517.77499999999998</v>
      </c>
      <c r="P1482" s="116">
        <v>527.5</v>
      </c>
      <c r="Q1482" s="116">
        <v>1050.7</v>
      </c>
      <c r="R1482">
        <v>143062</v>
      </c>
    </row>
    <row r="1483" spans="1:18" x14ac:dyDescent="0.25">
      <c r="A1483" s="170">
        <v>44187</v>
      </c>
      <c r="B1483" s="116">
        <v>528.95000000000005</v>
      </c>
      <c r="C1483" s="116">
        <v>521.45000000000005</v>
      </c>
      <c r="D1483" s="116">
        <v>494.92500000000001</v>
      </c>
      <c r="E1483" s="116">
        <v>525</v>
      </c>
      <c r="F1483" s="116">
        <v>1042.9000000000001</v>
      </c>
      <c r="G1483">
        <v>12113</v>
      </c>
      <c r="H1483" s="116"/>
      <c r="I1483" s="116"/>
      <c r="L1483" s="170">
        <v>44187</v>
      </c>
      <c r="M1483" s="116">
        <v>521.4</v>
      </c>
      <c r="N1483" s="116">
        <v>528.97500000000002</v>
      </c>
      <c r="O1483" s="116">
        <v>493.97500000000002</v>
      </c>
      <c r="P1483" s="116">
        <v>526.04999999999995</v>
      </c>
      <c r="Q1483" s="116">
        <v>1042.8</v>
      </c>
      <c r="R1483">
        <v>123721</v>
      </c>
    </row>
    <row r="1484" spans="1:18" x14ac:dyDescent="0.25">
      <c r="A1484" s="170">
        <v>44188</v>
      </c>
      <c r="B1484" s="116">
        <v>530</v>
      </c>
      <c r="C1484" s="116">
        <v>522.77499999999998</v>
      </c>
      <c r="D1484" s="116">
        <v>520.20000000000005</v>
      </c>
      <c r="E1484" s="116">
        <v>522</v>
      </c>
      <c r="F1484" s="116">
        <v>1045.55</v>
      </c>
      <c r="G1484">
        <v>2855</v>
      </c>
      <c r="H1484" s="116"/>
      <c r="I1484" s="116"/>
      <c r="L1484" s="170">
        <v>44188</v>
      </c>
      <c r="M1484" s="116">
        <v>523.04999999999995</v>
      </c>
      <c r="N1484" s="116">
        <v>531.5</v>
      </c>
      <c r="O1484" s="116">
        <v>520.5</v>
      </c>
      <c r="P1484" s="116">
        <v>530</v>
      </c>
      <c r="Q1484" s="116">
        <v>1046.0999999999999</v>
      </c>
      <c r="R1484">
        <v>80220</v>
      </c>
    </row>
    <row r="1485" spans="1:18" x14ac:dyDescent="0.25">
      <c r="A1485" s="170">
        <v>44189</v>
      </c>
      <c r="B1485" s="116">
        <v>526.5</v>
      </c>
      <c r="C1485" s="116">
        <v>516.29999999999995</v>
      </c>
      <c r="D1485" s="116">
        <v>512.1</v>
      </c>
      <c r="E1485" s="116">
        <v>525.65</v>
      </c>
      <c r="F1485" s="116">
        <v>1032.5999999999999</v>
      </c>
      <c r="G1485">
        <v>1229</v>
      </c>
      <c r="H1485" s="116"/>
      <c r="I1485" s="116"/>
      <c r="L1485" s="170">
        <v>44189</v>
      </c>
      <c r="M1485" s="116">
        <v>515.97500000000002</v>
      </c>
      <c r="N1485" s="116">
        <v>529.85</v>
      </c>
      <c r="O1485" s="116">
        <v>510.5</v>
      </c>
      <c r="P1485" s="116">
        <v>527.42499999999995</v>
      </c>
      <c r="Q1485" s="116">
        <v>1031.95</v>
      </c>
      <c r="R1485">
        <v>102176</v>
      </c>
    </row>
    <row r="1486" spans="1:18" x14ac:dyDescent="0.25">
      <c r="A1486" s="170">
        <v>44193</v>
      </c>
      <c r="B1486" s="116">
        <v>522.07500000000005</v>
      </c>
      <c r="C1486" s="116">
        <v>515.22500000000002</v>
      </c>
      <c r="D1486" s="116">
        <v>510.22500000000002</v>
      </c>
      <c r="E1486" s="116">
        <v>522.07500000000005</v>
      </c>
      <c r="F1486" s="116">
        <v>1030.45</v>
      </c>
      <c r="G1486">
        <v>4605</v>
      </c>
      <c r="H1486" s="116"/>
      <c r="I1486" s="116"/>
      <c r="L1486" s="170">
        <v>44193</v>
      </c>
      <c r="M1486" s="116">
        <v>515.07500000000005</v>
      </c>
      <c r="N1486" s="116">
        <v>524.45000000000005</v>
      </c>
      <c r="O1486" s="116">
        <v>510.5</v>
      </c>
      <c r="P1486" s="116">
        <v>524</v>
      </c>
      <c r="Q1486" s="116">
        <v>1030.1500000000001</v>
      </c>
      <c r="R1486">
        <v>67045</v>
      </c>
    </row>
    <row r="1487" spans="1:18" x14ac:dyDescent="0.25">
      <c r="A1487" s="170">
        <v>44194</v>
      </c>
      <c r="B1487" s="116">
        <v>523.97500000000002</v>
      </c>
      <c r="C1487" s="116">
        <v>507.67500000000001</v>
      </c>
      <c r="D1487" s="116">
        <v>503.5</v>
      </c>
      <c r="E1487" s="116">
        <v>523.97500000000002</v>
      </c>
      <c r="F1487" s="116">
        <v>1015.35</v>
      </c>
      <c r="G1487">
        <v>6870</v>
      </c>
      <c r="H1487" s="116"/>
      <c r="I1487" s="116"/>
      <c r="L1487" s="170">
        <v>44194</v>
      </c>
      <c r="M1487" s="116">
        <v>507.92500000000001</v>
      </c>
      <c r="N1487" s="116">
        <v>522.47500000000002</v>
      </c>
      <c r="O1487" s="116">
        <v>502.4</v>
      </c>
      <c r="P1487" s="116">
        <v>517.5</v>
      </c>
      <c r="Q1487" s="116">
        <v>1015.85</v>
      </c>
      <c r="R1487">
        <v>127029</v>
      </c>
    </row>
    <row r="1488" spans="1:18" x14ac:dyDescent="0.25">
      <c r="A1488" s="170">
        <v>44195</v>
      </c>
      <c r="B1488" s="116">
        <v>517.95000000000005</v>
      </c>
      <c r="C1488" s="116">
        <v>503.3</v>
      </c>
      <c r="D1488" s="116">
        <v>500.5</v>
      </c>
      <c r="E1488" s="116">
        <v>511.65</v>
      </c>
      <c r="F1488" s="116">
        <v>1006.6</v>
      </c>
      <c r="G1488">
        <v>2605</v>
      </c>
      <c r="H1488" s="116"/>
      <c r="I1488" s="116"/>
      <c r="L1488" s="170">
        <v>44195</v>
      </c>
      <c r="M1488" s="116">
        <v>503.42500000000001</v>
      </c>
      <c r="N1488" s="116">
        <v>517</v>
      </c>
      <c r="O1488" s="116">
        <v>500.02499999999998</v>
      </c>
      <c r="P1488" s="116">
        <v>508</v>
      </c>
      <c r="Q1488" s="116">
        <v>1006.85</v>
      </c>
      <c r="R1488">
        <v>56758</v>
      </c>
    </row>
    <row r="1489" spans="1:18" x14ac:dyDescent="0.25">
      <c r="A1489" s="170">
        <v>44196</v>
      </c>
      <c r="B1489" s="116">
        <v>524</v>
      </c>
      <c r="C1489" s="116">
        <v>508.57499999999999</v>
      </c>
      <c r="D1489" s="116">
        <v>505.22500000000002</v>
      </c>
      <c r="E1489" s="116">
        <v>505.22500000000002</v>
      </c>
      <c r="F1489" s="116">
        <v>1017.15</v>
      </c>
      <c r="G1489">
        <v>15524</v>
      </c>
      <c r="H1489" s="116"/>
      <c r="I1489" s="116"/>
      <c r="L1489" s="170">
        <v>44196</v>
      </c>
      <c r="M1489" s="116">
        <v>508.55</v>
      </c>
      <c r="N1489" s="116">
        <v>524.20000000000005</v>
      </c>
      <c r="O1489" s="116">
        <v>505.17500000000001</v>
      </c>
      <c r="P1489" s="116">
        <v>505.5</v>
      </c>
      <c r="Q1489" s="116">
        <v>1017.1</v>
      </c>
      <c r="R1489">
        <v>186312</v>
      </c>
    </row>
    <row r="1490" spans="1:18" x14ac:dyDescent="0.25">
      <c r="A1490" s="170">
        <v>44197</v>
      </c>
      <c r="B1490" s="116">
        <v>517.5</v>
      </c>
      <c r="C1490" s="116">
        <v>516.95000000000005</v>
      </c>
      <c r="D1490" s="116">
        <v>507.5</v>
      </c>
      <c r="E1490" s="116">
        <v>507.5</v>
      </c>
      <c r="F1490" s="116">
        <v>1033.9000000000001</v>
      </c>
      <c r="G1490">
        <v>8591</v>
      </c>
      <c r="H1490" s="116"/>
      <c r="I1490" s="116"/>
      <c r="L1490" s="170">
        <v>44197</v>
      </c>
      <c r="M1490" s="116">
        <v>517.15</v>
      </c>
      <c r="N1490" s="116">
        <v>517.5</v>
      </c>
      <c r="O1490" s="116">
        <v>507.5</v>
      </c>
      <c r="P1490" s="116">
        <v>509.57499999999999</v>
      </c>
      <c r="Q1490" s="116">
        <v>1034.3</v>
      </c>
      <c r="R1490">
        <v>93185</v>
      </c>
    </row>
    <row r="1491" spans="1:18" x14ac:dyDescent="0.25">
      <c r="A1491" s="170">
        <v>44200</v>
      </c>
      <c r="B1491" s="116">
        <v>522</v>
      </c>
      <c r="C1491" s="116">
        <v>518.15</v>
      </c>
      <c r="D1491" s="116">
        <v>512.17499999999995</v>
      </c>
      <c r="E1491" s="116">
        <v>518</v>
      </c>
      <c r="F1491" s="116">
        <v>1036.3</v>
      </c>
      <c r="G1491">
        <v>3079</v>
      </c>
      <c r="H1491" s="116"/>
      <c r="I1491" s="116"/>
      <c r="L1491" s="170">
        <v>44200</v>
      </c>
      <c r="M1491" s="116">
        <v>517.45000000000005</v>
      </c>
      <c r="N1491" s="116">
        <v>521.95000000000005</v>
      </c>
      <c r="O1491" s="116">
        <v>512.25</v>
      </c>
      <c r="P1491" s="116">
        <v>519.5</v>
      </c>
      <c r="Q1491" s="116">
        <v>1034.9000000000001</v>
      </c>
      <c r="R1491">
        <v>181611</v>
      </c>
    </row>
    <row r="1492" spans="1:18" x14ac:dyDescent="0.25">
      <c r="A1492" s="170">
        <v>44201</v>
      </c>
      <c r="B1492" s="116">
        <v>530</v>
      </c>
      <c r="C1492" s="116">
        <v>525.07500000000005</v>
      </c>
      <c r="D1492" s="116">
        <v>508.1</v>
      </c>
      <c r="E1492" s="116">
        <v>517</v>
      </c>
      <c r="F1492" s="116">
        <v>1050.1500000000001</v>
      </c>
      <c r="G1492">
        <v>48595</v>
      </c>
      <c r="H1492" s="116"/>
      <c r="I1492" s="116"/>
      <c r="L1492" s="170">
        <v>44201</v>
      </c>
      <c r="M1492" s="116">
        <v>525.15</v>
      </c>
      <c r="N1492" s="116">
        <v>529.5</v>
      </c>
      <c r="O1492" s="116">
        <v>513.77499999999998</v>
      </c>
      <c r="P1492" s="116">
        <v>514.5</v>
      </c>
      <c r="Q1492" s="116">
        <v>1050.3</v>
      </c>
      <c r="R1492">
        <v>272140</v>
      </c>
    </row>
    <row r="1493" spans="1:18" x14ac:dyDescent="0.25">
      <c r="A1493" s="170">
        <v>44202</v>
      </c>
      <c r="B1493" s="116">
        <v>542.5</v>
      </c>
      <c r="C1493" s="116">
        <v>527.79999999999995</v>
      </c>
      <c r="D1493" s="116">
        <v>525.5</v>
      </c>
      <c r="E1493" s="116">
        <v>542.5</v>
      </c>
      <c r="F1493" s="116">
        <v>1055.5999999999999</v>
      </c>
      <c r="G1493">
        <v>3583</v>
      </c>
      <c r="H1493" s="116"/>
      <c r="I1493" s="116"/>
      <c r="L1493" s="170">
        <v>44202</v>
      </c>
      <c r="M1493" s="116">
        <v>528.27499999999998</v>
      </c>
      <c r="N1493" s="116">
        <v>533.5</v>
      </c>
      <c r="O1493" s="116">
        <v>525.5</v>
      </c>
      <c r="P1493" s="116">
        <v>533.5</v>
      </c>
      <c r="Q1493" s="116">
        <v>1056.55</v>
      </c>
      <c r="R1493">
        <v>124727</v>
      </c>
    </row>
    <row r="1494" spans="1:18" x14ac:dyDescent="0.25">
      <c r="A1494" s="170">
        <v>44203</v>
      </c>
      <c r="B1494" s="116">
        <v>530</v>
      </c>
      <c r="C1494" s="116">
        <v>517.47500000000002</v>
      </c>
      <c r="D1494" s="116">
        <v>515.85</v>
      </c>
      <c r="E1494" s="116">
        <v>530</v>
      </c>
      <c r="F1494" s="116">
        <v>1034.95</v>
      </c>
      <c r="G1494">
        <v>2704</v>
      </c>
      <c r="H1494" s="116"/>
      <c r="I1494" s="116"/>
      <c r="L1494" s="170">
        <v>44203</v>
      </c>
      <c r="M1494" s="116">
        <v>517.45000000000005</v>
      </c>
      <c r="N1494" s="116">
        <v>532</v>
      </c>
      <c r="O1494" s="116">
        <v>515.5</v>
      </c>
      <c r="P1494" s="116">
        <v>526</v>
      </c>
      <c r="Q1494" s="116">
        <v>1034.9000000000001</v>
      </c>
      <c r="R1494">
        <v>222437</v>
      </c>
    </row>
    <row r="1495" spans="1:18" x14ac:dyDescent="0.25">
      <c r="A1495" s="170">
        <v>44204</v>
      </c>
      <c r="B1495" s="116">
        <v>539</v>
      </c>
      <c r="C1495" s="116">
        <v>522.04999999999995</v>
      </c>
      <c r="D1495" s="116">
        <v>513.52499999999998</v>
      </c>
      <c r="E1495" s="116">
        <v>523.92499999999995</v>
      </c>
      <c r="F1495" s="116">
        <v>1044.0999999999999</v>
      </c>
      <c r="G1495">
        <v>33813</v>
      </c>
      <c r="H1495" s="116"/>
      <c r="I1495" s="116"/>
      <c r="L1495" s="170">
        <v>44204</v>
      </c>
      <c r="M1495" s="116">
        <v>522.75</v>
      </c>
      <c r="N1495" s="116">
        <v>539.4</v>
      </c>
      <c r="O1495" s="116">
        <v>512.52499999999998</v>
      </c>
      <c r="P1495" s="116">
        <v>523.54999999999995</v>
      </c>
      <c r="Q1495" s="116">
        <v>1045.5</v>
      </c>
      <c r="R1495">
        <v>554556</v>
      </c>
    </row>
    <row r="1496" spans="1:18" x14ac:dyDescent="0.25">
      <c r="A1496" s="170">
        <v>44207</v>
      </c>
      <c r="B1496" s="116">
        <v>537.5</v>
      </c>
      <c r="C1496" s="116">
        <v>520.67499999999995</v>
      </c>
      <c r="D1496" s="116">
        <v>515.20000000000005</v>
      </c>
      <c r="E1496" s="116">
        <v>536</v>
      </c>
      <c r="F1496" s="116">
        <v>1041.3499999999999</v>
      </c>
      <c r="G1496">
        <v>6728</v>
      </c>
      <c r="H1496" s="116"/>
      <c r="I1496" s="116"/>
      <c r="L1496" s="170">
        <v>44207</v>
      </c>
      <c r="M1496" s="116">
        <v>520.9</v>
      </c>
      <c r="N1496" s="116">
        <v>532.5</v>
      </c>
      <c r="O1496" s="116">
        <v>515</v>
      </c>
      <c r="P1496" s="116">
        <v>527.67499999999995</v>
      </c>
      <c r="Q1496" s="116">
        <v>1041.8</v>
      </c>
      <c r="R1496">
        <v>100964</v>
      </c>
    </row>
    <row r="1497" spans="1:18" x14ac:dyDescent="0.25">
      <c r="A1497" s="170">
        <v>44208</v>
      </c>
      <c r="B1497" s="116">
        <v>531.875</v>
      </c>
      <c r="C1497" s="116">
        <v>520.75</v>
      </c>
      <c r="D1497" s="116">
        <v>516.77499999999998</v>
      </c>
      <c r="E1497" s="116">
        <v>522</v>
      </c>
      <c r="F1497" s="116">
        <v>1041.5</v>
      </c>
      <c r="G1497">
        <v>1898</v>
      </c>
      <c r="H1497" s="116"/>
      <c r="I1497" s="116"/>
      <c r="L1497" s="170">
        <v>44208</v>
      </c>
      <c r="M1497" s="116">
        <v>519.79999999999995</v>
      </c>
      <c r="N1497" s="116">
        <v>532.5</v>
      </c>
      <c r="O1497" s="116">
        <v>515</v>
      </c>
      <c r="P1497" s="116">
        <v>523</v>
      </c>
      <c r="Q1497" s="116">
        <v>1039.5999999999999</v>
      </c>
      <c r="R1497">
        <v>66848</v>
      </c>
    </row>
    <row r="1498" spans="1:18" x14ac:dyDescent="0.25">
      <c r="A1498" s="170">
        <v>44209</v>
      </c>
      <c r="B1498" s="116">
        <v>531.32500000000005</v>
      </c>
      <c r="C1498" s="116">
        <v>527.9</v>
      </c>
      <c r="D1498" s="116">
        <v>519</v>
      </c>
      <c r="E1498" s="116">
        <v>521.45000000000005</v>
      </c>
      <c r="F1498" s="116">
        <v>1055.8</v>
      </c>
      <c r="G1498">
        <v>9089</v>
      </c>
      <c r="H1498" s="116"/>
      <c r="I1498" s="116"/>
      <c r="L1498" s="170">
        <v>44209</v>
      </c>
      <c r="M1498" s="116">
        <v>526.77499999999998</v>
      </c>
      <c r="N1498" s="116">
        <v>532</v>
      </c>
      <c r="O1498" s="116">
        <v>518.4</v>
      </c>
      <c r="P1498" s="116">
        <v>519.75</v>
      </c>
      <c r="Q1498" s="116">
        <v>1053.55</v>
      </c>
      <c r="R1498">
        <v>95706</v>
      </c>
    </row>
    <row r="1499" spans="1:18" x14ac:dyDescent="0.25">
      <c r="A1499" s="170">
        <v>44210</v>
      </c>
      <c r="B1499" s="116">
        <v>529.35</v>
      </c>
      <c r="C1499" s="116">
        <v>516.95000000000005</v>
      </c>
      <c r="D1499" s="116">
        <v>512.5</v>
      </c>
      <c r="E1499" s="116">
        <v>527.5</v>
      </c>
      <c r="F1499" s="116">
        <v>1033.9000000000001</v>
      </c>
      <c r="G1499">
        <v>13566</v>
      </c>
      <c r="H1499" s="116"/>
      <c r="I1499" s="116"/>
      <c r="L1499" s="170">
        <v>44210</v>
      </c>
      <c r="M1499" s="116">
        <v>516.42499999999995</v>
      </c>
      <c r="N1499" s="116">
        <v>532</v>
      </c>
      <c r="O1499" s="116">
        <v>515</v>
      </c>
      <c r="P1499" s="116">
        <v>532</v>
      </c>
      <c r="Q1499" s="116">
        <v>1032.8499999999999</v>
      </c>
      <c r="R1499">
        <v>130216</v>
      </c>
    </row>
    <row r="1500" spans="1:18" x14ac:dyDescent="0.25">
      <c r="A1500" s="170">
        <v>44211</v>
      </c>
      <c r="B1500" s="116">
        <v>527.65</v>
      </c>
      <c r="C1500" s="116">
        <v>520.95000000000005</v>
      </c>
      <c r="D1500" s="116">
        <v>516.79999999999995</v>
      </c>
      <c r="E1500" s="116">
        <v>520</v>
      </c>
      <c r="F1500" s="116">
        <v>1041.9000000000001</v>
      </c>
      <c r="G1500">
        <v>7414</v>
      </c>
      <c r="H1500" s="116"/>
      <c r="I1500" s="116"/>
      <c r="L1500" s="170">
        <v>44211</v>
      </c>
      <c r="M1500" s="116">
        <v>522.02499999999998</v>
      </c>
      <c r="N1500" s="116">
        <v>528.875</v>
      </c>
      <c r="O1500" s="116">
        <v>517</v>
      </c>
      <c r="P1500" s="116">
        <v>517</v>
      </c>
      <c r="Q1500" s="116">
        <v>1044.05</v>
      </c>
      <c r="R1500">
        <v>55934</v>
      </c>
    </row>
    <row r="1501" spans="1:18" x14ac:dyDescent="0.25">
      <c r="A1501" s="170">
        <v>44214</v>
      </c>
      <c r="B1501" s="116">
        <v>526.92499999999995</v>
      </c>
      <c r="C1501" s="116">
        <v>509.72500000000002</v>
      </c>
      <c r="D1501" s="116">
        <v>508.25</v>
      </c>
      <c r="E1501" s="116">
        <v>526.92499999999995</v>
      </c>
      <c r="F1501" s="116">
        <v>1019.45</v>
      </c>
      <c r="G1501">
        <v>4187</v>
      </c>
      <c r="H1501" s="116"/>
      <c r="I1501" s="116"/>
      <c r="L1501" s="170">
        <v>44214</v>
      </c>
      <c r="M1501" s="116">
        <v>510.72500000000002</v>
      </c>
      <c r="N1501" s="116">
        <v>524.6</v>
      </c>
      <c r="O1501" s="116">
        <v>507.5</v>
      </c>
      <c r="P1501" s="116">
        <v>522.04999999999995</v>
      </c>
      <c r="Q1501" s="116">
        <v>1021.45</v>
      </c>
      <c r="R1501">
        <v>47321</v>
      </c>
    </row>
    <row r="1502" spans="1:18" x14ac:dyDescent="0.25">
      <c r="A1502" s="170">
        <v>44215</v>
      </c>
      <c r="B1502" s="116">
        <v>517.375</v>
      </c>
      <c r="C1502" s="116">
        <v>507.67500000000001</v>
      </c>
      <c r="D1502" s="116">
        <v>503.47500000000002</v>
      </c>
      <c r="E1502" s="116">
        <v>517</v>
      </c>
      <c r="F1502" s="116">
        <v>1015.35</v>
      </c>
      <c r="G1502">
        <v>2308</v>
      </c>
      <c r="H1502" s="116"/>
      <c r="I1502" s="116"/>
      <c r="L1502" s="170">
        <v>44215</v>
      </c>
      <c r="M1502" s="116">
        <v>509.27499999999998</v>
      </c>
      <c r="N1502" s="116">
        <v>517.07500000000005</v>
      </c>
      <c r="O1502" s="116">
        <v>507.5</v>
      </c>
      <c r="P1502" s="116">
        <v>507.5</v>
      </c>
      <c r="Q1502" s="116">
        <v>1018.55</v>
      </c>
      <c r="R1502">
        <v>46766</v>
      </c>
    </row>
    <row r="1503" spans="1:18" x14ac:dyDescent="0.25">
      <c r="A1503" s="170">
        <v>44216</v>
      </c>
      <c r="B1503" s="116">
        <v>521.92499999999995</v>
      </c>
      <c r="C1503" s="116">
        <v>499.02499999999998</v>
      </c>
      <c r="D1503" s="116">
        <v>496.8</v>
      </c>
      <c r="E1503" s="116">
        <v>521.92499999999995</v>
      </c>
      <c r="F1503" s="116">
        <v>998.05</v>
      </c>
      <c r="G1503">
        <v>3539</v>
      </c>
      <c r="H1503" s="116"/>
      <c r="I1503" s="116"/>
      <c r="L1503" s="170">
        <v>44216</v>
      </c>
      <c r="M1503" s="116">
        <v>499.5</v>
      </c>
      <c r="N1503" s="116">
        <v>514.75</v>
      </c>
      <c r="O1503" s="116">
        <v>496.5</v>
      </c>
      <c r="P1503" s="116">
        <v>511</v>
      </c>
      <c r="Q1503" s="116">
        <v>999</v>
      </c>
      <c r="R1503">
        <v>83066</v>
      </c>
    </row>
    <row r="1504" spans="1:18" x14ac:dyDescent="0.25">
      <c r="A1504" s="170">
        <v>44217</v>
      </c>
      <c r="B1504" s="116">
        <v>514</v>
      </c>
      <c r="C1504" s="116">
        <v>504.95</v>
      </c>
      <c r="D1504" s="116">
        <v>499.02499999999998</v>
      </c>
      <c r="E1504" s="116">
        <v>507.4</v>
      </c>
      <c r="F1504" s="116">
        <v>1009.9</v>
      </c>
      <c r="G1504">
        <v>8052</v>
      </c>
      <c r="H1504" s="116"/>
      <c r="I1504" s="116"/>
      <c r="L1504" s="170">
        <v>44217</v>
      </c>
      <c r="M1504" s="116">
        <v>504.42500000000001</v>
      </c>
      <c r="N1504" s="116">
        <v>514.5</v>
      </c>
      <c r="O1504" s="116">
        <v>498.375</v>
      </c>
      <c r="P1504" s="116">
        <v>504.5</v>
      </c>
      <c r="Q1504" s="116">
        <v>1008.85</v>
      </c>
      <c r="R1504">
        <v>76628</v>
      </c>
    </row>
    <row r="1505" spans="1:18" x14ac:dyDescent="0.25">
      <c r="A1505" s="170">
        <v>44218</v>
      </c>
      <c r="B1505" s="116">
        <v>517.47500000000002</v>
      </c>
      <c r="C1505" s="116">
        <v>496.7</v>
      </c>
      <c r="D1505" s="116">
        <v>496</v>
      </c>
      <c r="E1505" s="116">
        <v>517.47500000000002</v>
      </c>
      <c r="F1505" s="116">
        <v>993.4</v>
      </c>
      <c r="G1505">
        <v>8320</v>
      </c>
      <c r="H1505" s="116"/>
      <c r="I1505" s="116"/>
      <c r="L1505" s="170">
        <v>44218</v>
      </c>
      <c r="M1505" s="116">
        <v>496.6</v>
      </c>
      <c r="N1505" s="116">
        <v>514.5</v>
      </c>
      <c r="O1505" s="116">
        <v>495.5</v>
      </c>
      <c r="P1505" s="116">
        <v>512.5</v>
      </c>
      <c r="Q1505" s="116">
        <v>993.2</v>
      </c>
      <c r="R1505">
        <v>53487</v>
      </c>
    </row>
    <row r="1506" spans="1:18" x14ac:dyDescent="0.25">
      <c r="A1506" s="170">
        <v>44221</v>
      </c>
      <c r="B1506" s="116">
        <v>533</v>
      </c>
      <c r="C1506" s="116">
        <v>523.22500000000002</v>
      </c>
      <c r="D1506" s="116">
        <v>489.02499999999998</v>
      </c>
      <c r="E1506" s="116">
        <v>496.25</v>
      </c>
      <c r="F1506" s="116">
        <v>1046.45</v>
      </c>
      <c r="G1506">
        <v>21907</v>
      </c>
      <c r="H1506" s="116"/>
      <c r="I1506" s="116"/>
      <c r="L1506" s="170">
        <v>44221</v>
      </c>
      <c r="M1506" s="116">
        <v>525.20000000000005</v>
      </c>
      <c r="N1506" s="116">
        <v>535.57500000000005</v>
      </c>
      <c r="O1506" s="116">
        <v>489.15</v>
      </c>
      <c r="P1506" s="116">
        <v>499.07499999999999</v>
      </c>
      <c r="Q1506" s="116">
        <v>1050.4000000000001</v>
      </c>
      <c r="R1506">
        <v>205775</v>
      </c>
    </row>
    <row r="1507" spans="1:18" x14ac:dyDescent="0.25">
      <c r="A1507" s="170">
        <v>44223</v>
      </c>
      <c r="B1507" s="116">
        <v>528.5</v>
      </c>
      <c r="C1507" s="116">
        <v>508.52499999999998</v>
      </c>
      <c r="D1507" s="116">
        <v>503.3</v>
      </c>
      <c r="E1507" s="116">
        <v>528.5</v>
      </c>
      <c r="F1507" s="116">
        <v>1017.05</v>
      </c>
      <c r="G1507">
        <v>2421</v>
      </c>
      <c r="H1507" s="116"/>
      <c r="I1507" s="116"/>
      <c r="L1507" s="170">
        <v>44223</v>
      </c>
      <c r="M1507" s="116">
        <v>509.15</v>
      </c>
      <c r="N1507" s="116">
        <v>523.35</v>
      </c>
      <c r="O1507" s="116">
        <v>502.5</v>
      </c>
      <c r="P1507" s="116">
        <v>520.07500000000005</v>
      </c>
      <c r="Q1507" s="116">
        <v>1018.3</v>
      </c>
      <c r="R1507">
        <v>88993</v>
      </c>
    </row>
    <row r="1508" spans="1:18" x14ac:dyDescent="0.25">
      <c r="A1508" s="170">
        <v>44224</v>
      </c>
      <c r="B1508" s="116">
        <v>509.85</v>
      </c>
      <c r="C1508" s="116">
        <v>500.57499999999999</v>
      </c>
      <c r="D1508" s="116">
        <v>494.5</v>
      </c>
      <c r="E1508" s="116">
        <v>509.85</v>
      </c>
      <c r="F1508" s="116">
        <v>1001.15</v>
      </c>
      <c r="G1508">
        <v>2214</v>
      </c>
      <c r="H1508" s="116"/>
      <c r="I1508" s="116"/>
      <c r="L1508" s="170">
        <v>44224</v>
      </c>
      <c r="M1508" s="116">
        <v>500.05</v>
      </c>
      <c r="N1508" s="116">
        <v>507.97500000000002</v>
      </c>
      <c r="O1508" s="116">
        <v>493.55</v>
      </c>
      <c r="P1508" s="116">
        <v>507.97500000000002</v>
      </c>
      <c r="Q1508" s="116">
        <v>1000.1</v>
      </c>
      <c r="R1508">
        <v>133909</v>
      </c>
    </row>
    <row r="1509" spans="1:18" x14ac:dyDescent="0.25">
      <c r="A1509" s="170">
        <v>44225</v>
      </c>
      <c r="B1509" s="116">
        <v>505.85</v>
      </c>
      <c r="C1509" s="116">
        <v>500.42500000000001</v>
      </c>
      <c r="D1509" s="116">
        <v>498</v>
      </c>
      <c r="E1509" s="116">
        <v>504.5</v>
      </c>
      <c r="F1509" s="116">
        <v>1000.85</v>
      </c>
      <c r="G1509">
        <v>2209</v>
      </c>
      <c r="H1509" s="116"/>
      <c r="I1509" s="116"/>
      <c r="L1509" s="170">
        <v>44225</v>
      </c>
      <c r="M1509" s="116">
        <v>500.57499999999999</v>
      </c>
      <c r="N1509" s="116">
        <v>507.42500000000001</v>
      </c>
      <c r="O1509" s="116">
        <v>498</v>
      </c>
      <c r="P1509" s="116">
        <v>500.05</v>
      </c>
      <c r="Q1509" s="116">
        <v>1001.15</v>
      </c>
      <c r="R1509">
        <v>48397</v>
      </c>
    </row>
    <row r="1510" spans="1:18" x14ac:dyDescent="0.25">
      <c r="A1510" s="170">
        <v>44228</v>
      </c>
      <c r="B1510" s="116">
        <v>518.47500000000002</v>
      </c>
      <c r="C1510" s="116">
        <v>493.8</v>
      </c>
      <c r="D1510" s="116">
        <v>478.5</v>
      </c>
      <c r="E1510" s="116">
        <v>518.47500000000002</v>
      </c>
      <c r="F1510" s="116">
        <v>987.6</v>
      </c>
      <c r="G1510">
        <v>4290</v>
      </c>
      <c r="H1510" s="116"/>
      <c r="I1510" s="116"/>
      <c r="L1510" s="170">
        <v>44228</v>
      </c>
      <c r="M1510" s="116">
        <v>493.57499999999999</v>
      </c>
      <c r="N1510" s="116">
        <v>510.47500000000002</v>
      </c>
      <c r="O1510" s="116">
        <v>478.02499999999998</v>
      </c>
      <c r="P1510" s="116">
        <v>501</v>
      </c>
      <c r="Q1510" s="116">
        <v>987.15</v>
      </c>
      <c r="R1510">
        <v>121533</v>
      </c>
    </row>
    <row r="1511" spans="1:18" x14ac:dyDescent="0.25">
      <c r="A1511" s="170">
        <v>44229</v>
      </c>
      <c r="B1511" s="116">
        <v>512.5</v>
      </c>
      <c r="C1511" s="116">
        <v>496.6</v>
      </c>
      <c r="D1511" s="116">
        <v>491.82499999999999</v>
      </c>
      <c r="E1511" s="116">
        <v>512.5</v>
      </c>
      <c r="F1511" s="116">
        <v>993.2</v>
      </c>
      <c r="G1511">
        <v>8269</v>
      </c>
      <c r="H1511" s="116"/>
      <c r="I1511" s="116"/>
      <c r="L1511" s="170">
        <v>44229</v>
      </c>
      <c r="M1511" s="116">
        <v>497.22500000000002</v>
      </c>
      <c r="N1511" s="116">
        <v>508.55</v>
      </c>
      <c r="O1511" s="116">
        <v>491.95</v>
      </c>
      <c r="P1511" s="116">
        <v>508.55</v>
      </c>
      <c r="Q1511" s="116">
        <v>994.45</v>
      </c>
      <c r="R1511">
        <v>64045</v>
      </c>
    </row>
    <row r="1512" spans="1:18" x14ac:dyDescent="0.25">
      <c r="A1512" s="170">
        <v>44230</v>
      </c>
      <c r="B1512" s="116">
        <v>506.5</v>
      </c>
      <c r="C1512" s="116">
        <v>496.125</v>
      </c>
      <c r="D1512" s="116">
        <v>490.42500000000001</v>
      </c>
      <c r="E1512" s="116">
        <v>497</v>
      </c>
      <c r="F1512" s="116">
        <v>992.25</v>
      </c>
      <c r="G1512">
        <v>5146</v>
      </c>
      <c r="H1512" s="116"/>
      <c r="I1512" s="116"/>
      <c r="L1512" s="170">
        <v>44230</v>
      </c>
      <c r="M1512" s="116">
        <v>495.95</v>
      </c>
      <c r="N1512" s="116">
        <v>507.5</v>
      </c>
      <c r="O1512" s="116">
        <v>489.95</v>
      </c>
      <c r="P1512" s="116">
        <v>499.67500000000001</v>
      </c>
      <c r="Q1512" s="116">
        <v>991.9</v>
      </c>
      <c r="R1512">
        <v>419463</v>
      </c>
    </row>
    <row r="1513" spans="1:18" x14ac:dyDescent="0.25">
      <c r="A1513" s="170">
        <v>44231</v>
      </c>
      <c r="B1513" s="116">
        <v>506.45</v>
      </c>
      <c r="C1513" s="116">
        <v>499.97500000000002</v>
      </c>
      <c r="D1513" s="116">
        <v>497.97500000000002</v>
      </c>
      <c r="E1513" s="116">
        <v>498.05</v>
      </c>
      <c r="F1513" s="116">
        <v>999.95</v>
      </c>
      <c r="G1513">
        <v>3330</v>
      </c>
      <c r="H1513" s="116"/>
      <c r="I1513" s="116"/>
      <c r="L1513" s="170">
        <v>44231</v>
      </c>
      <c r="M1513" s="116">
        <v>500.07499999999999</v>
      </c>
      <c r="N1513" s="116">
        <v>506.72500000000002</v>
      </c>
      <c r="O1513" s="116">
        <v>497.47500000000002</v>
      </c>
      <c r="P1513" s="116">
        <v>497.5</v>
      </c>
      <c r="Q1513" s="116">
        <v>1000.15</v>
      </c>
      <c r="R1513">
        <v>200914</v>
      </c>
    </row>
    <row r="1514" spans="1:18" x14ac:dyDescent="0.25">
      <c r="A1514" s="170">
        <v>44232</v>
      </c>
      <c r="B1514" s="116">
        <v>520</v>
      </c>
      <c r="C1514" s="116">
        <v>504.45</v>
      </c>
      <c r="D1514" s="116">
        <v>502.5</v>
      </c>
      <c r="E1514" s="116">
        <v>504</v>
      </c>
      <c r="F1514" s="116">
        <v>1008.9</v>
      </c>
      <c r="G1514">
        <v>7164</v>
      </c>
      <c r="H1514" s="116"/>
      <c r="I1514" s="116"/>
      <c r="L1514" s="170">
        <v>44232</v>
      </c>
      <c r="M1514" s="116">
        <v>504.4</v>
      </c>
      <c r="N1514" s="116">
        <v>523.5</v>
      </c>
      <c r="O1514" s="116">
        <v>501.375</v>
      </c>
      <c r="P1514" s="116">
        <v>506.45</v>
      </c>
      <c r="Q1514" s="116">
        <v>1008.8</v>
      </c>
      <c r="R1514">
        <v>144694</v>
      </c>
    </row>
    <row r="1515" spans="1:18" x14ac:dyDescent="0.25">
      <c r="A1515" s="170">
        <v>44235</v>
      </c>
      <c r="B1515" s="116">
        <v>520</v>
      </c>
      <c r="C1515" s="116">
        <v>500.6</v>
      </c>
      <c r="D1515" s="116">
        <v>496.75</v>
      </c>
      <c r="E1515" s="116">
        <v>509.95</v>
      </c>
      <c r="F1515" s="116">
        <v>1001.2</v>
      </c>
      <c r="G1515">
        <v>16499</v>
      </c>
      <c r="H1515" s="116"/>
      <c r="I1515" s="116"/>
      <c r="L1515" s="170">
        <v>44235</v>
      </c>
      <c r="M1515" s="116">
        <v>500.92500000000001</v>
      </c>
      <c r="N1515" s="116">
        <v>519.17499999999995</v>
      </c>
      <c r="O1515" s="116">
        <v>496.5</v>
      </c>
      <c r="P1515" s="116">
        <v>505.05</v>
      </c>
      <c r="Q1515" s="116">
        <v>1001.85</v>
      </c>
      <c r="R1515">
        <v>252187</v>
      </c>
    </row>
    <row r="1516" spans="1:18" x14ac:dyDescent="0.25">
      <c r="A1516" s="170">
        <v>44236</v>
      </c>
      <c r="B1516" s="116">
        <v>524.45000000000005</v>
      </c>
      <c r="C1516" s="116">
        <v>516.65</v>
      </c>
      <c r="D1516" s="116">
        <v>502.5</v>
      </c>
      <c r="E1516" s="116">
        <v>512.47500000000002</v>
      </c>
      <c r="F1516" s="116">
        <v>1033.3</v>
      </c>
      <c r="G1516">
        <v>19234</v>
      </c>
      <c r="H1516" s="116"/>
      <c r="I1516" s="116"/>
      <c r="L1516" s="170">
        <v>44236</v>
      </c>
      <c r="M1516" s="116">
        <v>520.9</v>
      </c>
      <c r="N1516" s="116">
        <v>524.52499999999998</v>
      </c>
      <c r="O1516" s="116">
        <v>501.02499999999998</v>
      </c>
      <c r="P1516" s="116">
        <v>502</v>
      </c>
      <c r="Q1516" s="116">
        <v>1041.8</v>
      </c>
      <c r="R1516">
        <v>293570</v>
      </c>
    </row>
    <row r="1517" spans="1:18" x14ac:dyDescent="0.25">
      <c r="A1517" s="170">
        <v>44237</v>
      </c>
      <c r="B1517" s="116">
        <v>549.22500000000002</v>
      </c>
      <c r="C1517" s="116">
        <v>539.20000000000005</v>
      </c>
      <c r="D1517" s="116">
        <v>527.22500000000002</v>
      </c>
      <c r="E1517" s="116">
        <v>530</v>
      </c>
      <c r="F1517" s="116">
        <v>1078.4000000000001</v>
      </c>
      <c r="G1517">
        <v>37622</v>
      </c>
      <c r="H1517" s="116"/>
      <c r="I1517" s="116"/>
      <c r="L1517" s="170">
        <v>44237</v>
      </c>
      <c r="M1517" s="116">
        <v>538.75</v>
      </c>
      <c r="N1517" s="116">
        <v>549.47500000000002</v>
      </c>
      <c r="O1517" s="116">
        <v>525</v>
      </c>
      <c r="P1517" s="116">
        <v>527.5</v>
      </c>
      <c r="Q1517" s="116">
        <v>1077.5</v>
      </c>
      <c r="R1517">
        <v>637693</v>
      </c>
    </row>
    <row r="1518" spans="1:18" x14ac:dyDescent="0.25">
      <c r="A1518" s="170">
        <v>44238</v>
      </c>
      <c r="B1518" s="116">
        <v>625</v>
      </c>
      <c r="C1518" s="116">
        <v>597.75</v>
      </c>
      <c r="D1518" s="116">
        <v>575</v>
      </c>
      <c r="E1518" s="116">
        <v>575</v>
      </c>
      <c r="F1518" s="116">
        <v>1195.5</v>
      </c>
      <c r="G1518">
        <v>229556</v>
      </c>
      <c r="H1518" s="116"/>
      <c r="I1518" s="116"/>
      <c r="L1518" s="170">
        <v>44238</v>
      </c>
      <c r="M1518" s="116">
        <v>598.17499999999995</v>
      </c>
      <c r="N1518" s="116">
        <v>624.54999999999995</v>
      </c>
      <c r="O1518" s="116">
        <v>577.5</v>
      </c>
      <c r="P1518" s="116">
        <v>577.5</v>
      </c>
      <c r="Q1518" s="116">
        <v>1196.3499999999999</v>
      </c>
      <c r="R1518">
        <v>3616685</v>
      </c>
    </row>
    <row r="1519" spans="1:18" x14ac:dyDescent="0.25">
      <c r="A1519" s="170">
        <v>44239</v>
      </c>
      <c r="B1519" s="116">
        <v>628.85</v>
      </c>
      <c r="C1519" s="116">
        <v>600.22500000000002</v>
      </c>
      <c r="D1519" s="116">
        <v>588.20000000000005</v>
      </c>
      <c r="E1519" s="116">
        <v>612.5</v>
      </c>
      <c r="F1519" s="116">
        <v>1200.45</v>
      </c>
      <c r="G1519">
        <v>51283</v>
      </c>
      <c r="H1519" s="116"/>
      <c r="I1519" s="116"/>
      <c r="L1519" s="170">
        <v>44239</v>
      </c>
      <c r="M1519" s="116">
        <v>600.54999999999995</v>
      </c>
      <c r="N1519" s="116">
        <v>629</v>
      </c>
      <c r="O1519" s="116">
        <v>587.5</v>
      </c>
      <c r="P1519" s="116">
        <v>615</v>
      </c>
      <c r="Q1519" s="116">
        <v>1201.0999999999999</v>
      </c>
      <c r="R1519">
        <v>854435</v>
      </c>
    </row>
    <row r="1520" spans="1:18" x14ac:dyDescent="0.25">
      <c r="A1520" s="170">
        <v>44242</v>
      </c>
      <c r="B1520" s="116">
        <v>631.47500000000002</v>
      </c>
      <c r="C1520" s="116">
        <v>621.22500000000002</v>
      </c>
      <c r="D1520" s="116">
        <v>596.6</v>
      </c>
      <c r="E1520" s="116">
        <v>617.4</v>
      </c>
      <c r="F1520" s="116">
        <v>1242.45</v>
      </c>
      <c r="G1520">
        <v>36908</v>
      </c>
      <c r="H1520" s="116"/>
      <c r="I1520" s="116"/>
      <c r="L1520" s="170">
        <v>44242</v>
      </c>
      <c r="M1520" s="116">
        <v>621.75</v>
      </c>
      <c r="N1520" s="116">
        <v>631.5</v>
      </c>
      <c r="O1520" s="116">
        <v>585</v>
      </c>
      <c r="P1520" s="116">
        <v>610.85</v>
      </c>
      <c r="Q1520" s="116">
        <v>1243.5</v>
      </c>
      <c r="R1520">
        <v>618338</v>
      </c>
    </row>
    <row r="1521" spans="1:18" x14ac:dyDescent="0.25">
      <c r="A1521" s="170">
        <v>44243</v>
      </c>
      <c r="B1521" s="116">
        <v>629.52499999999998</v>
      </c>
      <c r="C1521" s="116">
        <v>624.70000000000005</v>
      </c>
      <c r="D1521" s="116">
        <v>608.04999999999995</v>
      </c>
      <c r="E1521" s="116">
        <v>625.5</v>
      </c>
      <c r="F1521" s="116">
        <v>1249.4000000000001</v>
      </c>
      <c r="G1521">
        <v>16326</v>
      </c>
      <c r="H1521" s="116"/>
      <c r="I1521" s="116"/>
      <c r="L1521" s="170">
        <v>44243</v>
      </c>
      <c r="M1521" s="116">
        <v>624.07500000000005</v>
      </c>
      <c r="N1521" s="116">
        <v>629.79999999999995</v>
      </c>
      <c r="O1521" s="116">
        <v>607.65</v>
      </c>
      <c r="P1521" s="116">
        <v>623.4</v>
      </c>
      <c r="Q1521" s="116">
        <v>1248.1500000000001</v>
      </c>
      <c r="R1521">
        <v>223891</v>
      </c>
    </row>
    <row r="1522" spans="1:18" x14ac:dyDescent="0.25">
      <c r="A1522" s="170">
        <v>44244</v>
      </c>
      <c r="B1522" s="116">
        <v>623.5</v>
      </c>
      <c r="C1522" s="116">
        <v>586.29999999999995</v>
      </c>
      <c r="D1522" s="116">
        <v>578.92499999999995</v>
      </c>
      <c r="E1522" s="116">
        <v>623.5</v>
      </c>
      <c r="F1522" s="116">
        <v>1172.5999999999999</v>
      </c>
      <c r="G1522">
        <v>22611</v>
      </c>
      <c r="H1522" s="116"/>
      <c r="I1522" s="116"/>
      <c r="L1522" s="170">
        <v>44244</v>
      </c>
      <c r="M1522" s="116">
        <v>586.07500000000005</v>
      </c>
      <c r="N1522" s="116">
        <v>620</v>
      </c>
      <c r="O1522" s="116">
        <v>577.52499999999998</v>
      </c>
      <c r="P1522" s="116">
        <v>620</v>
      </c>
      <c r="Q1522" s="116">
        <v>1172.1500000000001</v>
      </c>
      <c r="R1522">
        <v>234753</v>
      </c>
    </row>
    <row r="1523" spans="1:18" x14ac:dyDescent="0.25">
      <c r="A1523" s="170">
        <v>44245</v>
      </c>
      <c r="B1523" s="116">
        <v>596.65</v>
      </c>
      <c r="C1523" s="116">
        <v>577.70000000000005</v>
      </c>
      <c r="D1523" s="116">
        <v>564.4</v>
      </c>
      <c r="E1523" s="116">
        <v>592.47500000000002</v>
      </c>
      <c r="F1523" s="116">
        <v>1155.4000000000001</v>
      </c>
      <c r="G1523">
        <v>13718</v>
      </c>
      <c r="H1523" s="116"/>
      <c r="I1523" s="116"/>
      <c r="L1523" s="170">
        <v>44245</v>
      </c>
      <c r="M1523" s="116">
        <v>577.32500000000005</v>
      </c>
      <c r="N1523" s="116">
        <v>596.77499999999998</v>
      </c>
      <c r="O1523" s="116">
        <v>565</v>
      </c>
      <c r="P1523" s="116">
        <v>591.79999999999995</v>
      </c>
      <c r="Q1523" s="116">
        <v>1154.6500000000001</v>
      </c>
      <c r="R1523">
        <v>179484</v>
      </c>
    </row>
    <row r="1524" spans="1:18" x14ac:dyDescent="0.25">
      <c r="A1524" s="170">
        <v>44246</v>
      </c>
      <c r="B1524" s="116">
        <v>576.97500000000002</v>
      </c>
      <c r="C1524" s="116">
        <v>556.42499999999995</v>
      </c>
      <c r="D1524" s="116">
        <v>551.70000000000005</v>
      </c>
      <c r="E1524" s="116">
        <v>576.97500000000002</v>
      </c>
      <c r="F1524" s="116">
        <v>1112.8499999999999</v>
      </c>
      <c r="G1524">
        <v>14778</v>
      </c>
      <c r="H1524" s="116"/>
      <c r="I1524" s="116"/>
      <c r="L1524" s="170">
        <v>44246</v>
      </c>
      <c r="M1524" s="116">
        <v>555.25</v>
      </c>
      <c r="N1524" s="116">
        <v>577.29999999999995</v>
      </c>
      <c r="O1524" s="116">
        <v>550.97500000000002</v>
      </c>
      <c r="P1524" s="116">
        <v>570</v>
      </c>
      <c r="Q1524" s="116">
        <v>1110.5</v>
      </c>
      <c r="R1524">
        <v>145437</v>
      </c>
    </row>
    <row r="1525" spans="1:18" x14ac:dyDescent="0.25">
      <c r="A1525" s="170">
        <v>44249</v>
      </c>
      <c r="B1525" s="116">
        <v>568.22500000000002</v>
      </c>
      <c r="C1525" s="116">
        <v>544.85</v>
      </c>
      <c r="D1525" s="116">
        <v>540.45000000000005</v>
      </c>
      <c r="E1525" s="116">
        <v>552.79999999999995</v>
      </c>
      <c r="F1525" s="116">
        <v>1089.7</v>
      </c>
      <c r="G1525">
        <v>16907</v>
      </c>
      <c r="H1525" s="116"/>
      <c r="I1525" s="116"/>
      <c r="L1525" s="170">
        <v>44249</v>
      </c>
      <c r="M1525" s="116">
        <v>544.52499999999998</v>
      </c>
      <c r="N1525" s="116">
        <v>568.47500000000002</v>
      </c>
      <c r="O1525" s="116">
        <v>540.54999999999995</v>
      </c>
      <c r="P1525" s="116">
        <v>559.5</v>
      </c>
      <c r="Q1525" s="116">
        <v>1089.05</v>
      </c>
      <c r="R1525">
        <v>118944</v>
      </c>
    </row>
    <row r="1526" spans="1:18" x14ac:dyDescent="0.25">
      <c r="A1526" s="170">
        <v>44250</v>
      </c>
      <c r="B1526" s="116">
        <v>559.5</v>
      </c>
      <c r="C1526" s="116">
        <v>547.85</v>
      </c>
      <c r="D1526" s="116">
        <v>538.65</v>
      </c>
      <c r="E1526" s="116">
        <v>559.5</v>
      </c>
      <c r="F1526" s="116">
        <v>1095.7</v>
      </c>
      <c r="G1526">
        <v>14022</v>
      </c>
      <c r="H1526" s="116"/>
      <c r="I1526" s="116"/>
      <c r="L1526" s="170">
        <v>44250</v>
      </c>
      <c r="M1526" s="116">
        <v>547.20000000000005</v>
      </c>
      <c r="N1526" s="116">
        <v>557</v>
      </c>
      <c r="O1526" s="116">
        <v>542.79999999999995</v>
      </c>
      <c r="P1526" s="116">
        <v>549.5</v>
      </c>
      <c r="Q1526" s="116">
        <v>1094.4000000000001</v>
      </c>
      <c r="R1526">
        <v>205443</v>
      </c>
    </row>
    <row r="1527" spans="1:18" x14ac:dyDescent="0.25">
      <c r="A1527" s="170">
        <v>44251</v>
      </c>
      <c r="B1527" s="116">
        <v>569</v>
      </c>
      <c r="C1527" s="116">
        <v>562.97500000000002</v>
      </c>
      <c r="D1527" s="116">
        <v>548.35</v>
      </c>
      <c r="E1527" s="116">
        <v>556</v>
      </c>
      <c r="F1527" s="116">
        <v>1125.95</v>
      </c>
      <c r="G1527">
        <v>31538</v>
      </c>
      <c r="H1527" s="116"/>
      <c r="I1527" s="116"/>
      <c r="L1527" s="170">
        <v>44251</v>
      </c>
      <c r="M1527" s="116">
        <v>563.82500000000005</v>
      </c>
      <c r="N1527" s="116">
        <v>572.5</v>
      </c>
      <c r="O1527" s="116">
        <v>547</v>
      </c>
      <c r="P1527" s="116">
        <v>547</v>
      </c>
      <c r="Q1527" s="116">
        <v>1127.6500000000001</v>
      </c>
      <c r="R1527">
        <v>52611</v>
      </c>
    </row>
    <row r="1528" spans="1:18" x14ac:dyDescent="0.25">
      <c r="A1528" s="170">
        <v>44252</v>
      </c>
      <c r="B1528" s="116">
        <v>579</v>
      </c>
      <c r="C1528" s="116">
        <v>569.47500000000002</v>
      </c>
      <c r="D1528" s="116">
        <v>560.79999999999995</v>
      </c>
      <c r="E1528" s="116">
        <v>571.5</v>
      </c>
      <c r="F1528" s="116">
        <v>1138.95</v>
      </c>
      <c r="G1528">
        <v>6350</v>
      </c>
      <c r="H1528" s="116"/>
      <c r="I1528" s="116"/>
      <c r="L1528" s="170">
        <v>44252</v>
      </c>
      <c r="M1528" s="116">
        <v>569.22500000000002</v>
      </c>
      <c r="N1528" s="116">
        <v>574.15</v>
      </c>
      <c r="O1528" s="116">
        <v>561</v>
      </c>
      <c r="P1528" s="116">
        <v>561</v>
      </c>
      <c r="Q1528" s="116">
        <v>1138.45</v>
      </c>
      <c r="R1528">
        <v>77220</v>
      </c>
    </row>
    <row r="1529" spans="1:18" x14ac:dyDescent="0.25">
      <c r="A1529" s="170">
        <v>44253</v>
      </c>
      <c r="B1529" s="116">
        <v>602.5</v>
      </c>
      <c r="C1529" s="116">
        <v>558.625</v>
      </c>
      <c r="D1529" s="116">
        <v>553.29999999999995</v>
      </c>
      <c r="E1529" s="116">
        <v>569.47500000000002</v>
      </c>
      <c r="F1529" s="116">
        <v>1117.25</v>
      </c>
      <c r="G1529">
        <v>18565</v>
      </c>
      <c r="H1529" s="116"/>
      <c r="I1529" s="116"/>
      <c r="L1529" s="170">
        <v>44253</v>
      </c>
      <c r="M1529" s="116">
        <v>559.29999999999995</v>
      </c>
      <c r="N1529" s="116">
        <v>603.15</v>
      </c>
      <c r="O1529" s="116">
        <v>553.52499999999998</v>
      </c>
      <c r="P1529" s="116">
        <v>565</v>
      </c>
      <c r="Q1529" s="116">
        <v>1118.5999999999999</v>
      </c>
      <c r="R1529">
        <v>239015</v>
      </c>
    </row>
    <row r="1530" spans="1:18" x14ac:dyDescent="0.25">
      <c r="A1530" s="170">
        <v>44256</v>
      </c>
      <c r="B1530" s="116">
        <v>586.77499999999998</v>
      </c>
      <c r="C1530" s="116">
        <v>573.32500000000005</v>
      </c>
      <c r="D1530" s="116">
        <v>558.5</v>
      </c>
      <c r="E1530" s="116">
        <v>575</v>
      </c>
      <c r="F1530" s="116">
        <v>1146.6500000000001</v>
      </c>
      <c r="G1530">
        <v>6647</v>
      </c>
      <c r="H1530" s="116"/>
      <c r="I1530" s="116"/>
      <c r="L1530" s="170">
        <v>44256</v>
      </c>
      <c r="M1530" s="116">
        <v>571.85</v>
      </c>
      <c r="N1530" s="116">
        <v>586.92499999999995</v>
      </c>
      <c r="O1530" s="116">
        <v>558.02499999999998</v>
      </c>
      <c r="P1530" s="116">
        <v>559.29999999999995</v>
      </c>
      <c r="Q1530" s="116">
        <v>1143.7</v>
      </c>
      <c r="R1530">
        <v>122410</v>
      </c>
    </row>
    <row r="1531" spans="1:18" x14ac:dyDescent="0.25">
      <c r="A1531" s="170">
        <v>44257</v>
      </c>
      <c r="B1531" s="116">
        <v>611.97500000000002</v>
      </c>
      <c r="C1531" s="116">
        <v>601.25</v>
      </c>
      <c r="D1531" s="116">
        <v>570.02499999999998</v>
      </c>
      <c r="E1531" s="116">
        <v>582.5</v>
      </c>
      <c r="F1531" s="116">
        <v>1202.5</v>
      </c>
      <c r="G1531">
        <v>25228</v>
      </c>
      <c r="H1531" s="116"/>
      <c r="I1531" s="116"/>
      <c r="L1531" s="170">
        <v>44257</v>
      </c>
      <c r="M1531" s="116">
        <v>603.32500000000005</v>
      </c>
      <c r="N1531" s="116">
        <v>612</v>
      </c>
      <c r="O1531" s="116">
        <v>570.5</v>
      </c>
      <c r="P1531" s="116">
        <v>587</v>
      </c>
      <c r="Q1531" s="116">
        <v>1206.6500000000001</v>
      </c>
      <c r="R1531">
        <v>372320</v>
      </c>
    </row>
    <row r="1532" spans="1:18" x14ac:dyDescent="0.25">
      <c r="A1532" s="170">
        <v>44258</v>
      </c>
      <c r="B1532" s="116">
        <v>623.70000000000005</v>
      </c>
      <c r="C1532" s="116">
        <v>601.22500000000002</v>
      </c>
      <c r="D1532" s="116">
        <v>593.02499999999998</v>
      </c>
      <c r="E1532" s="116">
        <v>610</v>
      </c>
      <c r="F1532" s="116">
        <v>1202.45</v>
      </c>
      <c r="G1532">
        <v>16999</v>
      </c>
      <c r="H1532" s="116"/>
      <c r="I1532" s="116"/>
      <c r="L1532" s="170">
        <v>44258</v>
      </c>
      <c r="M1532" s="116">
        <v>601.72500000000002</v>
      </c>
      <c r="N1532" s="116">
        <v>624</v>
      </c>
      <c r="O1532" s="116">
        <v>592.4</v>
      </c>
      <c r="P1532" s="116">
        <v>610.5</v>
      </c>
      <c r="Q1532" s="116">
        <v>1203.45</v>
      </c>
      <c r="R1532">
        <v>527608</v>
      </c>
    </row>
    <row r="1533" spans="1:18" x14ac:dyDescent="0.25">
      <c r="A1533" s="170">
        <v>44259</v>
      </c>
      <c r="B1533" s="116">
        <v>605.54999999999995</v>
      </c>
      <c r="C1533" s="116">
        <v>593.92499999999995</v>
      </c>
      <c r="D1533" s="116">
        <v>592.27499999999998</v>
      </c>
      <c r="E1533" s="116">
        <v>603.97500000000002</v>
      </c>
      <c r="F1533" s="116">
        <v>1187.8499999999999</v>
      </c>
      <c r="G1533">
        <v>4325</v>
      </c>
      <c r="H1533" s="116"/>
      <c r="I1533" s="116"/>
      <c r="L1533" s="170">
        <v>44259</v>
      </c>
      <c r="M1533" s="116">
        <v>594.04999999999995</v>
      </c>
      <c r="N1533" s="116">
        <v>605.42499999999995</v>
      </c>
      <c r="O1533" s="116">
        <v>592</v>
      </c>
      <c r="P1533" s="116">
        <v>604.95000000000005</v>
      </c>
      <c r="Q1533" s="116">
        <v>1188.0999999999999</v>
      </c>
      <c r="R1533">
        <v>87350</v>
      </c>
    </row>
    <row r="1534" spans="1:18" x14ac:dyDescent="0.25">
      <c r="A1534" s="170">
        <v>44260</v>
      </c>
      <c r="B1534" s="116">
        <v>607.92499999999995</v>
      </c>
      <c r="C1534" s="116">
        <v>599.45000000000005</v>
      </c>
      <c r="D1534" s="116">
        <v>592.5</v>
      </c>
      <c r="E1534" s="116">
        <v>599.5</v>
      </c>
      <c r="F1534" s="116">
        <v>1198.9000000000001</v>
      </c>
      <c r="G1534">
        <v>9022</v>
      </c>
      <c r="H1534" s="116"/>
      <c r="I1534" s="116"/>
      <c r="L1534" s="170">
        <v>44260</v>
      </c>
      <c r="M1534" s="116">
        <v>599.375</v>
      </c>
      <c r="N1534" s="116">
        <v>607.5</v>
      </c>
      <c r="O1534" s="116">
        <v>592.5</v>
      </c>
      <c r="P1534" s="116">
        <v>598</v>
      </c>
      <c r="Q1534" s="116">
        <v>1198.75</v>
      </c>
      <c r="R1534">
        <v>134738</v>
      </c>
    </row>
    <row r="1535" spans="1:18" x14ac:dyDescent="0.25">
      <c r="A1535" s="170">
        <v>44263</v>
      </c>
      <c r="B1535" s="116">
        <v>609.72500000000002</v>
      </c>
      <c r="C1535" s="116">
        <v>596.79999999999995</v>
      </c>
      <c r="D1535" s="116">
        <v>595</v>
      </c>
      <c r="E1535" s="116">
        <v>599.5</v>
      </c>
      <c r="F1535" s="116">
        <v>1193.5999999999999</v>
      </c>
      <c r="G1535">
        <v>11901</v>
      </c>
      <c r="H1535" s="116"/>
      <c r="I1535" s="116"/>
      <c r="L1535" s="170">
        <v>44263</v>
      </c>
      <c r="M1535" s="116">
        <v>596.67499999999995</v>
      </c>
      <c r="N1535" s="116">
        <v>609.5</v>
      </c>
      <c r="O1535" s="116">
        <v>595.25</v>
      </c>
      <c r="P1535" s="116">
        <v>605</v>
      </c>
      <c r="Q1535" s="116">
        <v>1193.3499999999999</v>
      </c>
      <c r="R1535">
        <v>120303</v>
      </c>
    </row>
    <row r="1536" spans="1:18" x14ac:dyDescent="0.25">
      <c r="A1536" s="170">
        <v>44264</v>
      </c>
      <c r="B1536" s="116">
        <v>607.5</v>
      </c>
      <c r="C1536" s="116">
        <v>599.52499999999998</v>
      </c>
      <c r="D1536" s="116">
        <v>595.5</v>
      </c>
      <c r="E1536" s="116">
        <v>607.5</v>
      </c>
      <c r="F1536" s="116">
        <v>1199.05</v>
      </c>
      <c r="G1536">
        <v>6544</v>
      </c>
      <c r="H1536" s="116"/>
      <c r="I1536" s="116"/>
      <c r="L1536" s="170">
        <v>44264</v>
      </c>
      <c r="M1536" s="116">
        <v>599</v>
      </c>
      <c r="N1536" s="116">
        <v>605</v>
      </c>
      <c r="O1536" s="116">
        <v>595.5</v>
      </c>
      <c r="P1536" s="116">
        <v>605</v>
      </c>
      <c r="Q1536" s="116">
        <v>1198</v>
      </c>
      <c r="R1536">
        <v>60856</v>
      </c>
    </row>
    <row r="1537" spans="1:18" x14ac:dyDescent="0.25">
      <c r="A1537" s="170">
        <v>44265</v>
      </c>
      <c r="B1537" s="116">
        <v>606.79999999999995</v>
      </c>
      <c r="C1537" s="116">
        <v>603.875</v>
      </c>
      <c r="D1537" s="116">
        <v>600.04999999999995</v>
      </c>
      <c r="E1537" s="116">
        <v>600.04999999999995</v>
      </c>
      <c r="F1537" s="116">
        <v>1207.75</v>
      </c>
      <c r="G1537">
        <v>4387</v>
      </c>
      <c r="H1537" s="116"/>
      <c r="I1537" s="116"/>
      <c r="L1537" s="170">
        <v>44265</v>
      </c>
      <c r="M1537" s="116">
        <v>603.82500000000005</v>
      </c>
      <c r="N1537" s="116">
        <v>607</v>
      </c>
      <c r="O1537" s="116">
        <v>600.79999999999995</v>
      </c>
      <c r="P1537" s="116">
        <v>604.92499999999995</v>
      </c>
      <c r="Q1537" s="116">
        <v>1207.6500000000001</v>
      </c>
      <c r="R1537">
        <v>91794</v>
      </c>
    </row>
    <row r="1538" spans="1:18" x14ac:dyDescent="0.25">
      <c r="A1538" s="170">
        <v>44267</v>
      </c>
      <c r="B1538" s="116">
        <v>620.52499999999998</v>
      </c>
      <c r="C1538" s="116">
        <v>609.17499999999995</v>
      </c>
      <c r="D1538" s="116">
        <v>604.79999999999995</v>
      </c>
      <c r="E1538" s="116">
        <v>612.5</v>
      </c>
      <c r="F1538" s="116">
        <v>1218.3499999999999</v>
      </c>
      <c r="G1538">
        <v>42685</v>
      </c>
      <c r="H1538" s="116"/>
      <c r="I1538" s="116"/>
      <c r="L1538" s="170">
        <v>44267</v>
      </c>
      <c r="M1538" s="116">
        <v>610.1</v>
      </c>
      <c r="N1538" s="116">
        <v>621</v>
      </c>
      <c r="O1538" s="116">
        <v>604</v>
      </c>
      <c r="P1538" s="116">
        <v>615.5</v>
      </c>
      <c r="Q1538" s="116">
        <v>1220.2</v>
      </c>
      <c r="R1538">
        <v>190131</v>
      </c>
    </row>
    <row r="1539" spans="1:18" x14ac:dyDescent="0.25">
      <c r="A1539" s="170">
        <v>44270</v>
      </c>
      <c r="B1539" s="116">
        <v>613</v>
      </c>
      <c r="C1539" s="116">
        <v>600.375</v>
      </c>
      <c r="D1539" s="116">
        <v>585.32500000000005</v>
      </c>
      <c r="E1539" s="116">
        <v>611.5</v>
      </c>
      <c r="F1539" s="116">
        <v>1200.75</v>
      </c>
      <c r="G1539">
        <v>9888</v>
      </c>
      <c r="H1539" s="116"/>
      <c r="I1539" s="116"/>
      <c r="L1539" s="170">
        <v>44270</v>
      </c>
      <c r="M1539" s="116">
        <v>601.67499999999995</v>
      </c>
      <c r="N1539" s="116">
        <v>616</v>
      </c>
      <c r="O1539" s="116">
        <v>585.5</v>
      </c>
      <c r="P1539" s="116">
        <v>616</v>
      </c>
      <c r="Q1539" s="116">
        <v>1203.3499999999999</v>
      </c>
      <c r="R1539">
        <v>119379</v>
      </c>
    </row>
    <row r="1540" spans="1:18" x14ac:dyDescent="0.25">
      <c r="A1540" s="170">
        <v>44271</v>
      </c>
      <c r="B1540" s="116">
        <v>611.5</v>
      </c>
      <c r="C1540" s="116">
        <v>599.52499999999998</v>
      </c>
      <c r="D1540" s="116">
        <v>597.22500000000002</v>
      </c>
      <c r="E1540" s="116">
        <v>611.5</v>
      </c>
      <c r="F1540" s="116">
        <v>1199.05</v>
      </c>
      <c r="G1540">
        <v>2541</v>
      </c>
      <c r="H1540" s="116"/>
      <c r="I1540" s="116"/>
      <c r="L1540" s="170">
        <v>44271</v>
      </c>
      <c r="M1540" s="116">
        <v>599.17499999999995</v>
      </c>
      <c r="N1540" s="116">
        <v>609.22500000000002</v>
      </c>
      <c r="O1540" s="116">
        <v>597.625</v>
      </c>
      <c r="P1540" s="116">
        <v>607.5</v>
      </c>
      <c r="Q1540" s="116">
        <v>1198.3499999999999</v>
      </c>
      <c r="R1540">
        <v>32319</v>
      </c>
    </row>
    <row r="1541" spans="1:18" x14ac:dyDescent="0.25">
      <c r="A1541" s="170">
        <v>44272</v>
      </c>
      <c r="B1541" s="116">
        <v>606.54999999999995</v>
      </c>
      <c r="C1541" s="116">
        <v>591.29999999999995</v>
      </c>
      <c r="D1541" s="116">
        <v>585.20000000000005</v>
      </c>
      <c r="E1541" s="116">
        <v>592</v>
      </c>
      <c r="F1541" s="116">
        <v>1182.5999999999999</v>
      </c>
      <c r="G1541">
        <v>8089</v>
      </c>
      <c r="H1541" s="116"/>
      <c r="I1541" s="116"/>
      <c r="L1541" s="170">
        <v>44272</v>
      </c>
      <c r="M1541" s="116">
        <v>591.45000000000005</v>
      </c>
      <c r="N1541" s="116">
        <v>606.5</v>
      </c>
      <c r="O1541" s="116">
        <v>586.15</v>
      </c>
      <c r="P1541" s="116">
        <v>599.17499999999995</v>
      </c>
      <c r="Q1541" s="116">
        <v>1182.9000000000001</v>
      </c>
      <c r="R1541">
        <v>83589</v>
      </c>
    </row>
    <row r="1542" spans="1:18" x14ac:dyDescent="0.25">
      <c r="A1542" s="170">
        <v>44273</v>
      </c>
      <c r="B1542" s="116">
        <v>597.45000000000005</v>
      </c>
      <c r="C1542" s="116">
        <v>583.32500000000005</v>
      </c>
      <c r="D1542" s="116">
        <v>579.15</v>
      </c>
      <c r="E1542" s="116">
        <v>588.5</v>
      </c>
      <c r="F1542" s="116">
        <v>1166.6500000000001</v>
      </c>
      <c r="G1542">
        <v>4355</v>
      </c>
      <c r="H1542" s="116"/>
      <c r="I1542" s="116"/>
      <c r="L1542" s="170">
        <v>44273</v>
      </c>
      <c r="M1542" s="116">
        <v>582.25</v>
      </c>
      <c r="N1542" s="116">
        <v>597.5</v>
      </c>
      <c r="O1542" s="116">
        <v>578.02499999999998</v>
      </c>
      <c r="P1542" s="116">
        <v>596</v>
      </c>
      <c r="Q1542" s="116">
        <v>1164.5</v>
      </c>
      <c r="R1542">
        <v>73454</v>
      </c>
    </row>
    <row r="1543" spans="1:18" x14ac:dyDescent="0.25">
      <c r="A1543" s="170">
        <v>44274</v>
      </c>
      <c r="B1543" s="116">
        <v>605.85</v>
      </c>
      <c r="C1543" s="116">
        <v>597.32500000000005</v>
      </c>
      <c r="D1543" s="116">
        <v>554</v>
      </c>
      <c r="E1543" s="116">
        <v>599.5</v>
      </c>
      <c r="F1543" s="116">
        <v>1194.6500000000001</v>
      </c>
      <c r="G1543">
        <v>10277</v>
      </c>
      <c r="H1543" s="116"/>
      <c r="I1543" s="116"/>
      <c r="L1543" s="170">
        <v>44274</v>
      </c>
      <c r="M1543" s="116">
        <v>592.5</v>
      </c>
      <c r="N1543" s="116">
        <v>606</v>
      </c>
      <c r="O1543" s="116">
        <v>554.04999999999995</v>
      </c>
      <c r="P1543" s="116">
        <v>580</v>
      </c>
      <c r="Q1543" s="116">
        <v>1185</v>
      </c>
      <c r="R1543">
        <v>257153</v>
      </c>
    </row>
    <row r="1544" spans="1:18" x14ac:dyDescent="0.25">
      <c r="A1544" s="170">
        <v>44277</v>
      </c>
      <c r="B1544" s="116">
        <v>601.4</v>
      </c>
      <c r="C1544" s="116">
        <v>594.92499999999995</v>
      </c>
      <c r="D1544" s="116">
        <v>582.79999999999995</v>
      </c>
      <c r="E1544" s="116">
        <v>601.4</v>
      </c>
      <c r="F1544" s="116">
        <v>1189.8499999999999</v>
      </c>
      <c r="G1544">
        <v>5896</v>
      </c>
      <c r="H1544" s="116"/>
      <c r="I1544" s="116"/>
      <c r="L1544" s="170">
        <v>44277</v>
      </c>
      <c r="M1544" s="116">
        <v>593.67499999999995</v>
      </c>
      <c r="N1544" s="116">
        <v>602.5</v>
      </c>
      <c r="O1544" s="116">
        <v>582.5</v>
      </c>
      <c r="P1544" s="116">
        <v>599.95000000000005</v>
      </c>
      <c r="Q1544" s="116">
        <v>1187.3499999999999</v>
      </c>
      <c r="R1544">
        <v>65105</v>
      </c>
    </row>
    <row r="1545" spans="1:18" x14ac:dyDescent="0.25">
      <c r="A1545" s="170">
        <v>44278</v>
      </c>
      <c r="B1545" s="116">
        <v>615</v>
      </c>
      <c r="C1545" s="116">
        <v>607.29999999999995</v>
      </c>
      <c r="D1545" s="116">
        <v>595.65</v>
      </c>
      <c r="E1545" s="116">
        <v>600</v>
      </c>
      <c r="F1545" s="116">
        <v>1214.5999999999999</v>
      </c>
      <c r="G1545">
        <v>7350</v>
      </c>
      <c r="H1545" s="116"/>
      <c r="I1545" s="116"/>
      <c r="L1545" s="170">
        <v>44278</v>
      </c>
      <c r="M1545" s="116">
        <v>607.57500000000005</v>
      </c>
      <c r="N1545" s="116">
        <v>615</v>
      </c>
      <c r="O1545" s="116">
        <v>596.45000000000005</v>
      </c>
      <c r="P1545" s="116">
        <v>604</v>
      </c>
      <c r="Q1545" s="116">
        <v>1215.1500000000001</v>
      </c>
      <c r="R1545">
        <v>276887</v>
      </c>
    </row>
    <row r="1546" spans="1:18" x14ac:dyDescent="0.25">
      <c r="A1546" s="170">
        <v>44279</v>
      </c>
      <c r="B1546" s="116">
        <v>657.7</v>
      </c>
      <c r="C1546" s="116">
        <v>617.07500000000005</v>
      </c>
      <c r="D1546" s="116">
        <v>604.35</v>
      </c>
      <c r="E1546" s="116">
        <v>610</v>
      </c>
      <c r="F1546" s="116">
        <v>1234.1500000000001</v>
      </c>
      <c r="G1546">
        <v>25072</v>
      </c>
      <c r="H1546" s="116"/>
      <c r="I1546" s="116"/>
      <c r="L1546" s="170">
        <v>44279</v>
      </c>
      <c r="M1546" s="116">
        <v>615.92499999999995</v>
      </c>
      <c r="N1546" s="116">
        <v>657.6</v>
      </c>
      <c r="O1546" s="116">
        <v>602.875</v>
      </c>
      <c r="P1546" s="116">
        <v>607.57500000000005</v>
      </c>
      <c r="Q1546" s="116">
        <v>1231.8499999999999</v>
      </c>
      <c r="R1546">
        <v>456662</v>
      </c>
    </row>
    <row r="1547" spans="1:18" x14ac:dyDescent="0.25">
      <c r="A1547" s="170">
        <v>44280</v>
      </c>
      <c r="B1547" s="116">
        <v>658.95</v>
      </c>
      <c r="C1547" s="116">
        <v>612.4</v>
      </c>
      <c r="D1547" s="116">
        <v>606.27499999999998</v>
      </c>
      <c r="E1547" s="116">
        <v>630</v>
      </c>
      <c r="F1547" s="116">
        <v>1224.8</v>
      </c>
      <c r="G1547">
        <v>49273</v>
      </c>
      <c r="H1547" s="116"/>
      <c r="I1547" s="116"/>
      <c r="L1547" s="170">
        <v>44280</v>
      </c>
      <c r="M1547" s="116">
        <v>613.67499999999995</v>
      </c>
      <c r="N1547" s="116">
        <v>659</v>
      </c>
      <c r="O1547" s="116">
        <v>606.125</v>
      </c>
      <c r="P1547" s="116">
        <v>632.5</v>
      </c>
      <c r="Q1547" s="116">
        <v>1227.3499999999999</v>
      </c>
      <c r="R1547">
        <v>648367</v>
      </c>
    </row>
    <row r="1548" spans="1:18" x14ac:dyDescent="0.25">
      <c r="A1548" s="170">
        <v>44281</v>
      </c>
      <c r="B1548" s="116">
        <v>624.5</v>
      </c>
      <c r="C1548" s="116">
        <v>613.52499999999998</v>
      </c>
      <c r="D1548" s="116">
        <v>606.1</v>
      </c>
      <c r="E1548" s="116">
        <v>624.5</v>
      </c>
      <c r="F1548" s="116">
        <v>1227.05</v>
      </c>
      <c r="G1548">
        <v>4322</v>
      </c>
      <c r="H1548" s="116"/>
      <c r="I1548" s="116"/>
      <c r="L1548" s="170">
        <v>44281</v>
      </c>
      <c r="M1548" s="116">
        <v>614.375</v>
      </c>
      <c r="N1548" s="116">
        <v>622.54999999999995</v>
      </c>
      <c r="O1548" s="116">
        <v>605.25</v>
      </c>
      <c r="P1548" s="116">
        <v>621.67499999999995</v>
      </c>
      <c r="Q1548" s="116">
        <v>1228.75</v>
      </c>
      <c r="R1548">
        <v>103202</v>
      </c>
    </row>
    <row r="1549" spans="1:18" x14ac:dyDescent="0.25">
      <c r="A1549" s="170">
        <v>44285</v>
      </c>
      <c r="B1549" s="116">
        <v>639</v>
      </c>
      <c r="C1549" s="116">
        <v>613.85</v>
      </c>
      <c r="D1549" s="116">
        <v>609.29999999999995</v>
      </c>
      <c r="E1549" s="116">
        <v>639</v>
      </c>
      <c r="F1549" s="116">
        <v>1227.7</v>
      </c>
      <c r="G1549">
        <v>3029</v>
      </c>
      <c r="H1549" s="116"/>
      <c r="I1549" s="116"/>
      <c r="L1549" s="170">
        <v>44285</v>
      </c>
      <c r="M1549" s="116">
        <v>614.25</v>
      </c>
      <c r="N1549" s="116">
        <v>634.47500000000002</v>
      </c>
      <c r="O1549" s="116">
        <v>608.42499999999995</v>
      </c>
      <c r="P1549" s="116">
        <v>633</v>
      </c>
      <c r="Q1549" s="116">
        <v>1228.5</v>
      </c>
      <c r="R1549">
        <v>144893</v>
      </c>
    </row>
    <row r="1550" spans="1:18" x14ac:dyDescent="0.25">
      <c r="A1550" s="170">
        <v>44286</v>
      </c>
      <c r="B1550" s="116">
        <v>637.1</v>
      </c>
      <c r="C1550" s="116">
        <v>626.79999999999995</v>
      </c>
      <c r="D1550" s="116">
        <v>613.82500000000005</v>
      </c>
      <c r="E1550" s="116">
        <v>624</v>
      </c>
      <c r="F1550" s="116">
        <v>1253.5999999999999</v>
      </c>
      <c r="G1550">
        <v>4182</v>
      </c>
      <c r="H1550" s="116"/>
      <c r="I1550" s="116"/>
      <c r="L1550" s="170">
        <v>44286</v>
      </c>
      <c r="M1550" s="116">
        <v>627.72500000000002</v>
      </c>
      <c r="N1550" s="116">
        <v>637.5</v>
      </c>
      <c r="O1550" s="116">
        <v>612.22500000000002</v>
      </c>
      <c r="P1550" s="116">
        <v>617.5</v>
      </c>
      <c r="Q1550" s="116">
        <v>1255.45</v>
      </c>
      <c r="R1550">
        <v>138880</v>
      </c>
    </row>
    <row r="1551" spans="1:18" x14ac:dyDescent="0.25">
      <c r="A1551" s="170">
        <v>44287</v>
      </c>
      <c r="B1551" s="116">
        <v>644.72500000000002</v>
      </c>
      <c r="C1551" s="116">
        <v>625.67499999999995</v>
      </c>
      <c r="D1551" s="116">
        <v>620</v>
      </c>
      <c r="E1551" s="116">
        <v>644.72500000000002</v>
      </c>
      <c r="F1551" s="116">
        <v>1251.3499999999999</v>
      </c>
      <c r="G1551">
        <v>11430</v>
      </c>
      <c r="H1551" s="116"/>
      <c r="I1551" s="116"/>
      <c r="L1551" s="170">
        <v>44287</v>
      </c>
      <c r="M1551" s="116">
        <v>626.04999999999995</v>
      </c>
      <c r="N1551" s="116">
        <v>634.45000000000005</v>
      </c>
      <c r="O1551" s="116">
        <v>618.82500000000005</v>
      </c>
      <c r="P1551" s="116">
        <v>634</v>
      </c>
      <c r="Q1551" s="116">
        <v>1252.0999999999999</v>
      </c>
      <c r="R1551">
        <v>82203</v>
      </c>
    </row>
    <row r="1552" spans="1:18" x14ac:dyDescent="0.25">
      <c r="A1552" s="170">
        <v>44291</v>
      </c>
      <c r="B1552" s="116">
        <v>641</v>
      </c>
      <c r="C1552" s="116">
        <v>614.07500000000005</v>
      </c>
      <c r="D1552" s="116">
        <v>608.20000000000005</v>
      </c>
      <c r="E1552" s="116">
        <v>641</v>
      </c>
      <c r="F1552" s="116">
        <v>1228.1500000000001</v>
      </c>
      <c r="G1552">
        <v>4417</v>
      </c>
      <c r="H1552" s="116"/>
      <c r="I1552" s="116"/>
      <c r="L1552" s="170">
        <v>44291</v>
      </c>
      <c r="M1552" s="116">
        <v>613.57500000000005</v>
      </c>
      <c r="N1552" s="116">
        <v>637</v>
      </c>
      <c r="O1552" s="116">
        <v>607</v>
      </c>
      <c r="P1552" s="116">
        <v>626.04999999999995</v>
      </c>
      <c r="Q1552" s="116">
        <v>1227.1500000000001</v>
      </c>
      <c r="R1552">
        <v>101959</v>
      </c>
    </row>
    <row r="1553" spans="1:18" x14ac:dyDescent="0.25">
      <c r="A1553" s="170">
        <v>44292</v>
      </c>
      <c r="B1553" s="116">
        <v>636</v>
      </c>
      <c r="C1553" s="116">
        <v>621.07500000000005</v>
      </c>
      <c r="D1553" s="116">
        <v>614.6</v>
      </c>
      <c r="E1553" s="116">
        <v>623.25</v>
      </c>
      <c r="F1553" s="116">
        <v>1242.1500000000001</v>
      </c>
      <c r="G1553">
        <v>5961</v>
      </c>
      <c r="H1553" s="116"/>
      <c r="I1553" s="116"/>
      <c r="L1553" s="170">
        <v>44292</v>
      </c>
      <c r="M1553" s="116">
        <v>621.65</v>
      </c>
      <c r="N1553" s="116">
        <v>636.72500000000002</v>
      </c>
      <c r="O1553" s="116">
        <v>614.9</v>
      </c>
      <c r="P1553" s="116">
        <v>618</v>
      </c>
      <c r="Q1553" s="116">
        <v>1243.3</v>
      </c>
      <c r="R1553">
        <v>116253</v>
      </c>
    </row>
    <row r="1554" spans="1:18" x14ac:dyDescent="0.25">
      <c r="A1554" s="170">
        <v>44293</v>
      </c>
      <c r="B1554" s="116">
        <v>645</v>
      </c>
      <c r="C1554" s="116">
        <v>627.54999999999995</v>
      </c>
      <c r="D1554" s="116">
        <v>624.5</v>
      </c>
      <c r="E1554" s="116">
        <v>635.97500000000002</v>
      </c>
      <c r="F1554" s="116">
        <v>1255.0999999999999</v>
      </c>
      <c r="G1554">
        <v>9093</v>
      </c>
      <c r="H1554" s="116"/>
      <c r="I1554" s="116"/>
      <c r="L1554" s="170">
        <v>44293</v>
      </c>
      <c r="M1554" s="116">
        <v>628.82500000000005</v>
      </c>
      <c r="N1554" s="116">
        <v>644.5</v>
      </c>
      <c r="O1554" s="116">
        <v>622.65</v>
      </c>
      <c r="P1554" s="116">
        <v>626.45000000000005</v>
      </c>
      <c r="Q1554" s="116">
        <v>1257.6500000000001</v>
      </c>
      <c r="R1554">
        <v>243445</v>
      </c>
    </row>
    <row r="1555" spans="1:18" x14ac:dyDescent="0.25">
      <c r="A1555" s="170">
        <v>44294</v>
      </c>
      <c r="B1555" s="116">
        <v>639.29999999999995</v>
      </c>
      <c r="C1555" s="116">
        <v>622.85</v>
      </c>
      <c r="D1555" s="116">
        <v>619.70000000000005</v>
      </c>
      <c r="E1555" s="116">
        <v>639.29999999999995</v>
      </c>
      <c r="F1555" s="116">
        <v>1245.7</v>
      </c>
      <c r="G1555">
        <v>3185</v>
      </c>
      <c r="H1555" s="116"/>
      <c r="I1555" s="116"/>
      <c r="L1555" s="170">
        <v>44294</v>
      </c>
      <c r="M1555" s="116">
        <v>622.4</v>
      </c>
      <c r="N1555" s="116">
        <v>637.47500000000002</v>
      </c>
      <c r="O1555" s="116">
        <v>619.45000000000005</v>
      </c>
      <c r="P1555" s="116">
        <v>636.5</v>
      </c>
      <c r="Q1555" s="116">
        <v>1244.8</v>
      </c>
      <c r="R1555">
        <v>103420</v>
      </c>
    </row>
    <row r="1556" spans="1:18" x14ac:dyDescent="0.25">
      <c r="A1556" s="170">
        <v>44295</v>
      </c>
      <c r="B1556" s="116">
        <v>635</v>
      </c>
      <c r="C1556" s="116">
        <v>627.54999999999995</v>
      </c>
      <c r="D1556" s="116">
        <v>623.42499999999995</v>
      </c>
      <c r="E1556" s="116">
        <v>635</v>
      </c>
      <c r="F1556" s="116">
        <v>1255.0999999999999</v>
      </c>
      <c r="G1556">
        <v>6219</v>
      </c>
      <c r="H1556" s="116"/>
      <c r="I1556" s="116"/>
      <c r="L1556" s="170">
        <v>44295</v>
      </c>
      <c r="M1556" s="116">
        <v>626.875</v>
      </c>
      <c r="N1556" s="116">
        <v>634.5</v>
      </c>
      <c r="O1556" s="116">
        <v>623.5</v>
      </c>
      <c r="P1556" s="116">
        <v>625</v>
      </c>
      <c r="Q1556" s="116">
        <v>1253.75</v>
      </c>
      <c r="R1556">
        <v>66590</v>
      </c>
    </row>
    <row r="1557" spans="1:18" x14ac:dyDescent="0.25">
      <c r="A1557" s="170">
        <v>44298</v>
      </c>
      <c r="B1557" s="116">
        <v>651.95000000000005</v>
      </c>
      <c r="C1557" s="116">
        <v>608.75</v>
      </c>
      <c r="D1557" s="116">
        <v>604.47500000000002</v>
      </c>
      <c r="E1557" s="116">
        <v>620.5</v>
      </c>
      <c r="F1557" s="116">
        <v>1217.5</v>
      </c>
      <c r="G1557">
        <v>20175</v>
      </c>
      <c r="H1557" s="116"/>
      <c r="I1557" s="116"/>
      <c r="L1557" s="170">
        <v>44298</v>
      </c>
      <c r="M1557" s="116">
        <v>608.875</v>
      </c>
      <c r="N1557" s="116">
        <v>652.5</v>
      </c>
      <c r="O1557" s="116">
        <v>605.1</v>
      </c>
      <c r="P1557" s="116">
        <v>629</v>
      </c>
      <c r="Q1557" s="116">
        <v>1217.75</v>
      </c>
      <c r="R1557">
        <v>181563</v>
      </c>
    </row>
    <row r="1558" spans="1:18" x14ac:dyDescent="0.25">
      <c r="A1558" s="170">
        <v>44299</v>
      </c>
      <c r="B1558" s="116">
        <v>627</v>
      </c>
      <c r="C1558" s="116">
        <v>616.9</v>
      </c>
      <c r="D1558" s="116">
        <v>609.79999999999995</v>
      </c>
      <c r="E1558" s="116">
        <v>619.95000000000005</v>
      </c>
      <c r="F1558" s="116">
        <v>1233.8</v>
      </c>
      <c r="G1558">
        <v>3461</v>
      </c>
      <c r="H1558" s="116"/>
      <c r="I1558" s="116"/>
      <c r="L1558" s="170">
        <v>44299</v>
      </c>
      <c r="M1558" s="116">
        <v>617.375</v>
      </c>
      <c r="N1558" s="116">
        <v>627.92499999999995</v>
      </c>
      <c r="O1558" s="116">
        <v>609.42499999999995</v>
      </c>
      <c r="P1558" s="116">
        <v>613.75</v>
      </c>
      <c r="Q1558" s="116">
        <v>1234.75</v>
      </c>
      <c r="R1558">
        <v>113002</v>
      </c>
    </row>
    <row r="1559" spans="1:18" x14ac:dyDescent="0.25">
      <c r="A1559" s="170">
        <v>44301</v>
      </c>
      <c r="B1559" s="116">
        <v>633</v>
      </c>
      <c r="C1559" s="116">
        <v>614.47500000000002</v>
      </c>
      <c r="D1559" s="116">
        <v>607.92499999999995</v>
      </c>
      <c r="E1559" s="116">
        <v>633</v>
      </c>
      <c r="F1559" s="116">
        <v>1228.95</v>
      </c>
      <c r="G1559">
        <v>1707</v>
      </c>
      <c r="H1559" s="116"/>
      <c r="I1559" s="116"/>
      <c r="L1559" s="170">
        <v>44301</v>
      </c>
      <c r="M1559" s="116">
        <v>614.375</v>
      </c>
      <c r="N1559" s="116">
        <v>622</v>
      </c>
      <c r="O1559" s="116">
        <v>607.5</v>
      </c>
      <c r="P1559" s="116">
        <v>622</v>
      </c>
      <c r="Q1559" s="116">
        <v>1228.75</v>
      </c>
      <c r="R1559">
        <v>107353</v>
      </c>
    </row>
    <row r="1560" spans="1:18" x14ac:dyDescent="0.25">
      <c r="A1560" s="170">
        <v>44302</v>
      </c>
      <c r="B1560" s="116">
        <v>619.47500000000002</v>
      </c>
      <c r="C1560" s="116">
        <v>608.27499999999998</v>
      </c>
      <c r="D1560" s="116">
        <v>603.17499999999995</v>
      </c>
      <c r="E1560" s="116">
        <v>619.47500000000002</v>
      </c>
      <c r="F1560" s="116">
        <v>1216.55</v>
      </c>
      <c r="G1560">
        <v>5870</v>
      </c>
      <c r="H1560" s="116"/>
      <c r="I1560" s="116"/>
      <c r="L1560" s="170">
        <v>44302</v>
      </c>
      <c r="M1560" s="116">
        <v>610.54999999999995</v>
      </c>
      <c r="N1560" s="116">
        <v>619</v>
      </c>
      <c r="O1560" s="116">
        <v>606.1</v>
      </c>
      <c r="P1560" s="116">
        <v>614.5</v>
      </c>
      <c r="Q1560" s="116">
        <v>1221.0999999999999</v>
      </c>
      <c r="R1560">
        <v>215104</v>
      </c>
    </row>
    <row r="1561" spans="1:18" x14ac:dyDescent="0.25">
      <c r="A1561" s="170">
        <v>44305</v>
      </c>
      <c r="B1561" s="116">
        <v>635</v>
      </c>
      <c r="C1561" s="116">
        <v>631.79999999999995</v>
      </c>
      <c r="D1561" s="116">
        <v>604</v>
      </c>
      <c r="E1561" s="116">
        <v>622.5</v>
      </c>
      <c r="F1561" s="116">
        <v>1263.5999999999999</v>
      </c>
      <c r="G1561">
        <v>9535</v>
      </c>
      <c r="H1561" s="116"/>
      <c r="I1561" s="116"/>
      <c r="L1561" s="170">
        <v>44305</v>
      </c>
      <c r="M1561" s="116">
        <v>632.22500000000002</v>
      </c>
      <c r="N1561" s="116">
        <v>635</v>
      </c>
      <c r="O1561" s="116">
        <v>604</v>
      </c>
      <c r="P1561" s="116">
        <v>605.5</v>
      </c>
      <c r="Q1561" s="116">
        <v>1264.45</v>
      </c>
      <c r="R1561">
        <v>227541</v>
      </c>
    </row>
    <row r="1562" spans="1:18" x14ac:dyDescent="0.25">
      <c r="A1562" s="170">
        <v>44306</v>
      </c>
      <c r="B1562" s="116">
        <v>661.55</v>
      </c>
      <c r="C1562" s="116">
        <v>645.45000000000005</v>
      </c>
      <c r="D1562" s="116">
        <v>639.1</v>
      </c>
      <c r="E1562" s="116">
        <v>652.47500000000002</v>
      </c>
      <c r="F1562" s="116">
        <v>1290.9000000000001</v>
      </c>
      <c r="G1562">
        <v>9582</v>
      </c>
      <c r="H1562" s="116"/>
      <c r="I1562" s="116"/>
      <c r="L1562" s="170">
        <v>44306</v>
      </c>
      <c r="M1562" s="116">
        <v>645.25</v>
      </c>
      <c r="N1562" s="116">
        <v>662.25</v>
      </c>
      <c r="O1562" s="116">
        <v>638</v>
      </c>
      <c r="P1562" s="116">
        <v>647</v>
      </c>
      <c r="Q1562" s="116">
        <v>1290.5</v>
      </c>
      <c r="R1562">
        <v>399050</v>
      </c>
    </row>
    <row r="1563" spans="1:18" x14ac:dyDescent="0.25">
      <c r="A1563" s="170">
        <v>44308</v>
      </c>
      <c r="B1563" s="116">
        <v>677.75</v>
      </c>
      <c r="C1563" s="116">
        <v>668.42499999999995</v>
      </c>
      <c r="D1563" s="116">
        <v>650</v>
      </c>
      <c r="E1563" s="116">
        <v>654</v>
      </c>
      <c r="F1563" s="116">
        <v>1336.85</v>
      </c>
      <c r="G1563">
        <v>18798</v>
      </c>
      <c r="H1563" s="116"/>
      <c r="I1563" s="116"/>
      <c r="L1563" s="170">
        <v>44308</v>
      </c>
      <c r="M1563" s="116">
        <v>668.7</v>
      </c>
      <c r="N1563" s="116">
        <v>678.5</v>
      </c>
      <c r="O1563" s="116">
        <v>646.52499999999998</v>
      </c>
      <c r="P1563" s="116">
        <v>647.25</v>
      </c>
      <c r="Q1563" s="116">
        <v>1337.4</v>
      </c>
      <c r="R1563">
        <v>286707</v>
      </c>
    </row>
    <row r="1564" spans="1:18" x14ac:dyDescent="0.25">
      <c r="A1564" s="170">
        <v>44309</v>
      </c>
      <c r="B1564" s="116">
        <v>676.5</v>
      </c>
      <c r="C1564" s="116">
        <v>653.29999999999995</v>
      </c>
      <c r="D1564" s="116">
        <v>646</v>
      </c>
      <c r="E1564" s="116">
        <v>676.5</v>
      </c>
      <c r="F1564" s="116">
        <v>1306.5999999999999</v>
      </c>
      <c r="G1564">
        <v>4710</v>
      </c>
      <c r="H1564" s="116"/>
      <c r="I1564" s="116"/>
      <c r="L1564" s="170">
        <v>44309</v>
      </c>
      <c r="M1564" s="116">
        <v>651.97500000000002</v>
      </c>
      <c r="N1564" s="116">
        <v>674.95</v>
      </c>
      <c r="O1564" s="116">
        <v>645.29999999999995</v>
      </c>
      <c r="P1564" s="116">
        <v>668.7</v>
      </c>
      <c r="Q1564" s="116">
        <v>1303.95</v>
      </c>
      <c r="R1564">
        <v>167256</v>
      </c>
    </row>
    <row r="1565" spans="1:18" x14ac:dyDescent="0.25">
      <c r="A1565" s="170">
        <v>44312</v>
      </c>
      <c r="B1565" s="116">
        <v>665.97500000000002</v>
      </c>
      <c r="C1565" s="116">
        <v>651.625</v>
      </c>
      <c r="D1565" s="116">
        <v>645.92499999999995</v>
      </c>
      <c r="E1565" s="116">
        <v>662.5</v>
      </c>
      <c r="F1565" s="116">
        <v>1303.25</v>
      </c>
      <c r="G1565">
        <v>11028</v>
      </c>
      <c r="H1565" s="116"/>
      <c r="I1565" s="116"/>
      <c r="L1565" s="170">
        <v>44312</v>
      </c>
      <c r="M1565" s="116">
        <v>652.97500000000002</v>
      </c>
      <c r="N1565" s="116">
        <v>666</v>
      </c>
      <c r="O1565" s="116">
        <v>646.47500000000002</v>
      </c>
      <c r="P1565" s="116">
        <v>659.72500000000002</v>
      </c>
      <c r="Q1565" s="116">
        <v>1305.95</v>
      </c>
      <c r="R1565">
        <v>141303</v>
      </c>
    </row>
    <row r="1566" spans="1:18" x14ac:dyDescent="0.25">
      <c r="A1566" s="170">
        <v>44313</v>
      </c>
      <c r="B1566" s="116">
        <v>669.97500000000002</v>
      </c>
      <c r="C1566" s="116">
        <v>664.45</v>
      </c>
      <c r="D1566" s="116">
        <v>650</v>
      </c>
      <c r="E1566" s="116">
        <v>669.97500000000002</v>
      </c>
      <c r="F1566" s="116">
        <v>1328.9</v>
      </c>
      <c r="G1566">
        <v>6818</v>
      </c>
      <c r="H1566" s="116"/>
      <c r="I1566" s="116"/>
      <c r="L1566" s="170">
        <v>44313</v>
      </c>
      <c r="M1566" s="116">
        <v>664.6</v>
      </c>
      <c r="N1566" s="116">
        <v>668</v>
      </c>
      <c r="O1566" s="116">
        <v>650.5</v>
      </c>
      <c r="P1566" s="116">
        <v>658</v>
      </c>
      <c r="Q1566" s="116">
        <v>1329.2</v>
      </c>
      <c r="R1566">
        <v>81141</v>
      </c>
    </row>
    <row r="1567" spans="1:18" x14ac:dyDescent="0.25">
      <c r="A1567" s="170">
        <v>44314</v>
      </c>
      <c r="B1567" s="116">
        <v>678.5</v>
      </c>
      <c r="C1567" s="116">
        <v>670.17499999999995</v>
      </c>
      <c r="D1567" s="116">
        <v>664.27499999999998</v>
      </c>
      <c r="E1567" s="116">
        <v>678.5</v>
      </c>
      <c r="F1567" s="116">
        <v>1340.35</v>
      </c>
      <c r="G1567">
        <v>12508</v>
      </c>
      <c r="H1567" s="116"/>
      <c r="I1567" s="116"/>
      <c r="L1567" s="170">
        <v>44314</v>
      </c>
      <c r="M1567" s="116">
        <v>668.875</v>
      </c>
      <c r="N1567" s="116">
        <v>679.45</v>
      </c>
      <c r="O1567" s="116">
        <v>663.1</v>
      </c>
      <c r="P1567" s="116">
        <v>671</v>
      </c>
      <c r="Q1567" s="116">
        <v>1337.75</v>
      </c>
      <c r="R1567">
        <v>81161</v>
      </c>
    </row>
    <row r="1568" spans="1:18" x14ac:dyDescent="0.25">
      <c r="A1568" s="170">
        <v>44315</v>
      </c>
      <c r="B1568" s="116">
        <v>704.65</v>
      </c>
      <c r="C1568" s="116">
        <v>689.47500000000002</v>
      </c>
      <c r="D1568" s="116">
        <v>655.85</v>
      </c>
      <c r="E1568" s="116">
        <v>682</v>
      </c>
      <c r="F1568" s="116">
        <v>1378.95</v>
      </c>
      <c r="G1568">
        <v>22575</v>
      </c>
      <c r="H1568" s="116"/>
      <c r="I1568" s="116"/>
      <c r="L1568" s="170">
        <v>44315</v>
      </c>
      <c r="M1568" s="116">
        <v>689.82500000000005</v>
      </c>
      <c r="N1568" s="116">
        <v>705</v>
      </c>
      <c r="O1568" s="116">
        <v>655.67499999999995</v>
      </c>
      <c r="P1568" s="116">
        <v>677.32500000000005</v>
      </c>
      <c r="Q1568" s="116">
        <v>1379.65</v>
      </c>
      <c r="R1568">
        <v>251934</v>
      </c>
    </row>
    <row r="1569" spans="1:18" x14ac:dyDescent="0.25">
      <c r="A1569" s="170">
        <v>44316</v>
      </c>
      <c r="B1569" s="116">
        <v>704.375</v>
      </c>
      <c r="C1569" s="116">
        <v>697.52499999999998</v>
      </c>
      <c r="D1569" s="116">
        <v>688.65</v>
      </c>
      <c r="E1569" s="116">
        <v>693.5</v>
      </c>
      <c r="F1569" s="116">
        <v>1395.05</v>
      </c>
      <c r="G1569">
        <v>8237</v>
      </c>
      <c r="H1569" s="116"/>
      <c r="I1569" s="116"/>
      <c r="L1569" s="170">
        <v>44316</v>
      </c>
      <c r="M1569" s="116">
        <v>697.67499999999995</v>
      </c>
      <c r="N1569" s="116">
        <v>704.9</v>
      </c>
      <c r="O1569" s="116">
        <v>683.55</v>
      </c>
      <c r="P1569" s="116">
        <v>689.85</v>
      </c>
      <c r="Q1569" s="116">
        <v>1395.35</v>
      </c>
      <c r="R1569">
        <v>160889</v>
      </c>
    </row>
    <row r="1570" spans="1:18" x14ac:dyDescent="0.25">
      <c r="A1570" s="170">
        <v>44319</v>
      </c>
      <c r="B1570" s="116">
        <v>724.5</v>
      </c>
      <c r="C1570" s="116">
        <v>719</v>
      </c>
      <c r="D1570" s="116">
        <v>693.3</v>
      </c>
      <c r="E1570" s="116">
        <v>705.3</v>
      </c>
      <c r="F1570" s="116">
        <v>1438</v>
      </c>
      <c r="G1570">
        <v>15422</v>
      </c>
      <c r="H1570" s="116"/>
      <c r="I1570" s="116"/>
      <c r="L1570" s="170">
        <v>44319</v>
      </c>
      <c r="M1570" s="116">
        <v>718.4</v>
      </c>
      <c r="N1570" s="116">
        <v>724.5</v>
      </c>
      <c r="O1570" s="116">
        <v>691.5</v>
      </c>
      <c r="P1570" s="116">
        <v>707.35</v>
      </c>
      <c r="Q1570" s="116">
        <v>1436.8</v>
      </c>
      <c r="R1570">
        <v>184134</v>
      </c>
    </row>
    <row r="1571" spans="1:18" x14ac:dyDescent="0.25">
      <c r="A1571" s="170">
        <v>44320</v>
      </c>
      <c r="B1571" s="116">
        <v>724</v>
      </c>
      <c r="C1571" s="116">
        <v>702.6</v>
      </c>
      <c r="D1571" s="116">
        <v>700.02499999999998</v>
      </c>
      <c r="E1571" s="116">
        <v>724</v>
      </c>
      <c r="F1571" s="116">
        <v>1405.2</v>
      </c>
      <c r="G1571">
        <v>10892</v>
      </c>
      <c r="H1571" s="116"/>
      <c r="I1571" s="116"/>
      <c r="L1571" s="170">
        <v>44320</v>
      </c>
      <c r="M1571" s="116">
        <v>702.92499999999995</v>
      </c>
      <c r="N1571" s="116">
        <v>722</v>
      </c>
      <c r="O1571" s="116">
        <v>700.5</v>
      </c>
      <c r="P1571" s="116">
        <v>722</v>
      </c>
      <c r="Q1571" s="116">
        <v>1405.85</v>
      </c>
      <c r="R1571">
        <v>116742</v>
      </c>
    </row>
    <row r="1572" spans="1:18" x14ac:dyDescent="0.25">
      <c r="A1572" s="170">
        <v>44321</v>
      </c>
      <c r="B1572" s="116">
        <v>720.92499999999995</v>
      </c>
      <c r="C1572" s="116">
        <v>708.15</v>
      </c>
      <c r="D1572" s="116">
        <v>698.4</v>
      </c>
      <c r="E1572" s="116">
        <v>702.5</v>
      </c>
      <c r="F1572" s="116">
        <v>1416.3</v>
      </c>
      <c r="G1572">
        <v>4965</v>
      </c>
      <c r="H1572" s="116"/>
      <c r="I1572" s="116"/>
      <c r="L1572" s="170">
        <v>44321</v>
      </c>
      <c r="M1572" s="116">
        <v>706.9</v>
      </c>
      <c r="N1572" s="116">
        <v>717</v>
      </c>
      <c r="O1572" s="116">
        <v>697.97500000000002</v>
      </c>
      <c r="P1572" s="116">
        <v>704.25</v>
      </c>
      <c r="Q1572" s="116">
        <v>1413.8</v>
      </c>
      <c r="R1572">
        <v>98348</v>
      </c>
    </row>
    <row r="1573" spans="1:18" x14ac:dyDescent="0.25">
      <c r="A1573" s="170">
        <v>44322</v>
      </c>
      <c r="B1573" s="116">
        <v>746.5</v>
      </c>
      <c r="C1573" s="116">
        <v>726.7</v>
      </c>
      <c r="D1573" s="116">
        <v>710.75</v>
      </c>
      <c r="E1573" s="116">
        <v>724</v>
      </c>
      <c r="F1573" s="116">
        <v>1453.4</v>
      </c>
      <c r="G1573">
        <v>20594</v>
      </c>
      <c r="H1573" s="116"/>
      <c r="I1573" s="116"/>
      <c r="L1573" s="170">
        <v>44322</v>
      </c>
      <c r="M1573" s="116">
        <v>727.6</v>
      </c>
      <c r="N1573" s="116">
        <v>747</v>
      </c>
      <c r="O1573" s="116">
        <v>711.5</v>
      </c>
      <c r="P1573" s="116">
        <v>715</v>
      </c>
      <c r="Q1573" s="116">
        <v>1455.2</v>
      </c>
      <c r="R1573">
        <v>329351</v>
      </c>
    </row>
    <row r="1574" spans="1:18" x14ac:dyDescent="0.25">
      <c r="A1574" s="170">
        <v>44323</v>
      </c>
      <c r="B1574" s="116">
        <v>740.3</v>
      </c>
      <c r="C1574" s="116">
        <v>727.65</v>
      </c>
      <c r="D1574" s="116">
        <v>717.32500000000005</v>
      </c>
      <c r="E1574" s="116">
        <v>740.3</v>
      </c>
      <c r="F1574" s="116">
        <v>1455.3</v>
      </c>
      <c r="G1574">
        <v>4148</v>
      </c>
      <c r="H1574" s="116"/>
      <c r="I1574" s="116"/>
      <c r="L1574" s="170">
        <v>44323</v>
      </c>
      <c r="M1574" s="116">
        <v>727.8</v>
      </c>
      <c r="N1574" s="116">
        <v>737</v>
      </c>
      <c r="O1574" s="116">
        <v>717.375</v>
      </c>
      <c r="P1574" s="116">
        <v>735.75</v>
      </c>
      <c r="Q1574" s="116">
        <v>1455.6</v>
      </c>
      <c r="R1574">
        <v>75074</v>
      </c>
    </row>
    <row r="1575" spans="1:18" x14ac:dyDescent="0.25">
      <c r="A1575" s="170">
        <v>44326</v>
      </c>
      <c r="B1575" s="116">
        <v>757</v>
      </c>
      <c r="C1575" s="116">
        <v>712.47500000000002</v>
      </c>
      <c r="D1575" s="116">
        <v>702.5</v>
      </c>
      <c r="E1575" s="116">
        <v>742.2</v>
      </c>
      <c r="F1575" s="116">
        <v>1424.95</v>
      </c>
      <c r="G1575">
        <v>10718</v>
      </c>
      <c r="H1575" s="116"/>
      <c r="I1575" s="116"/>
      <c r="L1575" s="170">
        <v>44326</v>
      </c>
      <c r="M1575" s="116">
        <v>711.97500000000002</v>
      </c>
      <c r="N1575" s="116">
        <v>756.77499999999998</v>
      </c>
      <c r="O1575" s="116">
        <v>701.5</v>
      </c>
      <c r="P1575" s="116">
        <v>735</v>
      </c>
      <c r="Q1575" s="116">
        <v>1423.95</v>
      </c>
      <c r="R1575">
        <v>204084</v>
      </c>
    </row>
    <row r="1576" spans="1:18" x14ac:dyDescent="0.25">
      <c r="A1576" s="170">
        <v>44327</v>
      </c>
      <c r="B1576" s="116">
        <v>725</v>
      </c>
      <c r="C1576" s="116">
        <v>717</v>
      </c>
      <c r="D1576" s="116">
        <v>702.5</v>
      </c>
      <c r="E1576" s="116">
        <v>702.5</v>
      </c>
      <c r="F1576" s="116">
        <v>1434</v>
      </c>
      <c r="G1576">
        <v>8686</v>
      </c>
      <c r="H1576" s="116"/>
      <c r="I1576" s="116"/>
      <c r="L1576" s="170">
        <v>44327</v>
      </c>
      <c r="M1576" s="116">
        <v>717.125</v>
      </c>
      <c r="N1576" s="116">
        <v>725</v>
      </c>
      <c r="O1576" s="116">
        <v>703.97500000000002</v>
      </c>
      <c r="P1576" s="116">
        <v>706.35</v>
      </c>
      <c r="Q1576" s="116">
        <v>1434.25</v>
      </c>
      <c r="R1576">
        <v>81105</v>
      </c>
    </row>
    <row r="1577" spans="1:18" x14ac:dyDescent="0.25">
      <c r="A1577" s="170">
        <v>44328</v>
      </c>
      <c r="B1577" s="116">
        <v>720.7</v>
      </c>
      <c r="C1577" s="116">
        <v>693.35</v>
      </c>
      <c r="D1577" s="116">
        <v>681.75</v>
      </c>
      <c r="E1577" s="116">
        <v>720.7</v>
      </c>
      <c r="F1577" s="116">
        <v>1386.7</v>
      </c>
      <c r="G1577">
        <v>11609</v>
      </c>
      <c r="H1577" s="116"/>
      <c r="I1577" s="116"/>
      <c r="L1577" s="170">
        <v>44328</v>
      </c>
      <c r="M1577" s="116">
        <v>693.45</v>
      </c>
      <c r="N1577" s="116">
        <v>717.5</v>
      </c>
      <c r="O1577" s="116">
        <v>682</v>
      </c>
      <c r="P1577" s="116">
        <v>708</v>
      </c>
      <c r="Q1577" s="116">
        <v>1386.9</v>
      </c>
      <c r="R1577">
        <v>133890</v>
      </c>
    </row>
    <row r="1578" spans="1:18" x14ac:dyDescent="0.25">
      <c r="A1578" s="170">
        <v>44330</v>
      </c>
      <c r="B1578" s="116">
        <v>719.05</v>
      </c>
      <c r="C1578" s="116">
        <v>692.875</v>
      </c>
      <c r="D1578" s="116">
        <v>687.22500000000002</v>
      </c>
      <c r="E1578" s="116">
        <v>707.25</v>
      </c>
      <c r="F1578" s="116">
        <v>1385.75</v>
      </c>
      <c r="G1578">
        <v>9212</v>
      </c>
      <c r="H1578" s="116"/>
      <c r="I1578" s="116"/>
      <c r="L1578" s="170">
        <v>44330</v>
      </c>
      <c r="M1578" s="116">
        <v>692.57500000000005</v>
      </c>
      <c r="N1578" s="116">
        <v>719.22500000000002</v>
      </c>
      <c r="O1578" s="116">
        <v>687.5</v>
      </c>
      <c r="P1578" s="116">
        <v>699.125</v>
      </c>
      <c r="Q1578" s="116">
        <v>1385.15</v>
      </c>
      <c r="R1578">
        <v>205250</v>
      </c>
    </row>
    <row r="1579" spans="1:18" x14ac:dyDescent="0.25">
      <c r="A1579" s="170">
        <v>44333</v>
      </c>
      <c r="B1579" s="116">
        <v>707.5</v>
      </c>
      <c r="C1579" s="116">
        <v>687.27499999999998</v>
      </c>
      <c r="D1579" s="116">
        <v>682.92499999999995</v>
      </c>
      <c r="E1579" s="116">
        <v>707.5</v>
      </c>
      <c r="F1579" s="116">
        <v>1374.55</v>
      </c>
      <c r="G1579">
        <v>6976</v>
      </c>
      <c r="H1579" s="116"/>
      <c r="I1579" s="116"/>
      <c r="L1579" s="170">
        <v>44333</v>
      </c>
      <c r="M1579" s="116">
        <v>688.1</v>
      </c>
      <c r="N1579" s="116">
        <v>703.65</v>
      </c>
      <c r="O1579" s="116">
        <v>683.42499999999995</v>
      </c>
      <c r="P1579" s="116">
        <v>700.02499999999998</v>
      </c>
      <c r="Q1579" s="116">
        <v>1376.2</v>
      </c>
      <c r="R1579">
        <v>83099</v>
      </c>
    </row>
    <row r="1580" spans="1:18" x14ac:dyDescent="0.25">
      <c r="A1580" s="170">
        <v>44334</v>
      </c>
      <c r="B1580" s="116">
        <v>700</v>
      </c>
      <c r="C1580" s="116">
        <v>689.75</v>
      </c>
      <c r="D1580" s="116">
        <v>684.4</v>
      </c>
      <c r="E1580" s="116">
        <v>700</v>
      </c>
      <c r="F1580" s="116">
        <v>1379.5</v>
      </c>
      <c r="G1580">
        <v>4478</v>
      </c>
      <c r="H1580" s="116"/>
      <c r="I1580" s="116"/>
      <c r="L1580" s="170">
        <v>44334</v>
      </c>
      <c r="M1580" s="116">
        <v>689.22500000000002</v>
      </c>
      <c r="N1580" s="116">
        <v>691.45</v>
      </c>
      <c r="O1580" s="116">
        <v>683.42499999999995</v>
      </c>
      <c r="P1580" s="116">
        <v>690</v>
      </c>
      <c r="Q1580" s="116">
        <v>1378.45</v>
      </c>
      <c r="R1580">
        <v>114492</v>
      </c>
    </row>
    <row r="1581" spans="1:18" x14ac:dyDescent="0.25">
      <c r="A1581" s="170">
        <v>44335</v>
      </c>
      <c r="B1581" s="116">
        <v>697.6</v>
      </c>
      <c r="C1581" s="116">
        <v>685.95</v>
      </c>
      <c r="D1581" s="116">
        <v>683</v>
      </c>
      <c r="E1581" s="116">
        <v>697.6</v>
      </c>
      <c r="F1581" s="116">
        <v>1371.9</v>
      </c>
      <c r="G1581">
        <v>4696</v>
      </c>
      <c r="H1581" s="116"/>
      <c r="I1581" s="116"/>
      <c r="L1581" s="170">
        <v>44335</v>
      </c>
      <c r="M1581" s="116">
        <v>686.625</v>
      </c>
      <c r="N1581" s="116">
        <v>692.42499999999995</v>
      </c>
      <c r="O1581" s="116">
        <v>682.77499999999998</v>
      </c>
      <c r="P1581" s="116">
        <v>690</v>
      </c>
      <c r="Q1581" s="116">
        <v>1373.25</v>
      </c>
      <c r="R1581">
        <v>44176</v>
      </c>
    </row>
    <row r="1582" spans="1:18" x14ac:dyDescent="0.25">
      <c r="A1582" s="170">
        <v>44336</v>
      </c>
      <c r="B1582" s="116">
        <v>695</v>
      </c>
      <c r="C1582" s="116">
        <v>687.625</v>
      </c>
      <c r="D1582" s="116">
        <v>685.625</v>
      </c>
      <c r="E1582" s="116">
        <v>695</v>
      </c>
      <c r="F1582" s="116">
        <v>1375.25</v>
      </c>
      <c r="G1582">
        <v>3479</v>
      </c>
      <c r="H1582" s="116"/>
      <c r="I1582" s="116"/>
      <c r="L1582" s="170">
        <v>44336</v>
      </c>
      <c r="M1582" s="116">
        <v>688.95</v>
      </c>
      <c r="N1582" s="116">
        <v>692.1</v>
      </c>
      <c r="O1582" s="116">
        <v>685</v>
      </c>
      <c r="P1582" s="116">
        <v>689.5</v>
      </c>
      <c r="Q1582" s="116">
        <v>1377.9</v>
      </c>
      <c r="R1582">
        <v>40882</v>
      </c>
    </row>
    <row r="1583" spans="1:18" x14ac:dyDescent="0.25">
      <c r="A1583" s="170">
        <v>44337</v>
      </c>
      <c r="B1583" s="116">
        <v>729.5</v>
      </c>
      <c r="C1583" s="116">
        <v>722.4</v>
      </c>
      <c r="D1583" s="116">
        <v>693.1</v>
      </c>
      <c r="E1583" s="116">
        <v>698.25</v>
      </c>
      <c r="F1583" s="116">
        <v>1444.8</v>
      </c>
      <c r="G1583">
        <v>15566</v>
      </c>
      <c r="H1583" s="116"/>
      <c r="I1583" s="116"/>
      <c r="L1583" s="170">
        <v>44337</v>
      </c>
      <c r="M1583" s="116">
        <v>721.5</v>
      </c>
      <c r="N1583" s="116">
        <v>729</v>
      </c>
      <c r="O1583" s="116">
        <v>690.95</v>
      </c>
      <c r="P1583" s="116">
        <v>691.5</v>
      </c>
      <c r="Q1583" s="116">
        <v>1443</v>
      </c>
      <c r="R1583">
        <v>324687</v>
      </c>
    </row>
    <row r="1584" spans="1:18" x14ac:dyDescent="0.25">
      <c r="A1584" s="170">
        <v>44340</v>
      </c>
      <c r="B1584" s="116">
        <v>737.35</v>
      </c>
      <c r="C1584" s="116">
        <v>714.92499999999995</v>
      </c>
      <c r="D1584" s="116">
        <v>708.05</v>
      </c>
      <c r="E1584" s="116">
        <v>725</v>
      </c>
      <c r="F1584" s="116">
        <v>1429.85</v>
      </c>
      <c r="G1584">
        <v>13756</v>
      </c>
      <c r="H1584" s="116"/>
      <c r="I1584" s="116"/>
      <c r="L1584" s="170">
        <v>44340</v>
      </c>
      <c r="M1584" s="116">
        <v>713.95</v>
      </c>
      <c r="N1584" s="116">
        <v>737.25</v>
      </c>
      <c r="O1584" s="116">
        <v>708</v>
      </c>
      <c r="P1584" s="116">
        <v>725</v>
      </c>
      <c r="Q1584" s="116">
        <v>1427.9</v>
      </c>
      <c r="R1584">
        <v>112325</v>
      </c>
    </row>
    <row r="1585" spans="1:18" x14ac:dyDescent="0.25">
      <c r="A1585" s="170">
        <v>44341</v>
      </c>
      <c r="B1585" s="116">
        <v>721.5</v>
      </c>
      <c r="C1585" s="116">
        <v>707.8</v>
      </c>
      <c r="D1585" s="116">
        <v>702.02499999999998</v>
      </c>
      <c r="E1585" s="116">
        <v>719.3</v>
      </c>
      <c r="F1585" s="116">
        <v>1415.6</v>
      </c>
      <c r="G1585">
        <v>8137</v>
      </c>
      <c r="H1585" s="116"/>
      <c r="I1585" s="116"/>
      <c r="L1585" s="170">
        <v>44341</v>
      </c>
      <c r="M1585" s="116">
        <v>707.52499999999998</v>
      </c>
      <c r="N1585" s="116">
        <v>722.125</v>
      </c>
      <c r="O1585" s="116">
        <v>702</v>
      </c>
      <c r="P1585" s="116">
        <v>713.95</v>
      </c>
      <c r="Q1585" s="116">
        <v>1415.05</v>
      </c>
      <c r="R1585">
        <v>59787</v>
      </c>
    </row>
    <row r="1586" spans="1:18" x14ac:dyDescent="0.25">
      <c r="A1586" s="170">
        <v>44342</v>
      </c>
      <c r="B1586" s="116">
        <v>745</v>
      </c>
      <c r="C1586" s="116">
        <v>736.67499999999995</v>
      </c>
      <c r="D1586" s="116">
        <v>700.5</v>
      </c>
      <c r="E1586" s="116">
        <v>709.3</v>
      </c>
      <c r="F1586" s="116">
        <v>1473.35</v>
      </c>
      <c r="G1586">
        <v>21362</v>
      </c>
      <c r="H1586" s="116"/>
      <c r="I1586" s="116"/>
      <c r="L1586" s="170">
        <v>44342</v>
      </c>
      <c r="M1586" s="116">
        <v>736.77499999999998</v>
      </c>
      <c r="N1586" s="116">
        <v>745</v>
      </c>
      <c r="O1586" s="116">
        <v>698.75</v>
      </c>
      <c r="P1586" s="116">
        <v>700</v>
      </c>
      <c r="Q1586" s="116">
        <v>1473.55</v>
      </c>
      <c r="R1586">
        <v>218958</v>
      </c>
    </row>
    <row r="1587" spans="1:18" x14ac:dyDescent="0.25">
      <c r="A1587" s="170">
        <v>44343</v>
      </c>
      <c r="B1587" s="116">
        <v>740.95</v>
      </c>
      <c r="C1587" s="116">
        <v>723.32500000000005</v>
      </c>
      <c r="D1587" s="116">
        <v>719.42499999999995</v>
      </c>
      <c r="E1587" s="116">
        <v>739.97500000000002</v>
      </c>
      <c r="F1587" s="116">
        <v>1446.65</v>
      </c>
      <c r="G1587">
        <v>8553</v>
      </c>
      <c r="H1587" s="116"/>
      <c r="I1587" s="116"/>
      <c r="L1587" s="170">
        <v>44343</v>
      </c>
      <c r="M1587" s="116">
        <v>723.4</v>
      </c>
      <c r="N1587" s="116">
        <v>741.2</v>
      </c>
      <c r="O1587" s="116">
        <v>720.7</v>
      </c>
      <c r="P1587" s="116">
        <v>737</v>
      </c>
      <c r="Q1587" s="116">
        <v>1446.8</v>
      </c>
      <c r="R1587">
        <v>140269</v>
      </c>
    </row>
    <row r="1588" spans="1:18" x14ac:dyDescent="0.25">
      <c r="A1588" s="170">
        <v>44344</v>
      </c>
      <c r="B1588" s="116">
        <v>743.75</v>
      </c>
      <c r="C1588" s="116">
        <v>715.17499999999995</v>
      </c>
      <c r="D1588" s="116">
        <v>712.77499999999998</v>
      </c>
      <c r="E1588" s="116">
        <v>743.75</v>
      </c>
      <c r="F1588" s="116">
        <v>1430.35</v>
      </c>
      <c r="G1588">
        <v>3684</v>
      </c>
      <c r="H1588" s="116"/>
      <c r="I1588" s="116"/>
      <c r="L1588" s="170">
        <v>44344</v>
      </c>
      <c r="M1588" s="116">
        <v>715.42499999999995</v>
      </c>
      <c r="N1588" s="116">
        <v>729.5</v>
      </c>
      <c r="O1588" s="116">
        <v>713.5</v>
      </c>
      <c r="P1588" s="116">
        <v>727.5</v>
      </c>
      <c r="Q1588" s="116">
        <v>1430.85</v>
      </c>
      <c r="R1588">
        <v>87459</v>
      </c>
    </row>
    <row r="1589" spans="1:18" x14ac:dyDescent="0.25">
      <c r="A1589" s="170">
        <v>44347</v>
      </c>
      <c r="B1589" s="116">
        <v>732.27499999999998</v>
      </c>
      <c r="C1589" s="116">
        <v>726.2</v>
      </c>
      <c r="D1589" s="116">
        <v>715.75</v>
      </c>
      <c r="E1589" s="116">
        <v>727.5</v>
      </c>
      <c r="F1589" s="116">
        <v>1452.4</v>
      </c>
      <c r="G1589">
        <v>5259</v>
      </c>
      <c r="H1589" s="116"/>
      <c r="I1589" s="116"/>
      <c r="L1589" s="170">
        <v>44347</v>
      </c>
      <c r="M1589" s="116">
        <v>725.4</v>
      </c>
      <c r="N1589" s="116">
        <v>734.95</v>
      </c>
      <c r="O1589" s="116">
        <v>715</v>
      </c>
      <c r="P1589" s="116">
        <v>722.95</v>
      </c>
      <c r="Q1589" s="116">
        <v>1450.8</v>
      </c>
      <c r="R1589">
        <v>99540</v>
      </c>
    </row>
    <row r="1590" spans="1:18" x14ac:dyDescent="0.25">
      <c r="A1590" s="170">
        <v>44348</v>
      </c>
      <c r="B1590" s="116">
        <v>744.75</v>
      </c>
      <c r="C1590" s="116">
        <v>737.82500000000005</v>
      </c>
      <c r="D1590" s="116">
        <v>718.8</v>
      </c>
      <c r="E1590" s="116">
        <v>732</v>
      </c>
      <c r="F1590" s="116">
        <v>1475.65</v>
      </c>
      <c r="G1590">
        <v>14298</v>
      </c>
      <c r="H1590" s="116"/>
      <c r="I1590" s="116"/>
      <c r="L1590" s="170">
        <v>44348</v>
      </c>
      <c r="M1590" s="116">
        <v>738.32500000000005</v>
      </c>
      <c r="N1590" s="116">
        <v>744.95</v>
      </c>
      <c r="O1590" s="116">
        <v>718.5</v>
      </c>
      <c r="P1590" s="116">
        <v>732</v>
      </c>
      <c r="Q1590" s="116">
        <v>1476.65</v>
      </c>
      <c r="R1590">
        <v>133175</v>
      </c>
    </row>
    <row r="1591" spans="1:18" x14ac:dyDescent="0.25">
      <c r="A1591" s="170">
        <v>44349</v>
      </c>
      <c r="B1591" s="116">
        <v>762.47500000000002</v>
      </c>
      <c r="C1591" s="116">
        <v>755.47500000000002</v>
      </c>
      <c r="D1591" s="116">
        <v>733.47500000000002</v>
      </c>
      <c r="E1591" s="116">
        <v>744.5</v>
      </c>
      <c r="F1591" s="116">
        <v>1510.95</v>
      </c>
      <c r="G1591">
        <v>13978</v>
      </c>
      <c r="H1591" s="116"/>
      <c r="I1591" s="116"/>
      <c r="L1591" s="170">
        <v>44349</v>
      </c>
      <c r="M1591" s="116">
        <v>754.52499999999998</v>
      </c>
      <c r="N1591" s="116">
        <v>762.72500000000002</v>
      </c>
      <c r="O1591" s="116">
        <v>732.5</v>
      </c>
      <c r="P1591" s="116">
        <v>739</v>
      </c>
      <c r="Q1591" s="116">
        <v>1509.05</v>
      </c>
      <c r="R1591">
        <v>203896</v>
      </c>
    </row>
    <row r="1592" spans="1:18" x14ac:dyDescent="0.25">
      <c r="A1592" s="170">
        <v>44350</v>
      </c>
      <c r="B1592" s="116">
        <v>764.27499999999998</v>
      </c>
      <c r="C1592" s="116">
        <v>747.35</v>
      </c>
      <c r="D1592" s="116">
        <v>743.6</v>
      </c>
      <c r="E1592" s="116">
        <v>762.5</v>
      </c>
      <c r="F1592" s="116">
        <v>1494.7</v>
      </c>
      <c r="G1592">
        <v>13679</v>
      </c>
      <c r="H1592" s="116"/>
      <c r="I1592" s="116"/>
      <c r="L1592" s="170">
        <v>44350</v>
      </c>
      <c r="M1592" s="116">
        <v>753.97500000000002</v>
      </c>
      <c r="N1592" s="116">
        <v>765</v>
      </c>
      <c r="O1592" s="116">
        <v>743.27499999999998</v>
      </c>
      <c r="P1592" s="116">
        <v>760</v>
      </c>
      <c r="Q1592" s="116">
        <v>1507.95</v>
      </c>
      <c r="R1592">
        <v>125144</v>
      </c>
    </row>
    <row r="1593" spans="1:18" x14ac:dyDescent="0.25">
      <c r="A1593" s="170">
        <v>44351</v>
      </c>
      <c r="B1593" s="116">
        <v>758.5</v>
      </c>
      <c r="C1593" s="116">
        <v>755.47500000000002</v>
      </c>
      <c r="D1593" s="116">
        <v>742.67499999999995</v>
      </c>
      <c r="E1593" s="116">
        <v>758</v>
      </c>
      <c r="F1593" s="116">
        <v>1510.95</v>
      </c>
      <c r="G1593">
        <v>5963</v>
      </c>
      <c r="H1593" s="116"/>
      <c r="I1593" s="116"/>
      <c r="L1593" s="170">
        <v>44351</v>
      </c>
      <c r="M1593" s="116">
        <v>756.125</v>
      </c>
      <c r="N1593" s="116">
        <v>759.07500000000005</v>
      </c>
      <c r="O1593" s="116">
        <v>741.125</v>
      </c>
      <c r="P1593" s="116">
        <v>753.5</v>
      </c>
      <c r="Q1593" s="116">
        <v>1512.25</v>
      </c>
      <c r="R1593">
        <v>105702</v>
      </c>
    </row>
    <row r="1594" spans="1:18" x14ac:dyDescent="0.25">
      <c r="A1594" s="170">
        <v>44354</v>
      </c>
      <c r="B1594" s="116">
        <v>774.77499999999998</v>
      </c>
      <c r="C1594" s="116">
        <v>757.32500000000005</v>
      </c>
      <c r="D1594" s="116">
        <v>753.97500000000002</v>
      </c>
      <c r="E1594" s="116">
        <v>774.77499999999998</v>
      </c>
      <c r="F1594" s="116">
        <v>1514.65</v>
      </c>
      <c r="G1594">
        <v>5565</v>
      </c>
      <c r="H1594" s="116"/>
      <c r="I1594" s="116"/>
      <c r="L1594" s="170">
        <v>44354</v>
      </c>
      <c r="M1594" s="116">
        <v>757.75</v>
      </c>
      <c r="N1594" s="116">
        <v>774</v>
      </c>
      <c r="O1594" s="116">
        <v>753.5</v>
      </c>
      <c r="P1594" s="116">
        <v>766.35</v>
      </c>
      <c r="Q1594" s="116">
        <v>1515.5</v>
      </c>
      <c r="R1594">
        <v>106559</v>
      </c>
    </row>
    <row r="1595" spans="1:18" x14ac:dyDescent="0.25">
      <c r="A1595" s="170">
        <v>44355</v>
      </c>
      <c r="B1595" s="116">
        <v>795.02499999999998</v>
      </c>
      <c r="C1595" s="116">
        <v>791.27499999999998</v>
      </c>
      <c r="D1595" s="116">
        <v>754.5</v>
      </c>
      <c r="E1595" s="116">
        <v>772.1</v>
      </c>
      <c r="F1595" s="116">
        <v>1582.55</v>
      </c>
      <c r="G1595">
        <v>11547</v>
      </c>
      <c r="H1595" s="116"/>
      <c r="I1595" s="116"/>
      <c r="L1595" s="170">
        <v>44355</v>
      </c>
      <c r="M1595" s="116">
        <v>790.3</v>
      </c>
      <c r="N1595" s="116">
        <v>796</v>
      </c>
      <c r="O1595" s="116">
        <v>753.85</v>
      </c>
      <c r="P1595" s="116">
        <v>762.5</v>
      </c>
      <c r="Q1595" s="116">
        <v>1580.6</v>
      </c>
      <c r="R1595">
        <v>189285</v>
      </c>
    </row>
    <row r="1596" spans="1:18" x14ac:dyDescent="0.25">
      <c r="A1596" s="170">
        <v>44356</v>
      </c>
      <c r="B1596" s="116">
        <v>808</v>
      </c>
      <c r="C1596" s="116">
        <v>762.55</v>
      </c>
      <c r="D1596" s="116">
        <v>752.72500000000002</v>
      </c>
      <c r="E1596" s="116">
        <v>808</v>
      </c>
      <c r="F1596" s="116">
        <v>1525.1</v>
      </c>
      <c r="G1596">
        <v>18926</v>
      </c>
      <c r="H1596" s="116"/>
      <c r="I1596" s="116"/>
      <c r="L1596" s="170">
        <v>44356</v>
      </c>
      <c r="M1596" s="116">
        <v>763.47500000000002</v>
      </c>
      <c r="N1596" s="116">
        <v>800</v>
      </c>
      <c r="O1596" s="116">
        <v>753.5</v>
      </c>
      <c r="P1596" s="116">
        <v>800</v>
      </c>
      <c r="Q1596" s="116">
        <v>1526.95</v>
      </c>
      <c r="R1596">
        <v>94207</v>
      </c>
    </row>
    <row r="1597" spans="1:18" x14ac:dyDescent="0.25">
      <c r="A1597" s="170">
        <v>44357</v>
      </c>
      <c r="B1597" s="116">
        <v>780</v>
      </c>
      <c r="C1597" s="116">
        <v>767.77499999999998</v>
      </c>
      <c r="D1597" s="116">
        <v>762.85</v>
      </c>
      <c r="E1597" s="116">
        <v>780</v>
      </c>
      <c r="F1597" s="116">
        <v>1535.55</v>
      </c>
      <c r="G1597">
        <v>4448</v>
      </c>
      <c r="H1597" s="116"/>
      <c r="I1597" s="116"/>
      <c r="L1597" s="170">
        <v>44357</v>
      </c>
      <c r="M1597" s="116">
        <v>767.3</v>
      </c>
      <c r="N1597" s="116">
        <v>778.72500000000002</v>
      </c>
      <c r="O1597" s="116">
        <v>762.5</v>
      </c>
      <c r="P1597" s="116">
        <v>765</v>
      </c>
      <c r="Q1597" s="116">
        <v>1534.6</v>
      </c>
      <c r="R1597">
        <v>46966</v>
      </c>
    </row>
    <row r="1598" spans="1:18" x14ac:dyDescent="0.25">
      <c r="A1598" s="170">
        <v>44358</v>
      </c>
      <c r="B1598" s="116">
        <v>790</v>
      </c>
      <c r="C1598" s="116">
        <v>770.22500000000002</v>
      </c>
      <c r="D1598" s="116">
        <v>760.52499999999998</v>
      </c>
      <c r="E1598" s="116">
        <v>790</v>
      </c>
      <c r="F1598" s="116">
        <v>1540.45</v>
      </c>
      <c r="G1598">
        <v>7069</v>
      </c>
      <c r="H1598" s="116"/>
      <c r="I1598" s="116"/>
      <c r="L1598" s="170">
        <v>44358</v>
      </c>
      <c r="M1598" s="116">
        <v>770.02499999999998</v>
      </c>
      <c r="N1598" s="116">
        <v>782</v>
      </c>
      <c r="O1598" s="116">
        <v>760.5</v>
      </c>
      <c r="P1598" s="116">
        <v>777.875</v>
      </c>
      <c r="Q1598" s="116">
        <v>1540.05</v>
      </c>
      <c r="R1598">
        <v>72656</v>
      </c>
    </row>
    <row r="1599" spans="1:18" x14ac:dyDescent="0.25">
      <c r="A1599" s="170">
        <v>44361</v>
      </c>
      <c r="B1599" s="116">
        <v>797.5</v>
      </c>
      <c r="C1599" s="116">
        <v>773</v>
      </c>
      <c r="D1599" s="116">
        <v>760.1</v>
      </c>
      <c r="E1599" s="116">
        <v>786.4</v>
      </c>
      <c r="F1599" s="116">
        <v>1546</v>
      </c>
      <c r="G1599">
        <v>26793</v>
      </c>
      <c r="H1599" s="116"/>
      <c r="I1599" s="116"/>
      <c r="L1599" s="170">
        <v>44361</v>
      </c>
      <c r="M1599" s="116">
        <v>772.42499999999995</v>
      </c>
      <c r="N1599" s="116">
        <v>797</v>
      </c>
      <c r="O1599" s="116">
        <v>761.02499999999998</v>
      </c>
      <c r="P1599" s="116">
        <v>776</v>
      </c>
      <c r="Q1599" s="116">
        <v>1544.85</v>
      </c>
      <c r="R1599">
        <v>239865</v>
      </c>
    </row>
    <row r="1600" spans="1:18" x14ac:dyDescent="0.25">
      <c r="A1600" s="170">
        <v>44362</v>
      </c>
      <c r="B1600" s="116">
        <v>797.92499999999995</v>
      </c>
      <c r="C1600" s="116">
        <v>753.02499999999998</v>
      </c>
      <c r="D1600" s="116">
        <v>750</v>
      </c>
      <c r="E1600" s="116">
        <v>792.47500000000002</v>
      </c>
      <c r="F1600" s="116">
        <v>1506.05</v>
      </c>
      <c r="G1600">
        <v>36584</v>
      </c>
      <c r="H1600" s="116"/>
      <c r="I1600" s="116"/>
      <c r="L1600" s="170">
        <v>44362</v>
      </c>
      <c r="M1600" s="116">
        <v>753.5</v>
      </c>
      <c r="N1600" s="116">
        <v>799</v>
      </c>
      <c r="O1600" s="116">
        <v>749</v>
      </c>
      <c r="P1600" s="116">
        <v>787</v>
      </c>
      <c r="Q1600" s="116">
        <v>1507</v>
      </c>
      <c r="R1600">
        <v>451064</v>
      </c>
    </row>
    <row r="1601" spans="1:18" x14ac:dyDescent="0.25">
      <c r="A1601" s="170">
        <v>44363</v>
      </c>
      <c r="B1601" s="116">
        <v>766.45</v>
      </c>
      <c r="C1601" s="116">
        <v>763.15</v>
      </c>
      <c r="D1601" s="116">
        <v>751.5</v>
      </c>
      <c r="E1601" s="116">
        <v>765</v>
      </c>
      <c r="F1601" s="116">
        <v>1526.3</v>
      </c>
      <c r="G1601">
        <v>10671</v>
      </c>
      <c r="H1601" s="116"/>
      <c r="I1601" s="116"/>
      <c r="L1601" s="170">
        <v>44363</v>
      </c>
      <c r="M1601" s="116">
        <v>762.95</v>
      </c>
      <c r="N1601" s="116">
        <v>766.5</v>
      </c>
      <c r="O1601" s="116">
        <v>751.02499999999998</v>
      </c>
      <c r="P1601" s="116">
        <v>762.5</v>
      </c>
      <c r="Q1601" s="116">
        <v>1525.9</v>
      </c>
      <c r="R1601">
        <v>213348</v>
      </c>
    </row>
    <row r="1602" spans="1:18" x14ac:dyDescent="0.25">
      <c r="A1602" s="170">
        <v>44364</v>
      </c>
      <c r="B1602" s="116">
        <v>767.5</v>
      </c>
      <c r="C1602" s="116">
        <v>763.27499999999998</v>
      </c>
      <c r="D1602" s="116">
        <v>746.27499999999998</v>
      </c>
      <c r="E1602" s="116">
        <v>767.5</v>
      </c>
      <c r="F1602" s="116">
        <v>1526.55</v>
      </c>
      <c r="G1602">
        <v>15120</v>
      </c>
      <c r="H1602" s="116"/>
      <c r="I1602" s="116"/>
      <c r="L1602" s="170">
        <v>44364</v>
      </c>
      <c r="M1602" s="116">
        <v>763.47500000000002</v>
      </c>
      <c r="N1602" s="116">
        <v>766.47500000000002</v>
      </c>
      <c r="O1602" s="116">
        <v>746.05</v>
      </c>
      <c r="P1602" s="116">
        <v>762.95</v>
      </c>
      <c r="Q1602" s="116">
        <v>1526.95</v>
      </c>
      <c r="R1602">
        <v>184762</v>
      </c>
    </row>
    <row r="1603" spans="1:18" x14ac:dyDescent="0.25">
      <c r="A1603" s="170">
        <v>44365</v>
      </c>
      <c r="B1603" s="116">
        <v>768.85</v>
      </c>
      <c r="C1603" s="116">
        <v>766.02499999999998</v>
      </c>
      <c r="D1603" s="116">
        <v>757</v>
      </c>
      <c r="E1603" s="116">
        <v>767</v>
      </c>
      <c r="F1603" s="116">
        <v>1532.05</v>
      </c>
      <c r="G1603">
        <v>11247</v>
      </c>
      <c r="H1603" s="116"/>
      <c r="I1603" s="116"/>
      <c r="L1603" s="170">
        <v>44365</v>
      </c>
      <c r="M1603" s="116">
        <v>765.45</v>
      </c>
      <c r="N1603" s="116">
        <v>769.45</v>
      </c>
      <c r="O1603" s="116">
        <v>756.125</v>
      </c>
      <c r="P1603" s="116">
        <v>766.5</v>
      </c>
      <c r="Q1603" s="116">
        <v>1530.9</v>
      </c>
      <c r="R1603">
        <v>166591</v>
      </c>
    </row>
    <row r="1604" spans="1:18" x14ac:dyDescent="0.25">
      <c r="A1604" s="170">
        <v>44368</v>
      </c>
      <c r="B1604" s="116">
        <v>765.875</v>
      </c>
      <c r="C1604" s="116">
        <v>756.875</v>
      </c>
      <c r="D1604" s="116">
        <v>744</v>
      </c>
      <c r="E1604" s="116">
        <v>744</v>
      </c>
      <c r="F1604" s="116">
        <v>1513.75</v>
      </c>
      <c r="G1604">
        <v>9735</v>
      </c>
      <c r="H1604" s="116"/>
      <c r="I1604" s="116"/>
      <c r="L1604" s="170">
        <v>44368</v>
      </c>
      <c r="M1604" s="116">
        <v>756.7</v>
      </c>
      <c r="N1604" s="116">
        <v>761.5</v>
      </c>
      <c r="O1604" s="116">
        <v>749.25</v>
      </c>
      <c r="P1604" s="116">
        <v>756</v>
      </c>
      <c r="Q1604" s="116">
        <v>1513.4</v>
      </c>
      <c r="R1604">
        <v>207418</v>
      </c>
    </row>
    <row r="1605" spans="1:18" x14ac:dyDescent="0.25">
      <c r="A1605" s="170">
        <v>44369</v>
      </c>
      <c r="B1605" s="116">
        <v>769.4</v>
      </c>
      <c r="C1605" s="116">
        <v>763.95</v>
      </c>
      <c r="D1605" s="116">
        <v>756.125</v>
      </c>
      <c r="E1605" s="116">
        <v>763</v>
      </c>
      <c r="F1605" s="116">
        <v>1527.9</v>
      </c>
      <c r="G1605">
        <v>7908</v>
      </c>
      <c r="H1605" s="116"/>
      <c r="I1605" s="116"/>
      <c r="L1605" s="170">
        <v>44369</v>
      </c>
      <c r="M1605" s="116">
        <v>764.4</v>
      </c>
      <c r="N1605" s="116">
        <v>770</v>
      </c>
      <c r="O1605" s="116">
        <v>755.82500000000005</v>
      </c>
      <c r="P1605" s="116">
        <v>766.5</v>
      </c>
      <c r="Q1605" s="116">
        <v>1528.8</v>
      </c>
      <c r="R1605">
        <v>121919</v>
      </c>
    </row>
    <row r="1606" spans="1:18" x14ac:dyDescent="0.25">
      <c r="A1606" s="170">
        <v>44370</v>
      </c>
      <c r="B1606" s="116">
        <v>776.5</v>
      </c>
      <c r="C1606" s="116">
        <v>772.92499999999995</v>
      </c>
      <c r="D1606" s="116">
        <v>763.1</v>
      </c>
      <c r="E1606" s="116">
        <v>766</v>
      </c>
      <c r="F1606" s="116">
        <v>1545.85</v>
      </c>
      <c r="G1606">
        <v>11545</v>
      </c>
      <c r="H1606" s="116"/>
      <c r="I1606" s="116"/>
      <c r="L1606" s="170">
        <v>44370</v>
      </c>
      <c r="M1606" s="116">
        <v>772.72500000000002</v>
      </c>
      <c r="N1606" s="116">
        <v>776.7</v>
      </c>
      <c r="O1606" s="116">
        <v>763.5</v>
      </c>
      <c r="P1606" s="116">
        <v>770</v>
      </c>
      <c r="Q1606" s="116">
        <v>1545.45</v>
      </c>
      <c r="R1606">
        <v>151905</v>
      </c>
    </row>
    <row r="1607" spans="1:18" x14ac:dyDescent="0.25">
      <c r="A1607" s="170">
        <v>44371</v>
      </c>
      <c r="B1607" s="116">
        <v>787.47500000000002</v>
      </c>
      <c r="C1607" s="116">
        <v>781.32500000000005</v>
      </c>
      <c r="D1607" s="116">
        <v>768</v>
      </c>
      <c r="E1607" s="116">
        <v>777.52499999999998</v>
      </c>
      <c r="F1607" s="116">
        <v>1562.65</v>
      </c>
      <c r="G1607">
        <v>13087</v>
      </c>
      <c r="H1607" s="116"/>
      <c r="I1607" s="116"/>
      <c r="L1607" s="170">
        <v>44371</v>
      </c>
      <c r="M1607" s="116">
        <v>781.8</v>
      </c>
      <c r="N1607" s="116">
        <v>787.5</v>
      </c>
      <c r="O1607" s="116">
        <v>766.5</v>
      </c>
      <c r="P1607" s="116">
        <v>777.5</v>
      </c>
      <c r="Q1607" s="116">
        <v>1563.6</v>
      </c>
      <c r="R1607">
        <v>141405</v>
      </c>
    </row>
    <row r="1608" spans="1:18" x14ac:dyDescent="0.25">
      <c r="A1608" s="170">
        <v>44372</v>
      </c>
      <c r="B1608" s="116">
        <v>794.75</v>
      </c>
      <c r="C1608" s="116">
        <v>792.875</v>
      </c>
      <c r="D1608" s="116">
        <v>776.45</v>
      </c>
      <c r="E1608" s="116">
        <v>787</v>
      </c>
      <c r="F1608" s="116">
        <v>1585.75</v>
      </c>
      <c r="G1608">
        <v>7261</v>
      </c>
      <c r="H1608" s="116"/>
      <c r="I1608" s="116"/>
      <c r="L1608" s="170">
        <v>44372</v>
      </c>
      <c r="M1608" s="116">
        <v>793.05</v>
      </c>
      <c r="N1608" s="116">
        <v>795</v>
      </c>
      <c r="O1608" s="116">
        <v>775.5</v>
      </c>
      <c r="P1608" s="116">
        <v>781</v>
      </c>
      <c r="Q1608" s="116">
        <v>1586.1</v>
      </c>
      <c r="R1608">
        <v>103551</v>
      </c>
    </row>
    <row r="1609" spans="1:18" x14ac:dyDescent="0.25">
      <c r="A1609" s="170">
        <v>44375</v>
      </c>
      <c r="B1609" s="116">
        <v>824</v>
      </c>
      <c r="C1609" s="116">
        <v>819.9</v>
      </c>
      <c r="D1609" s="116">
        <v>796.4</v>
      </c>
      <c r="E1609" s="116">
        <v>808</v>
      </c>
      <c r="F1609" s="116">
        <v>1639.8</v>
      </c>
      <c r="G1609">
        <v>19922</v>
      </c>
      <c r="H1609" s="116"/>
      <c r="I1609" s="116"/>
      <c r="L1609" s="170">
        <v>44375</v>
      </c>
      <c r="M1609" s="116">
        <v>819.125</v>
      </c>
      <c r="N1609" s="116">
        <v>824.9</v>
      </c>
      <c r="O1609" s="116">
        <v>795</v>
      </c>
      <c r="P1609" s="116">
        <v>801.5</v>
      </c>
      <c r="Q1609" s="116">
        <v>1638.25</v>
      </c>
      <c r="R1609">
        <v>220872</v>
      </c>
    </row>
    <row r="1610" spans="1:18" x14ac:dyDescent="0.25">
      <c r="A1610" s="170">
        <v>44376</v>
      </c>
      <c r="B1610" s="116">
        <v>824.25</v>
      </c>
      <c r="C1610" s="116">
        <v>814.42499999999995</v>
      </c>
      <c r="D1610" s="116">
        <v>809.8</v>
      </c>
      <c r="E1610" s="116">
        <v>820</v>
      </c>
      <c r="F1610" s="116">
        <v>1628.85</v>
      </c>
      <c r="G1610">
        <v>12881</v>
      </c>
      <c r="H1610" s="116"/>
      <c r="I1610" s="116"/>
      <c r="L1610" s="170">
        <v>44376</v>
      </c>
      <c r="M1610" s="116">
        <v>815.4</v>
      </c>
      <c r="N1610" s="116">
        <v>825</v>
      </c>
      <c r="O1610" s="116">
        <v>809.1</v>
      </c>
      <c r="P1610" s="116">
        <v>824.5</v>
      </c>
      <c r="Q1610" s="116">
        <v>1630.8</v>
      </c>
      <c r="R1610">
        <v>95789</v>
      </c>
    </row>
    <row r="1611" spans="1:18" x14ac:dyDescent="0.25">
      <c r="A1611" s="170">
        <v>44377</v>
      </c>
      <c r="B1611" s="116">
        <v>841.22500000000002</v>
      </c>
      <c r="C1611" s="116">
        <v>831.5</v>
      </c>
      <c r="D1611" s="116">
        <v>809.92499999999995</v>
      </c>
      <c r="E1611" s="116">
        <v>814.75</v>
      </c>
      <c r="F1611" s="116">
        <v>1663</v>
      </c>
      <c r="G1611">
        <v>12244</v>
      </c>
      <c r="H1611" s="116"/>
      <c r="I1611" s="116"/>
      <c r="L1611" s="170">
        <v>44377</v>
      </c>
      <c r="M1611" s="116">
        <v>832.6</v>
      </c>
      <c r="N1611" s="116">
        <v>842.15</v>
      </c>
      <c r="O1611" s="116">
        <v>809.57500000000005</v>
      </c>
      <c r="P1611" s="116">
        <v>822.45</v>
      </c>
      <c r="Q1611" s="116">
        <v>1665.2</v>
      </c>
      <c r="R1611">
        <v>161996</v>
      </c>
    </row>
    <row r="1612" spans="1:18" x14ac:dyDescent="0.25">
      <c r="A1612" s="170">
        <v>44378</v>
      </c>
      <c r="B1612" s="116">
        <v>848.9</v>
      </c>
      <c r="C1612" s="116">
        <v>845.07500000000005</v>
      </c>
      <c r="D1612" s="116">
        <v>823.72500000000002</v>
      </c>
      <c r="E1612" s="116">
        <v>836.85</v>
      </c>
      <c r="F1612" s="116">
        <v>1690.15</v>
      </c>
      <c r="G1612">
        <v>6408</v>
      </c>
      <c r="H1612" s="116"/>
      <c r="I1612" s="116"/>
      <c r="L1612" s="170">
        <v>44378</v>
      </c>
      <c r="M1612" s="116">
        <v>844.92499999999995</v>
      </c>
      <c r="N1612" s="116">
        <v>849.45</v>
      </c>
      <c r="O1612" s="116">
        <v>823.07500000000005</v>
      </c>
      <c r="P1612" s="116">
        <v>831</v>
      </c>
      <c r="Q1612" s="116">
        <v>1689.85</v>
      </c>
      <c r="R1612">
        <v>127211</v>
      </c>
    </row>
    <row r="1613" spans="1:18" x14ac:dyDescent="0.25">
      <c r="A1613" s="170">
        <v>44379</v>
      </c>
      <c r="B1613" s="116">
        <v>948.57500000000005</v>
      </c>
      <c r="C1613" s="116">
        <v>932.17499999999995</v>
      </c>
      <c r="D1613" s="116">
        <v>849.45</v>
      </c>
      <c r="E1613" s="116">
        <v>849.97500000000002</v>
      </c>
      <c r="F1613" s="116">
        <v>1864.35</v>
      </c>
      <c r="G1613">
        <v>79893</v>
      </c>
      <c r="H1613" s="116"/>
      <c r="I1613" s="116"/>
      <c r="L1613" s="170">
        <v>44379</v>
      </c>
      <c r="M1613" s="116">
        <v>931.07500000000005</v>
      </c>
      <c r="N1613" s="116">
        <v>948.5</v>
      </c>
      <c r="O1613" s="116">
        <v>850</v>
      </c>
      <c r="P1613" s="116">
        <v>850.5</v>
      </c>
      <c r="Q1613" s="116">
        <v>1862.15</v>
      </c>
      <c r="R1613">
        <v>1086400</v>
      </c>
    </row>
    <row r="1614" spans="1:18" x14ac:dyDescent="0.25">
      <c r="A1614" s="170">
        <v>44382</v>
      </c>
      <c r="B1614" s="116">
        <v>969.375</v>
      </c>
      <c r="C1614" s="116">
        <v>942.625</v>
      </c>
      <c r="D1614" s="116">
        <v>926.25</v>
      </c>
      <c r="E1614" s="116">
        <v>944.85</v>
      </c>
      <c r="F1614" s="116">
        <v>1885.25</v>
      </c>
      <c r="G1614">
        <v>55188</v>
      </c>
      <c r="H1614" s="116"/>
      <c r="I1614" s="116"/>
      <c r="L1614" s="170">
        <v>44382</v>
      </c>
      <c r="M1614" s="116">
        <v>941.4</v>
      </c>
      <c r="N1614" s="116">
        <v>968.85</v>
      </c>
      <c r="O1614" s="116">
        <v>926.02499999999998</v>
      </c>
      <c r="P1614" s="116">
        <v>941</v>
      </c>
      <c r="Q1614" s="116">
        <v>1882.8</v>
      </c>
      <c r="R1614">
        <v>688762</v>
      </c>
    </row>
    <row r="1615" spans="1:18" x14ac:dyDescent="0.25">
      <c r="A1615" s="170">
        <v>44383</v>
      </c>
      <c r="B1615" s="116">
        <v>947.27499999999998</v>
      </c>
      <c r="C1615" s="116">
        <v>890.57500000000005</v>
      </c>
      <c r="D1615" s="116">
        <v>871.5</v>
      </c>
      <c r="E1615" s="116">
        <v>942.8</v>
      </c>
      <c r="F1615" s="116">
        <v>1781.15</v>
      </c>
      <c r="G1615">
        <v>23893</v>
      </c>
      <c r="H1615" s="116"/>
      <c r="I1615" s="116"/>
      <c r="L1615" s="170">
        <v>44383</v>
      </c>
      <c r="M1615" s="116">
        <v>890.47500000000002</v>
      </c>
      <c r="N1615" s="116">
        <v>947.65</v>
      </c>
      <c r="O1615" s="116">
        <v>871.02499999999998</v>
      </c>
      <c r="P1615" s="116">
        <v>941</v>
      </c>
      <c r="Q1615" s="116">
        <v>1780.95</v>
      </c>
      <c r="R1615">
        <v>252549</v>
      </c>
    </row>
    <row r="1616" spans="1:18" x14ac:dyDescent="0.25">
      <c r="A1616" s="170">
        <v>44384</v>
      </c>
      <c r="B1616" s="116">
        <v>919.5</v>
      </c>
      <c r="C1616" s="116">
        <v>914.75</v>
      </c>
      <c r="D1616" s="116">
        <v>879.47500000000002</v>
      </c>
      <c r="E1616" s="116">
        <v>890</v>
      </c>
      <c r="F1616" s="116">
        <v>1829.5</v>
      </c>
      <c r="G1616">
        <v>21053</v>
      </c>
      <c r="H1616" s="116"/>
      <c r="I1616" s="116"/>
      <c r="L1616" s="170">
        <v>44384</v>
      </c>
      <c r="M1616" s="116">
        <v>913.77499999999998</v>
      </c>
      <c r="N1616" s="116">
        <v>920.05</v>
      </c>
      <c r="O1616" s="116">
        <v>879</v>
      </c>
      <c r="P1616" s="116">
        <v>891.5</v>
      </c>
      <c r="Q1616" s="116">
        <v>1827.55</v>
      </c>
      <c r="R1616">
        <v>169285</v>
      </c>
    </row>
    <row r="1617" spans="1:18" x14ac:dyDescent="0.25">
      <c r="A1617" s="170">
        <v>44385</v>
      </c>
      <c r="B1617" s="116">
        <v>924.95</v>
      </c>
      <c r="C1617" s="116">
        <v>906.32500000000005</v>
      </c>
      <c r="D1617" s="116">
        <v>898.5</v>
      </c>
      <c r="E1617" s="116">
        <v>917</v>
      </c>
      <c r="F1617" s="116">
        <v>1812.65</v>
      </c>
      <c r="G1617">
        <v>16064</v>
      </c>
      <c r="H1617" s="116"/>
      <c r="I1617" s="116"/>
      <c r="L1617" s="170">
        <v>44385</v>
      </c>
      <c r="M1617" s="116">
        <v>906.65</v>
      </c>
      <c r="N1617" s="116">
        <v>925.3</v>
      </c>
      <c r="O1617" s="116">
        <v>898.27499999999998</v>
      </c>
      <c r="P1617" s="116">
        <v>904.52499999999998</v>
      </c>
      <c r="Q1617" s="116">
        <v>1813.3</v>
      </c>
      <c r="R1617">
        <v>133622</v>
      </c>
    </row>
    <row r="1618" spans="1:18" x14ac:dyDescent="0.25">
      <c r="A1618" s="170">
        <v>44386</v>
      </c>
      <c r="B1618" s="116">
        <v>921.85</v>
      </c>
      <c r="C1618" s="116">
        <v>906.42499999999995</v>
      </c>
      <c r="D1618" s="116">
        <v>899.92499999999995</v>
      </c>
      <c r="E1618" s="116">
        <v>915</v>
      </c>
      <c r="F1618" s="116">
        <v>1812.85</v>
      </c>
      <c r="G1618">
        <v>7998</v>
      </c>
      <c r="H1618" s="116"/>
      <c r="I1618" s="116"/>
      <c r="L1618" s="170">
        <v>44386</v>
      </c>
      <c r="M1618" s="116">
        <v>906.375</v>
      </c>
      <c r="N1618" s="116">
        <v>922</v>
      </c>
      <c r="O1618" s="116">
        <v>899.6</v>
      </c>
      <c r="P1618" s="116">
        <v>903.5</v>
      </c>
      <c r="Q1618" s="116">
        <v>1812.75</v>
      </c>
      <c r="R1618">
        <v>114910</v>
      </c>
    </row>
    <row r="1619" spans="1:18" x14ac:dyDescent="0.25">
      <c r="A1619" s="170">
        <v>44389</v>
      </c>
      <c r="B1619" s="116">
        <v>927.45</v>
      </c>
      <c r="C1619" s="116">
        <v>916.85</v>
      </c>
      <c r="D1619" s="116">
        <v>906.42499999999995</v>
      </c>
      <c r="E1619" s="116">
        <v>917.47500000000002</v>
      </c>
      <c r="F1619" s="116">
        <v>1833.7</v>
      </c>
      <c r="G1619">
        <v>7158</v>
      </c>
      <c r="H1619" s="116"/>
      <c r="I1619" s="116"/>
      <c r="L1619" s="170">
        <v>44389</v>
      </c>
      <c r="M1619" s="116">
        <v>916.47500000000002</v>
      </c>
      <c r="N1619" s="116">
        <v>927.5</v>
      </c>
      <c r="O1619" s="116">
        <v>906.5</v>
      </c>
      <c r="P1619" s="116">
        <v>913.5</v>
      </c>
      <c r="Q1619" s="116">
        <v>1832.95</v>
      </c>
      <c r="R1619">
        <v>118404</v>
      </c>
    </row>
    <row r="1620" spans="1:18" x14ac:dyDescent="0.25">
      <c r="A1620" s="170">
        <v>44390</v>
      </c>
      <c r="B1620" s="116">
        <v>921.17499999999995</v>
      </c>
      <c r="C1620" s="116">
        <v>914.35</v>
      </c>
      <c r="D1620" s="116">
        <v>906.55</v>
      </c>
      <c r="E1620" s="116">
        <v>918.02499999999998</v>
      </c>
      <c r="F1620" s="116">
        <v>1828.7</v>
      </c>
      <c r="G1620">
        <v>12453</v>
      </c>
      <c r="H1620" s="116"/>
      <c r="I1620" s="116"/>
      <c r="L1620" s="170">
        <v>44390</v>
      </c>
      <c r="M1620" s="116">
        <v>914.45</v>
      </c>
      <c r="N1620" s="116">
        <v>922.5</v>
      </c>
      <c r="O1620" s="116">
        <v>906.25</v>
      </c>
      <c r="P1620" s="116">
        <v>922.5</v>
      </c>
      <c r="Q1620" s="116">
        <v>1828.9</v>
      </c>
      <c r="R1620">
        <v>73883</v>
      </c>
    </row>
    <row r="1621" spans="1:18" x14ac:dyDescent="0.25">
      <c r="A1621" s="170">
        <v>44391</v>
      </c>
      <c r="B1621" s="116">
        <v>923.27499999999998</v>
      </c>
      <c r="C1621" s="116">
        <v>905.65</v>
      </c>
      <c r="D1621" s="116">
        <v>902.375</v>
      </c>
      <c r="E1621" s="116">
        <v>921.65</v>
      </c>
      <c r="F1621" s="116">
        <v>1811.3</v>
      </c>
      <c r="G1621">
        <v>9603</v>
      </c>
      <c r="H1621" s="116"/>
      <c r="I1621" s="116"/>
      <c r="L1621" s="170">
        <v>44391</v>
      </c>
      <c r="M1621" s="116">
        <v>907.55</v>
      </c>
      <c r="N1621" s="116">
        <v>923.67499999999995</v>
      </c>
      <c r="O1621" s="116">
        <v>902</v>
      </c>
      <c r="P1621" s="116">
        <v>920.47500000000002</v>
      </c>
      <c r="Q1621" s="116">
        <v>1815.1</v>
      </c>
      <c r="R1621">
        <v>87229</v>
      </c>
    </row>
    <row r="1622" spans="1:18" x14ac:dyDescent="0.25">
      <c r="A1622" s="170">
        <v>44392</v>
      </c>
      <c r="B1622" s="116">
        <v>925.47500000000002</v>
      </c>
      <c r="C1622" s="116">
        <v>903.97500000000002</v>
      </c>
      <c r="D1622" s="116">
        <v>891.25</v>
      </c>
      <c r="E1622" s="116">
        <v>925.47500000000002</v>
      </c>
      <c r="F1622" s="116">
        <v>1807.95</v>
      </c>
      <c r="G1622">
        <v>9496</v>
      </c>
      <c r="H1622" s="116"/>
      <c r="I1622" s="116"/>
      <c r="L1622" s="170">
        <v>44392</v>
      </c>
      <c r="M1622" s="116">
        <v>901.5</v>
      </c>
      <c r="N1622" s="116">
        <v>924.45</v>
      </c>
      <c r="O1622" s="116">
        <v>890.82500000000005</v>
      </c>
      <c r="P1622" s="116">
        <v>907.55</v>
      </c>
      <c r="Q1622" s="116">
        <v>1803</v>
      </c>
      <c r="R1622">
        <v>135248</v>
      </c>
    </row>
    <row r="1623" spans="1:18" x14ac:dyDescent="0.25">
      <c r="A1623" s="170">
        <v>44393</v>
      </c>
      <c r="B1623" s="116">
        <v>958.5</v>
      </c>
      <c r="C1623" s="116">
        <v>944.7</v>
      </c>
      <c r="D1623" s="116">
        <v>902.67499999999995</v>
      </c>
      <c r="E1623" s="116">
        <v>903.97500000000002</v>
      </c>
      <c r="F1623" s="116">
        <v>1889.4</v>
      </c>
      <c r="G1623">
        <v>21792</v>
      </c>
      <c r="H1623" s="116"/>
      <c r="I1623" s="116"/>
      <c r="L1623" s="170">
        <v>44393</v>
      </c>
      <c r="M1623" s="116">
        <v>946.1</v>
      </c>
      <c r="N1623" s="116">
        <v>959</v>
      </c>
      <c r="O1623" s="116">
        <v>902.5</v>
      </c>
      <c r="P1623" s="116">
        <v>906.52499999999998</v>
      </c>
      <c r="Q1623" s="116">
        <v>1892.2</v>
      </c>
      <c r="R1623">
        <v>230264</v>
      </c>
    </row>
    <row r="1624" spans="1:18" x14ac:dyDescent="0.25">
      <c r="A1624" s="170">
        <v>44396</v>
      </c>
      <c r="B1624" s="116">
        <v>963.97500000000002</v>
      </c>
      <c r="C1624" s="116">
        <v>950.375</v>
      </c>
      <c r="D1624" s="116">
        <v>926.97500000000002</v>
      </c>
      <c r="E1624" s="116">
        <v>954</v>
      </c>
      <c r="F1624" s="116">
        <v>1900.75</v>
      </c>
      <c r="G1624">
        <v>18278</v>
      </c>
      <c r="H1624" s="116"/>
      <c r="I1624" s="116"/>
      <c r="L1624" s="170">
        <v>44396</v>
      </c>
      <c r="M1624" s="116">
        <v>949.85</v>
      </c>
      <c r="N1624" s="116">
        <v>964.5</v>
      </c>
      <c r="O1624" s="116">
        <v>925.52499999999998</v>
      </c>
      <c r="P1624" s="116">
        <v>948.9</v>
      </c>
      <c r="Q1624" s="116">
        <v>1899.7</v>
      </c>
      <c r="R1624">
        <v>240152</v>
      </c>
    </row>
    <row r="1625" spans="1:18" x14ac:dyDescent="0.25">
      <c r="A1625" s="170">
        <v>44397</v>
      </c>
      <c r="B1625" s="116">
        <v>962.5</v>
      </c>
      <c r="C1625" s="116">
        <v>934.1</v>
      </c>
      <c r="D1625" s="116">
        <v>926.25</v>
      </c>
      <c r="E1625" s="116">
        <v>962.5</v>
      </c>
      <c r="F1625" s="116">
        <v>1868.2</v>
      </c>
      <c r="G1625">
        <v>14058</v>
      </c>
      <c r="H1625" s="116"/>
      <c r="I1625" s="116"/>
      <c r="L1625" s="170">
        <v>44397</v>
      </c>
      <c r="M1625" s="116">
        <v>934.97500000000002</v>
      </c>
      <c r="N1625" s="116">
        <v>957.65</v>
      </c>
      <c r="O1625" s="116">
        <v>926.125</v>
      </c>
      <c r="P1625" s="116">
        <v>957.65</v>
      </c>
      <c r="Q1625" s="116">
        <v>1869.95</v>
      </c>
      <c r="R1625">
        <v>154044</v>
      </c>
    </row>
    <row r="1626" spans="1:18" x14ac:dyDescent="0.25">
      <c r="A1626" s="170">
        <v>44399</v>
      </c>
      <c r="B1626" s="116">
        <v>961.9</v>
      </c>
      <c r="C1626" s="116">
        <v>919.67499999999995</v>
      </c>
      <c r="D1626" s="116">
        <v>910</v>
      </c>
      <c r="E1626" s="116">
        <v>961.9</v>
      </c>
      <c r="F1626" s="116">
        <v>1839.35</v>
      </c>
      <c r="G1626">
        <v>10072</v>
      </c>
      <c r="H1626" s="116"/>
      <c r="I1626" s="116"/>
      <c r="L1626" s="170">
        <v>44399</v>
      </c>
      <c r="M1626" s="116">
        <v>917.77499999999998</v>
      </c>
      <c r="N1626" s="116">
        <v>949.95</v>
      </c>
      <c r="O1626" s="116">
        <v>905</v>
      </c>
      <c r="P1626" s="116">
        <v>949.95</v>
      </c>
      <c r="Q1626" s="116">
        <v>1835.55</v>
      </c>
      <c r="R1626">
        <v>87717</v>
      </c>
    </row>
    <row r="1627" spans="1:18" x14ac:dyDescent="0.25">
      <c r="A1627" s="170">
        <v>44400</v>
      </c>
      <c r="B1627" s="116">
        <v>927.5</v>
      </c>
      <c r="C1627" s="116">
        <v>907.15</v>
      </c>
      <c r="D1627" s="116">
        <v>900</v>
      </c>
      <c r="E1627" s="116">
        <v>920</v>
      </c>
      <c r="F1627" s="116">
        <v>1814.3</v>
      </c>
      <c r="G1627">
        <v>15269</v>
      </c>
      <c r="H1627" s="116"/>
      <c r="I1627" s="116"/>
      <c r="L1627" s="170">
        <v>44400</v>
      </c>
      <c r="M1627" s="116">
        <v>906.85</v>
      </c>
      <c r="N1627" s="116">
        <v>928.1</v>
      </c>
      <c r="O1627" s="116">
        <v>900.95</v>
      </c>
      <c r="P1627" s="116">
        <v>920</v>
      </c>
      <c r="Q1627" s="116">
        <v>1813.7</v>
      </c>
      <c r="R1627">
        <v>133671</v>
      </c>
    </row>
    <row r="1628" spans="1:18" x14ac:dyDescent="0.25">
      <c r="A1628" s="170">
        <v>44403</v>
      </c>
      <c r="B1628" s="116">
        <v>920</v>
      </c>
      <c r="C1628" s="116">
        <v>896.77499999999998</v>
      </c>
      <c r="D1628" s="116">
        <v>895.02499999999998</v>
      </c>
      <c r="E1628" s="116">
        <v>914.5</v>
      </c>
      <c r="F1628" s="116">
        <v>1793.55</v>
      </c>
      <c r="G1628">
        <v>7123</v>
      </c>
      <c r="H1628" s="116"/>
      <c r="I1628" s="116"/>
      <c r="L1628" s="170">
        <v>44403</v>
      </c>
      <c r="M1628" s="116">
        <v>897.05</v>
      </c>
      <c r="N1628" s="116">
        <v>921.72500000000002</v>
      </c>
      <c r="O1628" s="116">
        <v>895</v>
      </c>
      <c r="P1628" s="116">
        <v>909.27499999999998</v>
      </c>
      <c r="Q1628" s="116">
        <v>1794.1</v>
      </c>
      <c r="R1628">
        <v>64661</v>
      </c>
    </row>
    <row r="1629" spans="1:18" x14ac:dyDescent="0.25">
      <c r="A1629" s="170">
        <v>44404</v>
      </c>
      <c r="B1629" s="116">
        <v>912.57500000000005</v>
      </c>
      <c r="C1629" s="116">
        <v>882.15</v>
      </c>
      <c r="D1629" s="116">
        <v>880</v>
      </c>
      <c r="E1629" s="116">
        <v>912</v>
      </c>
      <c r="F1629" s="116">
        <v>1764.3</v>
      </c>
      <c r="G1629">
        <v>5675</v>
      </c>
      <c r="H1629" s="116"/>
      <c r="I1629" s="116"/>
      <c r="L1629" s="170">
        <v>44404</v>
      </c>
      <c r="M1629" s="116">
        <v>881.77499999999998</v>
      </c>
      <c r="N1629" s="116">
        <v>912.52499999999998</v>
      </c>
      <c r="O1629" s="116">
        <v>880</v>
      </c>
      <c r="P1629" s="116">
        <v>905</v>
      </c>
      <c r="Q1629" s="116">
        <v>1763.55</v>
      </c>
      <c r="R1629">
        <v>107782</v>
      </c>
    </row>
    <row r="1630" spans="1:18" x14ac:dyDescent="0.25">
      <c r="A1630" s="170">
        <v>44405</v>
      </c>
      <c r="B1630" s="116">
        <v>909.875</v>
      </c>
      <c r="C1630" s="116">
        <v>903.47500000000002</v>
      </c>
      <c r="D1630" s="116">
        <v>869</v>
      </c>
      <c r="E1630" s="116">
        <v>900</v>
      </c>
      <c r="F1630" s="116">
        <v>1806.95</v>
      </c>
      <c r="G1630">
        <v>7241</v>
      </c>
      <c r="H1630" s="116"/>
      <c r="I1630" s="116"/>
      <c r="L1630" s="170">
        <v>44405</v>
      </c>
      <c r="M1630" s="116">
        <v>903.77499999999998</v>
      </c>
      <c r="N1630" s="116">
        <v>910.3</v>
      </c>
      <c r="O1630" s="116">
        <v>870</v>
      </c>
      <c r="P1630" s="116">
        <v>889.25</v>
      </c>
      <c r="Q1630" s="116">
        <v>1807.55</v>
      </c>
      <c r="R1630">
        <v>205887</v>
      </c>
    </row>
    <row r="1631" spans="1:18" x14ac:dyDescent="0.25">
      <c r="A1631" s="170">
        <v>44406</v>
      </c>
      <c r="B1631" s="116">
        <v>917.95</v>
      </c>
      <c r="C1631" s="116">
        <v>902.25</v>
      </c>
      <c r="D1631" s="116">
        <v>890.65</v>
      </c>
      <c r="E1631" s="116">
        <v>917.5</v>
      </c>
      <c r="F1631" s="116">
        <v>1804.5</v>
      </c>
      <c r="G1631">
        <v>2815</v>
      </c>
      <c r="H1631" s="116"/>
      <c r="I1631" s="116"/>
      <c r="L1631" s="170">
        <v>44406</v>
      </c>
      <c r="M1631" s="116">
        <v>902.6</v>
      </c>
      <c r="N1631" s="116">
        <v>918.875</v>
      </c>
      <c r="O1631" s="116">
        <v>890.35</v>
      </c>
      <c r="P1631" s="116">
        <v>913.32500000000005</v>
      </c>
      <c r="Q1631" s="116">
        <v>1805.2</v>
      </c>
      <c r="R1631">
        <v>159616</v>
      </c>
    </row>
    <row r="1632" spans="1:18" x14ac:dyDescent="0.25">
      <c r="A1632" s="170">
        <v>44407</v>
      </c>
      <c r="B1632" s="116">
        <v>914</v>
      </c>
      <c r="C1632" s="116">
        <v>906.05</v>
      </c>
      <c r="D1632" s="116">
        <v>897.72500000000002</v>
      </c>
      <c r="E1632" s="116">
        <v>912.5</v>
      </c>
      <c r="F1632" s="116">
        <v>1812.1</v>
      </c>
      <c r="G1632">
        <v>3107</v>
      </c>
      <c r="H1632" s="116"/>
      <c r="I1632" s="116"/>
      <c r="L1632" s="170">
        <v>44407</v>
      </c>
      <c r="M1632" s="116">
        <v>906.625</v>
      </c>
      <c r="N1632" s="116">
        <v>915</v>
      </c>
      <c r="O1632" s="116">
        <v>896.6</v>
      </c>
      <c r="P1632" s="116">
        <v>909.67499999999995</v>
      </c>
      <c r="Q1632" s="116">
        <v>1813.25</v>
      </c>
      <c r="R1632">
        <v>138593</v>
      </c>
    </row>
    <row r="1633" spans="1:18" x14ac:dyDescent="0.25">
      <c r="A1633" s="170">
        <v>44410</v>
      </c>
      <c r="B1633" s="116">
        <v>918.75</v>
      </c>
      <c r="C1633" s="116">
        <v>898.75</v>
      </c>
      <c r="D1633" s="116">
        <v>886.92499999999995</v>
      </c>
      <c r="E1633" s="116">
        <v>918.75</v>
      </c>
      <c r="F1633" s="116">
        <v>1797.5</v>
      </c>
      <c r="G1633">
        <v>5440</v>
      </c>
      <c r="H1633" s="116"/>
      <c r="I1633" s="116"/>
      <c r="L1633" s="170">
        <v>44410</v>
      </c>
      <c r="M1633" s="116">
        <v>899.17499999999995</v>
      </c>
      <c r="N1633" s="116">
        <v>915.85</v>
      </c>
      <c r="O1633" s="116">
        <v>886</v>
      </c>
      <c r="P1633" s="116">
        <v>910</v>
      </c>
      <c r="Q1633" s="116">
        <v>1798.35</v>
      </c>
      <c r="R1633">
        <v>99088</v>
      </c>
    </row>
    <row r="1634" spans="1:18" x14ac:dyDescent="0.25">
      <c r="A1634" s="170">
        <v>44411</v>
      </c>
      <c r="B1634" s="116">
        <v>912.5</v>
      </c>
      <c r="C1634" s="116">
        <v>905.9</v>
      </c>
      <c r="D1634" s="116">
        <v>885</v>
      </c>
      <c r="E1634" s="116">
        <v>911.6</v>
      </c>
      <c r="F1634" s="116">
        <v>1811.8</v>
      </c>
      <c r="G1634">
        <v>5262</v>
      </c>
      <c r="H1634" s="116"/>
      <c r="I1634" s="116"/>
      <c r="L1634" s="170">
        <v>44411</v>
      </c>
      <c r="M1634" s="116">
        <v>906.22500000000002</v>
      </c>
      <c r="N1634" s="116">
        <v>912.97500000000002</v>
      </c>
      <c r="O1634" s="116">
        <v>876</v>
      </c>
      <c r="P1634" s="116">
        <v>889</v>
      </c>
      <c r="Q1634" s="116">
        <v>1812.45</v>
      </c>
      <c r="R1634">
        <v>134180</v>
      </c>
    </row>
    <row r="1635" spans="1:18" x14ac:dyDescent="0.25">
      <c r="A1635" s="170">
        <v>44412</v>
      </c>
      <c r="B1635" s="116">
        <v>919</v>
      </c>
      <c r="C1635" s="116">
        <v>900.75</v>
      </c>
      <c r="D1635" s="116">
        <v>890.77499999999998</v>
      </c>
      <c r="E1635" s="116">
        <v>919</v>
      </c>
      <c r="F1635" s="116">
        <v>1801.5</v>
      </c>
      <c r="G1635">
        <v>3179</v>
      </c>
      <c r="H1635" s="116"/>
      <c r="I1635" s="116"/>
      <c r="L1635" s="170">
        <v>44412</v>
      </c>
      <c r="M1635" s="116">
        <v>900.77499999999998</v>
      </c>
      <c r="N1635" s="116">
        <v>910</v>
      </c>
      <c r="O1635" s="116">
        <v>890.77499999999998</v>
      </c>
      <c r="P1635" s="116">
        <v>910</v>
      </c>
      <c r="Q1635" s="116">
        <v>1801.55</v>
      </c>
      <c r="R1635">
        <v>39871</v>
      </c>
    </row>
    <row r="1636" spans="1:18" x14ac:dyDescent="0.25">
      <c r="A1636" s="170">
        <v>44413</v>
      </c>
      <c r="B1636" s="116">
        <v>909.97500000000002</v>
      </c>
      <c r="C1636" s="116">
        <v>892.4</v>
      </c>
      <c r="D1636" s="116">
        <v>885.85</v>
      </c>
      <c r="E1636" s="116">
        <v>909.97500000000002</v>
      </c>
      <c r="F1636" s="116">
        <v>1784.8</v>
      </c>
      <c r="G1636">
        <v>3345</v>
      </c>
      <c r="H1636" s="116"/>
      <c r="I1636" s="116"/>
      <c r="L1636" s="170">
        <v>44413</v>
      </c>
      <c r="M1636" s="116">
        <v>894.15</v>
      </c>
      <c r="N1636" s="116">
        <v>907.75</v>
      </c>
      <c r="O1636" s="116">
        <v>890.5</v>
      </c>
      <c r="P1636" s="116">
        <v>905</v>
      </c>
      <c r="Q1636" s="116">
        <v>1788.3</v>
      </c>
      <c r="R1636">
        <v>114470</v>
      </c>
    </row>
    <row r="1637" spans="1:18" x14ac:dyDescent="0.25">
      <c r="A1637" s="170">
        <v>44414</v>
      </c>
      <c r="B1637" s="116">
        <v>909.5</v>
      </c>
      <c r="C1637" s="116">
        <v>903.2</v>
      </c>
      <c r="D1637" s="116">
        <v>889.875</v>
      </c>
      <c r="E1637" s="116">
        <v>904.5</v>
      </c>
      <c r="F1637" s="116">
        <v>1806.4</v>
      </c>
      <c r="G1637">
        <v>3866</v>
      </c>
      <c r="H1637" s="116"/>
      <c r="I1637" s="116"/>
      <c r="L1637" s="170">
        <v>44414</v>
      </c>
      <c r="M1637" s="116">
        <v>902.125</v>
      </c>
      <c r="N1637" s="116">
        <v>909.95</v>
      </c>
      <c r="O1637" s="116">
        <v>888.5</v>
      </c>
      <c r="P1637" s="116">
        <v>892.1</v>
      </c>
      <c r="Q1637" s="116">
        <v>1804.25</v>
      </c>
      <c r="R1637">
        <v>108158</v>
      </c>
    </row>
    <row r="1638" spans="1:18" x14ac:dyDescent="0.25">
      <c r="A1638" s="170">
        <v>44417</v>
      </c>
      <c r="B1638" s="116">
        <v>909.5</v>
      </c>
      <c r="C1638" s="116">
        <v>904.75</v>
      </c>
      <c r="D1638" s="116">
        <v>894.05</v>
      </c>
      <c r="E1638" s="116">
        <v>909.5</v>
      </c>
      <c r="F1638" s="116">
        <v>1809.5</v>
      </c>
      <c r="G1638">
        <v>6646</v>
      </c>
      <c r="H1638" s="116"/>
      <c r="I1638" s="116"/>
      <c r="L1638" s="170">
        <v>44417</v>
      </c>
      <c r="M1638" s="116">
        <v>904.42499999999995</v>
      </c>
      <c r="N1638" s="116">
        <v>911.35</v>
      </c>
      <c r="O1638" s="116">
        <v>894</v>
      </c>
      <c r="P1638" s="116">
        <v>909.6</v>
      </c>
      <c r="Q1638" s="116">
        <v>1808.85</v>
      </c>
      <c r="R1638">
        <v>42662</v>
      </c>
    </row>
    <row r="1639" spans="1:18" x14ac:dyDescent="0.25">
      <c r="A1639" s="170">
        <v>44418</v>
      </c>
      <c r="B1639" s="116">
        <v>906.97500000000002</v>
      </c>
      <c r="C1639" s="116">
        <v>886.22500000000002</v>
      </c>
      <c r="D1639" s="116">
        <v>864.7</v>
      </c>
      <c r="E1639" s="116">
        <v>906.97500000000002</v>
      </c>
      <c r="F1639" s="116">
        <v>1772.45</v>
      </c>
      <c r="G1639">
        <v>10551</v>
      </c>
      <c r="H1639" s="116"/>
      <c r="I1639" s="116"/>
      <c r="L1639" s="170">
        <v>44418</v>
      </c>
      <c r="M1639" s="116">
        <v>884.57500000000005</v>
      </c>
      <c r="N1639" s="116">
        <v>902.5</v>
      </c>
      <c r="O1639" s="116">
        <v>863.52499999999998</v>
      </c>
      <c r="P1639" s="116">
        <v>896</v>
      </c>
      <c r="Q1639" s="116">
        <v>1769.15</v>
      </c>
      <c r="R1639">
        <v>88693</v>
      </c>
    </row>
    <row r="1640" spans="1:18" x14ac:dyDescent="0.25">
      <c r="A1640" s="170">
        <v>44419</v>
      </c>
      <c r="B1640" s="116">
        <v>886.22500000000002</v>
      </c>
      <c r="C1640" s="116">
        <v>874.95</v>
      </c>
      <c r="D1640" s="116">
        <v>846.45</v>
      </c>
      <c r="E1640" s="116">
        <v>886</v>
      </c>
      <c r="F1640" s="116">
        <v>1749.9</v>
      </c>
      <c r="G1640">
        <v>13189</v>
      </c>
      <c r="H1640" s="116"/>
      <c r="I1640" s="116"/>
      <c r="L1640" s="170">
        <v>44419</v>
      </c>
      <c r="M1640" s="116">
        <v>875.6</v>
      </c>
      <c r="N1640" s="116">
        <v>889.97500000000002</v>
      </c>
      <c r="O1640" s="116">
        <v>845.77499999999998</v>
      </c>
      <c r="P1640" s="116">
        <v>889.97500000000002</v>
      </c>
      <c r="Q1640" s="116">
        <v>1751.2</v>
      </c>
      <c r="R1640">
        <v>119691</v>
      </c>
    </row>
    <row r="1641" spans="1:18" x14ac:dyDescent="0.25">
      <c r="A1641" s="170">
        <v>44420</v>
      </c>
      <c r="B1641" s="116">
        <v>900</v>
      </c>
      <c r="C1641" s="116">
        <v>891.22500000000002</v>
      </c>
      <c r="D1641" s="116">
        <v>872.22500000000002</v>
      </c>
      <c r="E1641" s="116">
        <v>882.5</v>
      </c>
      <c r="F1641" s="116">
        <v>1782.45</v>
      </c>
      <c r="G1641">
        <v>5063</v>
      </c>
      <c r="H1641" s="116"/>
      <c r="I1641" s="116"/>
      <c r="L1641" s="170">
        <v>44420</v>
      </c>
      <c r="M1641" s="116">
        <v>891.5</v>
      </c>
      <c r="N1641" s="116">
        <v>900</v>
      </c>
      <c r="O1641" s="116">
        <v>871.25</v>
      </c>
      <c r="P1641" s="116">
        <v>880</v>
      </c>
      <c r="Q1641" s="116">
        <v>1783</v>
      </c>
      <c r="R1641">
        <v>85374</v>
      </c>
    </row>
    <row r="1642" spans="1:18" x14ac:dyDescent="0.25">
      <c r="A1642" s="170">
        <v>44421</v>
      </c>
      <c r="B1642" s="116">
        <v>937.02499999999998</v>
      </c>
      <c r="C1642" s="116">
        <v>887.8</v>
      </c>
      <c r="D1642" s="116">
        <v>862.5</v>
      </c>
      <c r="E1642" s="116">
        <v>898.25</v>
      </c>
      <c r="F1642" s="116">
        <v>1775.6</v>
      </c>
      <c r="G1642">
        <v>10675</v>
      </c>
      <c r="H1642" s="116"/>
      <c r="I1642" s="116"/>
      <c r="L1642" s="170">
        <v>44421</v>
      </c>
      <c r="M1642" s="116">
        <v>888.45</v>
      </c>
      <c r="N1642" s="116">
        <v>937.15</v>
      </c>
      <c r="O1642" s="116">
        <v>865.55</v>
      </c>
      <c r="P1642" s="116">
        <v>889.5</v>
      </c>
      <c r="Q1642" s="116">
        <v>1776.9</v>
      </c>
      <c r="R1642">
        <v>334942</v>
      </c>
    </row>
    <row r="1643" spans="1:18" x14ac:dyDescent="0.25">
      <c r="A1643" s="170">
        <v>44424</v>
      </c>
      <c r="B1643" s="116">
        <v>897.3</v>
      </c>
      <c r="C1643" s="116">
        <v>860.82500000000005</v>
      </c>
      <c r="D1643" s="116">
        <v>850.95</v>
      </c>
      <c r="E1643" s="116">
        <v>897.3</v>
      </c>
      <c r="F1643" s="116">
        <v>1721.65</v>
      </c>
      <c r="G1643">
        <v>9375</v>
      </c>
      <c r="H1643" s="116"/>
      <c r="I1643" s="116"/>
      <c r="L1643" s="170">
        <v>44424</v>
      </c>
      <c r="M1643" s="116">
        <v>861.55</v>
      </c>
      <c r="N1643" s="116">
        <v>887.375</v>
      </c>
      <c r="O1643" s="116">
        <v>850.82500000000005</v>
      </c>
      <c r="P1643" s="116">
        <v>880</v>
      </c>
      <c r="Q1643" s="116">
        <v>1723.1</v>
      </c>
      <c r="R1643">
        <v>139138</v>
      </c>
    </row>
    <row r="1644" spans="1:18" x14ac:dyDescent="0.25">
      <c r="A1644" s="170">
        <v>44425</v>
      </c>
      <c r="B1644" s="116">
        <v>867.4</v>
      </c>
      <c r="C1644" s="116">
        <v>849.42499999999995</v>
      </c>
      <c r="D1644" s="116">
        <v>841.97500000000002</v>
      </c>
      <c r="E1644" s="116">
        <v>855</v>
      </c>
      <c r="F1644" s="116">
        <v>1698.85</v>
      </c>
      <c r="G1644">
        <v>4145</v>
      </c>
      <c r="H1644" s="116"/>
      <c r="I1644" s="116"/>
      <c r="L1644" s="170">
        <v>44425</v>
      </c>
      <c r="M1644" s="116">
        <v>846.85</v>
      </c>
      <c r="N1644" s="116">
        <v>867.55</v>
      </c>
      <c r="O1644" s="116">
        <v>841.125</v>
      </c>
      <c r="P1644" s="116">
        <v>850.5</v>
      </c>
      <c r="Q1644" s="116">
        <v>1693.7</v>
      </c>
      <c r="R1644">
        <v>67790</v>
      </c>
    </row>
    <row r="1645" spans="1:18" x14ac:dyDescent="0.25">
      <c r="A1645" s="170">
        <v>44426</v>
      </c>
      <c r="B1645" s="116">
        <v>863.5</v>
      </c>
      <c r="C1645" s="116">
        <v>855.5</v>
      </c>
      <c r="D1645" s="116">
        <v>841.92499999999995</v>
      </c>
      <c r="E1645" s="116">
        <v>843</v>
      </c>
      <c r="F1645" s="116">
        <v>1711</v>
      </c>
      <c r="G1645">
        <v>8703</v>
      </c>
      <c r="H1645" s="116"/>
      <c r="I1645" s="116"/>
      <c r="L1645" s="170">
        <v>44426</v>
      </c>
      <c r="M1645" s="116">
        <v>856.625</v>
      </c>
      <c r="N1645" s="116">
        <v>872.4</v>
      </c>
      <c r="O1645" s="116">
        <v>842.5</v>
      </c>
      <c r="P1645" s="116">
        <v>842.5</v>
      </c>
      <c r="Q1645" s="116">
        <v>1713.25</v>
      </c>
      <c r="R1645">
        <v>59201</v>
      </c>
    </row>
    <row r="1646" spans="1:18" x14ac:dyDescent="0.25">
      <c r="A1646" s="170">
        <v>44428</v>
      </c>
      <c r="B1646" s="116">
        <v>876.375</v>
      </c>
      <c r="C1646" s="116">
        <v>869.25</v>
      </c>
      <c r="D1646" s="116">
        <v>836.97500000000002</v>
      </c>
      <c r="E1646" s="116">
        <v>840</v>
      </c>
      <c r="F1646" s="116">
        <v>1738.5</v>
      </c>
      <c r="G1646">
        <v>4812</v>
      </c>
      <c r="H1646" s="116"/>
      <c r="I1646" s="116"/>
      <c r="L1646" s="170">
        <v>44428</v>
      </c>
      <c r="M1646" s="116">
        <v>870.1</v>
      </c>
      <c r="N1646" s="116">
        <v>876.5</v>
      </c>
      <c r="O1646" s="116">
        <v>837.27499999999998</v>
      </c>
      <c r="P1646" s="116">
        <v>856.5</v>
      </c>
      <c r="Q1646" s="116">
        <v>1740.2</v>
      </c>
      <c r="R1646">
        <v>109162</v>
      </c>
    </row>
    <row r="1647" spans="1:18" x14ac:dyDescent="0.25">
      <c r="A1647" s="170">
        <v>44431</v>
      </c>
      <c r="B1647" s="116">
        <v>882</v>
      </c>
      <c r="C1647" s="116">
        <v>848.2</v>
      </c>
      <c r="D1647" s="116">
        <v>817.05</v>
      </c>
      <c r="E1647" s="116">
        <v>870.52499999999998</v>
      </c>
      <c r="F1647" s="116">
        <v>1696.4</v>
      </c>
      <c r="G1647">
        <v>6775</v>
      </c>
      <c r="H1647" s="116"/>
      <c r="I1647" s="116"/>
      <c r="L1647" s="170">
        <v>44431</v>
      </c>
      <c r="M1647" s="116">
        <v>848.9</v>
      </c>
      <c r="N1647" s="116">
        <v>890</v>
      </c>
      <c r="O1647" s="116">
        <v>816.65</v>
      </c>
      <c r="P1647" s="116">
        <v>876</v>
      </c>
      <c r="Q1647" s="116">
        <v>1697.8</v>
      </c>
      <c r="R1647">
        <v>133242</v>
      </c>
    </row>
    <row r="1648" spans="1:18" x14ac:dyDescent="0.25">
      <c r="A1648" s="170">
        <v>44432</v>
      </c>
      <c r="B1648" s="116">
        <v>849.875</v>
      </c>
      <c r="C1648" s="116">
        <v>834.27499999999998</v>
      </c>
      <c r="D1648" s="116">
        <v>829.65</v>
      </c>
      <c r="E1648" s="116">
        <v>842.35</v>
      </c>
      <c r="F1648" s="116">
        <v>1668.55</v>
      </c>
      <c r="G1648">
        <v>4116</v>
      </c>
      <c r="H1648" s="116"/>
      <c r="I1648" s="116"/>
      <c r="L1648" s="170">
        <v>44432</v>
      </c>
      <c r="M1648" s="116">
        <v>834.72500000000002</v>
      </c>
      <c r="N1648" s="116">
        <v>850</v>
      </c>
      <c r="O1648" s="116">
        <v>827.5</v>
      </c>
      <c r="P1648" s="116">
        <v>827.5</v>
      </c>
      <c r="Q1648" s="116">
        <v>1669.45</v>
      </c>
      <c r="R1648">
        <v>84226</v>
      </c>
    </row>
    <row r="1649" spans="1:18" x14ac:dyDescent="0.25">
      <c r="A1649" s="170">
        <v>44433</v>
      </c>
      <c r="B1649" s="116">
        <v>854.92499999999995</v>
      </c>
      <c r="C1649" s="116">
        <v>850.57500000000005</v>
      </c>
      <c r="D1649" s="116">
        <v>831.22500000000002</v>
      </c>
      <c r="E1649" s="116">
        <v>837.8</v>
      </c>
      <c r="F1649" s="116">
        <v>1701.15</v>
      </c>
      <c r="G1649">
        <v>3556</v>
      </c>
      <c r="H1649" s="116"/>
      <c r="I1649" s="116"/>
      <c r="L1649" s="170">
        <v>44433</v>
      </c>
      <c r="M1649" s="116">
        <v>850.3</v>
      </c>
      <c r="N1649" s="116">
        <v>855</v>
      </c>
      <c r="O1649" s="116">
        <v>831.1</v>
      </c>
      <c r="P1649" s="116">
        <v>834.5</v>
      </c>
      <c r="Q1649" s="116">
        <v>1700.6</v>
      </c>
      <c r="R1649">
        <v>67107</v>
      </c>
    </row>
    <row r="1650" spans="1:18" x14ac:dyDescent="0.25">
      <c r="A1650" s="170">
        <v>44434</v>
      </c>
      <c r="B1650" s="116">
        <v>863.17499999999995</v>
      </c>
      <c r="C1650" s="116">
        <v>852.42499999999995</v>
      </c>
      <c r="D1650" s="116">
        <v>842.3</v>
      </c>
      <c r="E1650" s="116">
        <v>842.3</v>
      </c>
      <c r="F1650" s="116">
        <v>1704.85</v>
      </c>
      <c r="G1650">
        <v>4189</v>
      </c>
      <c r="H1650" s="116"/>
      <c r="I1650" s="116"/>
      <c r="L1650" s="170">
        <v>44434</v>
      </c>
      <c r="M1650" s="116">
        <v>853.2</v>
      </c>
      <c r="N1650" s="116">
        <v>864.47500000000002</v>
      </c>
      <c r="O1650" s="116">
        <v>842.5</v>
      </c>
      <c r="P1650" s="116">
        <v>855</v>
      </c>
      <c r="Q1650" s="116">
        <v>1706.4</v>
      </c>
      <c r="R1650">
        <v>64829</v>
      </c>
    </row>
    <row r="1651" spans="1:18" x14ac:dyDescent="0.25">
      <c r="A1651" s="170">
        <v>44435</v>
      </c>
      <c r="B1651" s="116">
        <v>875</v>
      </c>
      <c r="C1651" s="116">
        <v>839.02499999999998</v>
      </c>
      <c r="D1651" s="116">
        <v>833.25</v>
      </c>
      <c r="E1651" s="116">
        <v>836</v>
      </c>
      <c r="F1651" s="116">
        <v>1678.05</v>
      </c>
      <c r="G1651">
        <v>5654</v>
      </c>
      <c r="H1651" s="116"/>
      <c r="I1651" s="116"/>
      <c r="L1651" s="170">
        <v>44435</v>
      </c>
      <c r="M1651" s="116">
        <v>839.07500000000005</v>
      </c>
      <c r="N1651" s="116">
        <v>851.27499999999998</v>
      </c>
      <c r="O1651" s="116">
        <v>832.57500000000005</v>
      </c>
      <c r="P1651" s="116">
        <v>843.05</v>
      </c>
      <c r="Q1651" s="116">
        <v>1678.15</v>
      </c>
      <c r="R1651">
        <v>94513</v>
      </c>
    </row>
    <row r="1652" spans="1:18" x14ac:dyDescent="0.25">
      <c r="A1652" s="170">
        <v>44438</v>
      </c>
      <c r="B1652" s="116">
        <v>855.07500000000005</v>
      </c>
      <c r="C1652" s="116">
        <v>850.4</v>
      </c>
      <c r="D1652" s="116">
        <v>836.45</v>
      </c>
      <c r="E1652" s="116">
        <v>843.8</v>
      </c>
      <c r="F1652" s="116">
        <v>1700.8</v>
      </c>
      <c r="G1652">
        <v>3455</v>
      </c>
      <c r="H1652" s="116"/>
      <c r="I1652" s="116"/>
      <c r="L1652" s="170">
        <v>44438</v>
      </c>
      <c r="M1652" s="116">
        <v>850.67499999999995</v>
      </c>
      <c r="N1652" s="116">
        <v>855.1</v>
      </c>
      <c r="O1652" s="116">
        <v>836.5</v>
      </c>
      <c r="P1652" s="116">
        <v>849.5</v>
      </c>
      <c r="Q1652" s="116">
        <v>1701.35</v>
      </c>
      <c r="R1652">
        <v>105920</v>
      </c>
    </row>
    <row r="1653" spans="1:18" x14ac:dyDescent="0.25">
      <c r="A1653" s="170">
        <v>44439</v>
      </c>
      <c r="B1653" s="116">
        <v>860.5</v>
      </c>
      <c r="C1653" s="116">
        <v>851.05</v>
      </c>
      <c r="D1653" s="116">
        <v>839.125</v>
      </c>
      <c r="E1653" s="116">
        <v>850</v>
      </c>
      <c r="F1653" s="116">
        <v>1702.1</v>
      </c>
      <c r="G1653">
        <v>3869</v>
      </c>
      <c r="H1653" s="116"/>
      <c r="I1653" s="116"/>
      <c r="L1653" s="170">
        <v>44439</v>
      </c>
      <c r="M1653" s="116">
        <v>851.32500000000005</v>
      </c>
      <c r="N1653" s="116">
        <v>860</v>
      </c>
      <c r="O1653" s="116">
        <v>837.5</v>
      </c>
      <c r="P1653" s="116">
        <v>850.67499999999995</v>
      </c>
      <c r="Q1653" s="116">
        <v>1702.65</v>
      </c>
      <c r="R1653">
        <v>138966</v>
      </c>
    </row>
    <row r="1654" spans="1:18" x14ac:dyDescent="0.25">
      <c r="A1654" s="170">
        <v>44440</v>
      </c>
      <c r="B1654" s="116">
        <v>855.72500000000002</v>
      </c>
      <c r="C1654" s="116">
        <v>849.82500000000005</v>
      </c>
      <c r="D1654" s="116">
        <v>840.15</v>
      </c>
      <c r="E1654" s="116">
        <v>851.3</v>
      </c>
      <c r="F1654" s="116">
        <v>1699.65</v>
      </c>
      <c r="G1654">
        <v>4072</v>
      </c>
      <c r="H1654" s="116"/>
      <c r="I1654" s="116"/>
      <c r="L1654" s="170">
        <v>44440</v>
      </c>
      <c r="M1654" s="116">
        <v>850.15</v>
      </c>
      <c r="N1654" s="116">
        <v>858.05</v>
      </c>
      <c r="O1654" s="116">
        <v>840</v>
      </c>
      <c r="P1654" s="116">
        <v>850</v>
      </c>
      <c r="Q1654" s="116">
        <v>1700.3</v>
      </c>
      <c r="R1654">
        <v>124542</v>
      </c>
    </row>
    <row r="1655" spans="1:18" x14ac:dyDescent="0.25">
      <c r="A1655" s="170">
        <v>44441</v>
      </c>
      <c r="B1655" s="116">
        <v>851.47500000000002</v>
      </c>
      <c r="C1655" s="116">
        <v>845.72500000000002</v>
      </c>
      <c r="D1655" s="116">
        <v>840.8</v>
      </c>
      <c r="E1655" s="116">
        <v>846</v>
      </c>
      <c r="F1655" s="116">
        <v>1691.45</v>
      </c>
      <c r="G1655">
        <v>2712</v>
      </c>
      <c r="H1655" s="116"/>
      <c r="I1655" s="116"/>
      <c r="L1655" s="170">
        <v>44441</v>
      </c>
      <c r="M1655" s="116">
        <v>845.32500000000005</v>
      </c>
      <c r="N1655" s="116">
        <v>854.5</v>
      </c>
      <c r="O1655" s="116">
        <v>840.75</v>
      </c>
      <c r="P1655" s="116">
        <v>854.5</v>
      </c>
      <c r="Q1655" s="116">
        <v>1690.65</v>
      </c>
      <c r="R1655">
        <v>68674</v>
      </c>
    </row>
    <row r="1656" spans="1:18" x14ac:dyDescent="0.25">
      <c r="A1656" s="170">
        <v>44442</v>
      </c>
      <c r="B1656" s="116">
        <v>850.17499999999995</v>
      </c>
      <c r="C1656" s="116">
        <v>843.6</v>
      </c>
      <c r="D1656" s="116">
        <v>835.5</v>
      </c>
      <c r="E1656" s="116">
        <v>840</v>
      </c>
      <c r="F1656" s="116">
        <v>1687.2</v>
      </c>
      <c r="G1656">
        <v>5148</v>
      </c>
      <c r="H1656" s="116"/>
      <c r="I1656" s="116"/>
      <c r="L1656" s="170">
        <v>44442</v>
      </c>
      <c r="M1656" s="116">
        <v>843.1</v>
      </c>
      <c r="N1656" s="116">
        <v>850.42499999999995</v>
      </c>
      <c r="O1656" s="116">
        <v>835</v>
      </c>
      <c r="P1656" s="116">
        <v>845</v>
      </c>
      <c r="Q1656" s="116">
        <v>1686.2</v>
      </c>
      <c r="R1656">
        <v>90974</v>
      </c>
    </row>
    <row r="1657" spans="1:18" x14ac:dyDescent="0.25">
      <c r="A1657" s="170">
        <v>44445</v>
      </c>
      <c r="B1657" s="116">
        <v>887.5</v>
      </c>
      <c r="C1657" s="116">
        <v>882.02499999999998</v>
      </c>
      <c r="D1657" s="116">
        <v>836.1</v>
      </c>
      <c r="E1657" s="116">
        <v>843</v>
      </c>
      <c r="F1657" s="116">
        <v>1764.05</v>
      </c>
      <c r="G1657">
        <v>18011</v>
      </c>
      <c r="H1657" s="116"/>
      <c r="I1657" s="116"/>
      <c r="L1657" s="170">
        <v>44445</v>
      </c>
      <c r="M1657" s="116">
        <v>882.92499999999995</v>
      </c>
      <c r="N1657" s="116">
        <v>887.625</v>
      </c>
      <c r="O1657" s="116">
        <v>835.6</v>
      </c>
      <c r="P1657" s="116">
        <v>851.17499999999995</v>
      </c>
      <c r="Q1657" s="116">
        <v>1765.85</v>
      </c>
      <c r="R1657">
        <v>269356</v>
      </c>
    </row>
    <row r="1658" spans="1:18" x14ac:dyDescent="0.25">
      <c r="A1658" s="170">
        <v>44446</v>
      </c>
      <c r="B1658" s="116">
        <v>902.17499999999995</v>
      </c>
      <c r="C1658" s="116">
        <v>889.875</v>
      </c>
      <c r="D1658" s="116">
        <v>864.875</v>
      </c>
      <c r="E1658" s="116">
        <v>889</v>
      </c>
      <c r="F1658" s="116">
        <v>1779.75</v>
      </c>
      <c r="G1658">
        <v>5234</v>
      </c>
      <c r="H1658" s="116"/>
      <c r="I1658" s="116"/>
      <c r="L1658" s="170">
        <v>44446</v>
      </c>
      <c r="M1658" s="116">
        <v>890.7</v>
      </c>
      <c r="N1658" s="116">
        <v>901.47500000000002</v>
      </c>
      <c r="O1658" s="116">
        <v>865.5</v>
      </c>
      <c r="P1658" s="116">
        <v>893.97500000000002</v>
      </c>
      <c r="Q1658" s="116">
        <v>1781.4</v>
      </c>
      <c r="R1658">
        <v>228102</v>
      </c>
    </row>
    <row r="1659" spans="1:18" x14ac:dyDescent="0.25">
      <c r="A1659" s="170">
        <v>44447</v>
      </c>
      <c r="B1659" s="116">
        <v>896.65</v>
      </c>
      <c r="C1659" s="116">
        <v>894.25</v>
      </c>
      <c r="D1659" s="116">
        <v>875</v>
      </c>
      <c r="E1659" s="116">
        <v>891.7</v>
      </c>
      <c r="F1659" s="116">
        <v>1788.5</v>
      </c>
      <c r="G1659">
        <v>5565</v>
      </c>
      <c r="H1659" s="116"/>
      <c r="I1659" s="116"/>
      <c r="L1659" s="170">
        <v>44447</v>
      </c>
      <c r="M1659" s="116">
        <v>892.8</v>
      </c>
      <c r="N1659" s="116">
        <v>897.5</v>
      </c>
      <c r="O1659" s="116">
        <v>874.77499999999998</v>
      </c>
      <c r="P1659" s="116">
        <v>895</v>
      </c>
      <c r="Q1659" s="116">
        <v>1785.6</v>
      </c>
      <c r="R1659">
        <v>170652</v>
      </c>
    </row>
    <row r="1660" spans="1:18" x14ac:dyDescent="0.25">
      <c r="A1660" s="170">
        <v>44448</v>
      </c>
      <c r="B1660" s="116">
        <v>891.3</v>
      </c>
      <c r="C1660" s="116">
        <v>879</v>
      </c>
      <c r="D1660" s="116">
        <v>871.67499999999995</v>
      </c>
      <c r="E1660" s="116">
        <v>881.27499999999998</v>
      </c>
      <c r="F1660" s="116">
        <v>1758</v>
      </c>
      <c r="G1660">
        <v>7809</v>
      </c>
      <c r="H1660" s="116"/>
      <c r="I1660" s="116"/>
      <c r="L1660" s="170">
        <v>44448</v>
      </c>
      <c r="M1660" s="116">
        <v>880.47500000000002</v>
      </c>
      <c r="N1660" s="116">
        <v>897.07500000000005</v>
      </c>
      <c r="O1660" s="116">
        <v>871.22500000000002</v>
      </c>
      <c r="P1660" s="116">
        <v>892.8</v>
      </c>
      <c r="Q1660" s="116">
        <v>1760.95</v>
      </c>
      <c r="R1660">
        <v>176430</v>
      </c>
    </row>
    <row r="1661" spans="1:18" x14ac:dyDescent="0.25">
      <c r="A1661" s="170">
        <v>44452</v>
      </c>
      <c r="B1661" s="116">
        <v>887.5</v>
      </c>
      <c r="C1661" s="116">
        <v>882.9</v>
      </c>
      <c r="D1661" s="116">
        <v>858.72500000000002</v>
      </c>
      <c r="E1661" s="116">
        <v>879</v>
      </c>
      <c r="F1661" s="116">
        <v>1765.8</v>
      </c>
      <c r="G1661">
        <v>6058</v>
      </c>
      <c r="H1661" s="116"/>
      <c r="I1661" s="116"/>
      <c r="L1661" s="170">
        <v>44452</v>
      </c>
      <c r="M1661" s="116">
        <v>882.57500000000005</v>
      </c>
      <c r="N1661" s="116">
        <v>888.5</v>
      </c>
      <c r="O1661" s="116">
        <v>857.82500000000005</v>
      </c>
      <c r="P1661" s="116">
        <v>880.97500000000002</v>
      </c>
      <c r="Q1661" s="116">
        <v>1765.15</v>
      </c>
      <c r="R1661">
        <v>158644</v>
      </c>
    </row>
    <row r="1662" spans="1:18" x14ac:dyDescent="0.25">
      <c r="A1662" s="170">
        <v>44453</v>
      </c>
      <c r="B1662" s="116">
        <v>883.77499999999998</v>
      </c>
      <c r="C1662" s="116">
        <v>864.82500000000005</v>
      </c>
      <c r="D1662" s="116">
        <v>862.5</v>
      </c>
      <c r="E1662" s="116">
        <v>883.77499999999998</v>
      </c>
      <c r="F1662" s="116">
        <v>1729.65</v>
      </c>
      <c r="G1662">
        <v>9083</v>
      </c>
      <c r="H1662" s="116"/>
      <c r="I1662" s="116"/>
      <c r="L1662" s="170">
        <v>44453</v>
      </c>
      <c r="M1662" s="116">
        <v>866.3</v>
      </c>
      <c r="N1662" s="116">
        <v>889.75</v>
      </c>
      <c r="O1662" s="116">
        <v>864</v>
      </c>
      <c r="P1662" s="116">
        <v>887</v>
      </c>
      <c r="Q1662" s="116">
        <v>1732.6</v>
      </c>
      <c r="R1662">
        <v>145102</v>
      </c>
    </row>
    <row r="1663" spans="1:18" x14ac:dyDescent="0.25">
      <c r="A1663" s="170">
        <v>44454</v>
      </c>
      <c r="B1663" s="116">
        <v>870.22500000000002</v>
      </c>
      <c r="C1663" s="116">
        <v>863.17499999999995</v>
      </c>
      <c r="D1663" s="116">
        <v>856.5</v>
      </c>
      <c r="E1663" s="116">
        <v>865</v>
      </c>
      <c r="F1663" s="116">
        <v>1726.35</v>
      </c>
      <c r="G1663">
        <v>3815</v>
      </c>
      <c r="H1663" s="116"/>
      <c r="I1663" s="116"/>
      <c r="L1663" s="170">
        <v>44454</v>
      </c>
      <c r="M1663" s="116">
        <v>863.05</v>
      </c>
      <c r="N1663" s="116">
        <v>872.5</v>
      </c>
      <c r="O1663" s="116">
        <v>856.1</v>
      </c>
      <c r="P1663" s="116">
        <v>872.5</v>
      </c>
      <c r="Q1663" s="116">
        <v>1726.1</v>
      </c>
      <c r="R1663">
        <v>66195</v>
      </c>
    </row>
    <row r="1664" spans="1:18" x14ac:dyDescent="0.25">
      <c r="A1664" s="170">
        <v>44455</v>
      </c>
      <c r="B1664" s="116">
        <v>872.8</v>
      </c>
      <c r="C1664" s="116">
        <v>862.22500000000002</v>
      </c>
      <c r="D1664" s="116">
        <v>856.1</v>
      </c>
      <c r="E1664" s="116">
        <v>872.8</v>
      </c>
      <c r="F1664" s="116">
        <v>1724.45</v>
      </c>
      <c r="G1664">
        <v>6371</v>
      </c>
      <c r="H1664" s="116"/>
      <c r="I1664" s="116"/>
      <c r="L1664" s="170">
        <v>44455</v>
      </c>
      <c r="M1664" s="116">
        <v>863</v>
      </c>
      <c r="N1664" s="116">
        <v>870.82500000000005</v>
      </c>
      <c r="O1664" s="116">
        <v>855.5</v>
      </c>
      <c r="P1664" s="116">
        <v>870.82500000000005</v>
      </c>
      <c r="Q1664" s="116">
        <v>1726</v>
      </c>
      <c r="R1664">
        <v>69761</v>
      </c>
    </row>
    <row r="1665" spans="1:18" x14ac:dyDescent="0.25">
      <c r="A1665" s="170">
        <v>44456</v>
      </c>
      <c r="B1665" s="116">
        <v>875.92499999999995</v>
      </c>
      <c r="C1665" s="116">
        <v>869.55</v>
      </c>
      <c r="D1665" s="116">
        <v>861.35</v>
      </c>
      <c r="E1665" s="116">
        <v>869</v>
      </c>
      <c r="F1665" s="116">
        <v>1739.1</v>
      </c>
      <c r="G1665">
        <v>4486</v>
      </c>
      <c r="H1665" s="116"/>
      <c r="I1665" s="116"/>
      <c r="L1665" s="170">
        <v>44456</v>
      </c>
      <c r="M1665" s="116">
        <v>870.35</v>
      </c>
      <c r="N1665" s="116">
        <v>876.75</v>
      </c>
      <c r="O1665" s="116">
        <v>861.25</v>
      </c>
      <c r="P1665" s="116">
        <v>864</v>
      </c>
      <c r="Q1665" s="116">
        <v>1740.7</v>
      </c>
      <c r="R1665">
        <v>219620</v>
      </c>
    </row>
    <row r="1666" spans="1:18" x14ac:dyDescent="0.25">
      <c r="A1666" s="170">
        <v>44459</v>
      </c>
      <c r="B1666" s="116">
        <v>876.2</v>
      </c>
      <c r="C1666" s="116">
        <v>873.32500000000005</v>
      </c>
      <c r="D1666" s="116">
        <v>851.3</v>
      </c>
      <c r="E1666" s="116">
        <v>865</v>
      </c>
      <c r="F1666" s="116">
        <v>1746.65</v>
      </c>
      <c r="G1666">
        <v>4046</v>
      </c>
      <c r="H1666" s="116"/>
      <c r="I1666" s="116"/>
      <c r="L1666" s="170">
        <v>44459</v>
      </c>
      <c r="M1666" s="116">
        <v>874.4</v>
      </c>
      <c r="N1666" s="116">
        <v>877.5</v>
      </c>
      <c r="O1666" s="116">
        <v>852.5</v>
      </c>
      <c r="P1666" s="116">
        <v>870</v>
      </c>
      <c r="Q1666" s="116">
        <v>1748.8</v>
      </c>
      <c r="R1666">
        <v>126575</v>
      </c>
    </row>
    <row r="1667" spans="1:18" x14ac:dyDescent="0.25">
      <c r="A1667" s="170">
        <v>44460</v>
      </c>
      <c r="B1667" s="116">
        <v>881.55</v>
      </c>
      <c r="C1667" s="116">
        <v>878.65</v>
      </c>
      <c r="D1667" s="116">
        <v>859.15</v>
      </c>
      <c r="E1667" s="116">
        <v>868.25</v>
      </c>
      <c r="F1667" s="116">
        <v>1757.3</v>
      </c>
      <c r="G1667">
        <v>4997</v>
      </c>
      <c r="H1667" s="116"/>
      <c r="I1667" s="116"/>
      <c r="L1667" s="170">
        <v>44460</v>
      </c>
      <c r="M1667" s="116">
        <v>878.125</v>
      </c>
      <c r="N1667" s="116">
        <v>882</v>
      </c>
      <c r="O1667" s="116">
        <v>857.77499999999998</v>
      </c>
      <c r="P1667" s="116">
        <v>874</v>
      </c>
      <c r="Q1667" s="116">
        <v>1756.25</v>
      </c>
      <c r="R1667">
        <v>180597</v>
      </c>
    </row>
    <row r="1668" spans="1:18" x14ac:dyDescent="0.25">
      <c r="A1668" s="170">
        <v>44461</v>
      </c>
      <c r="B1668" s="116">
        <v>881.875</v>
      </c>
      <c r="C1668" s="116">
        <v>866.07500000000005</v>
      </c>
      <c r="D1668" s="116">
        <v>863.55</v>
      </c>
      <c r="E1668" s="116">
        <v>880.875</v>
      </c>
      <c r="F1668" s="116">
        <v>1732.15</v>
      </c>
      <c r="G1668">
        <v>3442</v>
      </c>
      <c r="H1668" s="116"/>
      <c r="I1668" s="116"/>
      <c r="L1668" s="170">
        <v>44461</v>
      </c>
      <c r="M1668" s="116">
        <v>867.2</v>
      </c>
      <c r="N1668" s="116">
        <v>887.5</v>
      </c>
      <c r="O1668" s="116">
        <v>863.67499999999995</v>
      </c>
      <c r="P1668" s="116">
        <v>878</v>
      </c>
      <c r="Q1668" s="116">
        <v>1734.4</v>
      </c>
      <c r="R1668">
        <v>104671</v>
      </c>
    </row>
    <row r="1669" spans="1:18" x14ac:dyDescent="0.25">
      <c r="A1669" s="170">
        <v>44462</v>
      </c>
      <c r="B1669" s="116">
        <v>880.92499999999995</v>
      </c>
      <c r="C1669" s="116">
        <v>872.2</v>
      </c>
      <c r="D1669" s="116">
        <v>865.5</v>
      </c>
      <c r="E1669" s="116">
        <v>872.5</v>
      </c>
      <c r="F1669" s="116">
        <v>1744.4</v>
      </c>
      <c r="G1669">
        <v>4892</v>
      </c>
      <c r="H1669" s="116"/>
      <c r="I1669" s="116"/>
      <c r="L1669" s="170">
        <v>44462</v>
      </c>
      <c r="M1669" s="116">
        <v>873.35</v>
      </c>
      <c r="N1669" s="116">
        <v>881.95</v>
      </c>
      <c r="O1669" s="116">
        <v>865</v>
      </c>
      <c r="P1669" s="116">
        <v>869.7</v>
      </c>
      <c r="Q1669" s="116">
        <v>1746.7</v>
      </c>
      <c r="R1669">
        <v>207908</v>
      </c>
    </row>
    <row r="1670" spans="1:18" x14ac:dyDescent="0.25">
      <c r="A1670" s="170">
        <v>44463</v>
      </c>
      <c r="B1670" s="116">
        <v>929</v>
      </c>
      <c r="C1670" s="116">
        <v>918.05</v>
      </c>
      <c r="D1670" s="116">
        <v>873.25</v>
      </c>
      <c r="E1670" s="116">
        <v>882.8</v>
      </c>
      <c r="F1670" s="116">
        <v>1836.1</v>
      </c>
      <c r="G1670">
        <v>18738</v>
      </c>
      <c r="H1670" s="116"/>
      <c r="I1670" s="116"/>
      <c r="L1670" s="170">
        <v>44463</v>
      </c>
      <c r="M1670" s="116">
        <v>917.9</v>
      </c>
      <c r="N1670" s="116">
        <v>927.5</v>
      </c>
      <c r="O1670" s="116">
        <v>872.57500000000005</v>
      </c>
      <c r="P1670" s="116">
        <v>882.65</v>
      </c>
      <c r="Q1670" s="116">
        <v>1835.8</v>
      </c>
      <c r="R1670">
        <v>518397</v>
      </c>
    </row>
    <row r="1671" spans="1:18" x14ac:dyDescent="0.25">
      <c r="A1671" s="170">
        <v>44466</v>
      </c>
      <c r="B1671" s="116">
        <v>947</v>
      </c>
      <c r="C1671" s="116">
        <v>934.77499999999998</v>
      </c>
      <c r="D1671" s="116">
        <v>913.67499999999995</v>
      </c>
      <c r="E1671" s="116">
        <v>924.02499999999998</v>
      </c>
      <c r="F1671" s="116">
        <v>1869.55</v>
      </c>
      <c r="G1671">
        <v>23121</v>
      </c>
      <c r="H1671" s="116"/>
      <c r="I1671" s="116"/>
      <c r="L1671" s="170">
        <v>44466</v>
      </c>
      <c r="M1671" s="116">
        <v>934.85</v>
      </c>
      <c r="N1671" s="116">
        <v>947.5</v>
      </c>
      <c r="O1671" s="116">
        <v>914</v>
      </c>
      <c r="P1671" s="116">
        <v>932.5</v>
      </c>
      <c r="Q1671" s="116">
        <v>1869.7</v>
      </c>
      <c r="R1671">
        <v>289902</v>
      </c>
    </row>
    <row r="1672" spans="1:18" x14ac:dyDescent="0.25">
      <c r="A1672" s="170">
        <v>44467</v>
      </c>
      <c r="B1672" s="116">
        <v>992.375</v>
      </c>
      <c r="C1672" s="116">
        <v>977.5</v>
      </c>
      <c r="D1672" s="116">
        <v>907.5</v>
      </c>
      <c r="E1672" s="116">
        <v>945.5</v>
      </c>
      <c r="F1672" s="116">
        <v>1955</v>
      </c>
      <c r="G1672">
        <v>28887</v>
      </c>
      <c r="H1672" s="116"/>
      <c r="I1672" s="116"/>
      <c r="L1672" s="170">
        <v>44467</v>
      </c>
      <c r="M1672" s="116">
        <v>978.6</v>
      </c>
      <c r="N1672" s="116">
        <v>992.5</v>
      </c>
      <c r="O1672" s="116">
        <v>905</v>
      </c>
      <c r="P1672" s="116">
        <v>945</v>
      </c>
      <c r="Q1672" s="116">
        <v>1957.2</v>
      </c>
      <c r="R1672">
        <v>594077</v>
      </c>
    </row>
    <row r="1673" spans="1:18" x14ac:dyDescent="0.25">
      <c r="A1673" s="170">
        <v>44468</v>
      </c>
      <c r="B1673" s="116">
        <v>983.3</v>
      </c>
      <c r="C1673" s="116">
        <v>944.75</v>
      </c>
      <c r="D1673" s="116">
        <v>940</v>
      </c>
      <c r="E1673" s="116">
        <v>980.05</v>
      </c>
      <c r="F1673" s="116">
        <v>1889.5</v>
      </c>
      <c r="G1673">
        <v>12061</v>
      </c>
      <c r="H1673" s="116"/>
      <c r="I1673" s="116"/>
      <c r="L1673" s="170">
        <v>44468</v>
      </c>
      <c r="M1673" s="116">
        <v>945.57500000000005</v>
      </c>
      <c r="N1673" s="116">
        <v>986.5</v>
      </c>
      <c r="O1673" s="116">
        <v>938</v>
      </c>
      <c r="P1673" s="116">
        <v>986.5</v>
      </c>
      <c r="Q1673" s="116">
        <v>1891.15</v>
      </c>
      <c r="R1673">
        <v>226706</v>
      </c>
    </row>
    <row r="1674" spans="1:18" x14ac:dyDescent="0.25">
      <c r="A1674" s="170">
        <v>44469</v>
      </c>
      <c r="B1674" s="116">
        <v>955.82500000000005</v>
      </c>
      <c r="C1674" s="116">
        <v>932.55</v>
      </c>
      <c r="D1674" s="116">
        <v>927.45</v>
      </c>
      <c r="E1674" s="116">
        <v>952.5</v>
      </c>
      <c r="F1674" s="116">
        <v>1865.1</v>
      </c>
      <c r="G1674">
        <v>31987</v>
      </c>
      <c r="H1674" s="116"/>
      <c r="I1674" s="116"/>
      <c r="L1674" s="170">
        <v>44469</v>
      </c>
      <c r="M1674" s="116">
        <v>933.47500000000002</v>
      </c>
      <c r="N1674" s="116">
        <v>954.875</v>
      </c>
      <c r="O1674" s="116">
        <v>926.5</v>
      </c>
      <c r="P1674" s="116">
        <v>947.5</v>
      </c>
      <c r="Q1674" s="116">
        <v>1866.95</v>
      </c>
      <c r="R1674">
        <v>100813</v>
      </c>
    </row>
    <row r="1675" spans="1:18" x14ac:dyDescent="0.25">
      <c r="A1675" s="170">
        <v>44470</v>
      </c>
      <c r="B1675" s="116">
        <v>954.4</v>
      </c>
      <c r="C1675" s="116">
        <v>941.67499999999995</v>
      </c>
      <c r="D1675" s="116">
        <v>917.57500000000005</v>
      </c>
      <c r="E1675" s="116">
        <v>929.17499999999995</v>
      </c>
      <c r="F1675" s="116">
        <v>1883.35</v>
      </c>
      <c r="G1675">
        <v>3829</v>
      </c>
      <c r="H1675" s="116"/>
      <c r="I1675" s="116"/>
      <c r="L1675" s="170">
        <v>44470</v>
      </c>
      <c r="M1675" s="116">
        <v>943.1</v>
      </c>
      <c r="N1675" s="116">
        <v>954.85</v>
      </c>
      <c r="O1675" s="116">
        <v>916.15</v>
      </c>
      <c r="P1675" s="116">
        <v>936.1</v>
      </c>
      <c r="Q1675" s="116">
        <v>1886.2</v>
      </c>
      <c r="R1675">
        <v>106505</v>
      </c>
    </row>
    <row r="1676" spans="1:18" x14ac:dyDescent="0.25">
      <c r="A1676" s="170">
        <v>44473</v>
      </c>
      <c r="B1676" s="116">
        <v>937.75</v>
      </c>
      <c r="C1676" s="116">
        <v>926.72500000000002</v>
      </c>
      <c r="D1676" s="116">
        <v>915.6</v>
      </c>
      <c r="E1676" s="116">
        <v>937.75</v>
      </c>
      <c r="F1676" s="116">
        <v>1853.45</v>
      </c>
      <c r="G1676">
        <v>3934</v>
      </c>
      <c r="H1676" s="116"/>
      <c r="I1676" s="116"/>
      <c r="L1676" s="170">
        <v>44473</v>
      </c>
      <c r="M1676" s="116">
        <v>926.25</v>
      </c>
      <c r="N1676" s="116">
        <v>943.5</v>
      </c>
      <c r="O1676" s="116">
        <v>914.8</v>
      </c>
      <c r="P1676" s="116">
        <v>943.1</v>
      </c>
      <c r="Q1676" s="116">
        <v>1852.5</v>
      </c>
      <c r="R1676">
        <v>92639</v>
      </c>
    </row>
    <row r="1677" spans="1:18" x14ac:dyDescent="0.25">
      <c r="A1677" s="170">
        <v>44474</v>
      </c>
      <c r="B1677" s="116">
        <v>929.47500000000002</v>
      </c>
      <c r="C1677" s="116">
        <v>920.17499999999995</v>
      </c>
      <c r="D1677" s="116">
        <v>917.5</v>
      </c>
      <c r="E1677" s="116">
        <v>917.5</v>
      </c>
      <c r="F1677" s="116">
        <v>1840.35</v>
      </c>
      <c r="G1677">
        <v>5689</v>
      </c>
      <c r="H1677" s="116"/>
      <c r="I1677" s="116"/>
      <c r="L1677" s="170">
        <v>44474</v>
      </c>
      <c r="M1677" s="116">
        <v>920.45</v>
      </c>
      <c r="N1677" s="116">
        <v>930</v>
      </c>
      <c r="O1677" s="116">
        <v>918</v>
      </c>
      <c r="P1677" s="116">
        <v>920</v>
      </c>
      <c r="Q1677" s="116">
        <v>1840.9</v>
      </c>
      <c r="R1677">
        <v>106108</v>
      </c>
    </row>
    <row r="1678" spans="1:18" x14ac:dyDescent="0.25">
      <c r="A1678" s="170">
        <v>44475</v>
      </c>
      <c r="B1678" s="116">
        <v>928.5</v>
      </c>
      <c r="C1678" s="116">
        <v>909.47500000000002</v>
      </c>
      <c r="D1678" s="116">
        <v>900.8</v>
      </c>
      <c r="E1678" s="116">
        <v>922.7</v>
      </c>
      <c r="F1678" s="116">
        <v>1818.95</v>
      </c>
      <c r="G1678">
        <v>3529</v>
      </c>
      <c r="H1678" s="116"/>
      <c r="I1678" s="116"/>
      <c r="L1678" s="170">
        <v>44475</v>
      </c>
      <c r="M1678" s="116">
        <v>908.875</v>
      </c>
      <c r="N1678" s="116">
        <v>930</v>
      </c>
      <c r="O1678" s="116">
        <v>900</v>
      </c>
      <c r="P1678" s="116">
        <v>920</v>
      </c>
      <c r="Q1678" s="116">
        <v>1817.75</v>
      </c>
      <c r="R1678">
        <v>72105</v>
      </c>
    </row>
    <row r="1679" spans="1:18" x14ac:dyDescent="0.25">
      <c r="A1679" s="170">
        <v>44476</v>
      </c>
      <c r="B1679" s="116">
        <v>916</v>
      </c>
      <c r="C1679" s="116">
        <v>899.6</v>
      </c>
      <c r="D1679" s="116">
        <v>895.5</v>
      </c>
      <c r="E1679" s="116">
        <v>915.8</v>
      </c>
      <c r="F1679" s="116">
        <v>1799.2</v>
      </c>
      <c r="G1679">
        <v>6040</v>
      </c>
      <c r="H1679" s="116"/>
      <c r="I1679" s="116"/>
      <c r="L1679" s="170">
        <v>44476</v>
      </c>
      <c r="M1679" s="116">
        <v>899.52499999999998</v>
      </c>
      <c r="N1679" s="116">
        <v>917.5</v>
      </c>
      <c r="O1679" s="116">
        <v>895</v>
      </c>
      <c r="P1679" s="116">
        <v>909.75</v>
      </c>
      <c r="Q1679" s="116">
        <v>1799.05</v>
      </c>
      <c r="R1679">
        <v>109532</v>
      </c>
    </row>
    <row r="1680" spans="1:18" x14ac:dyDescent="0.25">
      <c r="A1680" s="170">
        <v>44477</v>
      </c>
      <c r="B1680" s="116">
        <v>902.35</v>
      </c>
      <c r="C1680" s="116">
        <v>892.97500000000002</v>
      </c>
      <c r="D1680" s="116">
        <v>890</v>
      </c>
      <c r="E1680" s="116">
        <v>891</v>
      </c>
      <c r="F1680" s="116">
        <v>1785.95</v>
      </c>
      <c r="G1680">
        <v>5163</v>
      </c>
      <c r="H1680" s="116"/>
      <c r="I1680" s="116"/>
      <c r="L1680" s="170">
        <v>44477</v>
      </c>
      <c r="M1680" s="116">
        <v>893.25</v>
      </c>
      <c r="N1680" s="116">
        <v>910.6</v>
      </c>
      <c r="O1680" s="116">
        <v>889.77499999999998</v>
      </c>
      <c r="P1680" s="116">
        <v>899.52499999999998</v>
      </c>
      <c r="Q1680" s="116">
        <v>1786.5</v>
      </c>
      <c r="R1680">
        <v>40196</v>
      </c>
    </row>
    <row r="1681" spans="1:18" x14ac:dyDescent="0.25">
      <c r="A1681" s="170">
        <v>44480</v>
      </c>
      <c r="B1681" s="116">
        <v>922</v>
      </c>
      <c r="C1681" s="116">
        <v>918.52499999999998</v>
      </c>
      <c r="D1681" s="116">
        <v>885.02499999999998</v>
      </c>
      <c r="E1681" s="116">
        <v>896.27499999999998</v>
      </c>
      <c r="F1681" s="116">
        <v>1837.05</v>
      </c>
      <c r="G1681">
        <v>5176</v>
      </c>
      <c r="H1681" s="116"/>
      <c r="I1681" s="116"/>
      <c r="L1681" s="170">
        <v>44480</v>
      </c>
      <c r="M1681" s="116">
        <v>918.125</v>
      </c>
      <c r="N1681" s="116">
        <v>922.02499999999998</v>
      </c>
      <c r="O1681" s="116">
        <v>884.82500000000005</v>
      </c>
      <c r="P1681" s="116">
        <v>897.5</v>
      </c>
      <c r="Q1681" s="116">
        <v>1836.25</v>
      </c>
      <c r="R1681">
        <v>90502</v>
      </c>
    </row>
    <row r="1682" spans="1:18" x14ac:dyDescent="0.25">
      <c r="A1682" s="170">
        <v>44481</v>
      </c>
      <c r="B1682" s="116">
        <v>924.47500000000002</v>
      </c>
      <c r="C1682" s="116">
        <v>892.9</v>
      </c>
      <c r="D1682" s="116">
        <v>891.05</v>
      </c>
      <c r="E1682" s="116">
        <v>916.5</v>
      </c>
      <c r="F1682" s="116">
        <v>1785.8</v>
      </c>
      <c r="G1682">
        <v>6831</v>
      </c>
      <c r="H1682" s="116"/>
      <c r="I1682" s="116"/>
      <c r="L1682" s="170">
        <v>44481</v>
      </c>
      <c r="M1682" s="116">
        <v>892.45</v>
      </c>
      <c r="N1682" s="116">
        <v>925</v>
      </c>
      <c r="O1682" s="116">
        <v>890.77499999999998</v>
      </c>
      <c r="P1682" s="116">
        <v>922.5</v>
      </c>
      <c r="Q1682" s="116">
        <v>1784.9</v>
      </c>
      <c r="R1682">
        <v>178762</v>
      </c>
    </row>
    <row r="1683" spans="1:18" x14ac:dyDescent="0.25">
      <c r="A1683" s="170">
        <v>44482</v>
      </c>
      <c r="B1683" s="116">
        <v>899.5</v>
      </c>
      <c r="C1683" s="116">
        <v>893.77499999999998</v>
      </c>
      <c r="D1683" s="116">
        <v>891.4</v>
      </c>
      <c r="E1683" s="116">
        <v>893</v>
      </c>
      <c r="F1683" s="116">
        <v>1787.55</v>
      </c>
      <c r="G1683">
        <v>4622</v>
      </c>
      <c r="H1683" s="116"/>
      <c r="I1683" s="116"/>
      <c r="L1683" s="170">
        <v>44482</v>
      </c>
      <c r="M1683" s="116">
        <v>894.65</v>
      </c>
      <c r="N1683" s="116">
        <v>901.25</v>
      </c>
      <c r="O1683" s="116">
        <v>892</v>
      </c>
      <c r="P1683" s="116">
        <v>900</v>
      </c>
      <c r="Q1683" s="116">
        <v>1789.3</v>
      </c>
      <c r="R1683">
        <v>42596</v>
      </c>
    </row>
    <row r="1684" spans="1:18" x14ac:dyDescent="0.25">
      <c r="A1684" s="170">
        <v>44483</v>
      </c>
      <c r="B1684" s="116">
        <v>905.65</v>
      </c>
      <c r="C1684" s="116">
        <v>899.72500000000002</v>
      </c>
      <c r="D1684" s="116">
        <v>888.27499999999998</v>
      </c>
      <c r="E1684" s="116">
        <v>894.27499999999998</v>
      </c>
      <c r="F1684" s="116">
        <v>1799.45</v>
      </c>
      <c r="G1684">
        <v>3629</v>
      </c>
      <c r="H1684" s="116"/>
      <c r="I1684" s="116"/>
      <c r="L1684" s="170">
        <v>44483</v>
      </c>
      <c r="M1684" s="116">
        <v>899.92499999999995</v>
      </c>
      <c r="N1684" s="116">
        <v>905.125</v>
      </c>
      <c r="O1684" s="116">
        <v>887.95</v>
      </c>
      <c r="P1684" s="116">
        <v>895</v>
      </c>
      <c r="Q1684" s="116">
        <v>1799.85</v>
      </c>
      <c r="R1684">
        <v>135250</v>
      </c>
    </row>
    <row r="1685" spans="1:18" x14ac:dyDescent="0.25">
      <c r="A1685" s="170">
        <v>44487</v>
      </c>
      <c r="B1685" s="116">
        <v>902.95</v>
      </c>
      <c r="C1685" s="116">
        <v>893.75</v>
      </c>
      <c r="D1685" s="116">
        <v>878.9</v>
      </c>
      <c r="E1685" s="116">
        <v>900</v>
      </c>
      <c r="F1685" s="116">
        <v>1787.5</v>
      </c>
      <c r="G1685">
        <v>109114</v>
      </c>
      <c r="H1685" s="116"/>
      <c r="I1685" s="116"/>
      <c r="L1685" s="170">
        <v>44487</v>
      </c>
      <c r="M1685" s="116">
        <v>894.875</v>
      </c>
      <c r="N1685" s="116">
        <v>905</v>
      </c>
      <c r="O1685" s="116">
        <v>878.3</v>
      </c>
      <c r="P1685" s="116">
        <v>899.92499999999995</v>
      </c>
      <c r="Q1685" s="116">
        <v>1789.75</v>
      </c>
      <c r="R1685">
        <v>559282</v>
      </c>
    </row>
    <row r="1686" spans="1:18" x14ac:dyDescent="0.25">
      <c r="A1686" s="170">
        <v>44488</v>
      </c>
      <c r="B1686" s="116">
        <v>902.17499999999995</v>
      </c>
      <c r="C1686" s="116">
        <v>893.6</v>
      </c>
      <c r="D1686" s="116">
        <v>885.32500000000005</v>
      </c>
      <c r="E1686" s="116">
        <v>902.17499999999995</v>
      </c>
      <c r="F1686" s="116">
        <v>1787.2</v>
      </c>
      <c r="G1686">
        <v>4073</v>
      </c>
      <c r="H1686" s="116"/>
      <c r="I1686" s="116"/>
      <c r="L1686" s="170">
        <v>44488</v>
      </c>
      <c r="M1686" s="116">
        <v>894.95</v>
      </c>
      <c r="N1686" s="116">
        <v>903.5</v>
      </c>
      <c r="O1686" s="116">
        <v>885.125</v>
      </c>
      <c r="P1686" s="116">
        <v>903.5</v>
      </c>
      <c r="Q1686" s="116">
        <v>1789.9</v>
      </c>
      <c r="R1686">
        <v>159472</v>
      </c>
    </row>
    <row r="1687" spans="1:18" x14ac:dyDescent="0.25">
      <c r="A1687" s="170">
        <v>44489</v>
      </c>
      <c r="B1687" s="116">
        <v>894</v>
      </c>
      <c r="C1687" s="116">
        <v>884.02499999999998</v>
      </c>
      <c r="D1687" s="116">
        <v>865.2</v>
      </c>
      <c r="E1687" s="116">
        <v>894</v>
      </c>
      <c r="F1687" s="116">
        <v>1768.05</v>
      </c>
      <c r="G1687">
        <v>3964</v>
      </c>
      <c r="H1687" s="116"/>
      <c r="I1687" s="116"/>
      <c r="L1687" s="170">
        <v>44489</v>
      </c>
      <c r="M1687" s="116">
        <v>881.97500000000002</v>
      </c>
      <c r="N1687" s="116">
        <v>899.47500000000002</v>
      </c>
      <c r="O1687" s="116">
        <v>865.27499999999998</v>
      </c>
      <c r="P1687" s="116">
        <v>899.47500000000002</v>
      </c>
      <c r="Q1687" s="116">
        <v>1763.95</v>
      </c>
      <c r="R1687">
        <v>93280</v>
      </c>
    </row>
    <row r="1688" spans="1:18" x14ac:dyDescent="0.25">
      <c r="A1688" s="170">
        <v>44490</v>
      </c>
      <c r="B1688" s="116">
        <v>899.25</v>
      </c>
      <c r="C1688" s="116">
        <v>881.05</v>
      </c>
      <c r="D1688" s="116">
        <v>849.02499999999998</v>
      </c>
      <c r="E1688" s="116">
        <v>892.95</v>
      </c>
      <c r="F1688" s="116">
        <v>1762.1</v>
      </c>
      <c r="G1688">
        <v>11751</v>
      </c>
      <c r="H1688" s="116"/>
      <c r="I1688" s="116"/>
      <c r="L1688" s="170">
        <v>44490</v>
      </c>
      <c r="M1688" s="116">
        <v>879.32500000000005</v>
      </c>
      <c r="N1688" s="116">
        <v>899</v>
      </c>
      <c r="O1688" s="116">
        <v>850</v>
      </c>
      <c r="P1688" s="116">
        <v>880.5</v>
      </c>
      <c r="Q1688" s="116">
        <v>1758.65</v>
      </c>
      <c r="R1688">
        <v>164405</v>
      </c>
    </row>
    <row r="1689" spans="1:18" x14ac:dyDescent="0.25">
      <c r="A1689" s="170">
        <v>44491</v>
      </c>
      <c r="B1689" s="116">
        <v>880.75</v>
      </c>
      <c r="C1689" s="116">
        <v>852.25</v>
      </c>
      <c r="D1689" s="116">
        <v>833.95</v>
      </c>
      <c r="E1689" s="116">
        <v>862</v>
      </c>
      <c r="F1689" s="116">
        <v>1704.5</v>
      </c>
      <c r="G1689">
        <v>15501</v>
      </c>
      <c r="H1689" s="116"/>
      <c r="I1689" s="116"/>
      <c r="L1689" s="170">
        <v>44491</v>
      </c>
      <c r="M1689" s="116">
        <v>848.52499999999998</v>
      </c>
      <c r="N1689" s="116">
        <v>878</v>
      </c>
      <c r="O1689" s="116">
        <v>833.27499999999998</v>
      </c>
      <c r="P1689" s="116">
        <v>871</v>
      </c>
      <c r="Q1689" s="116">
        <v>1697.05</v>
      </c>
      <c r="R1689">
        <v>142706</v>
      </c>
    </row>
    <row r="1690" spans="1:18" x14ac:dyDescent="0.25">
      <c r="A1690" s="170">
        <v>44494</v>
      </c>
      <c r="B1690" s="116">
        <v>847.5</v>
      </c>
      <c r="C1690" s="116">
        <v>839.7</v>
      </c>
      <c r="D1690" s="116">
        <v>805.02499999999998</v>
      </c>
      <c r="E1690" s="116">
        <v>846</v>
      </c>
      <c r="F1690" s="116">
        <v>1679.4</v>
      </c>
      <c r="G1690">
        <v>15778</v>
      </c>
      <c r="H1690" s="116"/>
      <c r="I1690" s="116"/>
      <c r="L1690" s="170">
        <v>44494</v>
      </c>
      <c r="M1690" s="116">
        <v>837.85</v>
      </c>
      <c r="N1690" s="116">
        <v>848.97500000000002</v>
      </c>
      <c r="O1690" s="116">
        <v>804.97500000000002</v>
      </c>
      <c r="P1690" s="116">
        <v>842.5</v>
      </c>
      <c r="Q1690" s="116">
        <v>1675.7</v>
      </c>
      <c r="R1690">
        <v>116096</v>
      </c>
    </row>
    <row r="1691" spans="1:18" x14ac:dyDescent="0.25">
      <c r="A1691" s="170">
        <v>44495</v>
      </c>
      <c r="B1691" s="116">
        <v>847.3</v>
      </c>
      <c r="C1691" s="116">
        <v>840.85</v>
      </c>
      <c r="D1691" s="116">
        <v>827.5</v>
      </c>
      <c r="E1691" s="116">
        <v>839.7</v>
      </c>
      <c r="F1691" s="116">
        <v>1681.7</v>
      </c>
      <c r="G1691">
        <v>3902</v>
      </c>
      <c r="H1691" s="116"/>
      <c r="I1691" s="116"/>
      <c r="L1691" s="170">
        <v>44495</v>
      </c>
      <c r="M1691" s="116">
        <v>842.57500000000005</v>
      </c>
      <c r="N1691" s="116">
        <v>849</v>
      </c>
      <c r="O1691" s="116">
        <v>827.5</v>
      </c>
      <c r="P1691" s="116">
        <v>829.95</v>
      </c>
      <c r="Q1691" s="116">
        <v>1685.15</v>
      </c>
      <c r="R1691">
        <v>73868</v>
      </c>
    </row>
    <row r="1692" spans="1:18" x14ac:dyDescent="0.25">
      <c r="A1692" s="170">
        <v>44496</v>
      </c>
      <c r="B1692" s="116">
        <v>849.8</v>
      </c>
      <c r="C1692" s="116">
        <v>836.75</v>
      </c>
      <c r="D1692" s="116">
        <v>716</v>
      </c>
      <c r="E1692" s="116">
        <v>849.8</v>
      </c>
      <c r="F1692" s="116">
        <v>1673.5</v>
      </c>
      <c r="G1692">
        <v>10309</v>
      </c>
      <c r="H1692" s="116"/>
      <c r="I1692" s="116"/>
      <c r="L1692" s="170">
        <v>44496</v>
      </c>
      <c r="M1692" s="116">
        <v>835.2</v>
      </c>
      <c r="N1692" s="116">
        <v>859</v>
      </c>
      <c r="O1692" s="116">
        <v>827.02499999999998</v>
      </c>
      <c r="P1692" s="116">
        <v>845.07500000000005</v>
      </c>
      <c r="Q1692" s="116">
        <v>1670.4</v>
      </c>
      <c r="R1692">
        <v>71045</v>
      </c>
    </row>
    <row r="1693" spans="1:18" x14ac:dyDescent="0.25">
      <c r="A1693" s="170">
        <v>44497</v>
      </c>
      <c r="B1693" s="116">
        <v>855.27499999999998</v>
      </c>
      <c r="C1693" s="116">
        <v>829.4</v>
      </c>
      <c r="D1693" s="116">
        <v>818.47500000000002</v>
      </c>
      <c r="E1693" s="116">
        <v>839.97500000000002</v>
      </c>
      <c r="F1693" s="116">
        <v>1658.8</v>
      </c>
      <c r="G1693">
        <v>4267</v>
      </c>
      <c r="H1693" s="116"/>
      <c r="I1693" s="116"/>
      <c r="L1693" s="170">
        <v>44497</v>
      </c>
      <c r="M1693" s="116">
        <v>831.45</v>
      </c>
      <c r="N1693" s="116">
        <v>855.95</v>
      </c>
      <c r="O1693" s="116">
        <v>820.55</v>
      </c>
      <c r="P1693" s="116">
        <v>842.55</v>
      </c>
      <c r="Q1693" s="116">
        <v>1662.9</v>
      </c>
      <c r="R1693">
        <v>51424</v>
      </c>
    </row>
    <row r="1694" spans="1:18" x14ac:dyDescent="0.25">
      <c r="A1694" s="170">
        <v>44498</v>
      </c>
      <c r="B1694" s="116">
        <v>844.97500000000002</v>
      </c>
      <c r="C1694" s="116">
        <v>838.35</v>
      </c>
      <c r="D1694" s="116">
        <v>822.2</v>
      </c>
      <c r="E1694" s="116">
        <v>830.5</v>
      </c>
      <c r="F1694" s="116">
        <v>1676.7</v>
      </c>
      <c r="G1694">
        <v>3142</v>
      </c>
      <c r="H1694" s="116"/>
      <c r="I1694" s="116"/>
      <c r="L1694" s="170">
        <v>44498</v>
      </c>
      <c r="M1694" s="116">
        <v>839.07500000000005</v>
      </c>
      <c r="N1694" s="116">
        <v>845</v>
      </c>
      <c r="O1694" s="116">
        <v>821.82500000000005</v>
      </c>
      <c r="P1694" s="116">
        <v>830</v>
      </c>
      <c r="Q1694" s="116">
        <v>1678.15</v>
      </c>
      <c r="R1694">
        <v>99760</v>
      </c>
    </row>
    <row r="1695" spans="1:18" x14ac:dyDescent="0.25">
      <c r="A1695" s="170">
        <v>44501</v>
      </c>
      <c r="B1695" s="116">
        <v>842.07500000000005</v>
      </c>
      <c r="C1695" s="116">
        <v>838.42499999999995</v>
      </c>
      <c r="D1695" s="116">
        <v>816</v>
      </c>
      <c r="E1695" s="116">
        <v>839.22500000000002</v>
      </c>
      <c r="F1695" s="116">
        <v>1676.85</v>
      </c>
      <c r="G1695">
        <v>3459</v>
      </c>
      <c r="H1695" s="116"/>
      <c r="I1695" s="116"/>
      <c r="L1695" s="170">
        <v>44501</v>
      </c>
      <c r="M1695" s="116">
        <v>837.85</v>
      </c>
      <c r="N1695" s="116">
        <v>841.5</v>
      </c>
      <c r="O1695" s="116">
        <v>813.52499999999998</v>
      </c>
      <c r="P1695" s="116">
        <v>823.5</v>
      </c>
      <c r="Q1695" s="116">
        <v>1675.7</v>
      </c>
      <c r="R1695">
        <v>111315</v>
      </c>
    </row>
    <row r="1696" spans="1:18" x14ac:dyDescent="0.25">
      <c r="A1696" s="170">
        <v>44502</v>
      </c>
      <c r="B1696" s="116">
        <v>845.22500000000002</v>
      </c>
      <c r="C1696" s="116">
        <v>828.27499999999998</v>
      </c>
      <c r="D1696" s="116">
        <v>824.5</v>
      </c>
      <c r="E1696" s="116">
        <v>831.52499999999998</v>
      </c>
      <c r="F1696" s="116">
        <v>1656.55</v>
      </c>
      <c r="G1696">
        <v>4324</v>
      </c>
      <c r="H1696" s="116"/>
      <c r="I1696" s="116"/>
      <c r="L1696" s="170">
        <v>44502</v>
      </c>
      <c r="M1696" s="116">
        <v>827.25</v>
      </c>
      <c r="N1696" s="116">
        <v>845</v>
      </c>
      <c r="O1696" s="116">
        <v>824.375</v>
      </c>
      <c r="P1696" s="116">
        <v>840.35</v>
      </c>
      <c r="Q1696" s="116">
        <v>1654.5</v>
      </c>
      <c r="R1696">
        <v>67427</v>
      </c>
    </row>
    <row r="1697" spans="1:18" x14ac:dyDescent="0.25">
      <c r="A1697" s="170">
        <v>44503</v>
      </c>
      <c r="B1697" s="116">
        <v>834.3</v>
      </c>
      <c r="C1697" s="116">
        <v>824.5</v>
      </c>
      <c r="D1697" s="116">
        <v>818.375</v>
      </c>
      <c r="E1697" s="116">
        <v>821.52499999999998</v>
      </c>
      <c r="F1697" s="116">
        <v>1649</v>
      </c>
      <c r="G1697">
        <v>3013</v>
      </c>
      <c r="H1697" s="116"/>
      <c r="I1697" s="116"/>
      <c r="L1697" s="170">
        <v>44503</v>
      </c>
      <c r="M1697" s="116">
        <v>824.85</v>
      </c>
      <c r="N1697" s="116">
        <v>834.625</v>
      </c>
      <c r="O1697" s="116">
        <v>818</v>
      </c>
      <c r="P1697" s="116">
        <v>825</v>
      </c>
      <c r="Q1697" s="116">
        <v>1649.7</v>
      </c>
      <c r="R1697">
        <v>91481</v>
      </c>
    </row>
    <row r="1698" spans="1:18" x14ac:dyDescent="0.25">
      <c r="A1698" s="170">
        <v>44504</v>
      </c>
      <c r="B1698" s="116">
        <v>833.15</v>
      </c>
      <c r="C1698" s="116">
        <v>828.875</v>
      </c>
      <c r="D1698" s="116">
        <v>825.125</v>
      </c>
      <c r="E1698" s="116">
        <v>830.4</v>
      </c>
      <c r="F1698" s="116">
        <v>1657.75</v>
      </c>
      <c r="G1698">
        <v>131</v>
      </c>
      <c r="H1698" s="116"/>
      <c r="I1698" s="116"/>
      <c r="L1698" s="170">
        <v>44504</v>
      </c>
      <c r="M1698" s="116">
        <v>828.57500000000005</v>
      </c>
      <c r="N1698" s="116">
        <v>837.375</v>
      </c>
      <c r="O1698" s="116">
        <v>825.02499999999998</v>
      </c>
      <c r="P1698" s="116">
        <v>834</v>
      </c>
      <c r="Q1698" s="116">
        <v>1657.15</v>
      </c>
      <c r="R1698">
        <v>4916</v>
      </c>
    </row>
    <row r="1699" spans="1:18" x14ac:dyDescent="0.25">
      <c r="A1699" s="170">
        <v>44508</v>
      </c>
      <c r="B1699" s="116">
        <v>845.22500000000002</v>
      </c>
      <c r="C1699" s="116">
        <v>836.97500000000002</v>
      </c>
      <c r="D1699" s="116">
        <v>823.57500000000005</v>
      </c>
      <c r="E1699" s="116">
        <v>842</v>
      </c>
      <c r="F1699" s="116">
        <v>1673.95</v>
      </c>
      <c r="G1699">
        <v>3801</v>
      </c>
      <c r="H1699" s="116"/>
      <c r="I1699" s="116"/>
      <c r="L1699" s="170">
        <v>44508</v>
      </c>
      <c r="M1699" s="116">
        <v>836.15</v>
      </c>
      <c r="N1699" s="116">
        <v>845</v>
      </c>
      <c r="O1699" s="116">
        <v>825</v>
      </c>
      <c r="P1699" s="116">
        <v>826</v>
      </c>
      <c r="Q1699" s="116">
        <v>1672.3</v>
      </c>
      <c r="R1699">
        <v>115859</v>
      </c>
    </row>
    <row r="1700" spans="1:18" x14ac:dyDescent="0.25">
      <c r="A1700" s="170">
        <v>44509</v>
      </c>
      <c r="B1700" s="116">
        <v>849</v>
      </c>
      <c r="C1700" s="116">
        <v>836.35</v>
      </c>
      <c r="D1700" s="116">
        <v>829.375</v>
      </c>
      <c r="E1700" s="116">
        <v>849</v>
      </c>
      <c r="F1700" s="116">
        <v>1672.7</v>
      </c>
      <c r="G1700">
        <v>3440</v>
      </c>
      <c r="H1700" s="116"/>
      <c r="I1700" s="116"/>
      <c r="L1700" s="170">
        <v>44509</v>
      </c>
      <c r="M1700" s="116">
        <v>836.27499999999998</v>
      </c>
      <c r="N1700" s="116">
        <v>842.65</v>
      </c>
      <c r="O1700" s="116">
        <v>828.95</v>
      </c>
      <c r="P1700" s="116">
        <v>842</v>
      </c>
      <c r="Q1700" s="116">
        <v>1672.55</v>
      </c>
      <c r="R1700">
        <v>49548</v>
      </c>
    </row>
    <row r="1701" spans="1:18" x14ac:dyDescent="0.25">
      <c r="A1701" s="170">
        <v>44510</v>
      </c>
      <c r="B1701" s="116">
        <v>884.95</v>
      </c>
      <c r="C1701" s="116">
        <v>872.95</v>
      </c>
      <c r="D1701" s="116">
        <v>825.05</v>
      </c>
      <c r="E1701" s="116">
        <v>830.1</v>
      </c>
      <c r="F1701" s="116">
        <v>1745.9</v>
      </c>
      <c r="G1701">
        <v>10232</v>
      </c>
      <c r="H1701" s="116"/>
      <c r="I1701" s="116"/>
      <c r="L1701" s="170">
        <v>44510</v>
      </c>
      <c r="M1701" s="116">
        <v>874.77499999999998</v>
      </c>
      <c r="N1701" s="116">
        <v>884.95</v>
      </c>
      <c r="O1701" s="116">
        <v>825</v>
      </c>
      <c r="P1701" s="116">
        <v>836.27499999999998</v>
      </c>
      <c r="Q1701" s="116">
        <v>1749.55</v>
      </c>
      <c r="R1701">
        <v>161161</v>
      </c>
    </row>
    <row r="1702" spans="1:18" x14ac:dyDescent="0.25">
      <c r="A1702" s="170">
        <v>44511</v>
      </c>
      <c r="B1702" s="116">
        <v>871.55</v>
      </c>
      <c r="C1702" s="116">
        <v>828.7</v>
      </c>
      <c r="D1702" s="116">
        <v>819.15</v>
      </c>
      <c r="E1702" s="116">
        <v>855.72500000000002</v>
      </c>
      <c r="F1702" s="116">
        <v>1657.4</v>
      </c>
      <c r="G1702">
        <v>19395</v>
      </c>
      <c r="H1702" s="116"/>
      <c r="I1702" s="116"/>
      <c r="L1702" s="170">
        <v>44511</v>
      </c>
      <c r="M1702" s="116">
        <v>834.47500000000002</v>
      </c>
      <c r="N1702" s="116">
        <v>873.95</v>
      </c>
      <c r="O1702" s="116">
        <v>830</v>
      </c>
      <c r="P1702" s="116">
        <v>873.95</v>
      </c>
      <c r="Q1702" s="116">
        <v>1668.95</v>
      </c>
      <c r="R1702">
        <v>87042</v>
      </c>
    </row>
    <row r="1703" spans="1:18" x14ac:dyDescent="0.25">
      <c r="A1703" s="170">
        <v>44512</v>
      </c>
      <c r="B1703" s="116">
        <v>838.5</v>
      </c>
      <c r="C1703" s="116">
        <v>831.27499999999998</v>
      </c>
      <c r="D1703" s="116">
        <v>808.4</v>
      </c>
      <c r="E1703" s="116">
        <v>813.125</v>
      </c>
      <c r="F1703" s="116">
        <v>1662.55</v>
      </c>
      <c r="G1703">
        <v>7347</v>
      </c>
      <c r="H1703" s="116"/>
      <c r="I1703" s="116"/>
      <c r="L1703" s="170">
        <v>44512</v>
      </c>
      <c r="M1703" s="116">
        <v>830.72500000000002</v>
      </c>
      <c r="N1703" s="116">
        <v>839.9</v>
      </c>
      <c r="O1703" s="116">
        <v>807.97500000000002</v>
      </c>
      <c r="P1703" s="116">
        <v>825</v>
      </c>
      <c r="Q1703" s="116">
        <v>1661.45</v>
      </c>
      <c r="R1703">
        <v>194027</v>
      </c>
    </row>
    <row r="1704" spans="1:18" x14ac:dyDescent="0.25">
      <c r="A1704" s="170">
        <v>44515</v>
      </c>
      <c r="B1704" s="116">
        <v>842.5</v>
      </c>
      <c r="C1704" s="116">
        <v>832.5</v>
      </c>
      <c r="D1704" s="116">
        <v>822.5</v>
      </c>
      <c r="E1704" s="116">
        <v>827.7</v>
      </c>
      <c r="F1704" s="116">
        <v>1665</v>
      </c>
      <c r="G1704">
        <v>10781</v>
      </c>
      <c r="H1704" s="116"/>
      <c r="I1704" s="116"/>
      <c r="L1704" s="170">
        <v>44515</v>
      </c>
      <c r="M1704" s="116">
        <v>831.875</v>
      </c>
      <c r="N1704" s="116">
        <v>843.35</v>
      </c>
      <c r="O1704" s="116">
        <v>823.5</v>
      </c>
      <c r="P1704" s="116">
        <v>835</v>
      </c>
      <c r="Q1704" s="116">
        <v>1663.75</v>
      </c>
      <c r="R1704">
        <v>74424</v>
      </c>
    </row>
    <row r="1705" spans="1:18" x14ac:dyDescent="0.25">
      <c r="A1705" s="170">
        <v>44516</v>
      </c>
      <c r="B1705" s="116">
        <v>843.125</v>
      </c>
      <c r="C1705" s="116">
        <v>840.4</v>
      </c>
      <c r="D1705" s="116">
        <v>825.05</v>
      </c>
      <c r="E1705" s="116">
        <v>832.5</v>
      </c>
      <c r="F1705" s="116">
        <v>1680.8</v>
      </c>
      <c r="G1705">
        <v>4336</v>
      </c>
      <c r="H1705" s="116"/>
      <c r="I1705" s="116"/>
      <c r="L1705" s="170">
        <v>44516</v>
      </c>
      <c r="M1705" s="116">
        <v>840.45</v>
      </c>
      <c r="N1705" s="116">
        <v>844</v>
      </c>
      <c r="O1705" s="116">
        <v>825</v>
      </c>
      <c r="P1705" s="116">
        <v>832.57500000000005</v>
      </c>
      <c r="Q1705" s="116">
        <v>1680.9</v>
      </c>
      <c r="R1705">
        <v>64717</v>
      </c>
    </row>
    <row r="1706" spans="1:18" x14ac:dyDescent="0.25">
      <c r="A1706" s="170">
        <v>44517</v>
      </c>
      <c r="B1706" s="116">
        <v>845</v>
      </c>
      <c r="C1706" s="116">
        <v>836.5</v>
      </c>
      <c r="D1706" s="116">
        <v>826.15</v>
      </c>
      <c r="E1706" s="116">
        <v>840</v>
      </c>
      <c r="F1706" s="116">
        <v>1673</v>
      </c>
      <c r="G1706">
        <v>3744</v>
      </c>
      <c r="H1706" s="116"/>
      <c r="I1706" s="116"/>
      <c r="L1706" s="170">
        <v>44517</v>
      </c>
      <c r="M1706" s="116">
        <v>836.47500000000002</v>
      </c>
      <c r="N1706" s="116">
        <v>845.8</v>
      </c>
      <c r="O1706" s="116">
        <v>825.9</v>
      </c>
      <c r="P1706" s="116">
        <v>842.92499999999995</v>
      </c>
      <c r="Q1706" s="116">
        <v>1672.95</v>
      </c>
      <c r="R1706">
        <v>81804</v>
      </c>
    </row>
    <row r="1707" spans="1:18" x14ac:dyDescent="0.25">
      <c r="A1707" s="170">
        <v>44518</v>
      </c>
      <c r="B1707" s="116">
        <v>834.25</v>
      </c>
      <c r="C1707" s="116">
        <v>830.5</v>
      </c>
      <c r="D1707" s="116">
        <v>826</v>
      </c>
      <c r="E1707" s="116">
        <v>826</v>
      </c>
      <c r="F1707" s="116">
        <v>1661</v>
      </c>
      <c r="G1707">
        <v>4972</v>
      </c>
      <c r="H1707" s="116"/>
      <c r="I1707" s="116"/>
      <c r="L1707" s="170">
        <v>44518</v>
      </c>
      <c r="M1707" s="116">
        <v>829.4</v>
      </c>
      <c r="N1707" s="116">
        <v>835.5</v>
      </c>
      <c r="O1707" s="116">
        <v>827.5</v>
      </c>
      <c r="P1707" s="116">
        <v>835.5</v>
      </c>
      <c r="Q1707" s="116">
        <v>1658.8</v>
      </c>
      <c r="R1707">
        <v>76620</v>
      </c>
    </row>
    <row r="1708" spans="1:18" x14ac:dyDescent="0.25">
      <c r="A1708" s="170">
        <v>44522</v>
      </c>
      <c r="B1708" s="116">
        <v>830.5</v>
      </c>
      <c r="C1708" s="116">
        <v>796.97500000000002</v>
      </c>
      <c r="D1708" s="116">
        <v>783.22500000000002</v>
      </c>
      <c r="E1708" s="116">
        <v>830.5</v>
      </c>
      <c r="F1708" s="116">
        <v>1593.95</v>
      </c>
      <c r="G1708">
        <v>8303</v>
      </c>
      <c r="H1708" s="116"/>
      <c r="I1708" s="116"/>
      <c r="L1708" s="170">
        <v>44522</v>
      </c>
      <c r="M1708" s="116">
        <v>796.92499999999995</v>
      </c>
      <c r="N1708" s="116">
        <v>833.17499999999995</v>
      </c>
      <c r="O1708" s="116">
        <v>783</v>
      </c>
      <c r="P1708" s="116">
        <v>827.5</v>
      </c>
      <c r="Q1708" s="116">
        <v>1593.85</v>
      </c>
      <c r="R1708">
        <v>106292</v>
      </c>
    </row>
    <row r="1709" spans="1:18" x14ac:dyDescent="0.25">
      <c r="A1709" s="170">
        <v>44523</v>
      </c>
      <c r="B1709" s="116">
        <v>797.47500000000002</v>
      </c>
      <c r="C1709" s="116">
        <v>791.85</v>
      </c>
      <c r="D1709" s="116">
        <v>771.17499999999995</v>
      </c>
      <c r="E1709" s="116">
        <v>783.52499999999998</v>
      </c>
      <c r="F1709" s="116">
        <v>1583.7</v>
      </c>
      <c r="G1709">
        <v>7954</v>
      </c>
      <c r="H1709" s="116"/>
      <c r="I1709" s="116"/>
      <c r="L1709" s="170">
        <v>44523</v>
      </c>
      <c r="M1709" s="116">
        <v>788.07500000000005</v>
      </c>
      <c r="N1709" s="116">
        <v>795</v>
      </c>
      <c r="O1709" s="116">
        <v>769</v>
      </c>
      <c r="P1709" s="116">
        <v>769</v>
      </c>
      <c r="Q1709" s="116">
        <v>1576.15</v>
      </c>
      <c r="R1709">
        <v>103043</v>
      </c>
    </row>
    <row r="1710" spans="1:18" x14ac:dyDescent="0.25">
      <c r="A1710" s="170">
        <v>44524</v>
      </c>
      <c r="B1710" s="116">
        <v>827.72500000000002</v>
      </c>
      <c r="C1710" s="116">
        <v>821.1</v>
      </c>
      <c r="D1710" s="116">
        <v>778.57500000000005</v>
      </c>
      <c r="E1710" s="116">
        <v>795.5</v>
      </c>
      <c r="F1710" s="116">
        <v>1642.2</v>
      </c>
      <c r="G1710">
        <v>7545</v>
      </c>
      <c r="H1710" s="116"/>
      <c r="I1710" s="116"/>
      <c r="L1710" s="170">
        <v>44524</v>
      </c>
      <c r="M1710" s="116">
        <v>822.35</v>
      </c>
      <c r="N1710" s="116">
        <v>828</v>
      </c>
      <c r="O1710" s="116">
        <v>779.05</v>
      </c>
      <c r="P1710" s="116">
        <v>788.07500000000005</v>
      </c>
      <c r="Q1710" s="116">
        <v>1644.7</v>
      </c>
      <c r="R1710">
        <v>112332</v>
      </c>
    </row>
    <row r="1711" spans="1:18" x14ac:dyDescent="0.25">
      <c r="A1711" s="170">
        <v>44525</v>
      </c>
      <c r="B1711" s="116">
        <v>813.3</v>
      </c>
      <c r="C1711" s="116">
        <v>809.85</v>
      </c>
      <c r="D1711" s="116">
        <v>791.5</v>
      </c>
      <c r="E1711" s="116">
        <v>813.2</v>
      </c>
      <c r="F1711" s="116">
        <v>1619.7</v>
      </c>
      <c r="G1711">
        <v>3934</v>
      </c>
      <c r="H1711" s="116"/>
      <c r="I1711" s="116"/>
      <c r="L1711" s="170">
        <v>44525</v>
      </c>
      <c r="M1711" s="116">
        <v>810.77499999999998</v>
      </c>
      <c r="N1711" s="116">
        <v>822.35</v>
      </c>
      <c r="O1711" s="116">
        <v>791</v>
      </c>
      <c r="P1711" s="116">
        <v>812.5</v>
      </c>
      <c r="Q1711" s="116">
        <v>1621.55</v>
      </c>
      <c r="R1711">
        <v>69491</v>
      </c>
    </row>
    <row r="1712" spans="1:18" x14ac:dyDescent="0.25">
      <c r="A1712" s="170">
        <v>44526</v>
      </c>
      <c r="B1712" s="116">
        <v>832.375</v>
      </c>
      <c r="C1712" s="116">
        <v>829.85</v>
      </c>
      <c r="D1712" s="116">
        <v>790.5</v>
      </c>
      <c r="E1712" s="116">
        <v>827.5</v>
      </c>
      <c r="F1712" s="116">
        <v>1659.7</v>
      </c>
      <c r="G1712">
        <v>8002</v>
      </c>
      <c r="H1712" s="116"/>
      <c r="I1712" s="116"/>
      <c r="L1712" s="170">
        <v>44526</v>
      </c>
      <c r="M1712" s="116">
        <v>830.22500000000002</v>
      </c>
      <c r="N1712" s="116">
        <v>832.97500000000002</v>
      </c>
      <c r="O1712" s="116">
        <v>790</v>
      </c>
      <c r="P1712" s="116">
        <v>810.5</v>
      </c>
      <c r="Q1712" s="116">
        <v>1660.45</v>
      </c>
      <c r="R1712">
        <v>103521</v>
      </c>
    </row>
    <row r="1713" spans="1:18" x14ac:dyDescent="0.25">
      <c r="A1713" s="170">
        <v>44529</v>
      </c>
      <c r="B1713" s="116">
        <v>842.5</v>
      </c>
      <c r="C1713" s="116">
        <v>814.27499999999998</v>
      </c>
      <c r="D1713" s="116">
        <v>792.8</v>
      </c>
      <c r="E1713" s="116">
        <v>842.5</v>
      </c>
      <c r="F1713" s="116">
        <v>1628.55</v>
      </c>
      <c r="G1713">
        <v>2869</v>
      </c>
      <c r="H1713" s="116"/>
      <c r="I1713" s="116"/>
      <c r="L1713" s="170">
        <v>44529</v>
      </c>
      <c r="M1713" s="116">
        <v>818.52499999999998</v>
      </c>
      <c r="N1713" s="116">
        <v>835</v>
      </c>
      <c r="O1713" s="116">
        <v>791.82500000000005</v>
      </c>
      <c r="P1713" s="116">
        <v>834.27499999999998</v>
      </c>
      <c r="Q1713" s="116">
        <v>1637.05</v>
      </c>
      <c r="R1713">
        <v>78063</v>
      </c>
    </row>
    <row r="1714" spans="1:18" x14ac:dyDescent="0.25">
      <c r="A1714" s="170">
        <v>44530</v>
      </c>
      <c r="B1714" s="116">
        <v>833.97500000000002</v>
      </c>
      <c r="C1714" s="116">
        <v>819.15</v>
      </c>
      <c r="D1714" s="116">
        <v>806.67499999999995</v>
      </c>
      <c r="E1714" s="116">
        <v>822.5</v>
      </c>
      <c r="F1714" s="116">
        <v>1638.3</v>
      </c>
      <c r="G1714">
        <v>3339</v>
      </c>
      <c r="H1714" s="116"/>
      <c r="I1714" s="116"/>
      <c r="L1714" s="170">
        <v>44530</v>
      </c>
      <c r="M1714" s="116">
        <v>819.35</v>
      </c>
      <c r="N1714" s="116">
        <v>835</v>
      </c>
      <c r="O1714" s="116">
        <v>806.2</v>
      </c>
      <c r="P1714" s="116">
        <v>826.7</v>
      </c>
      <c r="Q1714" s="116">
        <v>1638.7</v>
      </c>
      <c r="R1714">
        <v>121070</v>
      </c>
    </row>
    <row r="1715" spans="1:18" x14ac:dyDescent="0.25">
      <c r="A1715" s="170">
        <v>44531</v>
      </c>
      <c r="B1715" s="116">
        <v>818.65</v>
      </c>
      <c r="C1715" s="116">
        <v>798.67499999999995</v>
      </c>
      <c r="D1715" s="116">
        <v>794.75</v>
      </c>
      <c r="E1715" s="116">
        <v>800.05</v>
      </c>
      <c r="F1715" s="116">
        <v>1597.35</v>
      </c>
      <c r="G1715">
        <v>1597</v>
      </c>
      <c r="H1715" s="116"/>
      <c r="I1715" s="116"/>
      <c r="L1715" s="170">
        <v>44531</v>
      </c>
      <c r="M1715" s="116">
        <v>798.52499999999998</v>
      </c>
      <c r="N1715" s="116">
        <v>823.9</v>
      </c>
      <c r="O1715" s="116">
        <v>778.85</v>
      </c>
      <c r="P1715" s="116">
        <v>820</v>
      </c>
      <c r="Q1715" s="116">
        <v>1597.05</v>
      </c>
      <c r="R1715">
        <v>37806</v>
      </c>
    </row>
    <row r="1716" spans="1:18" x14ac:dyDescent="0.25">
      <c r="A1716" s="170">
        <v>44532</v>
      </c>
      <c r="B1716" s="116">
        <v>806.45</v>
      </c>
      <c r="C1716" s="116">
        <v>794.42499999999995</v>
      </c>
      <c r="D1716" s="116">
        <v>783.55</v>
      </c>
      <c r="E1716" s="116">
        <v>801.97500000000002</v>
      </c>
      <c r="F1716" s="116">
        <v>1588.85</v>
      </c>
      <c r="G1716">
        <v>2997</v>
      </c>
      <c r="H1716" s="116"/>
      <c r="I1716" s="116"/>
      <c r="L1716" s="170">
        <v>44532</v>
      </c>
      <c r="M1716" s="116">
        <v>794.57500000000005</v>
      </c>
      <c r="N1716" s="116">
        <v>807.02499999999998</v>
      </c>
      <c r="O1716" s="116">
        <v>783</v>
      </c>
      <c r="P1716" s="116">
        <v>802.52499999999998</v>
      </c>
      <c r="Q1716" s="116">
        <v>1589.15</v>
      </c>
      <c r="R1716">
        <v>53768</v>
      </c>
    </row>
    <row r="1717" spans="1:18" x14ac:dyDescent="0.25">
      <c r="A1717" s="170">
        <v>44533</v>
      </c>
      <c r="B1717" s="116">
        <v>811.8</v>
      </c>
      <c r="C1717" s="116">
        <v>808.42499999999995</v>
      </c>
      <c r="D1717" s="116">
        <v>790.52499999999998</v>
      </c>
      <c r="E1717" s="116">
        <v>795.47500000000002</v>
      </c>
      <c r="F1717" s="116">
        <v>1616.85</v>
      </c>
      <c r="G1717">
        <v>1487</v>
      </c>
      <c r="H1717" s="116"/>
      <c r="I1717" s="116"/>
      <c r="L1717" s="170">
        <v>44533</v>
      </c>
      <c r="M1717" s="116">
        <v>807.47500000000002</v>
      </c>
      <c r="N1717" s="116">
        <v>812.5</v>
      </c>
      <c r="O1717" s="116">
        <v>790</v>
      </c>
      <c r="P1717" s="116">
        <v>798.5</v>
      </c>
      <c r="Q1717" s="116">
        <v>1614.95</v>
      </c>
      <c r="R1717">
        <v>29037</v>
      </c>
    </row>
    <row r="1718" spans="1:18" x14ac:dyDescent="0.25">
      <c r="A1718" s="170">
        <v>44536</v>
      </c>
      <c r="B1718" s="116">
        <v>804.9</v>
      </c>
      <c r="C1718" s="116">
        <v>790.92499999999995</v>
      </c>
      <c r="D1718" s="116">
        <v>787</v>
      </c>
      <c r="E1718" s="116">
        <v>804.9</v>
      </c>
      <c r="F1718" s="116">
        <v>1581.85</v>
      </c>
      <c r="G1718">
        <v>2804</v>
      </c>
      <c r="H1718" s="116"/>
      <c r="I1718" s="116"/>
      <c r="L1718" s="170">
        <v>44536</v>
      </c>
      <c r="M1718" s="116">
        <v>791.5</v>
      </c>
      <c r="N1718" s="116">
        <v>805.85</v>
      </c>
      <c r="O1718" s="116">
        <v>786.02499999999998</v>
      </c>
      <c r="P1718" s="116">
        <v>796</v>
      </c>
      <c r="Q1718" s="116">
        <v>1583</v>
      </c>
      <c r="R1718">
        <v>23207</v>
      </c>
    </row>
    <row r="1719" spans="1:18" x14ac:dyDescent="0.25">
      <c r="A1719" s="170">
        <v>44537</v>
      </c>
      <c r="B1719" s="116">
        <v>810.97500000000002</v>
      </c>
      <c r="C1719" s="116">
        <v>799.67499999999995</v>
      </c>
      <c r="D1719" s="116">
        <v>785.1</v>
      </c>
      <c r="E1719" s="116">
        <v>810.97500000000002</v>
      </c>
      <c r="F1719" s="116">
        <v>1599.35</v>
      </c>
      <c r="G1719">
        <v>1059</v>
      </c>
      <c r="H1719" s="116"/>
      <c r="I1719" s="116"/>
      <c r="L1719" s="170">
        <v>44537</v>
      </c>
      <c r="M1719" s="116">
        <v>799.92499999999995</v>
      </c>
      <c r="N1719" s="116">
        <v>804</v>
      </c>
      <c r="O1719" s="116">
        <v>784.47500000000002</v>
      </c>
      <c r="P1719" s="116">
        <v>787.5</v>
      </c>
      <c r="Q1719" s="116">
        <v>1599.85</v>
      </c>
      <c r="R1719">
        <v>33675</v>
      </c>
    </row>
    <row r="1720" spans="1:18" x14ac:dyDescent="0.25">
      <c r="A1720" s="170">
        <v>44538</v>
      </c>
      <c r="B1720" s="116">
        <v>810.35</v>
      </c>
      <c r="C1720" s="116">
        <v>798.92499999999995</v>
      </c>
      <c r="D1720" s="116">
        <v>795.85</v>
      </c>
      <c r="E1720" s="116">
        <v>802.07500000000005</v>
      </c>
      <c r="F1720" s="116">
        <v>1597.85</v>
      </c>
      <c r="G1720">
        <v>1318</v>
      </c>
      <c r="H1720" s="116"/>
      <c r="I1720" s="116"/>
      <c r="L1720" s="170">
        <v>44538</v>
      </c>
      <c r="M1720" s="116">
        <v>800.125</v>
      </c>
      <c r="N1720" s="116">
        <v>813.75</v>
      </c>
      <c r="O1720" s="116">
        <v>795.55</v>
      </c>
      <c r="P1720" s="116">
        <v>802.5</v>
      </c>
      <c r="Q1720" s="116">
        <v>1600.25</v>
      </c>
      <c r="R1720">
        <v>32752</v>
      </c>
    </row>
    <row r="1721" spans="1:18" x14ac:dyDescent="0.25">
      <c r="A1721" s="170">
        <v>44539</v>
      </c>
      <c r="B1721" s="116">
        <v>810.97500000000002</v>
      </c>
      <c r="C1721" s="116">
        <v>807.17499999999995</v>
      </c>
      <c r="D1721" s="116">
        <v>787.07500000000005</v>
      </c>
      <c r="E1721" s="116">
        <v>803.5</v>
      </c>
      <c r="F1721" s="116">
        <v>1614.35</v>
      </c>
      <c r="G1721">
        <v>1204</v>
      </c>
      <c r="H1721" s="116"/>
      <c r="I1721" s="116"/>
      <c r="L1721" s="170">
        <v>44539</v>
      </c>
      <c r="M1721" s="116">
        <v>807.97500000000002</v>
      </c>
      <c r="N1721" s="116">
        <v>812</v>
      </c>
      <c r="O1721" s="116">
        <v>786.52499999999998</v>
      </c>
      <c r="P1721" s="116">
        <v>804.15</v>
      </c>
      <c r="Q1721" s="116">
        <v>1615.95</v>
      </c>
      <c r="R1721">
        <v>48617</v>
      </c>
    </row>
    <row r="1722" spans="1:18" x14ac:dyDescent="0.25">
      <c r="A1722" s="170">
        <v>44540</v>
      </c>
      <c r="B1722" s="116">
        <v>821.67499999999995</v>
      </c>
      <c r="C1722" s="116">
        <v>814.67499999999995</v>
      </c>
      <c r="D1722" s="116">
        <v>807.27499999999998</v>
      </c>
      <c r="E1722" s="116">
        <v>814.27499999999998</v>
      </c>
      <c r="F1722" s="116">
        <v>1629.35</v>
      </c>
      <c r="G1722">
        <v>1650</v>
      </c>
      <c r="H1722" s="116"/>
      <c r="I1722" s="116"/>
      <c r="L1722" s="170">
        <v>44540</v>
      </c>
      <c r="M1722" s="116">
        <v>815.02499999999998</v>
      </c>
      <c r="N1722" s="116">
        <v>823</v>
      </c>
      <c r="O1722" s="116">
        <v>806.5</v>
      </c>
      <c r="P1722" s="116">
        <v>807.97500000000002</v>
      </c>
      <c r="Q1722" s="116">
        <v>1630.05</v>
      </c>
      <c r="R1722">
        <v>75736</v>
      </c>
    </row>
    <row r="1723" spans="1:18" x14ac:dyDescent="0.25">
      <c r="A1723" s="170">
        <v>44543</v>
      </c>
      <c r="B1723" s="116">
        <v>818</v>
      </c>
      <c r="C1723" s="116">
        <v>804.77499999999998</v>
      </c>
      <c r="D1723" s="116">
        <v>802.55</v>
      </c>
      <c r="E1723" s="116">
        <v>818</v>
      </c>
      <c r="F1723" s="116">
        <v>1609.55</v>
      </c>
      <c r="G1723">
        <v>2795</v>
      </c>
      <c r="H1723" s="116"/>
      <c r="I1723" s="116"/>
      <c r="L1723" s="170">
        <v>44543</v>
      </c>
      <c r="M1723" s="116">
        <v>805.65</v>
      </c>
      <c r="N1723" s="116">
        <v>820.97500000000002</v>
      </c>
      <c r="O1723" s="116">
        <v>801.3</v>
      </c>
      <c r="P1723" s="116">
        <v>812.5</v>
      </c>
      <c r="Q1723" s="116">
        <v>1611.3</v>
      </c>
      <c r="R1723">
        <v>106956</v>
      </c>
    </row>
    <row r="1724" spans="1:18" x14ac:dyDescent="0.25">
      <c r="A1724" s="170">
        <v>44544</v>
      </c>
      <c r="B1724" s="116">
        <v>813</v>
      </c>
      <c r="C1724" s="116">
        <v>789.65</v>
      </c>
      <c r="D1724" s="116">
        <v>783.22500000000002</v>
      </c>
      <c r="E1724" s="116">
        <v>810.35</v>
      </c>
      <c r="F1724" s="116">
        <v>1579.3</v>
      </c>
      <c r="G1724">
        <v>2996</v>
      </c>
      <c r="H1724" s="116"/>
      <c r="I1724" s="116"/>
      <c r="L1724" s="170">
        <v>44544</v>
      </c>
      <c r="M1724" s="116">
        <v>789.67499999999995</v>
      </c>
      <c r="N1724" s="116">
        <v>817</v>
      </c>
      <c r="O1724" s="116">
        <v>783.375</v>
      </c>
      <c r="P1724" s="116">
        <v>817</v>
      </c>
      <c r="Q1724" s="116">
        <v>1579.35</v>
      </c>
      <c r="R1724">
        <v>89229</v>
      </c>
    </row>
    <row r="1725" spans="1:18" x14ac:dyDescent="0.25">
      <c r="A1725" s="170">
        <v>44545</v>
      </c>
      <c r="B1725" s="116">
        <v>805.625</v>
      </c>
      <c r="C1725" s="116">
        <v>801.15</v>
      </c>
      <c r="D1725" s="116">
        <v>787.72500000000002</v>
      </c>
      <c r="E1725" s="116">
        <v>792.2</v>
      </c>
      <c r="F1725" s="116">
        <v>1602.3</v>
      </c>
      <c r="G1725">
        <v>953</v>
      </c>
      <c r="H1725" s="116"/>
      <c r="I1725" s="116"/>
      <c r="L1725" s="170">
        <v>44545</v>
      </c>
      <c r="M1725" s="116">
        <v>800.97500000000002</v>
      </c>
      <c r="N1725" s="116">
        <v>806.92499999999995</v>
      </c>
      <c r="O1725" s="116">
        <v>787.02499999999998</v>
      </c>
      <c r="P1725" s="116">
        <v>790</v>
      </c>
      <c r="Q1725" s="116">
        <v>1601.95</v>
      </c>
      <c r="R1725">
        <v>63146</v>
      </c>
    </row>
    <row r="1726" spans="1:18" x14ac:dyDescent="0.25">
      <c r="A1726" s="170">
        <v>44546</v>
      </c>
      <c r="B1726" s="116">
        <v>805</v>
      </c>
      <c r="C1726" s="116">
        <v>802.52499999999998</v>
      </c>
      <c r="D1726" s="116">
        <v>783</v>
      </c>
      <c r="E1726" s="116">
        <v>803.5</v>
      </c>
      <c r="F1726" s="116">
        <v>1605.05</v>
      </c>
      <c r="G1726">
        <v>3663</v>
      </c>
      <c r="H1726" s="116"/>
      <c r="I1726" s="116"/>
      <c r="L1726" s="170">
        <v>44546</v>
      </c>
      <c r="M1726" s="116">
        <v>801.375</v>
      </c>
      <c r="N1726" s="116">
        <v>809.95</v>
      </c>
      <c r="O1726" s="116">
        <v>783</v>
      </c>
      <c r="P1726" s="116">
        <v>805</v>
      </c>
      <c r="Q1726" s="116">
        <v>1602.75</v>
      </c>
      <c r="R1726">
        <v>114735</v>
      </c>
    </row>
    <row r="1727" spans="1:18" x14ac:dyDescent="0.25">
      <c r="A1727" s="170">
        <v>44547</v>
      </c>
      <c r="B1727" s="116">
        <v>801.65</v>
      </c>
      <c r="C1727" s="116">
        <v>798.2</v>
      </c>
      <c r="D1727" s="116">
        <v>794.25</v>
      </c>
      <c r="E1727" s="116">
        <v>799.75</v>
      </c>
      <c r="F1727" s="116">
        <v>1596.4</v>
      </c>
      <c r="G1727">
        <v>1805</v>
      </c>
      <c r="H1727" s="116"/>
      <c r="I1727" s="116"/>
      <c r="L1727" s="170">
        <v>44547</v>
      </c>
      <c r="M1727" s="116">
        <v>796.625</v>
      </c>
      <c r="N1727" s="116">
        <v>802.5</v>
      </c>
      <c r="O1727" s="116">
        <v>792.57500000000005</v>
      </c>
      <c r="P1727" s="116">
        <v>802.5</v>
      </c>
      <c r="Q1727" s="116">
        <v>1593.25</v>
      </c>
      <c r="R1727">
        <v>82796</v>
      </c>
    </row>
    <row r="1728" spans="1:18" x14ac:dyDescent="0.25">
      <c r="A1728" s="170">
        <v>44550</v>
      </c>
      <c r="B1728" s="116">
        <v>800</v>
      </c>
      <c r="C1728" s="116">
        <v>788.42499999999995</v>
      </c>
      <c r="D1728" s="116">
        <v>785.65</v>
      </c>
      <c r="E1728" s="116">
        <v>800</v>
      </c>
      <c r="F1728" s="116">
        <v>1576.85</v>
      </c>
      <c r="G1728">
        <v>5936</v>
      </c>
      <c r="H1728" s="116"/>
      <c r="I1728" s="116"/>
      <c r="L1728" s="170">
        <v>44550</v>
      </c>
      <c r="M1728" s="116">
        <v>789.57500000000005</v>
      </c>
      <c r="N1728" s="116">
        <v>802</v>
      </c>
      <c r="O1728" s="116">
        <v>775</v>
      </c>
      <c r="P1728" s="116">
        <v>802</v>
      </c>
      <c r="Q1728" s="116">
        <v>1579.15</v>
      </c>
      <c r="R1728">
        <v>260096</v>
      </c>
    </row>
    <row r="1729" spans="1:18" x14ac:dyDescent="0.25">
      <c r="A1729" s="170">
        <v>44551</v>
      </c>
      <c r="B1729" s="116">
        <v>793.6</v>
      </c>
      <c r="C1729" s="116">
        <v>783.4</v>
      </c>
      <c r="D1729" s="116">
        <v>775</v>
      </c>
      <c r="E1729" s="116">
        <v>775</v>
      </c>
      <c r="F1729" s="116">
        <v>1566.8</v>
      </c>
      <c r="G1729">
        <v>1155</v>
      </c>
      <c r="H1729" s="116"/>
      <c r="I1729" s="116"/>
      <c r="L1729" s="170">
        <v>44551</v>
      </c>
      <c r="M1729" s="116">
        <v>784.15</v>
      </c>
      <c r="N1729" s="116">
        <v>794.47500000000002</v>
      </c>
      <c r="O1729" s="116">
        <v>780.05</v>
      </c>
      <c r="P1729" s="116">
        <v>789</v>
      </c>
      <c r="Q1729" s="116">
        <v>1568.3</v>
      </c>
      <c r="R1729">
        <v>78508</v>
      </c>
    </row>
    <row r="1730" spans="1:18" x14ac:dyDescent="0.25">
      <c r="A1730" s="170">
        <v>44552</v>
      </c>
      <c r="B1730" s="116">
        <v>802.57500000000005</v>
      </c>
      <c r="C1730" s="116">
        <v>788.05</v>
      </c>
      <c r="D1730" s="116">
        <v>784.15</v>
      </c>
      <c r="E1730" s="116">
        <v>789.52499999999998</v>
      </c>
      <c r="F1730" s="116">
        <v>1576.1</v>
      </c>
      <c r="G1730">
        <v>1866</v>
      </c>
      <c r="H1730" s="116"/>
      <c r="I1730" s="116"/>
      <c r="L1730" s="170">
        <v>44552</v>
      </c>
      <c r="M1730" s="116">
        <v>789.17499999999995</v>
      </c>
      <c r="N1730" s="116">
        <v>802.9</v>
      </c>
      <c r="O1730" s="116">
        <v>783.77499999999998</v>
      </c>
      <c r="P1730" s="116">
        <v>788.07500000000005</v>
      </c>
      <c r="Q1730" s="116">
        <v>1578.35</v>
      </c>
      <c r="R1730">
        <v>102442</v>
      </c>
    </row>
    <row r="1731" spans="1:18" x14ac:dyDescent="0.25">
      <c r="A1731" s="170">
        <v>44553</v>
      </c>
      <c r="B1731" s="116">
        <v>864</v>
      </c>
      <c r="C1731" s="116">
        <v>852.8</v>
      </c>
      <c r="D1731" s="116">
        <v>788.25</v>
      </c>
      <c r="E1731" s="116">
        <v>792.27499999999998</v>
      </c>
      <c r="F1731" s="116">
        <v>1705.6</v>
      </c>
      <c r="G1731">
        <v>19439</v>
      </c>
      <c r="H1731" s="116"/>
      <c r="I1731" s="116"/>
      <c r="L1731" s="170">
        <v>44553</v>
      </c>
      <c r="M1731" s="116">
        <v>850.55</v>
      </c>
      <c r="N1731" s="116">
        <v>862.55</v>
      </c>
      <c r="O1731" s="116">
        <v>787.47500000000002</v>
      </c>
      <c r="P1731" s="116">
        <v>798.5</v>
      </c>
      <c r="Q1731" s="116">
        <v>1701.1</v>
      </c>
      <c r="R1731">
        <v>407256</v>
      </c>
    </row>
    <row r="1732" spans="1:18" x14ac:dyDescent="0.25">
      <c r="A1732" s="170">
        <v>44554</v>
      </c>
      <c r="B1732" s="116">
        <v>859</v>
      </c>
      <c r="C1732" s="116">
        <v>838.35</v>
      </c>
      <c r="D1732" s="116">
        <v>810</v>
      </c>
      <c r="E1732" s="116">
        <v>855.5</v>
      </c>
      <c r="F1732" s="116">
        <v>1676.7</v>
      </c>
      <c r="G1732">
        <v>12497</v>
      </c>
      <c r="H1732" s="116"/>
      <c r="I1732" s="116"/>
      <c r="L1732" s="170">
        <v>44554</v>
      </c>
      <c r="M1732" s="116">
        <v>840.77499999999998</v>
      </c>
      <c r="N1732" s="116">
        <v>859.9</v>
      </c>
      <c r="O1732" s="116">
        <v>809.625</v>
      </c>
      <c r="P1732" s="116">
        <v>854.4</v>
      </c>
      <c r="Q1732" s="116">
        <v>1681.55</v>
      </c>
      <c r="R1732">
        <v>215231</v>
      </c>
    </row>
    <row r="1733" spans="1:18" x14ac:dyDescent="0.25">
      <c r="A1733" s="170">
        <v>44557</v>
      </c>
      <c r="B1733" s="116">
        <v>836.2</v>
      </c>
      <c r="C1733" s="116">
        <v>833.22500000000002</v>
      </c>
      <c r="D1733" s="116">
        <v>822.95</v>
      </c>
      <c r="E1733" s="116">
        <v>830.92499999999995</v>
      </c>
      <c r="F1733" s="116">
        <v>1666.45</v>
      </c>
      <c r="G1733">
        <v>3525</v>
      </c>
      <c r="H1733" s="116"/>
      <c r="I1733" s="116"/>
      <c r="L1733" s="170">
        <v>44557</v>
      </c>
      <c r="M1733" s="116">
        <v>831.625</v>
      </c>
      <c r="N1733" s="116">
        <v>840.5</v>
      </c>
      <c r="O1733" s="116">
        <v>822.15</v>
      </c>
      <c r="P1733" s="116">
        <v>831</v>
      </c>
      <c r="Q1733" s="116">
        <v>1663.25</v>
      </c>
      <c r="R1733">
        <v>76549</v>
      </c>
    </row>
    <row r="1734" spans="1:18" x14ac:dyDescent="0.25">
      <c r="A1734" s="170">
        <v>44558</v>
      </c>
      <c r="B1734" s="116">
        <v>839.4</v>
      </c>
      <c r="C1734" s="116">
        <v>821.875</v>
      </c>
      <c r="D1734" s="116">
        <v>819</v>
      </c>
      <c r="E1734" s="116">
        <v>823</v>
      </c>
      <c r="F1734" s="116">
        <v>1643.75</v>
      </c>
      <c r="G1734">
        <v>3461</v>
      </c>
      <c r="H1734" s="116"/>
      <c r="I1734" s="116"/>
      <c r="L1734" s="170">
        <v>44558</v>
      </c>
      <c r="M1734" s="116">
        <v>822.92499999999995</v>
      </c>
      <c r="N1734" s="116">
        <v>840</v>
      </c>
      <c r="O1734" s="116">
        <v>817.52499999999998</v>
      </c>
      <c r="P1734" s="116">
        <v>831.625</v>
      </c>
      <c r="Q1734" s="116">
        <v>1645.85</v>
      </c>
      <c r="R1734">
        <v>26609</v>
      </c>
    </row>
    <row r="1735" spans="1:18" x14ac:dyDescent="0.25">
      <c r="A1735" s="170">
        <v>44559</v>
      </c>
      <c r="B1735" s="116">
        <v>846.97500000000002</v>
      </c>
      <c r="C1735" s="116">
        <v>834.7</v>
      </c>
      <c r="D1735" s="116">
        <v>825.5</v>
      </c>
      <c r="E1735" s="116">
        <v>825.5</v>
      </c>
      <c r="F1735" s="116">
        <v>1669.4</v>
      </c>
      <c r="G1735">
        <v>3143</v>
      </c>
      <c r="H1735" s="116"/>
      <c r="I1735" s="116"/>
      <c r="L1735" s="170">
        <v>44559</v>
      </c>
      <c r="M1735" s="116">
        <v>834.65</v>
      </c>
      <c r="N1735" s="116">
        <v>847.22500000000002</v>
      </c>
      <c r="O1735" s="116">
        <v>825</v>
      </c>
      <c r="P1735" s="116">
        <v>828.5</v>
      </c>
      <c r="Q1735" s="116">
        <v>1669.3</v>
      </c>
      <c r="R1735">
        <v>42605</v>
      </c>
    </row>
    <row r="1736" spans="1:18" x14ac:dyDescent="0.25">
      <c r="A1736" s="170">
        <v>44560</v>
      </c>
      <c r="B1736" s="116">
        <v>874.5</v>
      </c>
      <c r="C1736" s="116">
        <v>870.85</v>
      </c>
      <c r="D1736" s="116">
        <v>828.47500000000002</v>
      </c>
      <c r="E1736" s="116">
        <v>849</v>
      </c>
      <c r="F1736" s="116">
        <v>1741.7</v>
      </c>
      <c r="G1736">
        <v>9882</v>
      </c>
      <c r="H1736" s="116"/>
      <c r="I1736" s="116"/>
      <c r="L1736" s="170">
        <v>44560</v>
      </c>
      <c r="M1736" s="116">
        <v>871</v>
      </c>
      <c r="N1736" s="116">
        <v>875</v>
      </c>
      <c r="O1736" s="116">
        <v>829.25</v>
      </c>
      <c r="P1736" s="116">
        <v>834.65</v>
      </c>
      <c r="Q1736" s="116">
        <v>1742</v>
      </c>
      <c r="R1736">
        <v>153972</v>
      </c>
    </row>
    <row r="1737" spans="1:18" x14ac:dyDescent="0.25">
      <c r="A1737" s="170">
        <v>44561</v>
      </c>
      <c r="B1737" s="116">
        <v>903.82500000000005</v>
      </c>
      <c r="C1737" s="116">
        <v>888.8</v>
      </c>
      <c r="D1737" s="116">
        <v>857.67499999999995</v>
      </c>
      <c r="E1737" s="116">
        <v>862.17499999999995</v>
      </c>
      <c r="F1737" s="116">
        <v>1777.6</v>
      </c>
      <c r="G1737">
        <v>5003</v>
      </c>
      <c r="H1737" s="116"/>
      <c r="I1737" s="116"/>
      <c r="L1737" s="170">
        <v>44561</v>
      </c>
      <c r="M1737" s="116">
        <v>889.85</v>
      </c>
      <c r="N1737" s="116">
        <v>903.15</v>
      </c>
      <c r="O1737" s="116">
        <v>857.5</v>
      </c>
      <c r="P1737" s="116">
        <v>871</v>
      </c>
      <c r="Q1737" s="116">
        <v>1779.7</v>
      </c>
      <c r="R1737">
        <v>193578</v>
      </c>
    </row>
    <row r="1738" spans="1:18" x14ac:dyDescent="0.25">
      <c r="A1738" s="170">
        <v>44564</v>
      </c>
      <c r="B1738" s="116">
        <v>901.35</v>
      </c>
      <c r="C1738" s="116">
        <v>874.82500000000005</v>
      </c>
      <c r="D1738" s="116">
        <v>872.6</v>
      </c>
      <c r="E1738" s="116">
        <v>890</v>
      </c>
      <c r="F1738" s="116">
        <v>1749.65</v>
      </c>
      <c r="G1738">
        <v>3269</v>
      </c>
      <c r="H1738" s="116"/>
      <c r="I1738" s="116"/>
      <c r="L1738" s="170">
        <v>44564</v>
      </c>
      <c r="M1738" s="116">
        <v>874.75</v>
      </c>
      <c r="N1738" s="116">
        <v>902.25</v>
      </c>
      <c r="O1738" s="116">
        <v>872.5</v>
      </c>
      <c r="P1738" s="116">
        <v>896.9</v>
      </c>
      <c r="Q1738" s="116">
        <v>1749.5</v>
      </c>
      <c r="R1738">
        <v>91669</v>
      </c>
    </row>
    <row r="1739" spans="1:18" x14ac:dyDescent="0.25">
      <c r="A1739" s="170">
        <v>44565</v>
      </c>
      <c r="B1739" s="116">
        <v>882.65</v>
      </c>
      <c r="C1739" s="116">
        <v>861.75</v>
      </c>
      <c r="D1739" s="116">
        <v>855.875</v>
      </c>
      <c r="E1739" s="116">
        <v>875.22500000000002</v>
      </c>
      <c r="F1739" s="116">
        <v>1723.5</v>
      </c>
      <c r="G1739">
        <v>5334</v>
      </c>
      <c r="H1739" s="116"/>
      <c r="I1739" s="116"/>
      <c r="L1739" s="170">
        <v>44565</v>
      </c>
      <c r="M1739" s="116">
        <v>861.65</v>
      </c>
      <c r="N1739" s="116">
        <v>883.27499999999998</v>
      </c>
      <c r="O1739" s="116">
        <v>855.5</v>
      </c>
      <c r="P1739" s="116">
        <v>879.125</v>
      </c>
      <c r="Q1739" s="116">
        <v>1723.3</v>
      </c>
      <c r="R1739">
        <v>88550</v>
      </c>
    </row>
    <row r="1740" spans="1:18" x14ac:dyDescent="0.25">
      <c r="A1740" s="170">
        <v>44566</v>
      </c>
      <c r="B1740" s="116">
        <v>867.7</v>
      </c>
      <c r="C1740" s="116">
        <v>854</v>
      </c>
      <c r="D1740" s="116">
        <v>850.07500000000005</v>
      </c>
      <c r="E1740" s="116">
        <v>861.75</v>
      </c>
      <c r="F1740" s="116">
        <v>1708</v>
      </c>
      <c r="G1740">
        <v>3039</v>
      </c>
      <c r="H1740" s="116"/>
      <c r="I1740" s="116"/>
      <c r="L1740" s="170">
        <v>44566</v>
      </c>
      <c r="M1740" s="116">
        <v>855.67499999999995</v>
      </c>
      <c r="N1740" s="116">
        <v>867.97500000000002</v>
      </c>
      <c r="O1740" s="116">
        <v>850.5</v>
      </c>
      <c r="P1740" s="116">
        <v>862.375</v>
      </c>
      <c r="Q1740" s="116">
        <v>1711.35</v>
      </c>
      <c r="R1740">
        <v>39127</v>
      </c>
    </row>
    <row r="1741" spans="1:18" x14ac:dyDescent="0.25">
      <c r="A1741" s="170">
        <v>44567</v>
      </c>
      <c r="B1741" s="116">
        <v>853.85</v>
      </c>
      <c r="C1741" s="116">
        <v>843.25</v>
      </c>
      <c r="D1741" s="116">
        <v>838.5</v>
      </c>
      <c r="E1741" s="116">
        <v>853.85</v>
      </c>
      <c r="F1741" s="116">
        <v>1686.5</v>
      </c>
      <c r="G1741">
        <v>2055</v>
      </c>
      <c r="H1741" s="116"/>
      <c r="I1741" s="116"/>
      <c r="L1741" s="170">
        <v>44567</v>
      </c>
      <c r="M1741" s="116">
        <v>842.22500000000002</v>
      </c>
      <c r="N1741" s="116">
        <v>855.67499999999995</v>
      </c>
      <c r="O1741" s="116">
        <v>838</v>
      </c>
      <c r="P1741" s="116">
        <v>855.67499999999995</v>
      </c>
      <c r="Q1741" s="116">
        <v>1684.45</v>
      </c>
      <c r="R1741">
        <v>38430</v>
      </c>
    </row>
    <row r="1742" spans="1:18" x14ac:dyDescent="0.25">
      <c r="A1742" s="170">
        <v>44568</v>
      </c>
      <c r="B1742" s="116">
        <v>841.05</v>
      </c>
      <c r="C1742" s="116">
        <v>825.35</v>
      </c>
      <c r="D1742" s="116">
        <v>819.5</v>
      </c>
      <c r="E1742" s="116">
        <v>839.3</v>
      </c>
      <c r="F1742" s="116">
        <v>1650.7</v>
      </c>
      <c r="G1742">
        <v>5003</v>
      </c>
      <c r="H1742" s="116"/>
      <c r="I1742" s="116"/>
      <c r="L1742" s="170">
        <v>44568</v>
      </c>
      <c r="M1742" s="116">
        <v>825.32500000000005</v>
      </c>
      <c r="N1742" s="116">
        <v>845.02499999999998</v>
      </c>
      <c r="O1742" s="116">
        <v>820.52499999999998</v>
      </c>
      <c r="P1742" s="116">
        <v>835.5</v>
      </c>
      <c r="Q1742" s="116">
        <v>1650.65</v>
      </c>
      <c r="R1742">
        <v>77573</v>
      </c>
    </row>
    <row r="1743" spans="1:18" x14ac:dyDescent="0.25">
      <c r="A1743" s="170">
        <v>44571</v>
      </c>
      <c r="B1743" s="116">
        <v>856.9</v>
      </c>
      <c r="C1743" s="116">
        <v>852.5</v>
      </c>
      <c r="D1743" s="116">
        <v>822.7</v>
      </c>
      <c r="E1743" s="116">
        <v>822.7</v>
      </c>
      <c r="F1743" s="116">
        <v>1705</v>
      </c>
      <c r="G1743">
        <v>5692</v>
      </c>
      <c r="H1743" s="116"/>
      <c r="I1743" s="116"/>
      <c r="L1743" s="170">
        <v>44571</v>
      </c>
      <c r="M1743" s="116">
        <v>853.17499999999995</v>
      </c>
      <c r="N1743" s="116">
        <v>857.9</v>
      </c>
      <c r="O1743" s="116">
        <v>826.375</v>
      </c>
      <c r="P1743" s="116">
        <v>827.5</v>
      </c>
      <c r="Q1743" s="116">
        <v>1706.35</v>
      </c>
      <c r="R1743">
        <v>43559</v>
      </c>
    </row>
    <row r="1744" spans="1:18" x14ac:dyDescent="0.25">
      <c r="A1744" s="170">
        <v>44572</v>
      </c>
      <c r="B1744" s="116">
        <v>876.57500000000005</v>
      </c>
      <c r="C1744" s="116">
        <v>871.57500000000005</v>
      </c>
      <c r="D1744" s="116">
        <v>847.95</v>
      </c>
      <c r="E1744" s="116">
        <v>850</v>
      </c>
      <c r="F1744" s="116">
        <v>1743.15</v>
      </c>
      <c r="G1744">
        <v>7252</v>
      </c>
      <c r="H1744" s="116"/>
      <c r="I1744" s="116"/>
      <c r="L1744" s="170">
        <v>44572</v>
      </c>
      <c r="M1744" s="116">
        <v>872.2</v>
      </c>
      <c r="N1744" s="116">
        <v>875</v>
      </c>
      <c r="O1744" s="116">
        <v>845.5</v>
      </c>
      <c r="P1744" s="116">
        <v>855</v>
      </c>
      <c r="Q1744" s="116">
        <v>1744.4</v>
      </c>
      <c r="R1744">
        <v>96512</v>
      </c>
    </row>
    <row r="1745" spans="1:18" x14ac:dyDescent="0.25">
      <c r="A1745" s="170">
        <v>44573</v>
      </c>
      <c r="B1745" s="116">
        <v>873.8</v>
      </c>
      <c r="C1745" s="116">
        <v>854.42499999999995</v>
      </c>
      <c r="D1745" s="116">
        <v>850.125</v>
      </c>
      <c r="E1745" s="116">
        <v>872.32500000000005</v>
      </c>
      <c r="F1745" s="116">
        <v>1708.85</v>
      </c>
      <c r="G1745">
        <v>3628</v>
      </c>
      <c r="H1745" s="116"/>
      <c r="I1745" s="116"/>
      <c r="L1745" s="170">
        <v>44573</v>
      </c>
      <c r="M1745" s="116">
        <v>853.5</v>
      </c>
      <c r="N1745" s="116">
        <v>875.05</v>
      </c>
      <c r="O1745" s="116">
        <v>850</v>
      </c>
      <c r="P1745" s="116">
        <v>874.5</v>
      </c>
      <c r="Q1745" s="116">
        <v>1707</v>
      </c>
      <c r="R1745">
        <v>147289</v>
      </c>
    </row>
    <row r="1746" spans="1:18" x14ac:dyDescent="0.25">
      <c r="A1746" s="170">
        <v>44574</v>
      </c>
      <c r="B1746" s="116">
        <v>862.2</v>
      </c>
      <c r="C1746" s="116">
        <v>857.875</v>
      </c>
      <c r="D1746" s="116">
        <v>851.1</v>
      </c>
      <c r="E1746" s="116">
        <v>855.3</v>
      </c>
      <c r="F1746" s="116">
        <v>1715.75</v>
      </c>
      <c r="G1746">
        <v>5098</v>
      </c>
      <c r="H1746" s="116"/>
      <c r="I1746" s="116"/>
      <c r="L1746" s="170">
        <v>44574</v>
      </c>
      <c r="M1746" s="116">
        <v>857.92499999999995</v>
      </c>
      <c r="N1746" s="116">
        <v>862.85</v>
      </c>
      <c r="O1746" s="116">
        <v>851.67499999999995</v>
      </c>
      <c r="P1746" s="116">
        <v>853.5</v>
      </c>
      <c r="Q1746" s="116">
        <v>1715.85</v>
      </c>
      <c r="R1746">
        <v>42524</v>
      </c>
    </row>
    <row r="1747" spans="1:18" x14ac:dyDescent="0.25">
      <c r="A1747" s="170">
        <v>44575</v>
      </c>
      <c r="B1747" s="116">
        <v>869.05</v>
      </c>
      <c r="C1747" s="116">
        <v>863.32500000000005</v>
      </c>
      <c r="D1747" s="116">
        <v>850.02499999999998</v>
      </c>
      <c r="E1747" s="116">
        <v>850.02499999999998</v>
      </c>
      <c r="F1747" s="116">
        <v>1726.65</v>
      </c>
      <c r="G1747">
        <v>3860</v>
      </c>
      <c r="H1747" s="116"/>
      <c r="I1747" s="116"/>
      <c r="L1747" s="170">
        <v>44575</v>
      </c>
      <c r="M1747" s="116">
        <v>863.45</v>
      </c>
      <c r="N1747" s="116">
        <v>868.5</v>
      </c>
      <c r="O1747" s="116">
        <v>854.42499999999995</v>
      </c>
      <c r="P1747" s="116">
        <v>860</v>
      </c>
      <c r="Q1747" s="116">
        <v>1726.9</v>
      </c>
      <c r="R1747">
        <v>41360</v>
      </c>
    </row>
    <row r="1748" spans="1:18" x14ac:dyDescent="0.25">
      <c r="A1748" s="170">
        <v>44578</v>
      </c>
      <c r="B1748" s="116">
        <v>873.6</v>
      </c>
      <c r="C1748" s="116">
        <v>866.42499999999995</v>
      </c>
      <c r="D1748" s="116">
        <v>861.7</v>
      </c>
      <c r="E1748" s="116">
        <v>864.15</v>
      </c>
      <c r="F1748" s="116">
        <v>1732.85</v>
      </c>
      <c r="G1748">
        <v>4074</v>
      </c>
      <c r="H1748" s="116"/>
      <c r="I1748" s="116"/>
      <c r="L1748" s="170">
        <v>44578</v>
      </c>
      <c r="M1748" s="116">
        <v>866.2</v>
      </c>
      <c r="N1748" s="116">
        <v>874</v>
      </c>
      <c r="O1748" s="116">
        <v>861.375</v>
      </c>
      <c r="P1748" s="116">
        <v>863.45</v>
      </c>
      <c r="Q1748" s="116">
        <v>1732.4</v>
      </c>
      <c r="R1748">
        <v>31390</v>
      </c>
    </row>
    <row r="1749" spans="1:18" x14ac:dyDescent="0.25">
      <c r="A1749" s="170">
        <v>44579</v>
      </c>
      <c r="B1749" s="116">
        <v>871.5</v>
      </c>
      <c r="C1749" s="116">
        <v>869.52499999999998</v>
      </c>
      <c r="D1749" s="116">
        <v>858.67499999999995</v>
      </c>
      <c r="E1749" s="116">
        <v>869.82500000000005</v>
      </c>
      <c r="F1749" s="116">
        <v>1739.05</v>
      </c>
      <c r="G1749">
        <v>5750</v>
      </c>
      <c r="H1749" s="116"/>
      <c r="I1749" s="116"/>
      <c r="L1749" s="170">
        <v>44579</v>
      </c>
      <c r="M1749" s="116">
        <v>869.9</v>
      </c>
      <c r="N1749" s="116">
        <v>874</v>
      </c>
      <c r="O1749" s="116">
        <v>858.45</v>
      </c>
      <c r="P1749" s="116">
        <v>865.3</v>
      </c>
      <c r="Q1749" s="116">
        <v>1739.8</v>
      </c>
      <c r="R1749">
        <v>35576</v>
      </c>
    </row>
    <row r="1750" spans="1:18" x14ac:dyDescent="0.25">
      <c r="A1750" s="170">
        <v>44580</v>
      </c>
      <c r="B1750" s="116">
        <v>880.1</v>
      </c>
      <c r="C1750" s="116">
        <v>876.72500000000002</v>
      </c>
      <c r="D1750" s="116">
        <v>859.85</v>
      </c>
      <c r="E1750" s="116">
        <v>865.3</v>
      </c>
      <c r="F1750" s="116">
        <v>1753.45</v>
      </c>
      <c r="G1750">
        <v>3656</v>
      </c>
      <c r="H1750" s="116"/>
      <c r="I1750" s="116"/>
      <c r="L1750" s="170">
        <v>44580</v>
      </c>
      <c r="M1750" s="116">
        <v>877.1</v>
      </c>
      <c r="N1750" s="116">
        <v>880</v>
      </c>
      <c r="O1750" s="116">
        <v>859.07500000000005</v>
      </c>
      <c r="P1750" s="116">
        <v>873.5</v>
      </c>
      <c r="Q1750" s="116">
        <v>1754.2</v>
      </c>
      <c r="R1750">
        <v>61596</v>
      </c>
    </row>
    <row r="1751" spans="1:18" x14ac:dyDescent="0.25">
      <c r="A1751" s="170">
        <v>44581</v>
      </c>
      <c r="B1751" s="116">
        <v>881</v>
      </c>
      <c r="C1751" s="116">
        <v>875.57500000000005</v>
      </c>
      <c r="D1751" s="116">
        <v>862.5</v>
      </c>
      <c r="E1751" s="116">
        <v>872.27499999999998</v>
      </c>
      <c r="F1751" s="116">
        <v>1751.15</v>
      </c>
      <c r="G1751">
        <v>2724</v>
      </c>
      <c r="H1751" s="116"/>
      <c r="I1751" s="116"/>
      <c r="L1751" s="170">
        <v>44581</v>
      </c>
      <c r="M1751" s="116">
        <v>875.02499999999998</v>
      </c>
      <c r="N1751" s="116">
        <v>881.47500000000002</v>
      </c>
      <c r="O1751" s="116">
        <v>861.9</v>
      </c>
      <c r="P1751" s="116">
        <v>877.5</v>
      </c>
      <c r="Q1751" s="116">
        <v>1750.05</v>
      </c>
      <c r="R1751">
        <v>60888</v>
      </c>
    </row>
    <row r="1752" spans="1:18" x14ac:dyDescent="0.25">
      <c r="A1752" s="170">
        <v>44582</v>
      </c>
      <c r="B1752" s="116">
        <v>882.97500000000002</v>
      </c>
      <c r="C1752" s="116">
        <v>879.9</v>
      </c>
      <c r="D1752" s="116">
        <v>860.52499999999998</v>
      </c>
      <c r="E1752" s="116">
        <v>860.52499999999998</v>
      </c>
      <c r="F1752" s="116">
        <v>1759.8</v>
      </c>
      <c r="G1752">
        <v>6302</v>
      </c>
      <c r="H1752" s="116"/>
      <c r="I1752" s="116"/>
      <c r="L1752" s="170">
        <v>44582</v>
      </c>
      <c r="M1752" s="116">
        <v>880.2</v>
      </c>
      <c r="N1752" s="116">
        <v>883</v>
      </c>
      <c r="O1752" s="116">
        <v>862.5</v>
      </c>
      <c r="P1752" s="116">
        <v>875</v>
      </c>
      <c r="Q1752" s="116">
        <v>1760.4</v>
      </c>
      <c r="R1752">
        <v>48734</v>
      </c>
    </row>
    <row r="1753" spans="1:18" x14ac:dyDescent="0.25">
      <c r="A1753" s="170">
        <v>44585</v>
      </c>
      <c r="B1753" s="116">
        <v>880</v>
      </c>
      <c r="C1753" s="116">
        <v>862.375</v>
      </c>
      <c r="D1753" s="116">
        <v>860.02499999999998</v>
      </c>
      <c r="E1753" s="116">
        <v>880</v>
      </c>
      <c r="F1753" s="116">
        <v>1724.75</v>
      </c>
      <c r="G1753">
        <v>5483</v>
      </c>
      <c r="H1753" s="116"/>
      <c r="I1753" s="116"/>
      <c r="L1753" s="170">
        <v>44585</v>
      </c>
      <c r="M1753" s="116">
        <v>862.9</v>
      </c>
      <c r="N1753" s="116">
        <v>880.1</v>
      </c>
      <c r="O1753" s="116">
        <v>859</v>
      </c>
      <c r="P1753" s="116">
        <v>880.1</v>
      </c>
      <c r="Q1753" s="116">
        <v>1725.8</v>
      </c>
      <c r="R1753">
        <v>40533</v>
      </c>
    </row>
    <row r="1754" spans="1:18" x14ac:dyDescent="0.25">
      <c r="A1754" s="170">
        <v>44586</v>
      </c>
      <c r="B1754" s="116">
        <v>875</v>
      </c>
      <c r="C1754" s="116">
        <v>864.27499999999998</v>
      </c>
      <c r="D1754" s="116">
        <v>847.625</v>
      </c>
      <c r="E1754" s="116">
        <v>854.52499999999998</v>
      </c>
      <c r="F1754" s="116">
        <v>1728.55</v>
      </c>
      <c r="G1754">
        <v>3762</v>
      </c>
      <c r="H1754" s="116"/>
      <c r="I1754" s="116"/>
      <c r="L1754" s="170">
        <v>44586</v>
      </c>
      <c r="M1754" s="116">
        <v>865.47500000000002</v>
      </c>
      <c r="N1754" s="116">
        <v>875</v>
      </c>
      <c r="O1754" s="116">
        <v>847.02499999999998</v>
      </c>
      <c r="P1754" s="116">
        <v>850</v>
      </c>
      <c r="Q1754" s="116">
        <v>1730.95</v>
      </c>
      <c r="R1754">
        <v>34782</v>
      </c>
    </row>
    <row r="1755" spans="1:18" x14ac:dyDescent="0.25">
      <c r="A1755" s="170">
        <v>44588</v>
      </c>
      <c r="B1755" s="116">
        <v>913.1</v>
      </c>
      <c r="C1755" s="116">
        <v>905.25</v>
      </c>
      <c r="D1755" s="116">
        <v>860.5</v>
      </c>
      <c r="E1755" s="116">
        <v>865</v>
      </c>
      <c r="F1755" s="116">
        <v>1810.5</v>
      </c>
      <c r="G1755">
        <v>11237</v>
      </c>
      <c r="H1755" s="116"/>
      <c r="I1755" s="116"/>
      <c r="L1755" s="170">
        <v>44588</v>
      </c>
      <c r="M1755" s="116">
        <v>904.82500000000005</v>
      </c>
      <c r="N1755" s="116">
        <v>914</v>
      </c>
      <c r="O1755" s="116">
        <v>855</v>
      </c>
      <c r="P1755" s="116">
        <v>862.5</v>
      </c>
      <c r="Q1755" s="116">
        <v>1809.65</v>
      </c>
      <c r="R1755">
        <v>176015</v>
      </c>
    </row>
    <row r="1756" spans="1:18" x14ac:dyDescent="0.25">
      <c r="A1756" s="170">
        <v>44589</v>
      </c>
      <c r="B1756" s="116">
        <v>908.97500000000002</v>
      </c>
      <c r="C1756" s="116">
        <v>875.52499999999998</v>
      </c>
      <c r="D1756" s="116">
        <v>837.3</v>
      </c>
      <c r="E1756" s="116">
        <v>906.5</v>
      </c>
      <c r="F1756" s="116">
        <v>1751.05</v>
      </c>
      <c r="G1756">
        <v>11860</v>
      </c>
      <c r="H1756" s="116"/>
      <c r="I1756" s="116"/>
      <c r="L1756" s="170">
        <v>44589</v>
      </c>
      <c r="M1756" s="116">
        <v>879.55</v>
      </c>
      <c r="N1756" s="116">
        <v>912.5</v>
      </c>
      <c r="O1756" s="116">
        <v>837.35</v>
      </c>
      <c r="P1756" s="116">
        <v>912.5</v>
      </c>
      <c r="Q1756" s="116">
        <v>1759.1</v>
      </c>
      <c r="R1756">
        <v>334996</v>
      </c>
    </row>
    <row r="1757" spans="1:18" x14ac:dyDescent="0.25">
      <c r="A1757" s="170">
        <v>44592</v>
      </c>
      <c r="B1757" s="116">
        <v>889.625</v>
      </c>
      <c r="C1757" s="116">
        <v>869.17499999999995</v>
      </c>
      <c r="D1757" s="116">
        <v>860.3</v>
      </c>
      <c r="E1757" s="116">
        <v>887.5</v>
      </c>
      <c r="F1757" s="116">
        <v>1738.35</v>
      </c>
      <c r="G1757">
        <v>2631</v>
      </c>
      <c r="H1757" s="116"/>
      <c r="I1757" s="116"/>
      <c r="L1757" s="170">
        <v>44592</v>
      </c>
      <c r="M1757" s="116">
        <v>870.35</v>
      </c>
      <c r="N1757" s="116">
        <v>892.75</v>
      </c>
      <c r="O1757" s="116">
        <v>860</v>
      </c>
      <c r="P1757" s="116">
        <v>892.75</v>
      </c>
      <c r="Q1757" s="116">
        <v>1740.7</v>
      </c>
      <c r="R1757">
        <v>196252</v>
      </c>
    </row>
    <row r="1758" spans="1:18" x14ac:dyDescent="0.25">
      <c r="A1758" s="170">
        <v>44593</v>
      </c>
      <c r="B1758" s="116">
        <v>895.02499999999998</v>
      </c>
      <c r="C1758" s="116">
        <v>891.77499999999998</v>
      </c>
      <c r="D1758" s="116">
        <v>872.22500000000002</v>
      </c>
      <c r="E1758" s="116">
        <v>872.55</v>
      </c>
      <c r="F1758" s="116">
        <v>1783.55</v>
      </c>
      <c r="G1758">
        <v>4003</v>
      </c>
      <c r="H1758" s="116"/>
      <c r="I1758" s="116"/>
      <c r="L1758" s="170">
        <v>44593</v>
      </c>
      <c r="M1758" s="116">
        <v>891.8</v>
      </c>
      <c r="N1758" s="116">
        <v>896.15</v>
      </c>
      <c r="O1758" s="116">
        <v>870.55</v>
      </c>
      <c r="P1758" s="116">
        <v>872.5</v>
      </c>
      <c r="Q1758" s="116">
        <v>1783.6</v>
      </c>
      <c r="R1758">
        <v>158085</v>
      </c>
    </row>
    <row r="1759" spans="1:18" x14ac:dyDescent="0.25">
      <c r="A1759" s="170">
        <v>44594</v>
      </c>
      <c r="B1759" s="116">
        <v>936.5</v>
      </c>
      <c r="C1759" s="116">
        <v>922.6</v>
      </c>
      <c r="D1759" s="116">
        <v>883.32500000000005</v>
      </c>
      <c r="E1759" s="116">
        <v>897.3</v>
      </c>
      <c r="F1759" s="116">
        <v>1845.2</v>
      </c>
      <c r="G1759">
        <v>7920</v>
      </c>
      <c r="H1759" s="116"/>
      <c r="I1759" s="116"/>
      <c r="L1759" s="170">
        <v>44594</v>
      </c>
      <c r="M1759" s="116">
        <v>921.375</v>
      </c>
      <c r="N1759" s="116">
        <v>937.5</v>
      </c>
      <c r="O1759" s="116">
        <v>882.22500000000002</v>
      </c>
      <c r="P1759" s="116">
        <v>891.8</v>
      </c>
      <c r="Q1759" s="116">
        <v>1842.75</v>
      </c>
      <c r="R1759">
        <v>209238</v>
      </c>
    </row>
    <row r="1760" spans="1:18" x14ac:dyDescent="0.25">
      <c r="A1760" s="170">
        <v>44595</v>
      </c>
      <c r="B1760" s="116">
        <v>925.5</v>
      </c>
      <c r="C1760" s="116">
        <v>912.22500000000002</v>
      </c>
      <c r="D1760" s="116">
        <v>904.9</v>
      </c>
      <c r="E1760" s="116">
        <v>925.5</v>
      </c>
      <c r="F1760" s="116">
        <v>1824.45</v>
      </c>
      <c r="G1760">
        <v>4032</v>
      </c>
      <c r="H1760" s="116"/>
      <c r="I1760" s="116"/>
      <c r="L1760" s="170">
        <v>44595</v>
      </c>
      <c r="M1760" s="116">
        <v>912.32500000000005</v>
      </c>
      <c r="N1760" s="116">
        <v>927.45</v>
      </c>
      <c r="O1760" s="116">
        <v>905</v>
      </c>
      <c r="P1760" s="116">
        <v>924</v>
      </c>
      <c r="Q1760" s="116">
        <v>1824.65</v>
      </c>
      <c r="R1760">
        <v>114215</v>
      </c>
    </row>
    <row r="1761" spans="1:18" x14ac:dyDescent="0.25">
      <c r="A1761" s="170">
        <v>44596</v>
      </c>
      <c r="B1761" s="116">
        <v>923.97500000000002</v>
      </c>
      <c r="C1761" s="116">
        <v>879.7</v>
      </c>
      <c r="D1761" s="116">
        <v>870.52499999999998</v>
      </c>
      <c r="E1761" s="116">
        <v>900.05</v>
      </c>
      <c r="F1761" s="116">
        <v>1759.4</v>
      </c>
      <c r="G1761">
        <v>2264</v>
      </c>
      <c r="H1761" s="116"/>
      <c r="I1761" s="116"/>
      <c r="L1761" s="170">
        <v>44596</v>
      </c>
      <c r="M1761" s="116">
        <v>880.15</v>
      </c>
      <c r="N1761" s="116">
        <v>924.5</v>
      </c>
      <c r="O1761" s="116">
        <v>870</v>
      </c>
      <c r="P1761" s="116">
        <v>908</v>
      </c>
      <c r="Q1761" s="116">
        <v>1760.3</v>
      </c>
      <c r="R1761">
        <v>85382</v>
      </c>
    </row>
    <row r="1762" spans="1:18" x14ac:dyDescent="0.25">
      <c r="A1762" s="170">
        <v>44599</v>
      </c>
      <c r="B1762" s="116">
        <v>884.25</v>
      </c>
      <c r="C1762" s="116">
        <v>866.625</v>
      </c>
      <c r="D1762" s="116">
        <v>861.1</v>
      </c>
      <c r="E1762" s="116">
        <v>882.5</v>
      </c>
      <c r="F1762" s="116">
        <v>1733.25</v>
      </c>
      <c r="G1762">
        <v>2417</v>
      </c>
      <c r="H1762" s="116"/>
      <c r="I1762" s="116"/>
      <c r="L1762" s="170">
        <v>44599</v>
      </c>
      <c r="M1762" s="116">
        <v>866.17499999999995</v>
      </c>
      <c r="N1762" s="116">
        <v>893.25</v>
      </c>
      <c r="O1762" s="116">
        <v>860.15</v>
      </c>
      <c r="P1762" s="116">
        <v>893.25</v>
      </c>
      <c r="Q1762" s="116">
        <v>1732.35</v>
      </c>
      <c r="R1762">
        <v>48474</v>
      </c>
    </row>
    <row r="1763" spans="1:18" x14ac:dyDescent="0.25">
      <c r="A1763" s="170">
        <v>44600</v>
      </c>
      <c r="B1763" s="116">
        <v>896.5</v>
      </c>
      <c r="C1763" s="116">
        <v>880</v>
      </c>
      <c r="D1763" s="116">
        <v>853.4</v>
      </c>
      <c r="E1763" s="116">
        <v>870.95</v>
      </c>
      <c r="F1763" s="116">
        <v>1760</v>
      </c>
      <c r="G1763">
        <v>5613</v>
      </c>
      <c r="H1763" s="116"/>
      <c r="I1763" s="116"/>
      <c r="L1763" s="170">
        <v>44600</v>
      </c>
      <c r="M1763" s="116">
        <v>879.72500000000002</v>
      </c>
      <c r="N1763" s="116">
        <v>895.35</v>
      </c>
      <c r="O1763" s="116">
        <v>853</v>
      </c>
      <c r="P1763" s="116">
        <v>867.5</v>
      </c>
      <c r="Q1763" s="116">
        <v>1759.45</v>
      </c>
      <c r="R1763">
        <v>108232</v>
      </c>
    </row>
    <row r="1764" spans="1:18" x14ac:dyDescent="0.25">
      <c r="A1764" s="170">
        <v>44601</v>
      </c>
      <c r="B1764" s="116">
        <v>894.52499999999998</v>
      </c>
      <c r="C1764" s="116">
        <v>879.07500000000005</v>
      </c>
      <c r="D1764" s="116">
        <v>876.125</v>
      </c>
      <c r="E1764" s="116">
        <v>877.6</v>
      </c>
      <c r="F1764" s="116">
        <v>1758.15</v>
      </c>
      <c r="G1764">
        <v>2219</v>
      </c>
      <c r="H1764" s="116"/>
      <c r="I1764" s="116"/>
      <c r="L1764" s="170">
        <v>44601</v>
      </c>
      <c r="M1764" s="116">
        <v>881.32500000000005</v>
      </c>
      <c r="N1764" s="116">
        <v>895.67499999999995</v>
      </c>
      <c r="O1764" s="116">
        <v>876.07500000000005</v>
      </c>
      <c r="P1764" s="116">
        <v>884.32500000000005</v>
      </c>
      <c r="Q1764" s="116">
        <v>1762.65</v>
      </c>
      <c r="R1764">
        <v>28828</v>
      </c>
    </row>
    <row r="1765" spans="1:18" x14ac:dyDescent="0.25">
      <c r="A1765" s="170">
        <v>44602</v>
      </c>
      <c r="B1765" s="116">
        <v>884.75</v>
      </c>
      <c r="C1765" s="116">
        <v>878.15</v>
      </c>
      <c r="D1765" s="116">
        <v>873.72500000000002</v>
      </c>
      <c r="E1765" s="116">
        <v>876.8</v>
      </c>
      <c r="F1765" s="116">
        <v>1756.3</v>
      </c>
      <c r="G1765">
        <v>15527</v>
      </c>
      <c r="H1765" s="116"/>
      <c r="I1765" s="116"/>
      <c r="L1765" s="170">
        <v>44602</v>
      </c>
      <c r="M1765" s="116">
        <v>879.27499999999998</v>
      </c>
      <c r="N1765" s="116">
        <v>884.375</v>
      </c>
      <c r="O1765" s="116">
        <v>872.5</v>
      </c>
      <c r="P1765" s="116">
        <v>873.3</v>
      </c>
      <c r="Q1765" s="116">
        <v>1758.55</v>
      </c>
      <c r="R1765">
        <v>46535</v>
      </c>
    </row>
    <row r="1766" spans="1:18" x14ac:dyDescent="0.25">
      <c r="A1766" s="170">
        <v>44603</v>
      </c>
      <c r="B1766" s="116">
        <v>892</v>
      </c>
      <c r="C1766" s="116">
        <v>852.25</v>
      </c>
      <c r="D1766" s="116">
        <v>847.05</v>
      </c>
      <c r="E1766" s="116">
        <v>872.625</v>
      </c>
      <c r="F1766" s="116">
        <v>1704.5</v>
      </c>
      <c r="G1766">
        <v>2873</v>
      </c>
      <c r="H1766" s="116"/>
      <c r="I1766" s="116"/>
      <c r="L1766" s="170">
        <v>44603</v>
      </c>
      <c r="M1766" s="116">
        <v>852.875</v>
      </c>
      <c r="N1766" s="116">
        <v>892.5</v>
      </c>
      <c r="O1766" s="116">
        <v>847.5</v>
      </c>
      <c r="P1766" s="116">
        <v>872.5</v>
      </c>
      <c r="Q1766" s="116">
        <v>1705.75</v>
      </c>
      <c r="R1766">
        <v>59339</v>
      </c>
    </row>
    <row r="1767" spans="1:18" x14ac:dyDescent="0.25">
      <c r="A1767" s="170">
        <v>44606</v>
      </c>
      <c r="B1767" s="116">
        <v>897.85</v>
      </c>
      <c r="C1767" s="116">
        <v>834.47500000000002</v>
      </c>
      <c r="D1767" s="116">
        <v>792</v>
      </c>
      <c r="E1767" s="116">
        <v>805.92499999999995</v>
      </c>
      <c r="F1767" s="116">
        <v>1668.95</v>
      </c>
      <c r="G1767">
        <v>10066</v>
      </c>
      <c r="H1767" s="116"/>
      <c r="I1767" s="116"/>
      <c r="L1767" s="170">
        <v>44606</v>
      </c>
      <c r="M1767" s="116">
        <v>820.95</v>
      </c>
      <c r="N1767" s="116">
        <v>898.875</v>
      </c>
      <c r="O1767" s="116">
        <v>789.95</v>
      </c>
      <c r="P1767" s="116">
        <v>837.5</v>
      </c>
      <c r="Q1767" s="116">
        <v>1641.9</v>
      </c>
      <c r="R1767">
        <v>157126</v>
      </c>
    </row>
    <row r="1768" spans="1:18" x14ac:dyDescent="0.25">
      <c r="A1768" s="170">
        <v>44607</v>
      </c>
      <c r="B1768" s="116">
        <v>814.5</v>
      </c>
      <c r="C1768" s="116">
        <v>809.6</v>
      </c>
      <c r="D1768" s="116">
        <v>781.9</v>
      </c>
      <c r="E1768" s="116">
        <v>800.5</v>
      </c>
      <c r="F1768" s="116">
        <v>1619.2</v>
      </c>
      <c r="G1768">
        <v>8580</v>
      </c>
      <c r="H1768" s="116"/>
      <c r="I1768" s="116"/>
      <c r="L1768" s="170">
        <v>44607</v>
      </c>
      <c r="M1768" s="116">
        <v>809.375</v>
      </c>
      <c r="N1768" s="116">
        <v>820.95</v>
      </c>
      <c r="O1768" s="116">
        <v>781.02499999999998</v>
      </c>
      <c r="P1768" s="116">
        <v>792.75</v>
      </c>
      <c r="Q1768" s="116">
        <v>1618.75</v>
      </c>
      <c r="R1768">
        <v>174801</v>
      </c>
    </row>
    <row r="1769" spans="1:18" x14ac:dyDescent="0.25">
      <c r="A1769" s="170">
        <v>44608</v>
      </c>
      <c r="B1769" s="116">
        <v>864.95</v>
      </c>
      <c r="C1769" s="116">
        <v>844.2</v>
      </c>
      <c r="D1769" s="116">
        <v>818.3</v>
      </c>
      <c r="E1769" s="116">
        <v>837.875</v>
      </c>
      <c r="F1769" s="116">
        <v>1688.4</v>
      </c>
      <c r="G1769">
        <v>7192</v>
      </c>
      <c r="H1769" s="116"/>
      <c r="I1769" s="116"/>
      <c r="L1769" s="170">
        <v>44608</v>
      </c>
      <c r="M1769" s="116">
        <v>842.7</v>
      </c>
      <c r="N1769" s="116">
        <v>865</v>
      </c>
      <c r="O1769" s="116">
        <v>814.67499999999995</v>
      </c>
      <c r="P1769" s="116">
        <v>823.5</v>
      </c>
      <c r="Q1769" s="116">
        <v>1685.4</v>
      </c>
      <c r="R1769">
        <v>183212</v>
      </c>
    </row>
    <row r="1770" spans="1:18" x14ac:dyDescent="0.25">
      <c r="A1770" s="170">
        <v>44609</v>
      </c>
      <c r="B1770" s="116">
        <v>850</v>
      </c>
      <c r="C1770" s="116">
        <v>819.65</v>
      </c>
      <c r="D1770" s="116">
        <v>805</v>
      </c>
      <c r="E1770" s="116">
        <v>846.92499999999995</v>
      </c>
      <c r="F1770" s="116">
        <v>1639.3</v>
      </c>
      <c r="G1770">
        <v>7268</v>
      </c>
      <c r="H1770" s="116"/>
      <c r="I1770" s="116"/>
      <c r="L1770" s="170">
        <v>44609</v>
      </c>
      <c r="M1770" s="116">
        <v>820.47500000000002</v>
      </c>
      <c r="N1770" s="116">
        <v>847.15</v>
      </c>
      <c r="O1770" s="116">
        <v>810</v>
      </c>
      <c r="P1770" s="116">
        <v>843.45</v>
      </c>
      <c r="Q1770" s="116">
        <v>1640.95</v>
      </c>
      <c r="R1770">
        <v>172683</v>
      </c>
    </row>
    <row r="1771" spans="1:18" x14ac:dyDescent="0.25">
      <c r="A1771" s="170">
        <v>44610</v>
      </c>
      <c r="B1771" s="116">
        <v>820.52499999999998</v>
      </c>
      <c r="C1771" s="116">
        <v>810.57500000000005</v>
      </c>
      <c r="D1771" s="116">
        <v>807.97500000000002</v>
      </c>
      <c r="E1771" s="116">
        <v>820.52499999999998</v>
      </c>
      <c r="F1771" s="116">
        <v>1621.15</v>
      </c>
      <c r="G1771">
        <v>1417</v>
      </c>
      <c r="H1771" s="116"/>
      <c r="I1771" s="116"/>
      <c r="L1771" s="170">
        <v>44610</v>
      </c>
      <c r="M1771" s="116">
        <v>809.85</v>
      </c>
      <c r="N1771" s="116">
        <v>824.6</v>
      </c>
      <c r="O1771" s="116">
        <v>807.5</v>
      </c>
      <c r="P1771" s="116">
        <v>824.5</v>
      </c>
      <c r="Q1771" s="116">
        <v>1619.7</v>
      </c>
      <c r="R1771">
        <v>46170</v>
      </c>
    </row>
    <row r="1772" spans="1:18" x14ac:dyDescent="0.25">
      <c r="A1772" s="170">
        <v>44613</v>
      </c>
      <c r="B1772" s="116">
        <v>834.97500000000002</v>
      </c>
      <c r="C1772" s="116">
        <v>810.22500000000002</v>
      </c>
      <c r="D1772" s="116">
        <v>800.9</v>
      </c>
      <c r="E1772" s="116">
        <v>800.9</v>
      </c>
      <c r="F1772" s="116">
        <v>1620.45</v>
      </c>
      <c r="G1772">
        <v>4011</v>
      </c>
      <c r="H1772" s="116"/>
      <c r="I1772" s="116"/>
      <c r="L1772" s="170">
        <v>44613</v>
      </c>
      <c r="M1772" s="116">
        <v>809.45</v>
      </c>
      <c r="N1772" s="116">
        <v>835</v>
      </c>
      <c r="O1772" s="116">
        <v>806.75</v>
      </c>
      <c r="P1772" s="116">
        <v>810</v>
      </c>
      <c r="Q1772" s="116">
        <v>1618.9</v>
      </c>
      <c r="R1772">
        <v>145161</v>
      </c>
    </row>
    <row r="1773" spans="1:18" x14ac:dyDescent="0.25">
      <c r="A1773" s="170">
        <v>44614</v>
      </c>
      <c r="B1773" s="116">
        <v>823.22500000000002</v>
      </c>
      <c r="C1773" s="116">
        <v>810.8</v>
      </c>
      <c r="D1773" s="116">
        <v>767.5</v>
      </c>
      <c r="E1773" s="116">
        <v>767.5</v>
      </c>
      <c r="F1773" s="116">
        <v>1621.6</v>
      </c>
      <c r="G1773">
        <v>3041</v>
      </c>
      <c r="H1773" s="116"/>
      <c r="I1773" s="116"/>
      <c r="L1773" s="170">
        <v>44614</v>
      </c>
      <c r="M1773" s="116">
        <v>810.07500000000005</v>
      </c>
      <c r="N1773" s="116">
        <v>824</v>
      </c>
      <c r="O1773" s="116">
        <v>809.45</v>
      </c>
      <c r="P1773" s="116">
        <v>809.45</v>
      </c>
      <c r="Q1773" s="116">
        <v>1620.15</v>
      </c>
      <c r="R1773">
        <v>54280</v>
      </c>
    </row>
    <row r="1774" spans="1:18" x14ac:dyDescent="0.25">
      <c r="A1774" s="170">
        <v>44615</v>
      </c>
      <c r="B1774" s="116">
        <v>814.47500000000002</v>
      </c>
      <c r="C1774" s="116">
        <v>805.8</v>
      </c>
      <c r="D1774" s="116">
        <v>800.6</v>
      </c>
      <c r="E1774" s="116">
        <v>800.6</v>
      </c>
      <c r="F1774" s="116">
        <v>1611.6</v>
      </c>
      <c r="G1774">
        <v>2581</v>
      </c>
      <c r="H1774" s="116"/>
      <c r="I1774" s="116"/>
      <c r="L1774" s="170">
        <v>44615</v>
      </c>
      <c r="M1774" s="116">
        <v>804.92499999999995</v>
      </c>
      <c r="N1774" s="116">
        <v>815.82500000000005</v>
      </c>
      <c r="O1774" s="116">
        <v>802</v>
      </c>
      <c r="P1774" s="116">
        <v>809.97500000000002</v>
      </c>
      <c r="Q1774" s="116">
        <v>1609.85</v>
      </c>
      <c r="R1774">
        <v>76049</v>
      </c>
    </row>
    <row r="1775" spans="1:18" x14ac:dyDescent="0.25">
      <c r="A1775" s="170">
        <v>44616</v>
      </c>
      <c r="B1775" s="116">
        <v>809.95</v>
      </c>
      <c r="C1775" s="116">
        <v>792.2</v>
      </c>
      <c r="D1775" s="116">
        <v>769.5</v>
      </c>
      <c r="E1775" s="116">
        <v>775.6</v>
      </c>
      <c r="F1775" s="116">
        <v>1584.4</v>
      </c>
      <c r="G1775">
        <v>5707</v>
      </c>
      <c r="H1775" s="116"/>
      <c r="I1775" s="116"/>
      <c r="L1775" s="170">
        <v>44616</v>
      </c>
      <c r="M1775" s="116">
        <v>793.02499999999998</v>
      </c>
      <c r="N1775" s="116">
        <v>810.7</v>
      </c>
      <c r="O1775" s="116">
        <v>790.5</v>
      </c>
      <c r="P1775" s="116">
        <v>800</v>
      </c>
      <c r="Q1775" s="116">
        <v>1586.05</v>
      </c>
      <c r="R1775">
        <v>156395</v>
      </c>
    </row>
    <row r="1776" spans="1:18" x14ac:dyDescent="0.25">
      <c r="A1776" s="170">
        <v>44617</v>
      </c>
      <c r="B1776" s="116">
        <v>807</v>
      </c>
      <c r="C1776" s="116">
        <v>801.32500000000005</v>
      </c>
      <c r="D1776" s="116">
        <v>791.02499999999998</v>
      </c>
      <c r="E1776" s="116">
        <v>792.2</v>
      </c>
      <c r="F1776" s="116">
        <v>1602.65</v>
      </c>
      <c r="G1776">
        <v>2204</v>
      </c>
      <c r="H1776" s="116"/>
      <c r="I1776" s="116"/>
      <c r="L1776" s="170">
        <v>44617</v>
      </c>
      <c r="M1776" s="116">
        <v>800.05</v>
      </c>
      <c r="N1776" s="116">
        <v>807.55</v>
      </c>
      <c r="O1776" s="116">
        <v>790.57500000000005</v>
      </c>
      <c r="P1776" s="116">
        <v>798</v>
      </c>
      <c r="Q1776" s="116">
        <v>1600.1</v>
      </c>
      <c r="R1776">
        <v>91679</v>
      </c>
    </row>
    <row r="1777" spans="1:18" x14ac:dyDescent="0.25">
      <c r="A1777" s="170">
        <v>44620</v>
      </c>
      <c r="B1777" s="116">
        <v>816</v>
      </c>
      <c r="C1777" s="116">
        <v>808.35</v>
      </c>
      <c r="D1777" s="116">
        <v>775.8</v>
      </c>
      <c r="E1777" s="116">
        <v>775.8</v>
      </c>
      <c r="F1777" s="116">
        <v>1616.7</v>
      </c>
      <c r="G1777">
        <v>2134</v>
      </c>
      <c r="H1777" s="116"/>
      <c r="I1777" s="116"/>
      <c r="L1777" s="170">
        <v>44620</v>
      </c>
      <c r="M1777" s="116">
        <v>807.3</v>
      </c>
      <c r="N1777" s="116">
        <v>820.25</v>
      </c>
      <c r="O1777" s="116">
        <v>792.5</v>
      </c>
      <c r="P1777" s="116">
        <v>802.75</v>
      </c>
      <c r="Q1777" s="116">
        <v>1614.6</v>
      </c>
      <c r="R1777">
        <v>85825</v>
      </c>
    </row>
    <row r="1778" spans="1:18" x14ac:dyDescent="0.25">
      <c r="A1778" s="170">
        <v>44622</v>
      </c>
      <c r="B1778" s="116">
        <v>814.45</v>
      </c>
      <c r="C1778" s="116">
        <v>794.3</v>
      </c>
      <c r="D1778" s="116">
        <v>789.875</v>
      </c>
      <c r="E1778" s="116">
        <v>799.07500000000005</v>
      </c>
      <c r="F1778" s="116">
        <v>1588.6</v>
      </c>
      <c r="G1778">
        <v>2048</v>
      </c>
      <c r="H1778" s="116"/>
      <c r="I1778" s="116"/>
      <c r="L1778" s="170">
        <v>44622</v>
      </c>
      <c r="M1778" s="116">
        <v>798.17499999999995</v>
      </c>
      <c r="N1778" s="116">
        <v>814.77499999999998</v>
      </c>
      <c r="O1778" s="116">
        <v>791</v>
      </c>
      <c r="P1778" s="116">
        <v>802.5</v>
      </c>
      <c r="Q1778" s="116">
        <v>1596.35</v>
      </c>
      <c r="R1778">
        <v>69118</v>
      </c>
    </row>
    <row r="1779" spans="1:18" x14ac:dyDescent="0.25">
      <c r="A1779" s="170">
        <v>44623</v>
      </c>
      <c r="B1779" s="116">
        <v>814.97500000000002</v>
      </c>
      <c r="C1779" s="116">
        <v>801.2</v>
      </c>
      <c r="D1779" s="116">
        <v>794.375</v>
      </c>
      <c r="E1779" s="116">
        <v>814.97500000000002</v>
      </c>
      <c r="F1779" s="116">
        <v>1602.4</v>
      </c>
      <c r="G1779">
        <v>1806</v>
      </c>
      <c r="H1779" s="116"/>
      <c r="I1779" s="116"/>
      <c r="L1779" s="170">
        <v>44623</v>
      </c>
      <c r="M1779" s="116">
        <v>801.625</v>
      </c>
      <c r="N1779" s="116">
        <v>810.05</v>
      </c>
      <c r="O1779" s="116">
        <v>793.75</v>
      </c>
      <c r="P1779" s="116">
        <v>802.17499999999995</v>
      </c>
      <c r="Q1779" s="116">
        <v>1603.25</v>
      </c>
      <c r="R1779">
        <v>76275</v>
      </c>
    </row>
    <row r="1780" spans="1:18" x14ac:dyDescent="0.25">
      <c r="A1780" s="170">
        <v>44624</v>
      </c>
      <c r="B1780" s="116">
        <v>804.875</v>
      </c>
      <c r="C1780" s="116">
        <v>789.47500000000002</v>
      </c>
      <c r="D1780" s="116">
        <v>773.05</v>
      </c>
      <c r="E1780" s="116">
        <v>799.2</v>
      </c>
      <c r="F1780" s="116">
        <v>1578.95</v>
      </c>
      <c r="G1780">
        <v>10962</v>
      </c>
      <c r="H1780" s="116"/>
      <c r="I1780" s="116"/>
      <c r="L1780" s="170">
        <v>44624</v>
      </c>
      <c r="M1780" s="116">
        <v>788</v>
      </c>
      <c r="N1780" s="116">
        <v>805</v>
      </c>
      <c r="O1780" s="116">
        <v>772.52499999999998</v>
      </c>
      <c r="P1780" s="116">
        <v>800.32500000000005</v>
      </c>
      <c r="Q1780" s="116">
        <v>1576</v>
      </c>
      <c r="R1780">
        <v>73369</v>
      </c>
    </row>
    <row r="1781" spans="1:18" x14ac:dyDescent="0.25">
      <c r="A1781" s="170">
        <v>44627</v>
      </c>
      <c r="B1781" s="116">
        <v>787.5</v>
      </c>
      <c r="C1781" s="116">
        <v>782.47500000000002</v>
      </c>
      <c r="D1781" s="116">
        <v>742.5</v>
      </c>
      <c r="E1781" s="116">
        <v>755.5</v>
      </c>
      <c r="F1781" s="116">
        <v>1564.95</v>
      </c>
      <c r="G1781">
        <v>7091</v>
      </c>
      <c r="H1781" s="116"/>
      <c r="I1781" s="116"/>
      <c r="L1781" s="170">
        <v>44627</v>
      </c>
      <c r="M1781" s="116">
        <v>779.75</v>
      </c>
      <c r="N1781" s="116">
        <v>787.5</v>
      </c>
      <c r="O1781" s="116">
        <v>742.5</v>
      </c>
      <c r="P1781" s="116">
        <v>761.5</v>
      </c>
      <c r="Q1781" s="116">
        <v>1559.5</v>
      </c>
      <c r="R1781">
        <v>68454</v>
      </c>
    </row>
    <row r="1782" spans="1:18" x14ac:dyDescent="0.25">
      <c r="A1782" s="170">
        <v>44628</v>
      </c>
      <c r="B1782" s="116">
        <v>790.17499999999995</v>
      </c>
      <c r="C1782" s="116">
        <v>780.82500000000005</v>
      </c>
      <c r="D1782" s="116">
        <v>760.02499999999998</v>
      </c>
      <c r="E1782" s="116">
        <v>770.02499999999998</v>
      </c>
      <c r="F1782" s="116">
        <v>1561.65</v>
      </c>
      <c r="G1782">
        <v>5893</v>
      </c>
      <c r="H1782" s="116"/>
      <c r="I1782" s="116"/>
      <c r="L1782" s="170">
        <v>44628</v>
      </c>
      <c r="M1782" s="116">
        <v>781.95</v>
      </c>
      <c r="N1782" s="116">
        <v>791</v>
      </c>
      <c r="O1782" s="116">
        <v>760</v>
      </c>
      <c r="P1782" s="116">
        <v>769.17499999999995</v>
      </c>
      <c r="Q1782" s="116">
        <v>1563.9</v>
      </c>
      <c r="R1782">
        <v>96910</v>
      </c>
    </row>
    <row r="1783" spans="1:18" x14ac:dyDescent="0.25">
      <c r="A1783" s="170">
        <v>44629</v>
      </c>
      <c r="B1783" s="116">
        <v>803.57500000000005</v>
      </c>
      <c r="C1783" s="116">
        <v>788.57500000000005</v>
      </c>
      <c r="D1783" s="116">
        <v>779.32500000000005</v>
      </c>
      <c r="E1783" s="116">
        <v>779.32500000000005</v>
      </c>
      <c r="F1783" s="116">
        <v>1577.15</v>
      </c>
      <c r="G1783">
        <v>2012</v>
      </c>
      <c r="H1783" s="116"/>
      <c r="I1783" s="116"/>
      <c r="L1783" s="170">
        <v>44629</v>
      </c>
      <c r="M1783" s="116">
        <v>789.02499999999998</v>
      </c>
      <c r="N1783" s="116">
        <v>804</v>
      </c>
      <c r="O1783" s="116">
        <v>778.77499999999998</v>
      </c>
      <c r="P1783" s="116">
        <v>781.5</v>
      </c>
      <c r="Q1783" s="116">
        <v>1578.05</v>
      </c>
      <c r="R1783">
        <v>47479</v>
      </c>
    </row>
    <row r="1784" spans="1:18" x14ac:dyDescent="0.25">
      <c r="A1784" s="170">
        <v>44630</v>
      </c>
      <c r="B1784" s="116">
        <v>805</v>
      </c>
      <c r="C1784" s="116">
        <v>785.05</v>
      </c>
      <c r="D1784" s="116">
        <v>780.4</v>
      </c>
      <c r="E1784" s="116">
        <v>805</v>
      </c>
      <c r="F1784" s="116">
        <v>1570.1</v>
      </c>
      <c r="G1784">
        <v>1310</v>
      </c>
      <c r="H1784" s="116"/>
      <c r="I1784" s="116"/>
      <c r="L1784" s="170">
        <v>44630</v>
      </c>
      <c r="M1784" s="116">
        <v>782.7</v>
      </c>
      <c r="N1784" s="116">
        <v>805</v>
      </c>
      <c r="O1784" s="116">
        <v>780</v>
      </c>
      <c r="P1784" s="116">
        <v>799.5</v>
      </c>
      <c r="Q1784" s="116">
        <v>1565.4</v>
      </c>
      <c r="R1784">
        <v>75487</v>
      </c>
    </row>
    <row r="1785" spans="1:18" x14ac:dyDescent="0.25">
      <c r="A1785" s="170">
        <v>44631</v>
      </c>
      <c r="B1785" s="116">
        <v>803.57500000000005</v>
      </c>
      <c r="C1785" s="116">
        <v>791.1</v>
      </c>
      <c r="D1785" s="116">
        <v>775.57500000000005</v>
      </c>
      <c r="E1785" s="116">
        <v>797</v>
      </c>
      <c r="F1785" s="116">
        <v>1582.2</v>
      </c>
      <c r="G1785">
        <v>2565</v>
      </c>
      <c r="H1785" s="116"/>
      <c r="I1785" s="116"/>
      <c r="L1785" s="170">
        <v>44631</v>
      </c>
      <c r="M1785" s="116">
        <v>791.02499999999998</v>
      </c>
      <c r="N1785" s="116">
        <v>804.25</v>
      </c>
      <c r="O1785" s="116">
        <v>775.17499999999995</v>
      </c>
      <c r="P1785" s="116">
        <v>783</v>
      </c>
      <c r="Q1785" s="116">
        <v>1582.05</v>
      </c>
      <c r="R1785">
        <v>130734</v>
      </c>
    </row>
    <row r="1786" spans="1:18" x14ac:dyDescent="0.25">
      <c r="A1786" s="170">
        <v>44634</v>
      </c>
      <c r="B1786" s="116">
        <v>807.15</v>
      </c>
      <c r="C1786" s="116">
        <v>777.45</v>
      </c>
      <c r="D1786" s="116">
        <v>762.65</v>
      </c>
      <c r="E1786" s="116">
        <v>805</v>
      </c>
      <c r="F1786" s="116">
        <v>1554.9</v>
      </c>
      <c r="G1786">
        <v>3678</v>
      </c>
      <c r="H1786" s="116"/>
      <c r="I1786" s="116"/>
      <c r="L1786" s="170">
        <v>44634</v>
      </c>
      <c r="M1786" s="116">
        <v>777.67499999999995</v>
      </c>
      <c r="N1786" s="116">
        <v>817.5</v>
      </c>
      <c r="O1786" s="116">
        <v>762.5</v>
      </c>
      <c r="P1786" s="116">
        <v>817.5</v>
      </c>
      <c r="Q1786" s="116">
        <v>1555.35</v>
      </c>
      <c r="R1786">
        <v>144655</v>
      </c>
    </row>
    <row r="1787" spans="1:18" x14ac:dyDescent="0.25">
      <c r="A1787" s="170">
        <v>44635</v>
      </c>
      <c r="B1787" s="116">
        <v>788.05</v>
      </c>
      <c r="C1787" s="116">
        <v>780.125</v>
      </c>
      <c r="D1787" s="116">
        <v>770.8</v>
      </c>
      <c r="E1787" s="116">
        <v>782.5</v>
      </c>
      <c r="F1787" s="116">
        <v>1560.25</v>
      </c>
      <c r="G1787">
        <v>1035</v>
      </c>
      <c r="H1787" s="116"/>
      <c r="I1787" s="116"/>
      <c r="L1787" s="170">
        <v>44635</v>
      </c>
      <c r="M1787" s="116">
        <v>785.92499999999995</v>
      </c>
      <c r="N1787" s="116">
        <v>788.97500000000002</v>
      </c>
      <c r="O1787" s="116">
        <v>770.47500000000002</v>
      </c>
      <c r="P1787" s="116">
        <v>778</v>
      </c>
      <c r="Q1787" s="116">
        <v>1571.85</v>
      </c>
      <c r="R1787">
        <v>42267</v>
      </c>
    </row>
    <row r="1788" spans="1:18" x14ac:dyDescent="0.25">
      <c r="A1788" s="170">
        <v>44636</v>
      </c>
      <c r="B1788" s="116">
        <v>795</v>
      </c>
      <c r="C1788" s="116">
        <v>781.47500000000002</v>
      </c>
      <c r="D1788" s="116">
        <v>774.95</v>
      </c>
      <c r="E1788" s="116">
        <v>788.02499999999998</v>
      </c>
      <c r="F1788" s="116">
        <v>1562.95</v>
      </c>
      <c r="G1788">
        <v>1574</v>
      </c>
      <c r="H1788" s="116"/>
      <c r="I1788" s="116"/>
      <c r="L1788" s="170">
        <v>44636</v>
      </c>
      <c r="M1788" s="116">
        <v>781.82500000000005</v>
      </c>
      <c r="N1788" s="116">
        <v>794.5</v>
      </c>
      <c r="O1788" s="116">
        <v>775</v>
      </c>
      <c r="P1788" s="116">
        <v>788.625</v>
      </c>
      <c r="Q1788" s="116">
        <v>1563.65</v>
      </c>
      <c r="R1788">
        <v>100255</v>
      </c>
    </row>
    <row r="1789" spans="1:18" x14ac:dyDescent="0.25">
      <c r="A1789" s="170">
        <v>44637</v>
      </c>
      <c r="B1789" s="116">
        <v>804.3</v>
      </c>
      <c r="C1789" s="116">
        <v>802.07500000000005</v>
      </c>
      <c r="D1789" s="116">
        <v>780.92499999999995</v>
      </c>
      <c r="E1789" s="116">
        <v>787.6</v>
      </c>
      <c r="F1789" s="116">
        <v>1604.15</v>
      </c>
      <c r="G1789">
        <v>1918</v>
      </c>
      <c r="H1789" s="116"/>
      <c r="I1789" s="116"/>
      <c r="L1789" s="170">
        <v>44637</v>
      </c>
      <c r="M1789" s="116">
        <v>802.45</v>
      </c>
      <c r="N1789" s="116">
        <v>821.57500000000005</v>
      </c>
      <c r="O1789" s="116">
        <v>780.25</v>
      </c>
      <c r="P1789" s="116">
        <v>792.5</v>
      </c>
      <c r="Q1789" s="116">
        <v>1604.9</v>
      </c>
      <c r="R1789">
        <v>200840</v>
      </c>
    </row>
    <row r="1790" spans="1:18" x14ac:dyDescent="0.25">
      <c r="A1790" s="170">
        <v>44641</v>
      </c>
      <c r="B1790" s="116">
        <v>802.82500000000005</v>
      </c>
      <c r="C1790" s="116">
        <v>802</v>
      </c>
      <c r="D1790" s="116">
        <v>788.5</v>
      </c>
      <c r="E1790" s="116">
        <v>800.02499999999998</v>
      </c>
      <c r="F1790" s="116">
        <v>1604</v>
      </c>
      <c r="G1790">
        <v>2792</v>
      </c>
      <c r="H1790" s="116"/>
      <c r="I1790" s="116"/>
      <c r="L1790" s="170">
        <v>44641</v>
      </c>
      <c r="M1790" s="116">
        <v>801.4</v>
      </c>
      <c r="N1790" s="116">
        <v>806.47500000000002</v>
      </c>
      <c r="O1790" s="116">
        <v>784</v>
      </c>
      <c r="P1790" s="116">
        <v>806.17499999999995</v>
      </c>
      <c r="Q1790" s="116">
        <v>1602.8</v>
      </c>
      <c r="R1790">
        <v>119283</v>
      </c>
    </row>
    <row r="1791" spans="1:18" x14ac:dyDescent="0.25">
      <c r="A1791" s="170">
        <v>44642</v>
      </c>
      <c r="B1791" s="116">
        <v>806.6</v>
      </c>
      <c r="C1791" s="116">
        <v>798.67499999999995</v>
      </c>
      <c r="D1791" s="116">
        <v>789.125</v>
      </c>
      <c r="E1791" s="116">
        <v>803.72500000000002</v>
      </c>
      <c r="F1791" s="116">
        <v>1597.35</v>
      </c>
      <c r="G1791">
        <v>3188</v>
      </c>
      <c r="H1791" s="116"/>
      <c r="I1791" s="116"/>
      <c r="L1791" s="170">
        <v>44642</v>
      </c>
      <c r="M1791" s="116">
        <v>799.65</v>
      </c>
      <c r="N1791" s="116">
        <v>806.5</v>
      </c>
      <c r="O1791" s="116">
        <v>788.52499999999998</v>
      </c>
      <c r="P1791" s="116">
        <v>800</v>
      </c>
      <c r="Q1791" s="116">
        <v>1599.3</v>
      </c>
      <c r="R1791">
        <v>409842</v>
      </c>
    </row>
    <row r="1792" spans="1:18" x14ac:dyDescent="0.25">
      <c r="A1792" s="170">
        <v>44643</v>
      </c>
      <c r="B1792" s="116">
        <v>804.57500000000005</v>
      </c>
      <c r="C1792" s="116">
        <v>792.125</v>
      </c>
      <c r="D1792" s="116">
        <v>787.82500000000005</v>
      </c>
      <c r="E1792" s="116">
        <v>804</v>
      </c>
      <c r="F1792" s="116">
        <v>1584.25</v>
      </c>
      <c r="G1792">
        <v>1823</v>
      </c>
      <c r="H1792" s="116"/>
      <c r="I1792" s="116"/>
      <c r="L1792" s="170">
        <v>44643</v>
      </c>
      <c r="M1792" s="116">
        <v>792.42499999999995</v>
      </c>
      <c r="N1792" s="116">
        <v>807.5</v>
      </c>
      <c r="O1792" s="116">
        <v>782.5</v>
      </c>
      <c r="P1792" s="116">
        <v>807.5</v>
      </c>
      <c r="Q1792" s="116">
        <v>1584.85</v>
      </c>
      <c r="R1792">
        <v>66548</v>
      </c>
    </row>
    <row r="1793" spans="1:18" x14ac:dyDescent="0.25">
      <c r="A1793" s="170">
        <v>44644</v>
      </c>
      <c r="B1793" s="116">
        <v>792.125</v>
      </c>
      <c r="C1793" s="116">
        <v>787.125</v>
      </c>
      <c r="D1793" s="116">
        <v>782.52499999999998</v>
      </c>
      <c r="E1793" s="116">
        <v>792.125</v>
      </c>
      <c r="F1793" s="116">
        <v>1574.25</v>
      </c>
      <c r="G1793">
        <v>1480</v>
      </c>
      <c r="H1793" s="116"/>
      <c r="I1793" s="116"/>
      <c r="L1793" s="170">
        <v>44644</v>
      </c>
      <c r="M1793" s="116">
        <v>786.4</v>
      </c>
      <c r="N1793" s="116">
        <v>796.4</v>
      </c>
      <c r="O1793" s="116">
        <v>781</v>
      </c>
      <c r="P1793" s="116">
        <v>792.42499999999995</v>
      </c>
      <c r="Q1793" s="116">
        <v>1572.8</v>
      </c>
      <c r="R1793">
        <v>43643</v>
      </c>
    </row>
    <row r="1794" spans="1:18" x14ac:dyDescent="0.25">
      <c r="A1794" s="170">
        <v>44645</v>
      </c>
      <c r="B1794" s="116">
        <v>789.85</v>
      </c>
      <c r="C1794" s="116">
        <v>783.25</v>
      </c>
      <c r="D1794" s="116">
        <v>772.15</v>
      </c>
      <c r="E1794" s="116">
        <v>786</v>
      </c>
      <c r="F1794" s="116">
        <v>1566.5</v>
      </c>
      <c r="G1794">
        <v>3915</v>
      </c>
      <c r="H1794" s="116"/>
      <c r="I1794" s="116"/>
      <c r="L1794" s="170">
        <v>44645</v>
      </c>
      <c r="M1794" s="116">
        <v>779.77499999999998</v>
      </c>
      <c r="N1794" s="116">
        <v>788.75</v>
      </c>
      <c r="O1794" s="116">
        <v>771.82500000000005</v>
      </c>
      <c r="P1794" s="116">
        <v>786.4</v>
      </c>
      <c r="Q1794" s="116">
        <v>1559.55</v>
      </c>
      <c r="R1794">
        <v>75873</v>
      </c>
    </row>
    <row r="1795" spans="1:18" x14ac:dyDescent="0.25">
      <c r="A1795" s="170">
        <v>44648</v>
      </c>
      <c r="B1795" s="116">
        <v>776.5</v>
      </c>
      <c r="C1795" s="116">
        <v>774.22500000000002</v>
      </c>
      <c r="D1795" s="116">
        <v>760</v>
      </c>
      <c r="E1795" s="116">
        <v>770</v>
      </c>
      <c r="F1795" s="116">
        <v>1548.45</v>
      </c>
      <c r="G1795">
        <v>4529</v>
      </c>
      <c r="H1795" s="116"/>
      <c r="I1795" s="116"/>
      <c r="L1795" s="170">
        <v>44648</v>
      </c>
      <c r="M1795" s="116">
        <v>775</v>
      </c>
      <c r="N1795" s="116">
        <v>783.57500000000005</v>
      </c>
      <c r="O1795" s="116">
        <v>760.05</v>
      </c>
      <c r="P1795" s="116">
        <v>776</v>
      </c>
      <c r="Q1795" s="116">
        <v>1550</v>
      </c>
      <c r="R1795">
        <v>49851</v>
      </c>
    </row>
    <row r="1796" spans="1:18" x14ac:dyDescent="0.25">
      <c r="A1796" s="170">
        <v>44649</v>
      </c>
      <c r="B1796" s="116">
        <v>784.35</v>
      </c>
      <c r="C1796" s="116">
        <v>781.2</v>
      </c>
      <c r="D1796" s="116">
        <v>766</v>
      </c>
      <c r="E1796" s="116">
        <v>771.8</v>
      </c>
      <c r="F1796" s="116">
        <v>1562.4</v>
      </c>
      <c r="G1796">
        <v>3601</v>
      </c>
      <c r="H1796" s="116"/>
      <c r="I1796" s="116"/>
      <c r="L1796" s="170">
        <v>44649</v>
      </c>
      <c r="M1796" s="116">
        <v>780.65</v>
      </c>
      <c r="N1796" s="116">
        <v>787.5</v>
      </c>
      <c r="O1796" s="116">
        <v>765.375</v>
      </c>
      <c r="P1796" s="116">
        <v>787.5</v>
      </c>
      <c r="Q1796" s="116">
        <v>1561.3</v>
      </c>
      <c r="R1796">
        <v>123439</v>
      </c>
    </row>
    <row r="1797" spans="1:18" x14ac:dyDescent="0.25">
      <c r="A1797" s="170">
        <v>44650</v>
      </c>
      <c r="B1797" s="116">
        <v>791</v>
      </c>
      <c r="C1797" s="116">
        <v>783.625</v>
      </c>
      <c r="D1797" s="116">
        <v>772.52499999999998</v>
      </c>
      <c r="E1797" s="116">
        <v>783.77499999999998</v>
      </c>
      <c r="F1797" s="116">
        <v>1567.25</v>
      </c>
      <c r="G1797">
        <v>3436</v>
      </c>
      <c r="H1797" s="116"/>
      <c r="I1797" s="116"/>
      <c r="L1797" s="170">
        <v>44650</v>
      </c>
      <c r="M1797" s="116">
        <v>784.32500000000005</v>
      </c>
      <c r="N1797" s="116">
        <v>792.3</v>
      </c>
      <c r="O1797" s="116">
        <v>772.6</v>
      </c>
      <c r="P1797" s="116">
        <v>782</v>
      </c>
      <c r="Q1797" s="116">
        <v>1568.65</v>
      </c>
      <c r="R1797">
        <v>40863</v>
      </c>
    </row>
    <row r="1798" spans="1:18" x14ac:dyDescent="0.25">
      <c r="A1798" s="170">
        <v>44651</v>
      </c>
      <c r="B1798" s="116">
        <v>796.75</v>
      </c>
      <c r="C1798" s="116">
        <v>787.6</v>
      </c>
      <c r="D1798" s="116">
        <v>775.8</v>
      </c>
      <c r="E1798" s="116">
        <v>786.02499999999998</v>
      </c>
      <c r="F1798" s="116">
        <v>1575.2</v>
      </c>
      <c r="G1798">
        <v>2026</v>
      </c>
      <c r="H1798" s="116"/>
      <c r="I1798" s="116"/>
      <c r="L1798" s="170">
        <v>44651</v>
      </c>
      <c r="M1798" s="116">
        <v>787.45</v>
      </c>
      <c r="N1798" s="116">
        <v>797.4</v>
      </c>
      <c r="O1798" s="116">
        <v>775.27499999999998</v>
      </c>
      <c r="P1798" s="116">
        <v>785</v>
      </c>
      <c r="Q1798" s="116">
        <v>1574.9</v>
      </c>
      <c r="R1798">
        <v>68552</v>
      </c>
    </row>
    <row r="1799" spans="1:18" x14ac:dyDescent="0.25">
      <c r="A1799" s="170">
        <v>44652</v>
      </c>
      <c r="B1799" s="116">
        <v>802.5</v>
      </c>
      <c r="C1799" s="116">
        <v>780.5</v>
      </c>
      <c r="D1799" s="116">
        <v>774.92499999999995</v>
      </c>
      <c r="E1799" s="116">
        <v>802.5</v>
      </c>
      <c r="F1799" s="116">
        <v>1561</v>
      </c>
      <c r="G1799">
        <v>3852</v>
      </c>
      <c r="H1799" s="116"/>
      <c r="I1799" s="116"/>
      <c r="L1799" s="170">
        <v>44652</v>
      </c>
      <c r="M1799" s="116">
        <v>778.375</v>
      </c>
      <c r="N1799" s="116">
        <v>799</v>
      </c>
      <c r="O1799" s="116">
        <v>774.45</v>
      </c>
      <c r="P1799" s="116">
        <v>787.45</v>
      </c>
      <c r="Q1799" s="116">
        <v>1556.75</v>
      </c>
      <c r="R1799">
        <v>53888</v>
      </c>
    </row>
    <row r="1800" spans="1:18" x14ac:dyDescent="0.25">
      <c r="A1800" s="170">
        <v>44655</v>
      </c>
      <c r="B1800" s="116">
        <v>809.5</v>
      </c>
      <c r="C1800" s="116">
        <v>801.8</v>
      </c>
      <c r="D1800" s="116">
        <v>788.65</v>
      </c>
      <c r="E1800" s="116">
        <v>809.5</v>
      </c>
      <c r="F1800" s="116">
        <v>1603.6</v>
      </c>
      <c r="G1800">
        <v>5663</v>
      </c>
      <c r="H1800" s="116"/>
      <c r="I1800" s="116"/>
      <c r="L1800" s="170">
        <v>44655</v>
      </c>
      <c r="M1800" s="116">
        <v>800.42499999999995</v>
      </c>
      <c r="N1800" s="116">
        <v>805</v>
      </c>
      <c r="O1800" s="116">
        <v>785.85</v>
      </c>
      <c r="P1800" s="116">
        <v>799</v>
      </c>
      <c r="Q1800" s="116">
        <v>1600.85</v>
      </c>
      <c r="R1800">
        <v>348764</v>
      </c>
    </row>
    <row r="1801" spans="1:18" x14ac:dyDescent="0.25">
      <c r="A1801" s="170">
        <v>44656</v>
      </c>
      <c r="B1801" s="116">
        <v>841.85</v>
      </c>
      <c r="C1801" s="116">
        <v>827.6</v>
      </c>
      <c r="D1801" s="116">
        <v>807.8</v>
      </c>
      <c r="E1801" s="116">
        <v>810</v>
      </c>
      <c r="F1801" s="116">
        <v>1655.2</v>
      </c>
      <c r="G1801">
        <v>11207</v>
      </c>
      <c r="H1801" s="116"/>
      <c r="I1801" s="116"/>
      <c r="L1801" s="170">
        <v>44656</v>
      </c>
      <c r="M1801" s="116">
        <v>827.77499999999998</v>
      </c>
      <c r="N1801" s="116">
        <v>841.5</v>
      </c>
      <c r="O1801" s="116">
        <v>808</v>
      </c>
      <c r="P1801" s="116">
        <v>814</v>
      </c>
      <c r="Q1801" s="116">
        <v>1655.55</v>
      </c>
      <c r="R1801">
        <v>171887</v>
      </c>
    </row>
    <row r="1802" spans="1:18" x14ac:dyDescent="0.25">
      <c r="A1802" s="170">
        <v>44657</v>
      </c>
      <c r="B1802" s="116">
        <v>839.72500000000002</v>
      </c>
      <c r="C1802" s="116">
        <v>803.4</v>
      </c>
      <c r="D1802" s="116">
        <v>793.47500000000002</v>
      </c>
      <c r="E1802" s="116">
        <v>820</v>
      </c>
      <c r="F1802" s="116">
        <v>1606.8</v>
      </c>
      <c r="G1802">
        <v>5346</v>
      </c>
      <c r="H1802" s="116"/>
      <c r="I1802" s="116"/>
      <c r="L1802" s="170">
        <v>44657</v>
      </c>
      <c r="M1802" s="116">
        <v>804.9</v>
      </c>
      <c r="N1802" s="116">
        <v>839.47500000000002</v>
      </c>
      <c r="O1802" s="116">
        <v>798.02499999999998</v>
      </c>
      <c r="P1802" s="116">
        <v>821.52499999999998</v>
      </c>
      <c r="Q1802" s="116">
        <v>1609.8</v>
      </c>
      <c r="R1802">
        <v>70806</v>
      </c>
    </row>
    <row r="1803" spans="1:18" x14ac:dyDescent="0.25">
      <c r="A1803" s="170">
        <v>44658</v>
      </c>
      <c r="B1803" s="116">
        <v>830.52499999999998</v>
      </c>
      <c r="C1803" s="116">
        <v>827.92499999999995</v>
      </c>
      <c r="D1803" s="116">
        <v>798.7</v>
      </c>
      <c r="E1803" s="116">
        <v>805.25</v>
      </c>
      <c r="F1803" s="116">
        <v>1655.85</v>
      </c>
      <c r="G1803">
        <v>3293</v>
      </c>
      <c r="H1803" s="116"/>
      <c r="I1803" s="116"/>
      <c r="L1803" s="170">
        <v>44658</v>
      </c>
      <c r="M1803" s="116">
        <v>827.07500000000005</v>
      </c>
      <c r="N1803" s="116">
        <v>829.82500000000005</v>
      </c>
      <c r="O1803" s="116">
        <v>798.17499999999995</v>
      </c>
      <c r="P1803" s="116">
        <v>810</v>
      </c>
      <c r="Q1803" s="116">
        <v>1654.15</v>
      </c>
      <c r="R1803">
        <v>60354</v>
      </c>
    </row>
    <row r="1804" spans="1:18" x14ac:dyDescent="0.25">
      <c r="A1804" s="170">
        <v>44659</v>
      </c>
      <c r="B1804" s="116">
        <v>845</v>
      </c>
      <c r="C1804" s="116">
        <v>820.1</v>
      </c>
      <c r="D1804" s="116">
        <v>804.4</v>
      </c>
      <c r="E1804" s="116">
        <v>845</v>
      </c>
      <c r="F1804" s="116">
        <v>1640.2</v>
      </c>
      <c r="G1804">
        <v>5337</v>
      </c>
      <c r="H1804" s="116"/>
      <c r="I1804" s="116"/>
      <c r="L1804" s="170">
        <v>44659</v>
      </c>
      <c r="M1804" s="116">
        <v>821.17499999999995</v>
      </c>
      <c r="N1804" s="116">
        <v>834</v>
      </c>
      <c r="O1804" s="116">
        <v>805.32500000000005</v>
      </c>
      <c r="P1804" s="116">
        <v>834</v>
      </c>
      <c r="Q1804" s="116">
        <v>1642.35</v>
      </c>
      <c r="R1804">
        <v>110065</v>
      </c>
    </row>
    <row r="1805" spans="1:18" x14ac:dyDescent="0.25">
      <c r="A1805" s="170">
        <v>44662</v>
      </c>
      <c r="B1805" s="116">
        <v>837.92499999999995</v>
      </c>
      <c r="C1805" s="116">
        <v>811.625</v>
      </c>
      <c r="D1805" s="116">
        <v>807.8</v>
      </c>
      <c r="E1805" s="116">
        <v>825.3</v>
      </c>
      <c r="F1805" s="116">
        <v>1623.25</v>
      </c>
      <c r="G1805">
        <v>2382</v>
      </c>
      <c r="H1805" s="116"/>
      <c r="I1805" s="116"/>
      <c r="L1805" s="170">
        <v>44662</v>
      </c>
      <c r="M1805" s="116">
        <v>810.9</v>
      </c>
      <c r="N1805" s="116">
        <v>839.5</v>
      </c>
      <c r="O1805" s="116">
        <v>808</v>
      </c>
      <c r="P1805" s="116">
        <v>825.3</v>
      </c>
      <c r="Q1805" s="116">
        <v>1621.8</v>
      </c>
      <c r="R1805">
        <v>53221</v>
      </c>
    </row>
    <row r="1806" spans="1:18" x14ac:dyDescent="0.25">
      <c r="A1806" s="170">
        <v>44663</v>
      </c>
      <c r="B1806" s="116">
        <v>813.25</v>
      </c>
      <c r="C1806" s="116">
        <v>802.25</v>
      </c>
      <c r="D1806" s="116">
        <v>795.7</v>
      </c>
      <c r="E1806" s="116">
        <v>811.5</v>
      </c>
      <c r="F1806" s="116">
        <v>1604.5</v>
      </c>
      <c r="G1806">
        <v>3032</v>
      </c>
      <c r="H1806" s="116"/>
      <c r="I1806" s="116"/>
      <c r="L1806" s="170">
        <v>44663</v>
      </c>
      <c r="M1806" s="116">
        <v>802.75</v>
      </c>
      <c r="N1806" s="116">
        <v>814</v>
      </c>
      <c r="O1806" s="116">
        <v>795.02499999999998</v>
      </c>
      <c r="P1806" s="116">
        <v>810.9</v>
      </c>
      <c r="Q1806" s="116">
        <v>1605.5</v>
      </c>
      <c r="R1806">
        <v>51767</v>
      </c>
    </row>
    <row r="1807" spans="1:18" x14ac:dyDescent="0.25">
      <c r="A1807" s="170">
        <v>44664</v>
      </c>
      <c r="B1807" s="116">
        <v>814.85</v>
      </c>
      <c r="C1807" s="116">
        <v>802.5</v>
      </c>
      <c r="D1807" s="116">
        <v>801.375</v>
      </c>
      <c r="E1807" s="116">
        <v>806.8</v>
      </c>
      <c r="F1807" s="116">
        <v>1605</v>
      </c>
      <c r="G1807">
        <v>1731</v>
      </c>
      <c r="H1807" s="116"/>
      <c r="I1807" s="116"/>
      <c r="L1807" s="170">
        <v>44664</v>
      </c>
      <c r="M1807" s="116">
        <v>803.4</v>
      </c>
      <c r="N1807" s="116">
        <v>815.5</v>
      </c>
      <c r="O1807" s="116">
        <v>801.3</v>
      </c>
      <c r="P1807" s="116">
        <v>809.82500000000005</v>
      </c>
      <c r="Q1807" s="116">
        <v>1606.8</v>
      </c>
      <c r="R1807">
        <v>439654</v>
      </c>
    </row>
    <row r="1808" spans="1:18" x14ac:dyDescent="0.25">
      <c r="A1808" s="170">
        <v>44669</v>
      </c>
      <c r="B1808" s="116">
        <v>827.5</v>
      </c>
      <c r="C1808" s="116">
        <v>798.27499999999998</v>
      </c>
      <c r="D1808" s="116">
        <v>775</v>
      </c>
      <c r="E1808" s="116">
        <v>827.5</v>
      </c>
      <c r="F1808" s="116">
        <v>1596.55</v>
      </c>
      <c r="G1808">
        <v>11686</v>
      </c>
      <c r="H1808" s="116"/>
      <c r="I1808" s="116"/>
      <c r="L1808" s="170">
        <v>44669</v>
      </c>
      <c r="M1808" s="116">
        <v>800.05</v>
      </c>
      <c r="N1808" s="116">
        <v>807.875</v>
      </c>
      <c r="O1808" s="116">
        <v>789.27499999999998</v>
      </c>
      <c r="P1808" s="116">
        <v>807.42499999999995</v>
      </c>
      <c r="Q1808" s="116">
        <v>1600.1</v>
      </c>
      <c r="R1808">
        <v>58368</v>
      </c>
    </row>
    <row r="1809" spans="1:18" x14ac:dyDescent="0.25">
      <c r="A1809" s="170">
        <v>44670</v>
      </c>
      <c r="B1809" s="116">
        <v>809.22500000000002</v>
      </c>
      <c r="C1809" s="116">
        <v>805.52499999999998</v>
      </c>
      <c r="D1809" s="116">
        <v>797.55</v>
      </c>
      <c r="E1809" s="116">
        <v>797.55</v>
      </c>
      <c r="F1809" s="116">
        <v>1611.05</v>
      </c>
      <c r="G1809">
        <v>1167</v>
      </c>
      <c r="H1809" s="116"/>
      <c r="I1809" s="116"/>
      <c r="L1809" s="170">
        <v>44670</v>
      </c>
      <c r="M1809" s="116">
        <v>805.625</v>
      </c>
      <c r="N1809" s="116">
        <v>809.97500000000002</v>
      </c>
      <c r="O1809" s="116">
        <v>794</v>
      </c>
      <c r="P1809" s="116">
        <v>794</v>
      </c>
      <c r="Q1809" s="116">
        <v>1611.25</v>
      </c>
      <c r="R1809">
        <v>32363</v>
      </c>
    </row>
    <row r="1810" spans="1:18" x14ac:dyDescent="0.25">
      <c r="A1810" s="170">
        <v>44671</v>
      </c>
      <c r="B1810" s="116">
        <v>843.125</v>
      </c>
      <c r="C1810" s="116">
        <v>828.85</v>
      </c>
      <c r="D1810" s="116">
        <v>790.6</v>
      </c>
      <c r="E1810" s="116">
        <v>806.92499999999995</v>
      </c>
      <c r="F1810" s="116">
        <v>1657.7</v>
      </c>
      <c r="G1810">
        <v>5528</v>
      </c>
      <c r="H1810" s="116"/>
      <c r="I1810" s="116"/>
      <c r="L1810" s="170">
        <v>44671</v>
      </c>
      <c r="M1810" s="116">
        <v>828.3</v>
      </c>
      <c r="N1810" s="116">
        <v>844.45</v>
      </c>
      <c r="O1810" s="116">
        <v>790.35</v>
      </c>
      <c r="P1810" s="116">
        <v>809.67499999999995</v>
      </c>
      <c r="Q1810" s="116">
        <v>1656.6</v>
      </c>
      <c r="R1810">
        <v>97650</v>
      </c>
    </row>
    <row r="1811" spans="1:18" x14ac:dyDescent="0.25">
      <c r="A1811" s="170">
        <v>44672</v>
      </c>
      <c r="B1811" s="116">
        <v>848.67499999999995</v>
      </c>
      <c r="C1811" s="116">
        <v>823.15</v>
      </c>
      <c r="D1811" s="116">
        <v>808</v>
      </c>
      <c r="E1811" s="116">
        <v>843.8</v>
      </c>
      <c r="F1811" s="116">
        <v>1646.3</v>
      </c>
      <c r="G1811">
        <v>4537</v>
      </c>
      <c r="H1811" s="116"/>
      <c r="I1811" s="116"/>
      <c r="L1811" s="170">
        <v>44672</v>
      </c>
      <c r="M1811" s="116">
        <v>823.32500000000005</v>
      </c>
      <c r="N1811" s="116">
        <v>849.5</v>
      </c>
      <c r="O1811" s="116">
        <v>807.45</v>
      </c>
      <c r="P1811" s="116">
        <v>847</v>
      </c>
      <c r="Q1811" s="116">
        <v>1646.65</v>
      </c>
      <c r="R1811">
        <v>85124</v>
      </c>
    </row>
    <row r="1812" spans="1:18" x14ac:dyDescent="0.25">
      <c r="A1812" s="170">
        <v>44673</v>
      </c>
      <c r="B1812" s="116">
        <v>859.02499999999998</v>
      </c>
      <c r="C1812" s="116">
        <v>849.35</v>
      </c>
      <c r="D1812" s="116">
        <v>820</v>
      </c>
      <c r="E1812" s="116">
        <v>820</v>
      </c>
      <c r="F1812" s="116">
        <v>1698.7</v>
      </c>
      <c r="G1812">
        <v>7004</v>
      </c>
      <c r="H1812" s="116"/>
      <c r="I1812" s="116"/>
      <c r="L1812" s="170">
        <v>44673</v>
      </c>
      <c r="M1812" s="116">
        <v>851.5</v>
      </c>
      <c r="N1812" s="116">
        <v>859</v>
      </c>
      <c r="O1812" s="116">
        <v>820</v>
      </c>
      <c r="P1812" s="116">
        <v>835</v>
      </c>
      <c r="Q1812" s="116">
        <v>1703</v>
      </c>
      <c r="R1812">
        <v>175545</v>
      </c>
    </row>
    <row r="1813" spans="1:18" x14ac:dyDescent="0.25">
      <c r="A1813" s="170">
        <v>44676</v>
      </c>
      <c r="B1813" s="116">
        <v>856.625</v>
      </c>
      <c r="C1813" s="116">
        <v>853</v>
      </c>
      <c r="D1813" s="116">
        <v>828.92499999999995</v>
      </c>
      <c r="E1813" s="116">
        <v>845</v>
      </c>
      <c r="F1813" s="116">
        <v>1706</v>
      </c>
      <c r="G1813">
        <v>1871</v>
      </c>
      <c r="H1813" s="116"/>
      <c r="I1813" s="116"/>
      <c r="L1813" s="170">
        <v>44676</v>
      </c>
      <c r="M1813" s="116">
        <v>853.3</v>
      </c>
      <c r="N1813" s="116">
        <v>860</v>
      </c>
      <c r="O1813" s="116">
        <v>829.92499999999995</v>
      </c>
      <c r="P1813" s="116">
        <v>830.5</v>
      </c>
      <c r="Q1813" s="116">
        <v>1706.6</v>
      </c>
      <c r="R1813">
        <v>48899</v>
      </c>
    </row>
    <row r="1814" spans="1:18" x14ac:dyDescent="0.25">
      <c r="A1814" s="170">
        <v>44677</v>
      </c>
      <c r="B1814" s="116">
        <v>889.5</v>
      </c>
      <c r="C1814" s="116">
        <v>879.67499999999995</v>
      </c>
      <c r="D1814" s="116">
        <v>852.5</v>
      </c>
      <c r="E1814" s="116">
        <v>855</v>
      </c>
      <c r="F1814" s="116">
        <v>1759.35</v>
      </c>
      <c r="G1814">
        <v>4962</v>
      </c>
      <c r="H1814" s="116"/>
      <c r="I1814" s="116"/>
      <c r="L1814" s="170">
        <v>44677</v>
      </c>
      <c r="M1814" s="116">
        <v>880.05</v>
      </c>
      <c r="N1814" s="116">
        <v>890</v>
      </c>
      <c r="O1814" s="116">
        <v>851.72500000000002</v>
      </c>
      <c r="P1814" s="116">
        <v>859.4</v>
      </c>
      <c r="Q1814" s="116">
        <v>1760.1</v>
      </c>
      <c r="R1814">
        <v>129562</v>
      </c>
    </row>
    <row r="1815" spans="1:18" x14ac:dyDescent="0.25">
      <c r="A1815" s="170">
        <v>44678</v>
      </c>
      <c r="B1815" s="116">
        <v>893.9</v>
      </c>
      <c r="C1815" s="116">
        <v>866.75</v>
      </c>
      <c r="D1815" s="116">
        <v>855.05</v>
      </c>
      <c r="E1815" s="116">
        <v>893.9</v>
      </c>
      <c r="F1815" s="116">
        <v>1733.5</v>
      </c>
      <c r="G1815">
        <v>4274</v>
      </c>
      <c r="H1815" s="116"/>
      <c r="I1815" s="116"/>
      <c r="L1815" s="170">
        <v>44678</v>
      </c>
      <c r="M1815" s="116">
        <v>868.25</v>
      </c>
      <c r="N1815" s="116">
        <v>893</v>
      </c>
      <c r="O1815" s="116">
        <v>854.25</v>
      </c>
      <c r="P1815" s="116">
        <v>880</v>
      </c>
      <c r="Q1815" s="116">
        <v>1736.5</v>
      </c>
      <c r="R1815">
        <v>81899</v>
      </c>
    </row>
    <row r="1816" spans="1:18" x14ac:dyDescent="0.25">
      <c r="A1816" s="170">
        <v>44679</v>
      </c>
      <c r="B1816" s="116">
        <v>872.125</v>
      </c>
      <c r="C1816" s="116">
        <v>857.77499999999998</v>
      </c>
      <c r="D1816" s="116">
        <v>855.125</v>
      </c>
      <c r="E1816" s="116">
        <v>862.22500000000002</v>
      </c>
      <c r="F1816" s="116">
        <v>1715.55</v>
      </c>
      <c r="G1816">
        <v>2974</v>
      </c>
      <c r="H1816" s="116"/>
      <c r="I1816" s="116"/>
      <c r="L1816" s="170">
        <v>44679</v>
      </c>
      <c r="M1816" s="116">
        <v>859.25</v>
      </c>
      <c r="N1816" s="116">
        <v>873.5</v>
      </c>
      <c r="O1816" s="116">
        <v>855.375</v>
      </c>
      <c r="P1816" s="116">
        <v>867.5</v>
      </c>
      <c r="Q1816" s="116">
        <v>1718.5</v>
      </c>
      <c r="R1816">
        <v>27559</v>
      </c>
    </row>
    <row r="1817" spans="1:18" x14ac:dyDescent="0.25">
      <c r="A1817" s="170">
        <v>44680</v>
      </c>
      <c r="B1817" s="116">
        <v>884.2</v>
      </c>
      <c r="C1817" s="116">
        <v>863.5</v>
      </c>
      <c r="D1817" s="116">
        <v>834.9</v>
      </c>
      <c r="E1817" s="116">
        <v>859.65</v>
      </c>
      <c r="F1817" s="116">
        <v>1727</v>
      </c>
      <c r="G1817">
        <v>5681</v>
      </c>
      <c r="H1817" s="116"/>
      <c r="I1817" s="116"/>
      <c r="L1817" s="170">
        <v>44680</v>
      </c>
      <c r="M1817" s="116">
        <v>859.45</v>
      </c>
      <c r="N1817" s="116">
        <v>884.65</v>
      </c>
      <c r="O1817" s="116">
        <v>834</v>
      </c>
      <c r="P1817" s="116">
        <v>865</v>
      </c>
      <c r="Q1817" s="116">
        <v>1718.9</v>
      </c>
      <c r="R1817">
        <v>84164</v>
      </c>
    </row>
    <row r="1818" spans="1:18" x14ac:dyDescent="0.25">
      <c r="A1818" s="170">
        <v>44683</v>
      </c>
      <c r="B1818" s="116">
        <v>872.9</v>
      </c>
      <c r="C1818" s="116">
        <v>850.72500000000002</v>
      </c>
      <c r="D1818" s="116">
        <v>823.1</v>
      </c>
      <c r="E1818" s="116">
        <v>843</v>
      </c>
      <c r="F1818" s="116">
        <v>1701.45</v>
      </c>
      <c r="G1818">
        <v>5987</v>
      </c>
      <c r="H1818" s="116"/>
      <c r="I1818" s="116"/>
      <c r="L1818" s="170">
        <v>44683</v>
      </c>
      <c r="M1818" s="116">
        <v>852.92499999999995</v>
      </c>
      <c r="N1818" s="116">
        <v>872.5</v>
      </c>
      <c r="O1818" s="116">
        <v>822.5</v>
      </c>
      <c r="P1818" s="116">
        <v>859.32500000000005</v>
      </c>
      <c r="Q1818" s="116">
        <v>1705.85</v>
      </c>
      <c r="R1818">
        <v>55269</v>
      </c>
    </row>
    <row r="1819" spans="1:18" x14ac:dyDescent="0.25">
      <c r="A1819" s="170">
        <v>44685</v>
      </c>
      <c r="B1819" s="116">
        <v>850.05</v>
      </c>
      <c r="C1819" s="116">
        <v>819.6</v>
      </c>
      <c r="D1819" s="116">
        <v>805.2</v>
      </c>
      <c r="E1819" s="116">
        <v>850.05</v>
      </c>
      <c r="F1819" s="116">
        <v>1639.2</v>
      </c>
      <c r="G1819">
        <v>6693</v>
      </c>
      <c r="H1819" s="116"/>
      <c r="I1819" s="116"/>
      <c r="L1819" s="170">
        <v>44685</v>
      </c>
      <c r="M1819" s="116">
        <v>817.17499999999995</v>
      </c>
      <c r="N1819" s="116">
        <v>850</v>
      </c>
      <c r="O1819" s="116">
        <v>801.57500000000005</v>
      </c>
      <c r="P1819" s="116">
        <v>847.95</v>
      </c>
      <c r="Q1819" s="116">
        <v>1634.35</v>
      </c>
      <c r="R1819">
        <v>60898</v>
      </c>
    </row>
    <row r="1820" spans="1:18" x14ac:dyDescent="0.25">
      <c r="A1820" s="170">
        <v>44686</v>
      </c>
      <c r="B1820" s="116">
        <v>841.15</v>
      </c>
      <c r="C1820" s="116">
        <v>823.5</v>
      </c>
      <c r="D1820" s="116">
        <v>805</v>
      </c>
      <c r="E1820" s="116">
        <v>818</v>
      </c>
      <c r="F1820" s="116">
        <v>1647</v>
      </c>
      <c r="G1820">
        <v>4289</v>
      </c>
      <c r="H1820" s="116"/>
      <c r="I1820" s="116"/>
      <c r="L1820" s="170">
        <v>44686</v>
      </c>
      <c r="M1820" s="116">
        <v>833.3</v>
      </c>
      <c r="N1820" s="116">
        <v>841.47500000000002</v>
      </c>
      <c r="O1820" s="116">
        <v>807.55</v>
      </c>
      <c r="P1820" s="116">
        <v>834.17499999999995</v>
      </c>
      <c r="Q1820" s="116">
        <v>1666.6</v>
      </c>
      <c r="R1820">
        <v>42511</v>
      </c>
    </row>
    <row r="1821" spans="1:18" x14ac:dyDescent="0.25">
      <c r="A1821" s="170">
        <v>44687</v>
      </c>
      <c r="B1821" s="116">
        <v>821.22500000000002</v>
      </c>
      <c r="C1821" s="116">
        <v>806.72500000000002</v>
      </c>
      <c r="D1821" s="116">
        <v>804</v>
      </c>
      <c r="E1821" s="116">
        <v>804</v>
      </c>
      <c r="F1821" s="116">
        <v>1613.45</v>
      </c>
      <c r="G1821">
        <v>2162</v>
      </c>
      <c r="H1821" s="116"/>
      <c r="I1821" s="116"/>
      <c r="L1821" s="170">
        <v>44687</v>
      </c>
      <c r="M1821" s="116">
        <v>806.57500000000005</v>
      </c>
      <c r="N1821" s="116">
        <v>822.07500000000005</v>
      </c>
      <c r="O1821" s="116">
        <v>803.875</v>
      </c>
      <c r="P1821" s="116">
        <v>810.5</v>
      </c>
      <c r="Q1821" s="116">
        <v>1613.15</v>
      </c>
      <c r="R1821">
        <v>76752</v>
      </c>
    </row>
    <row r="1822" spans="1:18" x14ac:dyDescent="0.25">
      <c r="A1822" s="170">
        <v>44690</v>
      </c>
      <c r="B1822" s="116">
        <v>832.625</v>
      </c>
      <c r="C1822" s="116">
        <v>819.07500000000005</v>
      </c>
      <c r="D1822" s="116">
        <v>780.77499999999998</v>
      </c>
      <c r="E1822" s="116">
        <v>787.5</v>
      </c>
      <c r="F1822" s="116">
        <v>1638.15</v>
      </c>
      <c r="G1822">
        <v>4622</v>
      </c>
      <c r="H1822" s="116"/>
      <c r="I1822" s="116"/>
      <c r="L1822" s="170">
        <v>44690</v>
      </c>
      <c r="M1822" s="116">
        <v>816.35</v>
      </c>
      <c r="N1822" s="116">
        <v>832.7</v>
      </c>
      <c r="O1822" s="116">
        <v>780.55</v>
      </c>
      <c r="P1822" s="116">
        <v>805.57500000000005</v>
      </c>
      <c r="Q1822" s="116">
        <v>1632.7</v>
      </c>
      <c r="R1822">
        <v>44363</v>
      </c>
    </row>
    <row r="1823" spans="1:18" x14ac:dyDescent="0.25">
      <c r="A1823" s="170">
        <v>44691</v>
      </c>
      <c r="B1823" s="116">
        <v>811.375</v>
      </c>
      <c r="C1823" s="116">
        <v>795.95</v>
      </c>
      <c r="D1823" s="116">
        <v>785.05</v>
      </c>
      <c r="E1823" s="116">
        <v>802.02499999999998</v>
      </c>
      <c r="F1823" s="116">
        <v>1591.9</v>
      </c>
      <c r="G1823">
        <v>3411</v>
      </c>
      <c r="H1823" s="116"/>
      <c r="I1823" s="116"/>
      <c r="L1823" s="170">
        <v>44691</v>
      </c>
      <c r="M1823" s="116">
        <v>797.625</v>
      </c>
      <c r="N1823" s="116">
        <v>809.97500000000002</v>
      </c>
      <c r="O1823" s="116">
        <v>785</v>
      </c>
      <c r="P1823" s="116">
        <v>808</v>
      </c>
      <c r="Q1823" s="116">
        <v>1595.25</v>
      </c>
      <c r="R1823">
        <v>46230</v>
      </c>
    </row>
    <row r="1824" spans="1:18" x14ac:dyDescent="0.25">
      <c r="A1824" s="170">
        <v>44692</v>
      </c>
      <c r="B1824" s="116">
        <v>800.125</v>
      </c>
      <c r="C1824" s="116">
        <v>789.625</v>
      </c>
      <c r="D1824" s="116">
        <v>780.32500000000005</v>
      </c>
      <c r="E1824" s="116">
        <v>799.42499999999995</v>
      </c>
      <c r="F1824" s="116">
        <v>1579.25</v>
      </c>
      <c r="G1824">
        <v>2857</v>
      </c>
      <c r="H1824" s="116"/>
      <c r="I1824" s="116"/>
      <c r="L1824" s="170">
        <v>44692</v>
      </c>
      <c r="M1824" s="116">
        <v>788.95</v>
      </c>
      <c r="N1824" s="116">
        <v>801.57500000000005</v>
      </c>
      <c r="O1824" s="116">
        <v>780.05</v>
      </c>
      <c r="P1824" s="116">
        <v>796</v>
      </c>
      <c r="Q1824" s="116">
        <v>1577.9</v>
      </c>
      <c r="R1824">
        <v>112479</v>
      </c>
    </row>
    <row r="1825" spans="1:18" x14ac:dyDescent="0.25">
      <c r="A1825" s="170">
        <v>44693</v>
      </c>
      <c r="B1825" s="116">
        <v>790.17499999999995</v>
      </c>
      <c r="C1825" s="116">
        <v>775.52499999999998</v>
      </c>
      <c r="D1825" s="116">
        <v>774.4</v>
      </c>
      <c r="E1825" s="116">
        <v>783.2</v>
      </c>
      <c r="F1825" s="116">
        <v>1551.05</v>
      </c>
      <c r="G1825">
        <v>2140</v>
      </c>
      <c r="H1825" s="116"/>
      <c r="I1825" s="116"/>
      <c r="L1825" s="170">
        <v>44693</v>
      </c>
      <c r="M1825" s="116">
        <v>776.77499999999998</v>
      </c>
      <c r="N1825" s="116">
        <v>790.55</v>
      </c>
      <c r="O1825" s="116">
        <v>774.05</v>
      </c>
      <c r="P1825" s="116">
        <v>780</v>
      </c>
      <c r="Q1825" s="116">
        <v>1553.55</v>
      </c>
      <c r="R1825">
        <v>27708</v>
      </c>
    </row>
    <row r="1826" spans="1:18" x14ac:dyDescent="0.25">
      <c r="A1826" s="170">
        <v>44694</v>
      </c>
      <c r="B1826" s="116">
        <v>802.125</v>
      </c>
      <c r="C1826" s="116">
        <v>794</v>
      </c>
      <c r="D1826" s="116">
        <v>779.27499999999998</v>
      </c>
      <c r="E1826" s="116">
        <v>789</v>
      </c>
      <c r="F1826" s="116">
        <v>1588</v>
      </c>
      <c r="G1826">
        <v>2395</v>
      </c>
      <c r="H1826" s="116"/>
      <c r="I1826" s="116"/>
      <c r="L1826" s="170">
        <v>44694</v>
      </c>
      <c r="M1826" s="116">
        <v>796.1</v>
      </c>
      <c r="N1826" s="116">
        <v>801.27499999999998</v>
      </c>
      <c r="O1826" s="116">
        <v>777.72500000000002</v>
      </c>
      <c r="P1826" s="116">
        <v>779</v>
      </c>
      <c r="Q1826" s="116">
        <v>1592.2</v>
      </c>
      <c r="R1826">
        <v>33714</v>
      </c>
    </row>
    <row r="1827" spans="1:18" x14ac:dyDescent="0.25">
      <c r="A1827" s="170">
        <v>44697</v>
      </c>
      <c r="B1827" s="116">
        <v>816.42499999999995</v>
      </c>
      <c r="C1827" s="116">
        <v>810.27499999999998</v>
      </c>
      <c r="D1827" s="116">
        <v>794.5</v>
      </c>
      <c r="E1827" s="116">
        <v>800.52499999999998</v>
      </c>
      <c r="F1827" s="116">
        <v>1620.55</v>
      </c>
      <c r="G1827">
        <v>2153</v>
      </c>
      <c r="H1827" s="116"/>
      <c r="I1827" s="116"/>
      <c r="L1827" s="170">
        <v>44697</v>
      </c>
      <c r="M1827" s="116">
        <v>810.5</v>
      </c>
      <c r="N1827" s="116">
        <v>817.5</v>
      </c>
      <c r="O1827" s="116">
        <v>793.15</v>
      </c>
      <c r="P1827" s="116">
        <v>796</v>
      </c>
      <c r="Q1827" s="116">
        <v>1621</v>
      </c>
      <c r="R1827">
        <v>69518</v>
      </c>
    </row>
    <row r="1828" spans="1:18" x14ac:dyDescent="0.25">
      <c r="A1828" s="170">
        <v>44698</v>
      </c>
      <c r="B1828" s="116">
        <v>815.65</v>
      </c>
      <c r="C1828" s="116">
        <v>808.8</v>
      </c>
      <c r="D1828" s="116">
        <v>800</v>
      </c>
      <c r="E1828" s="116">
        <v>804.85</v>
      </c>
      <c r="F1828" s="116">
        <v>1617.6</v>
      </c>
      <c r="G1828">
        <v>3361</v>
      </c>
      <c r="H1828" s="116"/>
      <c r="I1828" s="116"/>
      <c r="L1828" s="170">
        <v>44698</v>
      </c>
      <c r="M1828" s="116">
        <v>808.2</v>
      </c>
      <c r="N1828" s="116">
        <v>815</v>
      </c>
      <c r="O1828" s="116">
        <v>800</v>
      </c>
      <c r="P1828" s="116">
        <v>810.5</v>
      </c>
      <c r="Q1828" s="116">
        <v>1616.4</v>
      </c>
      <c r="R1828">
        <v>18162</v>
      </c>
    </row>
    <row r="1829" spans="1:18" x14ac:dyDescent="0.25">
      <c r="A1829" s="170">
        <v>44699</v>
      </c>
      <c r="B1829" s="116">
        <v>804.57500000000005</v>
      </c>
      <c r="C1829" s="116">
        <v>797.875</v>
      </c>
      <c r="D1829" s="116">
        <v>796.5</v>
      </c>
      <c r="E1829" s="116">
        <v>803.95</v>
      </c>
      <c r="F1829" s="116">
        <v>1595.75</v>
      </c>
      <c r="G1829">
        <v>1633</v>
      </c>
      <c r="H1829" s="116"/>
      <c r="I1829" s="116"/>
      <c r="L1829" s="170">
        <v>44699</v>
      </c>
      <c r="M1829" s="116">
        <v>799.7</v>
      </c>
      <c r="N1829" s="116">
        <v>805</v>
      </c>
      <c r="O1829" s="116">
        <v>796</v>
      </c>
      <c r="P1829" s="116">
        <v>805</v>
      </c>
      <c r="Q1829" s="116">
        <v>1599.4</v>
      </c>
      <c r="R1829">
        <v>24458</v>
      </c>
    </row>
    <row r="1830" spans="1:18" x14ac:dyDescent="0.25">
      <c r="A1830" s="170">
        <v>44700</v>
      </c>
      <c r="B1830" s="116">
        <v>796.5</v>
      </c>
      <c r="C1830" s="116">
        <v>784.02499999999998</v>
      </c>
      <c r="D1830" s="116">
        <v>779.375</v>
      </c>
      <c r="E1830" s="116">
        <v>796.5</v>
      </c>
      <c r="F1830" s="116">
        <v>1568.05</v>
      </c>
      <c r="G1830">
        <v>1361</v>
      </c>
      <c r="H1830" s="116"/>
      <c r="I1830" s="116"/>
      <c r="L1830" s="170">
        <v>44700</v>
      </c>
      <c r="M1830" s="116">
        <v>787.07500000000005</v>
      </c>
      <c r="N1830" s="116">
        <v>796.45</v>
      </c>
      <c r="O1830" s="116">
        <v>779.57500000000005</v>
      </c>
      <c r="P1830" s="116">
        <v>783.5</v>
      </c>
      <c r="Q1830" s="116">
        <v>1574.15</v>
      </c>
      <c r="R1830">
        <v>72487</v>
      </c>
    </row>
    <row r="1831" spans="1:18" x14ac:dyDescent="0.25">
      <c r="A1831" s="170">
        <v>44701</v>
      </c>
      <c r="B1831" s="116">
        <v>808.17499999999995</v>
      </c>
      <c r="C1831" s="116">
        <v>792.9</v>
      </c>
      <c r="D1831" s="116">
        <v>775.5</v>
      </c>
      <c r="E1831" s="116">
        <v>788.85</v>
      </c>
      <c r="F1831" s="116">
        <v>1585.8</v>
      </c>
      <c r="G1831">
        <v>1868</v>
      </c>
      <c r="H1831" s="116"/>
      <c r="I1831" s="116"/>
      <c r="L1831" s="170">
        <v>44701</v>
      </c>
      <c r="M1831" s="116">
        <v>795.27499999999998</v>
      </c>
      <c r="N1831" s="116">
        <v>807.55</v>
      </c>
      <c r="O1831" s="116">
        <v>775</v>
      </c>
      <c r="P1831" s="116">
        <v>786</v>
      </c>
      <c r="Q1831" s="116">
        <v>1590.55</v>
      </c>
      <c r="R1831">
        <v>105257</v>
      </c>
    </row>
    <row r="1832" spans="1:18" x14ac:dyDescent="0.25">
      <c r="A1832" s="170">
        <v>44704</v>
      </c>
      <c r="B1832" s="116">
        <v>800</v>
      </c>
      <c r="C1832" s="116">
        <v>785.72500000000002</v>
      </c>
      <c r="D1832" s="116">
        <v>778.77499999999998</v>
      </c>
      <c r="E1832" s="116">
        <v>795</v>
      </c>
      <c r="F1832" s="116">
        <v>1571.45</v>
      </c>
      <c r="G1832">
        <v>3592</v>
      </c>
      <c r="H1832" s="116"/>
      <c r="I1832" s="116"/>
      <c r="L1832" s="170">
        <v>44704</v>
      </c>
      <c r="M1832" s="116">
        <v>787.5</v>
      </c>
      <c r="N1832" s="116">
        <v>800.17499999999995</v>
      </c>
      <c r="O1832" s="116">
        <v>780.625</v>
      </c>
      <c r="P1832" s="116">
        <v>795.52499999999998</v>
      </c>
      <c r="Q1832" s="116">
        <v>1575</v>
      </c>
      <c r="R1832">
        <v>24614</v>
      </c>
    </row>
    <row r="1833" spans="1:18" x14ac:dyDescent="0.25">
      <c r="A1833" s="170">
        <v>44705</v>
      </c>
      <c r="B1833" s="116">
        <v>794.22500000000002</v>
      </c>
      <c r="C1833" s="116">
        <v>785.85</v>
      </c>
      <c r="D1833" s="116">
        <v>778.82500000000005</v>
      </c>
      <c r="E1833" s="116">
        <v>789.5</v>
      </c>
      <c r="F1833" s="116">
        <v>1571.7</v>
      </c>
      <c r="G1833">
        <v>529</v>
      </c>
      <c r="H1833" s="116"/>
      <c r="I1833" s="116"/>
      <c r="L1833" s="170">
        <v>44705</v>
      </c>
      <c r="M1833" s="116">
        <v>786.32500000000005</v>
      </c>
      <c r="N1833" s="116">
        <v>796.57500000000005</v>
      </c>
      <c r="O1833" s="116">
        <v>778.07500000000005</v>
      </c>
      <c r="P1833" s="116">
        <v>787.5</v>
      </c>
      <c r="Q1833" s="116">
        <v>1572.65</v>
      </c>
      <c r="R1833">
        <v>22346</v>
      </c>
    </row>
    <row r="1834" spans="1:18" x14ac:dyDescent="0.25">
      <c r="A1834" s="170">
        <v>44706</v>
      </c>
      <c r="B1834" s="116">
        <v>792.875</v>
      </c>
      <c r="C1834" s="116">
        <v>784.45</v>
      </c>
      <c r="D1834" s="116">
        <v>783.3</v>
      </c>
      <c r="E1834" s="116">
        <v>789.97500000000002</v>
      </c>
      <c r="F1834" s="116">
        <v>1568.9</v>
      </c>
      <c r="G1834">
        <v>699</v>
      </c>
      <c r="H1834" s="116"/>
      <c r="I1834" s="116"/>
      <c r="L1834" s="170">
        <v>44706</v>
      </c>
      <c r="M1834" s="116">
        <v>785.17499999999995</v>
      </c>
      <c r="N1834" s="116">
        <v>793.5</v>
      </c>
      <c r="O1834" s="116">
        <v>782.67499999999995</v>
      </c>
      <c r="P1834" s="116">
        <v>786</v>
      </c>
      <c r="Q1834" s="116">
        <v>1570.35</v>
      </c>
      <c r="R1834">
        <v>18543</v>
      </c>
    </row>
    <row r="1835" spans="1:18" x14ac:dyDescent="0.25">
      <c r="A1835" s="170">
        <v>44707</v>
      </c>
      <c r="B1835" s="116">
        <v>789.875</v>
      </c>
      <c r="C1835" s="116">
        <v>781.375</v>
      </c>
      <c r="D1835" s="116">
        <v>774.17499999999995</v>
      </c>
      <c r="E1835" s="116">
        <v>789.625</v>
      </c>
      <c r="F1835" s="116">
        <v>1562.75</v>
      </c>
      <c r="G1835">
        <v>2161</v>
      </c>
      <c r="H1835" s="116"/>
      <c r="I1835" s="116"/>
      <c r="L1835" s="170">
        <v>44707</v>
      </c>
      <c r="M1835" s="116">
        <v>782.22500000000002</v>
      </c>
      <c r="N1835" s="116">
        <v>795</v>
      </c>
      <c r="O1835" s="116">
        <v>774.07500000000005</v>
      </c>
      <c r="P1835" s="116">
        <v>789.125</v>
      </c>
      <c r="Q1835" s="116">
        <v>1564.45</v>
      </c>
      <c r="R1835">
        <v>24283</v>
      </c>
    </row>
    <row r="1836" spans="1:18" x14ac:dyDescent="0.25">
      <c r="A1836" s="170">
        <v>44708</v>
      </c>
      <c r="B1836" s="116">
        <v>819.57500000000005</v>
      </c>
      <c r="C1836" s="116">
        <v>809.5</v>
      </c>
      <c r="D1836" s="116">
        <v>778.72500000000002</v>
      </c>
      <c r="E1836" s="116">
        <v>784.5</v>
      </c>
      <c r="F1836" s="116">
        <v>1619</v>
      </c>
      <c r="G1836">
        <v>3346</v>
      </c>
      <c r="H1836" s="116"/>
      <c r="I1836" s="116"/>
      <c r="L1836" s="170">
        <v>44708</v>
      </c>
      <c r="M1836" s="116">
        <v>809.875</v>
      </c>
      <c r="N1836" s="116">
        <v>819.95</v>
      </c>
      <c r="O1836" s="116">
        <v>776</v>
      </c>
      <c r="P1836" s="116">
        <v>776</v>
      </c>
      <c r="Q1836" s="116">
        <v>1619.75</v>
      </c>
      <c r="R1836">
        <v>81946</v>
      </c>
    </row>
    <row r="1837" spans="1:18" x14ac:dyDescent="0.25">
      <c r="A1837" s="170">
        <v>44711</v>
      </c>
      <c r="B1837" s="116">
        <v>831</v>
      </c>
      <c r="C1837" s="116">
        <v>822.02499999999998</v>
      </c>
      <c r="D1837" s="116">
        <v>812.5</v>
      </c>
      <c r="E1837" s="116">
        <v>812.5</v>
      </c>
      <c r="F1837" s="116">
        <v>1644.05</v>
      </c>
      <c r="G1837">
        <v>2401</v>
      </c>
      <c r="H1837" s="116"/>
      <c r="I1837" s="116"/>
      <c r="L1837" s="170">
        <v>44711</v>
      </c>
      <c r="M1837" s="116">
        <v>823.02499999999998</v>
      </c>
      <c r="N1837" s="116">
        <v>832</v>
      </c>
      <c r="O1837" s="116">
        <v>803.625</v>
      </c>
      <c r="P1837" s="116">
        <v>815.95</v>
      </c>
      <c r="Q1837" s="116">
        <v>1646.05</v>
      </c>
      <c r="R1837">
        <v>22282</v>
      </c>
    </row>
    <row r="1838" spans="1:18" x14ac:dyDescent="0.25">
      <c r="A1838" s="170">
        <v>44712</v>
      </c>
      <c r="B1838" s="116">
        <v>823.125</v>
      </c>
      <c r="C1838" s="116">
        <v>813</v>
      </c>
      <c r="D1838" s="116">
        <v>806.625</v>
      </c>
      <c r="E1838" s="116">
        <v>818.67499999999995</v>
      </c>
      <c r="F1838" s="116">
        <v>1626</v>
      </c>
      <c r="G1838">
        <v>1087</v>
      </c>
      <c r="H1838" s="116"/>
      <c r="I1838" s="116"/>
      <c r="L1838" s="170">
        <v>44712</v>
      </c>
      <c r="M1838" s="116">
        <v>812.82500000000005</v>
      </c>
      <c r="N1838" s="116">
        <v>831</v>
      </c>
      <c r="O1838" s="116">
        <v>805.85</v>
      </c>
      <c r="P1838" s="116">
        <v>831</v>
      </c>
      <c r="Q1838" s="116">
        <v>1625.65</v>
      </c>
      <c r="R1838">
        <v>19274</v>
      </c>
    </row>
    <row r="1839" spans="1:18" x14ac:dyDescent="0.25">
      <c r="A1839" s="170">
        <v>44713</v>
      </c>
      <c r="B1839" s="116">
        <v>816.77499999999998</v>
      </c>
      <c r="C1839" s="116">
        <v>794.77499999999998</v>
      </c>
      <c r="D1839" s="116">
        <v>790.625</v>
      </c>
      <c r="E1839" s="116">
        <v>813</v>
      </c>
      <c r="F1839" s="116">
        <v>1589.55</v>
      </c>
      <c r="G1839">
        <v>2459</v>
      </c>
      <c r="H1839" s="116"/>
      <c r="I1839" s="116"/>
      <c r="L1839" s="170">
        <v>44713</v>
      </c>
      <c r="M1839" s="116">
        <v>794.07500000000005</v>
      </c>
      <c r="N1839" s="116">
        <v>816.97500000000002</v>
      </c>
      <c r="O1839" s="116">
        <v>789.97500000000002</v>
      </c>
      <c r="P1839" s="116">
        <v>812.82500000000005</v>
      </c>
      <c r="Q1839" s="116">
        <v>1588.15</v>
      </c>
      <c r="R1839">
        <v>21345</v>
      </c>
    </row>
    <row r="1840" spans="1:18" x14ac:dyDescent="0.25">
      <c r="A1840" s="170">
        <v>44714</v>
      </c>
      <c r="B1840" s="116">
        <v>817.42499999999995</v>
      </c>
      <c r="C1840" s="116">
        <v>811.17499999999995</v>
      </c>
      <c r="D1840" s="116">
        <v>791.55</v>
      </c>
      <c r="E1840" s="116">
        <v>791.67499999999995</v>
      </c>
      <c r="F1840" s="116">
        <v>1622.35</v>
      </c>
      <c r="G1840">
        <v>3425</v>
      </c>
      <c r="H1840" s="116"/>
      <c r="I1840" s="116"/>
      <c r="L1840" s="170">
        <v>44714</v>
      </c>
      <c r="M1840" s="116">
        <v>811.15</v>
      </c>
      <c r="N1840" s="116">
        <v>821</v>
      </c>
      <c r="O1840" s="116">
        <v>789.95</v>
      </c>
      <c r="P1840" s="116">
        <v>794</v>
      </c>
      <c r="Q1840" s="116">
        <v>1622.3</v>
      </c>
      <c r="R1840">
        <v>20990</v>
      </c>
    </row>
    <row r="1841" spans="1:18" x14ac:dyDescent="0.25">
      <c r="A1841" s="170">
        <v>44715</v>
      </c>
      <c r="B1841" s="116">
        <v>815.07500000000005</v>
      </c>
      <c r="C1841" s="116">
        <v>788.77499999999998</v>
      </c>
      <c r="D1841" s="116">
        <v>785</v>
      </c>
      <c r="E1841" s="116">
        <v>809.27499999999998</v>
      </c>
      <c r="F1841" s="116">
        <v>1577.55</v>
      </c>
      <c r="G1841">
        <v>2973</v>
      </c>
      <c r="H1841" s="116"/>
      <c r="I1841" s="116"/>
      <c r="L1841" s="170">
        <v>44715</v>
      </c>
      <c r="M1841" s="116">
        <v>789.95</v>
      </c>
      <c r="N1841" s="116">
        <v>814.95</v>
      </c>
      <c r="O1841" s="116">
        <v>785.02499999999998</v>
      </c>
      <c r="P1841" s="116">
        <v>812.5</v>
      </c>
      <c r="Q1841" s="116">
        <v>1579.9</v>
      </c>
      <c r="R1841">
        <v>171842</v>
      </c>
    </row>
    <row r="1842" spans="1:18" x14ac:dyDescent="0.25">
      <c r="A1842" s="170">
        <v>44718</v>
      </c>
      <c r="B1842" s="116">
        <v>800.375</v>
      </c>
      <c r="C1842" s="116">
        <v>795.6</v>
      </c>
      <c r="D1842" s="116">
        <v>776.82500000000005</v>
      </c>
      <c r="E1842" s="116">
        <v>788.5</v>
      </c>
      <c r="F1842" s="116">
        <v>1591.2</v>
      </c>
      <c r="G1842">
        <v>3184</v>
      </c>
      <c r="H1842" s="116"/>
      <c r="I1842" s="116"/>
      <c r="L1842" s="170">
        <v>44718</v>
      </c>
      <c r="M1842" s="116">
        <v>795.65</v>
      </c>
      <c r="N1842" s="116">
        <v>801.32500000000005</v>
      </c>
      <c r="O1842" s="116">
        <v>775.125</v>
      </c>
      <c r="P1842" s="116">
        <v>775.125</v>
      </c>
      <c r="Q1842" s="116">
        <v>1591.3</v>
      </c>
      <c r="R1842">
        <v>24399</v>
      </c>
    </row>
    <row r="1843" spans="1:18" x14ac:dyDescent="0.25">
      <c r="A1843" s="170">
        <v>44719</v>
      </c>
      <c r="B1843" s="116">
        <v>796.77499999999998</v>
      </c>
      <c r="C1843" s="116">
        <v>789.92499999999995</v>
      </c>
      <c r="D1843" s="116">
        <v>778.1</v>
      </c>
      <c r="E1843" s="116">
        <v>789.95</v>
      </c>
      <c r="F1843" s="116">
        <v>1579.85</v>
      </c>
      <c r="G1843">
        <v>1998</v>
      </c>
      <c r="H1843" s="116"/>
      <c r="I1843" s="116"/>
      <c r="L1843" s="170">
        <v>44719</v>
      </c>
      <c r="M1843" s="116">
        <v>787.7</v>
      </c>
      <c r="N1843" s="116">
        <v>801.35</v>
      </c>
      <c r="O1843" s="116">
        <v>777.57500000000005</v>
      </c>
      <c r="P1843" s="116">
        <v>801.35</v>
      </c>
      <c r="Q1843" s="116">
        <v>1575.4</v>
      </c>
      <c r="R1843">
        <v>37149</v>
      </c>
    </row>
    <row r="1844" spans="1:18" x14ac:dyDescent="0.25">
      <c r="A1844" s="170">
        <v>44720</v>
      </c>
      <c r="B1844" s="116">
        <v>800.35</v>
      </c>
      <c r="C1844" s="116">
        <v>797.9</v>
      </c>
      <c r="D1844" s="116">
        <v>775.7</v>
      </c>
      <c r="E1844" s="116">
        <v>796</v>
      </c>
      <c r="F1844" s="116">
        <v>1595.8</v>
      </c>
      <c r="G1844">
        <v>4651</v>
      </c>
      <c r="H1844" s="116"/>
      <c r="I1844" s="116"/>
      <c r="L1844" s="170">
        <v>44720</v>
      </c>
      <c r="M1844" s="116">
        <v>798.27499999999998</v>
      </c>
      <c r="N1844" s="116">
        <v>800</v>
      </c>
      <c r="O1844" s="116">
        <v>775.5</v>
      </c>
      <c r="P1844" s="116">
        <v>783.5</v>
      </c>
      <c r="Q1844" s="116">
        <v>1596.55</v>
      </c>
      <c r="R1844">
        <v>32322</v>
      </c>
    </row>
    <row r="1845" spans="1:18" x14ac:dyDescent="0.25">
      <c r="A1845" s="170">
        <v>44721</v>
      </c>
      <c r="B1845" s="116">
        <v>793.3</v>
      </c>
      <c r="C1845" s="116">
        <v>786.8</v>
      </c>
      <c r="D1845" s="116">
        <v>784.75</v>
      </c>
      <c r="E1845" s="116">
        <v>793.3</v>
      </c>
      <c r="F1845" s="116">
        <v>1573.6</v>
      </c>
      <c r="G1845">
        <v>2069</v>
      </c>
      <c r="H1845" s="116"/>
      <c r="I1845" s="116"/>
      <c r="L1845" s="170">
        <v>44721</v>
      </c>
      <c r="M1845" s="116">
        <v>789.07500000000005</v>
      </c>
      <c r="N1845" s="116">
        <v>798.2</v>
      </c>
      <c r="O1845" s="116">
        <v>784.32500000000005</v>
      </c>
      <c r="P1845" s="116">
        <v>798.2</v>
      </c>
      <c r="Q1845" s="116">
        <v>1578.15</v>
      </c>
      <c r="R1845">
        <v>28742</v>
      </c>
    </row>
    <row r="1846" spans="1:18" x14ac:dyDescent="0.25">
      <c r="A1846" s="170">
        <v>44722</v>
      </c>
      <c r="B1846" s="116">
        <v>793.42499999999995</v>
      </c>
      <c r="C1846" s="116">
        <v>786.875</v>
      </c>
      <c r="D1846" s="116">
        <v>760.82500000000005</v>
      </c>
      <c r="E1846" s="116">
        <v>782.57500000000005</v>
      </c>
      <c r="F1846" s="116">
        <v>1573.75</v>
      </c>
      <c r="G1846">
        <v>2615</v>
      </c>
      <c r="H1846" s="116"/>
      <c r="I1846" s="116"/>
      <c r="L1846" s="170">
        <v>44722</v>
      </c>
      <c r="M1846" s="116">
        <v>788.82500000000005</v>
      </c>
      <c r="N1846" s="116">
        <v>794.97500000000002</v>
      </c>
      <c r="O1846" s="116">
        <v>760.2</v>
      </c>
      <c r="P1846" s="116">
        <v>780.1</v>
      </c>
      <c r="Q1846" s="116">
        <v>1577.65</v>
      </c>
      <c r="R1846">
        <v>64333</v>
      </c>
    </row>
    <row r="1847" spans="1:18" x14ac:dyDescent="0.25">
      <c r="A1847" s="170">
        <v>44725</v>
      </c>
      <c r="B1847" s="116">
        <v>786.32500000000005</v>
      </c>
      <c r="C1847" s="116">
        <v>754.17499999999995</v>
      </c>
      <c r="D1847" s="116">
        <v>745.875</v>
      </c>
      <c r="E1847" s="116">
        <v>778.5</v>
      </c>
      <c r="F1847" s="116">
        <v>1508.35</v>
      </c>
      <c r="G1847">
        <v>3225</v>
      </c>
      <c r="H1847" s="116"/>
      <c r="I1847" s="116"/>
      <c r="L1847" s="170">
        <v>44725</v>
      </c>
      <c r="M1847" s="116">
        <v>753.875</v>
      </c>
      <c r="N1847" s="116">
        <v>787.5</v>
      </c>
      <c r="O1847" s="116">
        <v>745</v>
      </c>
      <c r="P1847" s="116">
        <v>777.625</v>
      </c>
      <c r="Q1847" s="116">
        <v>1507.75</v>
      </c>
      <c r="R1847">
        <v>41053</v>
      </c>
    </row>
    <row r="1848" spans="1:18" x14ac:dyDescent="0.25">
      <c r="A1848" s="170">
        <v>44726</v>
      </c>
      <c r="B1848" s="116">
        <v>758.57500000000005</v>
      </c>
      <c r="C1848" s="116">
        <v>756.27499999999998</v>
      </c>
      <c r="D1848" s="116">
        <v>750.1</v>
      </c>
      <c r="E1848" s="116">
        <v>753.7</v>
      </c>
      <c r="F1848" s="116">
        <v>1512.55</v>
      </c>
      <c r="G1848">
        <v>2589</v>
      </c>
      <c r="H1848" s="116"/>
      <c r="I1848" s="116"/>
      <c r="L1848" s="170">
        <v>44726</v>
      </c>
      <c r="M1848" s="116">
        <v>757.47500000000002</v>
      </c>
      <c r="N1848" s="116">
        <v>759</v>
      </c>
      <c r="O1848" s="116">
        <v>749.22500000000002</v>
      </c>
      <c r="P1848" s="116">
        <v>757.65</v>
      </c>
      <c r="Q1848" s="116">
        <v>1514.95</v>
      </c>
      <c r="R1848">
        <v>28605</v>
      </c>
    </row>
    <row r="1849" spans="1:18" x14ac:dyDescent="0.25">
      <c r="A1849" s="170">
        <v>44727</v>
      </c>
      <c r="B1849" s="116">
        <v>759.3</v>
      </c>
      <c r="C1849" s="116">
        <v>749.35</v>
      </c>
      <c r="D1849" s="116">
        <v>743</v>
      </c>
      <c r="E1849" s="116">
        <v>759.3</v>
      </c>
      <c r="F1849" s="116">
        <v>1498.7</v>
      </c>
      <c r="G1849">
        <v>1628</v>
      </c>
      <c r="H1849" s="116"/>
      <c r="I1849" s="116"/>
      <c r="L1849" s="170">
        <v>44727</v>
      </c>
      <c r="M1849" s="116">
        <v>753.65</v>
      </c>
      <c r="N1849" s="116">
        <v>761.27499999999998</v>
      </c>
      <c r="O1849" s="116">
        <v>742.5</v>
      </c>
      <c r="P1849" s="116">
        <v>759</v>
      </c>
      <c r="Q1849" s="116">
        <v>1507.3</v>
      </c>
      <c r="R1849">
        <v>39829</v>
      </c>
    </row>
    <row r="1850" spans="1:18" x14ac:dyDescent="0.25">
      <c r="A1850" s="170">
        <v>44728</v>
      </c>
      <c r="B1850" s="116">
        <v>751.47500000000002</v>
      </c>
      <c r="C1850" s="116">
        <v>734.5</v>
      </c>
      <c r="D1850" s="116">
        <v>669.52499999999998</v>
      </c>
      <c r="E1850" s="116">
        <v>751.1</v>
      </c>
      <c r="F1850" s="116">
        <v>1469</v>
      </c>
      <c r="G1850">
        <v>5986</v>
      </c>
      <c r="H1850" s="116"/>
      <c r="I1850" s="116"/>
      <c r="L1850" s="170">
        <v>44728</v>
      </c>
      <c r="M1850" s="116">
        <v>730.57500000000005</v>
      </c>
      <c r="N1850" s="116">
        <v>754</v>
      </c>
      <c r="O1850" s="116">
        <v>671.1</v>
      </c>
      <c r="P1850" s="116">
        <v>753.15</v>
      </c>
      <c r="Q1850" s="116">
        <v>1461.15</v>
      </c>
      <c r="R1850">
        <v>212558</v>
      </c>
    </row>
    <row r="1851" spans="1:18" x14ac:dyDescent="0.25">
      <c r="A1851" s="170">
        <v>44729</v>
      </c>
      <c r="B1851" s="116">
        <v>731.55</v>
      </c>
      <c r="C1851" s="116">
        <v>718.05</v>
      </c>
      <c r="D1851" s="116">
        <v>707.5</v>
      </c>
      <c r="E1851" s="116">
        <v>719.15</v>
      </c>
      <c r="F1851" s="116">
        <v>1436.1</v>
      </c>
      <c r="G1851">
        <v>2490</v>
      </c>
      <c r="H1851" s="116"/>
      <c r="I1851" s="116"/>
      <c r="L1851" s="170">
        <v>44729</v>
      </c>
      <c r="M1851" s="116">
        <v>719.32500000000005</v>
      </c>
      <c r="N1851" s="116">
        <v>732</v>
      </c>
      <c r="O1851" s="116">
        <v>706.17499999999995</v>
      </c>
      <c r="P1851" s="116">
        <v>709.47500000000002</v>
      </c>
      <c r="Q1851" s="116">
        <v>1438.65</v>
      </c>
      <c r="R1851">
        <v>83547</v>
      </c>
    </row>
    <row r="1852" spans="1:18" x14ac:dyDescent="0.25">
      <c r="A1852" s="170">
        <v>44732</v>
      </c>
      <c r="B1852" s="116">
        <v>737.5</v>
      </c>
      <c r="C1852" s="116">
        <v>736.57500000000005</v>
      </c>
      <c r="D1852" s="116">
        <v>702.35</v>
      </c>
      <c r="E1852" s="116">
        <v>727.5</v>
      </c>
      <c r="F1852" s="116">
        <v>1473.15</v>
      </c>
      <c r="G1852">
        <v>1887</v>
      </c>
      <c r="H1852" s="116"/>
      <c r="I1852" s="116"/>
      <c r="L1852" s="170">
        <v>44732</v>
      </c>
      <c r="M1852" s="116">
        <v>735.82500000000005</v>
      </c>
      <c r="N1852" s="116">
        <v>737.97500000000002</v>
      </c>
      <c r="O1852" s="116">
        <v>701.35</v>
      </c>
      <c r="P1852" s="116">
        <v>710.95</v>
      </c>
      <c r="Q1852" s="116">
        <v>1471.65</v>
      </c>
      <c r="R1852">
        <v>28033</v>
      </c>
    </row>
    <row r="1853" spans="1:18" x14ac:dyDescent="0.25">
      <c r="A1853" s="170">
        <v>44733</v>
      </c>
      <c r="B1853" s="116">
        <v>765.77499999999998</v>
      </c>
      <c r="C1853" s="116">
        <v>751.1</v>
      </c>
      <c r="D1853" s="116">
        <v>733.77499999999998</v>
      </c>
      <c r="E1853" s="116">
        <v>737.3</v>
      </c>
      <c r="F1853" s="116">
        <v>1502.2</v>
      </c>
      <c r="G1853">
        <v>1902</v>
      </c>
      <c r="H1853" s="116"/>
      <c r="I1853" s="116"/>
      <c r="L1853" s="170">
        <v>44733</v>
      </c>
      <c r="M1853" s="116">
        <v>756.05</v>
      </c>
      <c r="N1853" s="116">
        <v>766.02499999999998</v>
      </c>
      <c r="O1853" s="116">
        <v>730</v>
      </c>
      <c r="P1853" s="116">
        <v>730</v>
      </c>
      <c r="Q1853" s="116">
        <v>1512.1</v>
      </c>
      <c r="R1853">
        <v>32606</v>
      </c>
    </row>
    <row r="1854" spans="1:18" x14ac:dyDescent="0.25">
      <c r="A1854" s="170">
        <v>44734</v>
      </c>
      <c r="B1854" s="116">
        <v>778.52499999999998</v>
      </c>
      <c r="C1854" s="116">
        <v>774.65</v>
      </c>
      <c r="D1854" s="116">
        <v>746.7</v>
      </c>
      <c r="E1854" s="116">
        <v>750.9</v>
      </c>
      <c r="F1854" s="116">
        <v>1549.3</v>
      </c>
      <c r="G1854">
        <v>2709</v>
      </c>
      <c r="H1854" s="116"/>
      <c r="I1854" s="116"/>
      <c r="L1854" s="170">
        <v>44734</v>
      </c>
      <c r="M1854" s="116">
        <v>773.97500000000002</v>
      </c>
      <c r="N1854" s="116">
        <v>779.5</v>
      </c>
      <c r="O1854" s="116">
        <v>746.6</v>
      </c>
      <c r="P1854" s="116">
        <v>750.05</v>
      </c>
      <c r="Q1854" s="116">
        <v>1547.95</v>
      </c>
      <c r="R1854">
        <v>59019</v>
      </c>
    </row>
    <row r="1855" spans="1:18" x14ac:dyDescent="0.25">
      <c r="A1855" s="170">
        <v>44735</v>
      </c>
      <c r="B1855" s="116">
        <v>778.375</v>
      </c>
      <c r="C1855" s="116">
        <v>761.97500000000002</v>
      </c>
      <c r="D1855" s="116">
        <v>758.65</v>
      </c>
      <c r="E1855" s="116">
        <v>773.95</v>
      </c>
      <c r="F1855" s="116">
        <v>1523.95</v>
      </c>
      <c r="G1855">
        <v>2241</v>
      </c>
      <c r="H1855" s="116"/>
      <c r="I1855" s="116"/>
      <c r="L1855" s="170">
        <v>44735</v>
      </c>
      <c r="M1855" s="116">
        <v>762.75</v>
      </c>
      <c r="N1855" s="116">
        <v>778.875</v>
      </c>
      <c r="O1855" s="116">
        <v>758.8</v>
      </c>
      <c r="P1855" s="116">
        <v>770.125</v>
      </c>
      <c r="Q1855" s="116">
        <v>1525.5</v>
      </c>
      <c r="R1855">
        <v>32519</v>
      </c>
    </row>
    <row r="1856" spans="1:18" x14ac:dyDescent="0.25">
      <c r="A1856" s="170">
        <v>44736</v>
      </c>
      <c r="B1856" s="116">
        <v>779.97500000000002</v>
      </c>
      <c r="C1856" s="116">
        <v>777.72500000000002</v>
      </c>
      <c r="D1856" s="116">
        <v>761.27499999999998</v>
      </c>
      <c r="E1856" s="116">
        <v>763.875</v>
      </c>
      <c r="F1856" s="116">
        <v>1555.45</v>
      </c>
      <c r="G1856">
        <v>1151</v>
      </c>
      <c r="H1856" s="116"/>
      <c r="I1856" s="116"/>
      <c r="L1856" s="170">
        <v>44736</v>
      </c>
      <c r="M1856" s="116">
        <v>778.67499999999995</v>
      </c>
      <c r="N1856" s="116">
        <v>780</v>
      </c>
      <c r="O1856" s="116">
        <v>761</v>
      </c>
      <c r="P1856" s="116">
        <v>762.75</v>
      </c>
      <c r="Q1856" s="116">
        <v>1557.35</v>
      </c>
      <c r="R1856">
        <v>16992</v>
      </c>
    </row>
    <row r="1857" spans="1:18" x14ac:dyDescent="0.25">
      <c r="A1857" s="170">
        <v>44739</v>
      </c>
      <c r="B1857" s="116">
        <v>787.5</v>
      </c>
      <c r="C1857" s="116">
        <v>784.22500000000002</v>
      </c>
      <c r="D1857" s="116">
        <v>776.32500000000005</v>
      </c>
      <c r="E1857" s="116">
        <v>778.25</v>
      </c>
      <c r="F1857" s="116">
        <v>1568.45</v>
      </c>
      <c r="G1857">
        <v>844</v>
      </c>
      <c r="H1857" s="116"/>
      <c r="I1857" s="116"/>
      <c r="L1857" s="170">
        <v>44739</v>
      </c>
      <c r="M1857" s="116">
        <v>783.5</v>
      </c>
      <c r="N1857" s="116">
        <v>788.47500000000002</v>
      </c>
      <c r="O1857" s="116">
        <v>776.27499999999998</v>
      </c>
      <c r="P1857" s="116">
        <v>778.67499999999995</v>
      </c>
      <c r="Q1857" s="116">
        <v>1567</v>
      </c>
      <c r="R1857">
        <v>12401</v>
      </c>
    </row>
    <row r="1858" spans="1:18" x14ac:dyDescent="0.25">
      <c r="A1858" s="170">
        <v>44740</v>
      </c>
      <c r="B1858" s="116">
        <v>797.5</v>
      </c>
      <c r="C1858" s="116">
        <v>788.47500000000002</v>
      </c>
      <c r="D1858" s="116">
        <v>763.55</v>
      </c>
      <c r="E1858" s="116">
        <v>782.82500000000005</v>
      </c>
      <c r="F1858" s="116">
        <v>1576.95</v>
      </c>
      <c r="G1858">
        <v>1036</v>
      </c>
      <c r="H1858" s="116"/>
      <c r="I1858" s="116"/>
      <c r="L1858" s="170">
        <v>44740</v>
      </c>
      <c r="M1858" s="116">
        <v>784.27499999999998</v>
      </c>
      <c r="N1858" s="116">
        <v>798.02499999999998</v>
      </c>
      <c r="O1858" s="116">
        <v>764.22500000000002</v>
      </c>
      <c r="P1858" s="116">
        <v>785.5</v>
      </c>
      <c r="Q1858" s="116">
        <v>1568.55</v>
      </c>
      <c r="R1858">
        <v>45586</v>
      </c>
    </row>
    <row r="1859" spans="1:18" x14ac:dyDescent="0.25">
      <c r="A1859" s="170">
        <v>44741</v>
      </c>
      <c r="B1859" s="116">
        <v>789.375</v>
      </c>
      <c r="C1859" s="116">
        <v>777.72500000000002</v>
      </c>
      <c r="D1859" s="116">
        <v>772.82500000000005</v>
      </c>
      <c r="E1859" s="116">
        <v>774</v>
      </c>
      <c r="F1859" s="116">
        <v>1555.45</v>
      </c>
      <c r="G1859">
        <v>1545</v>
      </c>
      <c r="H1859" s="116"/>
      <c r="I1859" s="116"/>
      <c r="L1859" s="170">
        <v>44741</v>
      </c>
      <c r="M1859" s="116">
        <v>778.22500000000002</v>
      </c>
      <c r="N1859" s="116">
        <v>789.92499999999995</v>
      </c>
      <c r="O1859" s="116">
        <v>771.97500000000002</v>
      </c>
      <c r="P1859" s="116">
        <v>776</v>
      </c>
      <c r="Q1859" s="116">
        <v>1556.45</v>
      </c>
      <c r="R1859">
        <v>272220</v>
      </c>
    </row>
    <row r="1860" spans="1:18" x14ac:dyDescent="0.25">
      <c r="A1860" s="170">
        <v>44742</v>
      </c>
      <c r="B1860" s="116">
        <v>795</v>
      </c>
      <c r="C1860" s="116">
        <v>784.35</v>
      </c>
      <c r="D1860" s="116">
        <v>775.3</v>
      </c>
      <c r="E1860" s="116">
        <v>795</v>
      </c>
      <c r="F1860" s="116">
        <v>1568.7</v>
      </c>
      <c r="G1860">
        <v>1358</v>
      </c>
      <c r="H1860" s="116"/>
      <c r="I1860" s="116"/>
      <c r="L1860" s="170">
        <v>44742</v>
      </c>
      <c r="M1860" s="116">
        <v>786.32500000000005</v>
      </c>
      <c r="N1860" s="116">
        <v>794.8</v>
      </c>
      <c r="O1860" s="116">
        <v>769</v>
      </c>
      <c r="P1860" s="116">
        <v>769</v>
      </c>
      <c r="Q1860" s="116">
        <v>1572.65</v>
      </c>
      <c r="R1860">
        <v>35741</v>
      </c>
    </row>
    <row r="1861" spans="1:18" x14ac:dyDescent="0.25">
      <c r="A1861" s="170">
        <v>44743</v>
      </c>
      <c r="B1861" s="116">
        <v>791.52499999999998</v>
      </c>
      <c r="C1861" s="116">
        <v>784.42499999999995</v>
      </c>
      <c r="D1861" s="116">
        <v>779.75</v>
      </c>
      <c r="E1861" s="116">
        <v>791.2</v>
      </c>
      <c r="F1861" s="116">
        <v>1568.85</v>
      </c>
      <c r="G1861">
        <v>907</v>
      </c>
      <c r="H1861" s="116"/>
      <c r="I1861" s="116"/>
      <c r="L1861" s="170">
        <v>44743</v>
      </c>
      <c r="M1861" s="116">
        <v>783.5</v>
      </c>
      <c r="N1861" s="116">
        <v>793.5</v>
      </c>
      <c r="O1861" s="116">
        <v>779.45</v>
      </c>
      <c r="P1861" s="116">
        <v>789</v>
      </c>
      <c r="Q1861" s="116">
        <v>1567</v>
      </c>
      <c r="R1861">
        <v>15467</v>
      </c>
    </row>
    <row r="1862" spans="1:18" x14ac:dyDescent="0.25">
      <c r="A1862" s="170">
        <v>44746</v>
      </c>
      <c r="B1862" s="116">
        <v>797.97500000000002</v>
      </c>
      <c r="C1862" s="116">
        <v>795.17499999999995</v>
      </c>
      <c r="D1862" s="116">
        <v>781.42499999999995</v>
      </c>
      <c r="E1862" s="116">
        <v>787.05</v>
      </c>
      <c r="F1862" s="116">
        <v>1590.35</v>
      </c>
      <c r="G1862">
        <v>2296</v>
      </c>
      <c r="H1862" s="116"/>
      <c r="I1862" s="116"/>
      <c r="L1862" s="170">
        <v>44746</v>
      </c>
      <c r="M1862" s="116">
        <v>795.92499999999995</v>
      </c>
      <c r="N1862" s="116">
        <v>798.625</v>
      </c>
      <c r="O1862" s="116">
        <v>781.52499999999998</v>
      </c>
      <c r="P1862" s="116">
        <v>790</v>
      </c>
      <c r="Q1862" s="116">
        <v>1591.85</v>
      </c>
      <c r="R1862">
        <v>17286</v>
      </c>
    </row>
    <row r="1863" spans="1:18" x14ac:dyDescent="0.25">
      <c r="A1863" s="170">
        <v>44747</v>
      </c>
      <c r="B1863" s="116">
        <v>801</v>
      </c>
      <c r="C1863" s="116">
        <v>800.07500000000005</v>
      </c>
      <c r="D1863" s="116">
        <v>793.65</v>
      </c>
      <c r="E1863" s="116">
        <v>796</v>
      </c>
      <c r="F1863" s="116">
        <v>1600.15</v>
      </c>
      <c r="G1863">
        <v>721</v>
      </c>
      <c r="H1863" s="116"/>
      <c r="I1863" s="116"/>
      <c r="L1863" s="170">
        <v>44747</v>
      </c>
      <c r="M1863" s="116">
        <v>799.95</v>
      </c>
      <c r="N1863" s="116">
        <v>802.47500000000002</v>
      </c>
      <c r="O1863" s="116">
        <v>793</v>
      </c>
      <c r="P1863" s="116">
        <v>799.92499999999995</v>
      </c>
      <c r="Q1863" s="116">
        <v>1599.9</v>
      </c>
      <c r="R1863">
        <v>23547</v>
      </c>
    </row>
    <row r="1864" spans="1:18" x14ac:dyDescent="0.25">
      <c r="A1864" s="170">
        <v>44748</v>
      </c>
      <c r="B1864" s="116">
        <v>806.75</v>
      </c>
      <c r="C1864" s="116">
        <v>797.8</v>
      </c>
      <c r="D1864" s="116">
        <v>791.22500000000002</v>
      </c>
      <c r="E1864" s="116">
        <v>795.67499999999995</v>
      </c>
      <c r="F1864" s="116">
        <v>1595.6</v>
      </c>
      <c r="G1864">
        <v>1431</v>
      </c>
      <c r="H1864" s="116"/>
      <c r="I1864" s="116"/>
      <c r="L1864" s="170">
        <v>44748</v>
      </c>
      <c r="M1864" s="116">
        <v>797.85</v>
      </c>
      <c r="N1864" s="116">
        <v>806.7</v>
      </c>
      <c r="O1864" s="116">
        <v>791.67499999999995</v>
      </c>
      <c r="P1864" s="116">
        <v>799.15</v>
      </c>
      <c r="Q1864" s="116">
        <v>1595.7</v>
      </c>
      <c r="R1864">
        <v>51123</v>
      </c>
    </row>
    <row r="1865" spans="1:18" x14ac:dyDescent="0.25">
      <c r="A1865" s="170">
        <v>44749</v>
      </c>
      <c r="B1865" s="116">
        <v>801.07500000000005</v>
      </c>
      <c r="C1865" s="116">
        <v>796.17499999999995</v>
      </c>
      <c r="D1865" s="116">
        <v>793.75</v>
      </c>
      <c r="E1865" s="116">
        <v>797.82500000000005</v>
      </c>
      <c r="F1865" s="116">
        <v>1592.35</v>
      </c>
      <c r="G1865">
        <v>350</v>
      </c>
      <c r="H1865" s="116"/>
      <c r="I1865" s="116"/>
      <c r="L1865" s="170">
        <v>44749</v>
      </c>
      <c r="M1865" s="116">
        <v>796.25</v>
      </c>
      <c r="N1865" s="116">
        <v>802.05</v>
      </c>
      <c r="O1865" s="116">
        <v>791.52499999999998</v>
      </c>
      <c r="P1865" s="116">
        <v>801.85</v>
      </c>
      <c r="Q1865" s="116">
        <v>1592.5</v>
      </c>
      <c r="R1865">
        <v>16975</v>
      </c>
    </row>
    <row r="1866" spans="1:18" x14ac:dyDescent="0.25">
      <c r="A1866" s="170">
        <v>44750</v>
      </c>
      <c r="B1866" s="116">
        <v>797.5</v>
      </c>
      <c r="C1866" s="116">
        <v>786.52499999999998</v>
      </c>
      <c r="D1866" s="116">
        <v>785.45</v>
      </c>
      <c r="E1866" s="116">
        <v>797.5</v>
      </c>
      <c r="F1866" s="116">
        <v>1573.05</v>
      </c>
      <c r="G1866">
        <v>1408</v>
      </c>
      <c r="H1866" s="116"/>
      <c r="I1866" s="116"/>
      <c r="L1866" s="170">
        <v>44750</v>
      </c>
      <c r="M1866" s="116">
        <v>787.47500000000002</v>
      </c>
      <c r="N1866" s="116">
        <v>800.25</v>
      </c>
      <c r="O1866" s="116">
        <v>786.5</v>
      </c>
      <c r="P1866" s="116">
        <v>796.75</v>
      </c>
      <c r="Q1866" s="116">
        <v>1574.95</v>
      </c>
      <c r="R1866">
        <v>57389</v>
      </c>
    </row>
    <row r="1867" spans="1:18" x14ac:dyDescent="0.25">
      <c r="A1867" s="170">
        <v>44753</v>
      </c>
      <c r="B1867" s="116">
        <v>818</v>
      </c>
      <c r="C1867" s="116">
        <v>795.5</v>
      </c>
      <c r="D1867" s="116">
        <v>773.625</v>
      </c>
      <c r="E1867" s="116">
        <v>786.55</v>
      </c>
      <c r="F1867" s="116">
        <v>1591</v>
      </c>
      <c r="G1867">
        <v>2659</v>
      </c>
      <c r="H1867" s="116"/>
      <c r="I1867" s="116"/>
      <c r="L1867" s="170">
        <v>44753</v>
      </c>
      <c r="M1867" s="116">
        <v>796.35</v>
      </c>
      <c r="N1867" s="116">
        <v>819.82500000000005</v>
      </c>
      <c r="O1867" s="116">
        <v>773.5</v>
      </c>
      <c r="P1867" s="116">
        <v>786.6</v>
      </c>
      <c r="Q1867" s="116">
        <v>1592.7</v>
      </c>
      <c r="R1867">
        <v>37986</v>
      </c>
    </row>
    <row r="1868" spans="1:18" x14ac:dyDescent="0.25">
      <c r="A1868" s="170">
        <v>44754</v>
      </c>
      <c r="B1868" s="116">
        <v>810</v>
      </c>
      <c r="C1868" s="116">
        <v>789.07500000000005</v>
      </c>
      <c r="D1868" s="116">
        <v>780.42499999999995</v>
      </c>
      <c r="E1868" s="116">
        <v>810</v>
      </c>
      <c r="F1868" s="116">
        <v>1578.15</v>
      </c>
      <c r="G1868">
        <v>1350</v>
      </c>
      <c r="H1868" s="116"/>
      <c r="I1868" s="116"/>
      <c r="L1868" s="170">
        <v>44754</v>
      </c>
      <c r="M1868" s="116">
        <v>789.85</v>
      </c>
      <c r="N1868" s="116">
        <v>798.5</v>
      </c>
      <c r="O1868" s="116">
        <v>780.05</v>
      </c>
      <c r="P1868" s="116">
        <v>798.5</v>
      </c>
      <c r="Q1868" s="116">
        <v>1579.7</v>
      </c>
      <c r="R1868">
        <v>24482</v>
      </c>
    </row>
    <row r="1869" spans="1:18" x14ac:dyDescent="0.25">
      <c r="A1869" s="170">
        <v>44755</v>
      </c>
      <c r="B1869" s="116">
        <v>815.95</v>
      </c>
      <c r="C1869" s="116">
        <v>806.125</v>
      </c>
      <c r="D1869" s="116">
        <v>790.1</v>
      </c>
      <c r="E1869" s="116">
        <v>790.2</v>
      </c>
      <c r="F1869" s="116">
        <v>1612.25</v>
      </c>
      <c r="G1869">
        <v>3742</v>
      </c>
      <c r="H1869" s="116"/>
      <c r="I1869" s="116"/>
      <c r="L1869" s="170">
        <v>44755</v>
      </c>
      <c r="M1869" s="116">
        <v>809.8</v>
      </c>
      <c r="N1869" s="116">
        <v>816.5</v>
      </c>
      <c r="O1869" s="116">
        <v>790</v>
      </c>
      <c r="P1869" s="116">
        <v>790</v>
      </c>
      <c r="Q1869" s="116">
        <v>1619.6</v>
      </c>
      <c r="R1869">
        <v>63977</v>
      </c>
    </row>
    <row r="1870" spans="1:18" x14ac:dyDescent="0.25">
      <c r="A1870" s="170">
        <v>44756</v>
      </c>
      <c r="B1870" s="116">
        <v>815.4</v>
      </c>
      <c r="C1870" s="116">
        <v>811.95</v>
      </c>
      <c r="D1870" s="116">
        <v>807.5</v>
      </c>
      <c r="E1870" s="116">
        <v>811.22500000000002</v>
      </c>
      <c r="F1870" s="116">
        <v>1623.9</v>
      </c>
      <c r="G1870">
        <v>973</v>
      </c>
      <c r="H1870" s="116"/>
      <c r="I1870" s="116"/>
      <c r="L1870" s="170">
        <v>44756</v>
      </c>
      <c r="M1870" s="116">
        <v>812.57500000000005</v>
      </c>
      <c r="N1870" s="116">
        <v>815.4</v>
      </c>
      <c r="O1870" s="116">
        <v>807.47500000000002</v>
      </c>
      <c r="P1870" s="116">
        <v>813.85</v>
      </c>
      <c r="Q1870" s="116">
        <v>1625.15</v>
      </c>
      <c r="R1870">
        <v>18119</v>
      </c>
    </row>
    <row r="1871" spans="1:18" x14ac:dyDescent="0.25">
      <c r="A1871" s="170">
        <v>44757</v>
      </c>
      <c r="B1871" s="116">
        <v>823.85</v>
      </c>
      <c r="C1871" s="116">
        <v>819.375</v>
      </c>
      <c r="D1871" s="116">
        <v>806.4</v>
      </c>
      <c r="E1871" s="116">
        <v>812.65</v>
      </c>
      <c r="F1871" s="116">
        <v>1638.75</v>
      </c>
      <c r="G1871">
        <v>813</v>
      </c>
      <c r="H1871" s="116"/>
      <c r="I1871" s="116"/>
      <c r="L1871" s="170">
        <v>44757</v>
      </c>
      <c r="M1871" s="116">
        <v>818.6</v>
      </c>
      <c r="N1871" s="116">
        <v>824.47500000000002</v>
      </c>
      <c r="O1871" s="116">
        <v>805.625</v>
      </c>
      <c r="P1871" s="116">
        <v>814.45</v>
      </c>
      <c r="Q1871" s="116">
        <v>1637.2</v>
      </c>
      <c r="R1871">
        <v>28196</v>
      </c>
    </row>
    <row r="1872" spans="1:18" x14ac:dyDescent="0.25">
      <c r="A1872" s="170">
        <v>44760</v>
      </c>
      <c r="B1872" s="116">
        <v>829.25</v>
      </c>
      <c r="C1872" s="116">
        <v>820.2</v>
      </c>
      <c r="D1872" s="116">
        <v>816.92499999999995</v>
      </c>
      <c r="E1872" s="116">
        <v>822.07500000000005</v>
      </c>
      <c r="F1872" s="116">
        <v>1640.4</v>
      </c>
      <c r="G1872">
        <v>1174</v>
      </c>
      <c r="H1872" s="116"/>
      <c r="I1872" s="116"/>
      <c r="L1872" s="170">
        <v>44760</v>
      </c>
      <c r="M1872" s="116">
        <v>822.45</v>
      </c>
      <c r="N1872" s="116">
        <v>829.6</v>
      </c>
      <c r="O1872" s="116">
        <v>815</v>
      </c>
      <c r="P1872" s="116">
        <v>825.27499999999998</v>
      </c>
      <c r="Q1872" s="116">
        <v>1644.9</v>
      </c>
      <c r="R1872">
        <v>121399</v>
      </c>
    </row>
    <row r="1873" spans="1:18" x14ac:dyDescent="0.25">
      <c r="A1873" s="170">
        <v>44761</v>
      </c>
      <c r="B1873" s="116">
        <v>836.375</v>
      </c>
      <c r="C1873" s="116">
        <v>830.2</v>
      </c>
      <c r="D1873" s="116">
        <v>813.85</v>
      </c>
      <c r="E1873" s="116">
        <v>818.05</v>
      </c>
      <c r="F1873" s="116">
        <v>1660.4</v>
      </c>
      <c r="G1873">
        <v>636</v>
      </c>
      <c r="H1873" s="116"/>
      <c r="I1873" s="116"/>
      <c r="L1873" s="170">
        <v>44761</v>
      </c>
      <c r="M1873" s="116">
        <v>828.27499999999998</v>
      </c>
      <c r="N1873" s="116">
        <v>837</v>
      </c>
      <c r="O1873" s="116">
        <v>813</v>
      </c>
      <c r="P1873" s="116">
        <v>820</v>
      </c>
      <c r="Q1873" s="116">
        <v>1656.55</v>
      </c>
      <c r="R1873">
        <v>43616</v>
      </c>
    </row>
    <row r="1874" spans="1:18" x14ac:dyDescent="0.25">
      <c r="A1874" s="170">
        <v>44762</v>
      </c>
      <c r="B1874" s="116">
        <v>839.17499999999995</v>
      </c>
      <c r="C1874" s="116">
        <v>834.375</v>
      </c>
      <c r="D1874" s="116">
        <v>828.05</v>
      </c>
      <c r="E1874" s="116">
        <v>831</v>
      </c>
      <c r="F1874" s="116">
        <v>1668.75</v>
      </c>
      <c r="G1874">
        <v>1294</v>
      </c>
      <c r="H1874" s="116"/>
      <c r="I1874" s="116"/>
      <c r="L1874" s="170">
        <v>44762</v>
      </c>
      <c r="M1874" s="116">
        <v>835.17499999999995</v>
      </c>
      <c r="N1874" s="116">
        <v>839.47500000000002</v>
      </c>
      <c r="O1874" s="116">
        <v>827.55</v>
      </c>
      <c r="P1874" s="116">
        <v>830</v>
      </c>
      <c r="Q1874" s="116">
        <v>1670.35</v>
      </c>
      <c r="R1874">
        <v>22469</v>
      </c>
    </row>
    <row r="1875" spans="1:18" x14ac:dyDescent="0.25">
      <c r="A1875" s="170">
        <v>44763</v>
      </c>
      <c r="B1875" s="116">
        <v>841.82500000000005</v>
      </c>
      <c r="C1875" s="116">
        <v>839.875</v>
      </c>
      <c r="D1875" s="116">
        <v>822.52499999999998</v>
      </c>
      <c r="E1875" s="116">
        <v>834.97500000000002</v>
      </c>
      <c r="F1875" s="116">
        <v>1679.75</v>
      </c>
      <c r="G1875">
        <v>1858</v>
      </c>
      <c r="H1875" s="116"/>
      <c r="I1875" s="116"/>
      <c r="L1875" s="170">
        <v>44763</v>
      </c>
      <c r="M1875" s="116">
        <v>838.85</v>
      </c>
      <c r="N1875" s="116">
        <v>842.82500000000005</v>
      </c>
      <c r="O1875" s="116">
        <v>822.17499999999995</v>
      </c>
      <c r="P1875" s="116">
        <v>839.55</v>
      </c>
      <c r="Q1875" s="116">
        <v>1677.7</v>
      </c>
      <c r="R1875">
        <v>35932</v>
      </c>
    </row>
    <row r="1876" spans="1:18" x14ac:dyDescent="0.25">
      <c r="A1876" s="170">
        <v>44764</v>
      </c>
      <c r="B1876" s="116">
        <v>868</v>
      </c>
      <c r="C1876" s="116">
        <v>862.27499999999998</v>
      </c>
      <c r="D1876" s="116">
        <v>829.625</v>
      </c>
      <c r="E1876" s="116">
        <v>842.52499999999998</v>
      </c>
      <c r="F1876" s="116">
        <v>1724.55</v>
      </c>
      <c r="G1876">
        <v>4950</v>
      </c>
      <c r="H1876" s="116"/>
      <c r="I1876" s="116"/>
      <c r="L1876" s="170">
        <v>44764</v>
      </c>
      <c r="M1876" s="116">
        <v>862.92499999999995</v>
      </c>
      <c r="N1876" s="116">
        <v>869</v>
      </c>
      <c r="O1876" s="116">
        <v>829.625</v>
      </c>
      <c r="P1876" s="116">
        <v>843.85</v>
      </c>
      <c r="Q1876" s="116">
        <v>1725.85</v>
      </c>
      <c r="R1876">
        <v>72491</v>
      </c>
    </row>
    <row r="1877" spans="1:18" x14ac:dyDescent="0.25">
      <c r="A1877" s="170">
        <v>44767</v>
      </c>
      <c r="B1877" s="116">
        <v>877.2</v>
      </c>
      <c r="C1877" s="116">
        <v>848.07500000000005</v>
      </c>
      <c r="D1877" s="116">
        <v>840</v>
      </c>
      <c r="E1877" s="116">
        <v>865.5</v>
      </c>
      <c r="F1877" s="116">
        <v>1696.15</v>
      </c>
      <c r="G1877">
        <v>3285</v>
      </c>
      <c r="H1877" s="116"/>
      <c r="I1877" s="116"/>
      <c r="L1877" s="170">
        <v>44767</v>
      </c>
      <c r="M1877" s="116">
        <v>848.35</v>
      </c>
      <c r="N1877" s="116">
        <v>874</v>
      </c>
      <c r="O1877" s="116">
        <v>833.3</v>
      </c>
      <c r="P1877" s="116">
        <v>867.45</v>
      </c>
      <c r="Q1877" s="116">
        <v>1696.7</v>
      </c>
      <c r="R1877">
        <v>37440</v>
      </c>
    </row>
    <row r="1878" spans="1:18" x14ac:dyDescent="0.25">
      <c r="A1878" s="170">
        <v>44768</v>
      </c>
      <c r="B1878" s="116">
        <v>869.375</v>
      </c>
      <c r="C1878" s="116">
        <v>859.55</v>
      </c>
      <c r="D1878" s="116">
        <v>843.65</v>
      </c>
      <c r="E1878" s="116">
        <v>848.5</v>
      </c>
      <c r="F1878" s="116">
        <v>1719.1</v>
      </c>
      <c r="G1878">
        <v>2453</v>
      </c>
      <c r="H1878" s="116"/>
      <c r="I1878" s="116"/>
      <c r="L1878" s="170">
        <v>44768</v>
      </c>
      <c r="M1878" s="116">
        <v>859.2</v>
      </c>
      <c r="N1878" s="116">
        <v>870</v>
      </c>
      <c r="O1878" s="116">
        <v>843.07500000000005</v>
      </c>
      <c r="P1878" s="116">
        <v>848.35</v>
      </c>
      <c r="Q1878" s="116">
        <v>1718.4</v>
      </c>
      <c r="R1878">
        <v>62872</v>
      </c>
    </row>
    <row r="1879" spans="1:18" x14ac:dyDescent="0.25">
      <c r="A1879" s="170">
        <v>44769</v>
      </c>
      <c r="B1879" s="116">
        <v>878.1</v>
      </c>
      <c r="C1879" s="116">
        <v>870.8</v>
      </c>
      <c r="D1879" s="116">
        <v>848.67499999999995</v>
      </c>
      <c r="E1879" s="116">
        <v>869.5</v>
      </c>
      <c r="F1879" s="116">
        <v>1741.6</v>
      </c>
      <c r="G1879">
        <v>4119</v>
      </c>
      <c r="H1879" s="116"/>
      <c r="I1879" s="116"/>
      <c r="L1879" s="170">
        <v>44769</v>
      </c>
      <c r="M1879" s="116">
        <v>868.97500000000002</v>
      </c>
      <c r="N1879" s="116">
        <v>879.8</v>
      </c>
      <c r="O1879" s="116">
        <v>830.7</v>
      </c>
      <c r="P1879" s="116">
        <v>861.92499999999995</v>
      </c>
      <c r="Q1879" s="116">
        <v>1737.95</v>
      </c>
      <c r="R1879">
        <v>92822</v>
      </c>
    </row>
    <row r="1880" spans="1:18" x14ac:dyDescent="0.25">
      <c r="A1880" s="170">
        <v>44770</v>
      </c>
      <c r="B1880" s="116">
        <v>872</v>
      </c>
      <c r="C1880" s="116">
        <v>865.17499999999995</v>
      </c>
      <c r="D1880" s="116">
        <v>850.55</v>
      </c>
      <c r="E1880" s="116">
        <v>865.625</v>
      </c>
      <c r="F1880" s="116">
        <v>1730.35</v>
      </c>
      <c r="G1880">
        <v>5566</v>
      </c>
      <c r="H1880" s="116"/>
      <c r="I1880" s="116"/>
      <c r="L1880" s="170">
        <v>44770</v>
      </c>
      <c r="M1880" s="116">
        <v>866.77499999999998</v>
      </c>
      <c r="N1880" s="116">
        <v>872.3</v>
      </c>
      <c r="O1880" s="116">
        <v>851.6</v>
      </c>
      <c r="P1880" s="116">
        <v>870.875</v>
      </c>
      <c r="Q1880" s="116">
        <v>1733.55</v>
      </c>
      <c r="R1880">
        <v>32365</v>
      </c>
    </row>
    <row r="1881" spans="1:18" x14ac:dyDescent="0.25">
      <c r="A1881" s="170">
        <v>44771</v>
      </c>
      <c r="B1881" s="116">
        <v>887.52499999999998</v>
      </c>
      <c r="C1881" s="116">
        <v>884.625</v>
      </c>
      <c r="D1881" s="116">
        <v>855.5</v>
      </c>
      <c r="E1881" s="116">
        <v>886.4</v>
      </c>
      <c r="F1881" s="116">
        <v>1769.25</v>
      </c>
      <c r="G1881">
        <v>4478</v>
      </c>
      <c r="H1881" s="116"/>
      <c r="I1881" s="116"/>
      <c r="L1881" s="170">
        <v>44771</v>
      </c>
      <c r="M1881" s="116">
        <v>885.05</v>
      </c>
      <c r="N1881" s="116">
        <v>887.42499999999995</v>
      </c>
      <c r="O1881" s="116">
        <v>862.52499999999998</v>
      </c>
      <c r="P1881" s="116">
        <v>877.5</v>
      </c>
      <c r="Q1881" s="116">
        <v>1770.1</v>
      </c>
      <c r="R1881">
        <v>54373</v>
      </c>
    </row>
    <row r="1882" spans="1:18" x14ac:dyDescent="0.25">
      <c r="A1882" s="170">
        <v>44774</v>
      </c>
      <c r="B1882" s="116">
        <v>897.95</v>
      </c>
      <c r="C1882" s="116">
        <v>895.85</v>
      </c>
      <c r="D1882" s="116">
        <v>880.4</v>
      </c>
      <c r="E1882" s="116">
        <v>885.05</v>
      </c>
      <c r="F1882" s="116">
        <v>1791.7</v>
      </c>
      <c r="G1882">
        <v>2573</v>
      </c>
      <c r="H1882" s="116"/>
      <c r="I1882" s="116"/>
      <c r="L1882" s="170">
        <v>44774</v>
      </c>
      <c r="M1882" s="116">
        <v>894.17499999999995</v>
      </c>
      <c r="N1882" s="116">
        <v>898</v>
      </c>
      <c r="O1882" s="116">
        <v>880.57500000000005</v>
      </c>
      <c r="P1882" s="116">
        <v>890</v>
      </c>
      <c r="Q1882" s="116">
        <v>1788.35</v>
      </c>
      <c r="R1882">
        <v>31930</v>
      </c>
    </row>
    <row r="1883" spans="1:18" x14ac:dyDescent="0.25">
      <c r="A1883" s="170">
        <v>44775</v>
      </c>
      <c r="B1883" s="116">
        <v>904.47500000000002</v>
      </c>
      <c r="C1883" s="116">
        <v>884.82500000000005</v>
      </c>
      <c r="D1883" s="116">
        <v>879.77499999999998</v>
      </c>
      <c r="E1883" s="116">
        <v>904.47500000000002</v>
      </c>
      <c r="F1883" s="116">
        <v>1769.65</v>
      </c>
      <c r="G1883">
        <v>3107</v>
      </c>
      <c r="H1883" s="116"/>
      <c r="I1883" s="116"/>
      <c r="L1883" s="170">
        <v>44775</v>
      </c>
      <c r="M1883" s="116">
        <v>884.875</v>
      </c>
      <c r="N1883" s="116">
        <v>900</v>
      </c>
      <c r="O1883" s="116">
        <v>880.125</v>
      </c>
      <c r="P1883" s="116">
        <v>900</v>
      </c>
      <c r="Q1883" s="116">
        <v>1769.75</v>
      </c>
      <c r="R1883">
        <v>53635</v>
      </c>
    </row>
    <row r="1884" spans="1:18" x14ac:dyDescent="0.25">
      <c r="A1884" s="170">
        <v>44776</v>
      </c>
      <c r="B1884" s="116">
        <v>899.5</v>
      </c>
      <c r="C1884" s="116">
        <v>894.7</v>
      </c>
      <c r="D1884" s="116">
        <v>872.1</v>
      </c>
      <c r="E1884" s="116">
        <v>880.57500000000005</v>
      </c>
      <c r="F1884" s="116">
        <v>1789.4</v>
      </c>
      <c r="G1884">
        <v>2637</v>
      </c>
      <c r="H1884" s="116"/>
      <c r="I1884" s="116"/>
      <c r="L1884" s="170">
        <v>44776</v>
      </c>
      <c r="M1884" s="116">
        <v>897.1</v>
      </c>
      <c r="N1884" s="116">
        <v>899.95</v>
      </c>
      <c r="O1884" s="116">
        <v>872.47500000000002</v>
      </c>
      <c r="P1884" s="116">
        <v>881</v>
      </c>
      <c r="Q1884" s="116">
        <v>1794.2</v>
      </c>
      <c r="R1884">
        <v>38548</v>
      </c>
    </row>
    <row r="1885" spans="1:18" x14ac:dyDescent="0.25">
      <c r="A1885" s="170">
        <v>44777</v>
      </c>
      <c r="B1885" s="116">
        <v>912.5</v>
      </c>
      <c r="C1885" s="116">
        <v>907.5</v>
      </c>
      <c r="D1885" s="116">
        <v>895.92499999999995</v>
      </c>
      <c r="E1885" s="116">
        <v>909.5</v>
      </c>
      <c r="F1885" s="116">
        <v>1815</v>
      </c>
      <c r="G1885">
        <v>3513</v>
      </c>
      <c r="H1885" s="116"/>
      <c r="I1885" s="116"/>
      <c r="L1885" s="170">
        <v>44777</v>
      </c>
      <c r="M1885" s="116">
        <v>907.625</v>
      </c>
      <c r="N1885" s="116">
        <v>912.47500000000002</v>
      </c>
      <c r="O1885" s="116">
        <v>895.05</v>
      </c>
      <c r="P1885" s="116">
        <v>900.15</v>
      </c>
      <c r="Q1885" s="116">
        <v>1815.25</v>
      </c>
      <c r="R1885">
        <v>67276</v>
      </c>
    </row>
    <row r="1886" spans="1:18" x14ac:dyDescent="0.25">
      <c r="A1886" s="170">
        <v>44778</v>
      </c>
      <c r="B1886" s="116">
        <v>936.82500000000005</v>
      </c>
      <c r="C1886" s="116">
        <v>926.2</v>
      </c>
      <c r="D1886" s="116">
        <v>914.07500000000005</v>
      </c>
      <c r="E1886" s="116">
        <v>924.125</v>
      </c>
      <c r="F1886" s="116">
        <v>1852.4</v>
      </c>
      <c r="G1886">
        <v>7833</v>
      </c>
      <c r="H1886" s="116"/>
      <c r="I1886" s="116"/>
      <c r="L1886" s="170">
        <v>44778</v>
      </c>
      <c r="M1886" s="116">
        <v>926.4</v>
      </c>
      <c r="N1886" s="116">
        <v>937</v>
      </c>
      <c r="O1886" s="116">
        <v>912.47500000000002</v>
      </c>
      <c r="P1886" s="116">
        <v>912.5</v>
      </c>
      <c r="Q1886" s="116">
        <v>1852.8</v>
      </c>
      <c r="R1886">
        <v>116999</v>
      </c>
    </row>
    <row r="1887" spans="1:18" x14ac:dyDescent="0.25">
      <c r="A1887" s="170">
        <v>44781</v>
      </c>
      <c r="B1887" s="116">
        <v>937.5</v>
      </c>
      <c r="C1887" s="116">
        <v>931.85</v>
      </c>
      <c r="D1887" s="116">
        <v>907.45</v>
      </c>
      <c r="E1887" s="116">
        <v>935</v>
      </c>
      <c r="F1887" s="116">
        <v>1863.7</v>
      </c>
      <c r="G1887">
        <v>1806</v>
      </c>
      <c r="H1887" s="116"/>
      <c r="I1887" s="116"/>
      <c r="L1887" s="170">
        <v>44781</v>
      </c>
      <c r="M1887" s="116">
        <v>930.7</v>
      </c>
      <c r="N1887" s="116">
        <v>938.5</v>
      </c>
      <c r="O1887" s="116">
        <v>907.4</v>
      </c>
      <c r="P1887" s="116">
        <v>924</v>
      </c>
      <c r="Q1887" s="116">
        <v>1861.4</v>
      </c>
      <c r="R1887">
        <v>75274</v>
      </c>
    </row>
    <row r="1888" spans="1:18" x14ac:dyDescent="0.25">
      <c r="A1888" s="170">
        <v>44783</v>
      </c>
      <c r="B1888" s="116">
        <v>937.95</v>
      </c>
      <c r="C1888" s="116">
        <v>912.55</v>
      </c>
      <c r="D1888" s="116">
        <v>900</v>
      </c>
      <c r="E1888" s="116">
        <v>907.32500000000005</v>
      </c>
      <c r="F1888" s="116">
        <v>1825.1</v>
      </c>
      <c r="G1888">
        <v>3843</v>
      </c>
      <c r="H1888" s="116"/>
      <c r="I1888" s="116"/>
      <c r="L1888" s="170">
        <v>44783</v>
      </c>
      <c r="M1888" s="116">
        <v>914.75</v>
      </c>
      <c r="N1888" s="116">
        <v>938.45</v>
      </c>
      <c r="O1888" s="116">
        <v>900</v>
      </c>
      <c r="P1888" s="116">
        <v>924</v>
      </c>
      <c r="Q1888" s="116">
        <v>1829.5</v>
      </c>
      <c r="R1888">
        <v>40557</v>
      </c>
    </row>
    <row r="1889" spans="1:18" x14ac:dyDescent="0.25">
      <c r="A1889" s="170">
        <v>44784</v>
      </c>
      <c r="B1889" s="116">
        <v>929.5</v>
      </c>
      <c r="C1889" s="116">
        <v>907.97500000000002</v>
      </c>
      <c r="D1889" s="116">
        <v>892.95</v>
      </c>
      <c r="E1889" s="116">
        <v>929.5</v>
      </c>
      <c r="F1889" s="116">
        <v>1815.95</v>
      </c>
      <c r="G1889">
        <v>1919</v>
      </c>
      <c r="H1889" s="116"/>
      <c r="I1889" s="116"/>
      <c r="L1889" s="170">
        <v>44784</v>
      </c>
      <c r="M1889" s="116">
        <v>907.92499999999995</v>
      </c>
      <c r="N1889" s="116">
        <v>919.3</v>
      </c>
      <c r="O1889" s="116">
        <v>892.5</v>
      </c>
      <c r="P1889" s="116">
        <v>919.3</v>
      </c>
      <c r="Q1889" s="116">
        <v>1815.85</v>
      </c>
      <c r="R1889">
        <v>37260</v>
      </c>
    </row>
    <row r="1890" spans="1:18" x14ac:dyDescent="0.25">
      <c r="A1890" s="170">
        <v>44785</v>
      </c>
      <c r="B1890" s="116">
        <v>924.35</v>
      </c>
      <c r="C1890" s="116">
        <v>923.1</v>
      </c>
      <c r="D1890" s="116">
        <v>903.77499999999998</v>
      </c>
      <c r="E1890" s="116">
        <v>913.875</v>
      </c>
      <c r="F1890" s="116">
        <v>1846.2</v>
      </c>
      <c r="G1890">
        <v>1973</v>
      </c>
      <c r="H1890" s="116"/>
      <c r="I1890" s="116"/>
      <c r="L1890" s="170">
        <v>44785</v>
      </c>
      <c r="M1890" s="116">
        <v>922.45</v>
      </c>
      <c r="N1890" s="116">
        <v>925</v>
      </c>
      <c r="O1890" s="116">
        <v>903.47500000000002</v>
      </c>
      <c r="P1890" s="116">
        <v>921.65</v>
      </c>
      <c r="Q1890" s="116">
        <v>1844.9</v>
      </c>
      <c r="R1890">
        <v>34667</v>
      </c>
    </row>
    <row r="1891" spans="1:18" x14ac:dyDescent="0.25">
      <c r="A1891" s="170">
        <v>44789</v>
      </c>
      <c r="B1891" s="116">
        <v>934.47500000000002</v>
      </c>
      <c r="C1891" s="116">
        <v>931.67499999999995</v>
      </c>
      <c r="D1891" s="116">
        <v>913.35</v>
      </c>
      <c r="E1891" s="116">
        <v>915.5</v>
      </c>
      <c r="F1891" s="116">
        <v>1863.35</v>
      </c>
      <c r="G1891">
        <v>3229</v>
      </c>
      <c r="H1891" s="116"/>
      <c r="I1891" s="116"/>
      <c r="L1891" s="170">
        <v>44789</v>
      </c>
      <c r="M1891" s="116">
        <v>932.52499999999998</v>
      </c>
      <c r="N1891" s="116">
        <v>934.875</v>
      </c>
      <c r="O1891" s="116">
        <v>912.625</v>
      </c>
      <c r="P1891" s="116">
        <v>927.3</v>
      </c>
      <c r="Q1891" s="116">
        <v>1865.05</v>
      </c>
      <c r="R1891">
        <v>35937</v>
      </c>
    </row>
    <row r="1892" spans="1:18" x14ac:dyDescent="0.25">
      <c r="A1892" s="170">
        <v>44790</v>
      </c>
      <c r="B1892" s="116">
        <v>939.8</v>
      </c>
      <c r="C1892" s="116">
        <v>901.25</v>
      </c>
      <c r="D1892" s="116">
        <v>895</v>
      </c>
      <c r="E1892" s="116">
        <v>931.4</v>
      </c>
      <c r="F1892" s="116">
        <v>1802.5</v>
      </c>
      <c r="G1892">
        <v>3421</v>
      </c>
      <c r="H1892" s="116"/>
      <c r="I1892" s="116"/>
      <c r="L1892" s="170">
        <v>44790</v>
      </c>
      <c r="M1892" s="116">
        <v>903.42499999999995</v>
      </c>
      <c r="N1892" s="116">
        <v>940</v>
      </c>
      <c r="O1892" s="116">
        <v>897</v>
      </c>
      <c r="P1892" s="116">
        <v>935</v>
      </c>
      <c r="Q1892" s="116">
        <v>1806.85</v>
      </c>
      <c r="R1892">
        <v>59319</v>
      </c>
    </row>
    <row r="1893" spans="1:18" x14ac:dyDescent="0.25">
      <c r="A1893" s="170">
        <v>44791</v>
      </c>
      <c r="B1893" s="116">
        <v>910.5</v>
      </c>
      <c r="C1893" s="116">
        <v>904.625</v>
      </c>
      <c r="D1893" s="116">
        <v>898.35</v>
      </c>
      <c r="E1893" s="116">
        <v>901.5</v>
      </c>
      <c r="F1893" s="116">
        <v>1809.25</v>
      </c>
      <c r="G1893">
        <v>1183</v>
      </c>
      <c r="H1893" s="116"/>
      <c r="I1893" s="116"/>
      <c r="L1893" s="170">
        <v>44791</v>
      </c>
      <c r="M1893" s="116">
        <v>902.9</v>
      </c>
      <c r="N1893" s="116">
        <v>910.47500000000002</v>
      </c>
      <c r="O1893" s="116">
        <v>897.5</v>
      </c>
      <c r="P1893" s="116">
        <v>908.17499999999995</v>
      </c>
      <c r="Q1893" s="116">
        <v>1805.8</v>
      </c>
      <c r="R1893">
        <v>114056</v>
      </c>
    </row>
    <row r="1894" spans="1:18" x14ac:dyDescent="0.25">
      <c r="A1894" s="170">
        <v>44792</v>
      </c>
      <c r="B1894" s="116">
        <v>919.9</v>
      </c>
      <c r="C1894" s="116">
        <v>893.17499999999995</v>
      </c>
      <c r="D1894" s="116">
        <v>884.5</v>
      </c>
      <c r="E1894" s="116">
        <v>919.9</v>
      </c>
      <c r="F1894" s="116">
        <v>1786.35</v>
      </c>
      <c r="G1894">
        <v>3898</v>
      </c>
      <c r="H1894" s="116"/>
      <c r="I1894" s="116"/>
      <c r="L1894" s="170">
        <v>44792</v>
      </c>
      <c r="M1894" s="116">
        <v>896.22500000000002</v>
      </c>
      <c r="N1894" s="116">
        <v>907.65</v>
      </c>
      <c r="O1894" s="116">
        <v>884.27499999999998</v>
      </c>
      <c r="P1894" s="116">
        <v>907.42499999999995</v>
      </c>
      <c r="Q1894" s="116">
        <v>1792.45</v>
      </c>
      <c r="R1894">
        <v>34354</v>
      </c>
    </row>
    <row r="1895" spans="1:18" x14ac:dyDescent="0.25">
      <c r="A1895" s="170">
        <v>44795</v>
      </c>
      <c r="B1895" s="116">
        <v>896</v>
      </c>
      <c r="C1895" s="116">
        <v>862.4</v>
      </c>
      <c r="D1895" s="116">
        <v>857.25</v>
      </c>
      <c r="E1895" s="116">
        <v>896</v>
      </c>
      <c r="F1895" s="116">
        <v>1724.8</v>
      </c>
      <c r="G1895">
        <v>3784</v>
      </c>
      <c r="H1895" s="116"/>
      <c r="I1895" s="116"/>
      <c r="L1895" s="170">
        <v>44795</v>
      </c>
      <c r="M1895" s="116">
        <v>865.65</v>
      </c>
      <c r="N1895" s="116">
        <v>894.4</v>
      </c>
      <c r="O1895" s="116">
        <v>861.625</v>
      </c>
      <c r="P1895" s="116">
        <v>888.1</v>
      </c>
      <c r="Q1895" s="116">
        <v>1731.3</v>
      </c>
      <c r="R1895">
        <v>63556</v>
      </c>
    </row>
    <row r="1896" spans="1:18" x14ac:dyDescent="0.25">
      <c r="A1896" s="170">
        <v>44796</v>
      </c>
      <c r="B1896" s="116">
        <v>862.77499999999998</v>
      </c>
      <c r="C1896" s="116">
        <v>860.125</v>
      </c>
      <c r="D1896" s="116">
        <v>852.42499999999995</v>
      </c>
      <c r="E1896" s="116">
        <v>858.9</v>
      </c>
      <c r="F1896" s="116">
        <v>1720.25</v>
      </c>
      <c r="G1896">
        <v>1175</v>
      </c>
      <c r="H1896" s="116"/>
      <c r="I1896" s="116"/>
      <c r="L1896" s="170">
        <v>44796</v>
      </c>
      <c r="M1896" s="116">
        <v>860.22500000000002</v>
      </c>
      <c r="N1896" s="116">
        <v>862.95</v>
      </c>
      <c r="O1896" s="116">
        <v>852.77499999999998</v>
      </c>
      <c r="P1896" s="116">
        <v>860</v>
      </c>
      <c r="Q1896" s="116">
        <v>1720.45</v>
      </c>
      <c r="R1896">
        <v>35581</v>
      </c>
    </row>
    <row r="1897" spans="1:18" x14ac:dyDescent="0.25">
      <c r="A1897" s="170">
        <v>44797</v>
      </c>
      <c r="B1897" s="116">
        <v>901.9</v>
      </c>
      <c r="C1897" s="116">
        <v>895.9</v>
      </c>
      <c r="D1897" s="116">
        <v>861.47500000000002</v>
      </c>
      <c r="E1897" s="116">
        <v>882.5</v>
      </c>
      <c r="F1897" s="116">
        <v>1791.8</v>
      </c>
      <c r="G1897">
        <v>6014</v>
      </c>
      <c r="H1897" s="116"/>
      <c r="I1897" s="116"/>
      <c r="L1897" s="170">
        <v>44797</v>
      </c>
      <c r="M1897" s="116">
        <v>892.2</v>
      </c>
      <c r="N1897" s="116">
        <v>902.5</v>
      </c>
      <c r="O1897" s="116">
        <v>861.375</v>
      </c>
      <c r="P1897" s="116">
        <v>864.5</v>
      </c>
      <c r="Q1897" s="116">
        <v>1784.4</v>
      </c>
      <c r="R1897">
        <v>148385</v>
      </c>
    </row>
    <row r="1898" spans="1:18" x14ac:dyDescent="0.25">
      <c r="A1898" s="170">
        <v>44798</v>
      </c>
      <c r="B1898" s="116">
        <v>911.1</v>
      </c>
      <c r="C1898" s="116">
        <v>899.2</v>
      </c>
      <c r="D1898" s="116">
        <v>890.2</v>
      </c>
      <c r="E1898" s="116">
        <v>890.2</v>
      </c>
      <c r="F1898" s="116">
        <v>1798.4</v>
      </c>
      <c r="G1898">
        <v>2453</v>
      </c>
      <c r="H1898" s="116"/>
      <c r="I1898" s="116"/>
      <c r="L1898" s="170">
        <v>44798</v>
      </c>
      <c r="M1898" s="116">
        <v>898.82500000000005</v>
      </c>
      <c r="N1898" s="116">
        <v>912</v>
      </c>
      <c r="O1898" s="116">
        <v>893.32500000000005</v>
      </c>
      <c r="P1898" s="116">
        <v>899.47500000000002</v>
      </c>
      <c r="Q1898" s="116">
        <v>1797.65</v>
      </c>
      <c r="R1898">
        <v>83201</v>
      </c>
    </row>
    <row r="1899" spans="1:18" x14ac:dyDescent="0.25">
      <c r="A1899" s="170">
        <v>44799</v>
      </c>
      <c r="B1899" s="116">
        <v>922.05</v>
      </c>
      <c r="C1899" s="116">
        <v>908.65</v>
      </c>
      <c r="D1899" s="116">
        <v>899.5</v>
      </c>
      <c r="E1899" s="116">
        <v>899.5</v>
      </c>
      <c r="F1899" s="116">
        <v>1817.3</v>
      </c>
      <c r="G1899">
        <v>3606</v>
      </c>
      <c r="H1899" s="116"/>
      <c r="I1899" s="116"/>
      <c r="L1899" s="170">
        <v>44799</v>
      </c>
      <c r="M1899" s="116">
        <v>908.5</v>
      </c>
      <c r="N1899" s="116">
        <v>919</v>
      </c>
      <c r="O1899" s="116">
        <v>901</v>
      </c>
      <c r="P1899" s="116">
        <v>901</v>
      </c>
      <c r="Q1899" s="116">
        <v>1817</v>
      </c>
      <c r="R1899">
        <v>30233</v>
      </c>
    </row>
    <row r="1900" spans="1:18" x14ac:dyDescent="0.25">
      <c r="A1900" s="170">
        <v>44802</v>
      </c>
      <c r="B1900" s="116">
        <v>911.5</v>
      </c>
      <c r="C1900" s="116">
        <v>899.15</v>
      </c>
      <c r="D1900" s="116">
        <v>802.17499999999995</v>
      </c>
      <c r="E1900" s="116">
        <v>802.17499999999995</v>
      </c>
      <c r="F1900" s="116">
        <v>1798.3</v>
      </c>
      <c r="G1900">
        <v>3168</v>
      </c>
      <c r="H1900" s="116"/>
      <c r="I1900" s="116"/>
      <c r="L1900" s="170">
        <v>44802</v>
      </c>
      <c r="M1900" s="116">
        <v>898.15</v>
      </c>
      <c r="N1900" s="116">
        <v>911.47500000000002</v>
      </c>
      <c r="O1900" s="116">
        <v>880.02499999999998</v>
      </c>
      <c r="P1900" s="116">
        <v>902.5</v>
      </c>
      <c r="Q1900" s="116">
        <v>1796.3</v>
      </c>
      <c r="R1900">
        <v>138450</v>
      </c>
    </row>
    <row r="1901" spans="1:18" x14ac:dyDescent="0.25">
      <c r="A1901" s="170">
        <v>44803</v>
      </c>
      <c r="B1901" s="116">
        <v>905.95</v>
      </c>
      <c r="C1901" s="116">
        <v>886.92499999999995</v>
      </c>
      <c r="D1901" s="116">
        <v>879.3</v>
      </c>
      <c r="E1901" s="116">
        <v>904.55</v>
      </c>
      <c r="F1901" s="116">
        <v>1773.85</v>
      </c>
      <c r="G1901">
        <v>3573</v>
      </c>
      <c r="H1901" s="116"/>
      <c r="I1901" s="116"/>
      <c r="L1901" s="170">
        <v>44803</v>
      </c>
      <c r="M1901" s="116">
        <v>891.3</v>
      </c>
      <c r="N1901" s="116">
        <v>908.97500000000002</v>
      </c>
      <c r="O1901" s="116">
        <v>880.5</v>
      </c>
      <c r="P1901" s="116">
        <v>902.9</v>
      </c>
      <c r="Q1901" s="116">
        <v>1782.6</v>
      </c>
      <c r="R1901">
        <v>112495</v>
      </c>
    </row>
    <row r="1902" spans="1:18" x14ac:dyDescent="0.25">
      <c r="A1902" s="170">
        <v>44805</v>
      </c>
      <c r="B1902" s="116">
        <v>921.5</v>
      </c>
      <c r="C1902" s="116">
        <v>902</v>
      </c>
      <c r="D1902" s="116">
        <v>886.52499999999998</v>
      </c>
      <c r="E1902" s="116">
        <v>891</v>
      </c>
      <c r="F1902" s="116">
        <v>1804</v>
      </c>
      <c r="G1902">
        <v>2789</v>
      </c>
      <c r="H1902" s="116"/>
      <c r="I1902" s="116"/>
      <c r="L1902" s="170">
        <v>44805</v>
      </c>
      <c r="M1902" s="116">
        <v>902.47500000000002</v>
      </c>
      <c r="N1902" s="116">
        <v>922.22500000000002</v>
      </c>
      <c r="O1902" s="116">
        <v>882.5</v>
      </c>
      <c r="P1902" s="116">
        <v>891.3</v>
      </c>
      <c r="Q1902" s="116">
        <v>1804.95</v>
      </c>
      <c r="R1902">
        <v>64702</v>
      </c>
    </row>
    <row r="1903" spans="1:18" x14ac:dyDescent="0.25">
      <c r="A1903" s="170">
        <v>44806</v>
      </c>
      <c r="B1903" s="116">
        <v>915.5</v>
      </c>
      <c r="C1903" s="116">
        <v>894.72500000000002</v>
      </c>
      <c r="D1903" s="116">
        <v>892.5</v>
      </c>
      <c r="E1903" s="116">
        <v>915.5</v>
      </c>
      <c r="F1903" s="116">
        <v>1789.45</v>
      </c>
      <c r="G1903">
        <v>1747</v>
      </c>
      <c r="H1903" s="116"/>
      <c r="I1903" s="116"/>
      <c r="L1903" s="170">
        <v>44806</v>
      </c>
      <c r="M1903" s="116">
        <v>897.125</v>
      </c>
      <c r="N1903" s="116">
        <v>908.125</v>
      </c>
      <c r="O1903" s="116">
        <v>890.625</v>
      </c>
      <c r="P1903" s="116">
        <v>902.47500000000002</v>
      </c>
      <c r="Q1903" s="116">
        <v>1794.25</v>
      </c>
      <c r="R1903">
        <v>21364</v>
      </c>
    </row>
    <row r="1904" spans="1:18" x14ac:dyDescent="0.25">
      <c r="A1904" s="170">
        <v>44809</v>
      </c>
      <c r="B1904" s="116">
        <v>925</v>
      </c>
      <c r="C1904" s="116">
        <v>921.32500000000005</v>
      </c>
      <c r="D1904" s="116">
        <v>887.22500000000002</v>
      </c>
      <c r="E1904" s="116">
        <v>899.97500000000002</v>
      </c>
      <c r="F1904" s="116">
        <v>1842.65</v>
      </c>
      <c r="G1904">
        <v>2793</v>
      </c>
      <c r="H1904" s="116"/>
      <c r="I1904" s="116"/>
      <c r="L1904" s="170">
        <v>44809</v>
      </c>
      <c r="M1904" s="116">
        <v>922.32500000000005</v>
      </c>
      <c r="N1904" s="116">
        <v>925</v>
      </c>
      <c r="O1904" s="116">
        <v>886.95</v>
      </c>
      <c r="P1904" s="116">
        <v>892.5</v>
      </c>
      <c r="Q1904" s="116">
        <v>1844.65</v>
      </c>
      <c r="R1904">
        <v>77446</v>
      </c>
    </row>
    <row r="1905" spans="1:18" x14ac:dyDescent="0.25">
      <c r="A1905" s="170">
        <v>44810</v>
      </c>
      <c r="B1905" s="116">
        <v>931.2</v>
      </c>
      <c r="C1905" s="116">
        <v>923.7</v>
      </c>
      <c r="D1905" s="116">
        <v>909.95</v>
      </c>
      <c r="E1905" s="116">
        <v>924.5</v>
      </c>
      <c r="F1905" s="116">
        <v>1847.4</v>
      </c>
      <c r="G1905">
        <v>2701</v>
      </c>
      <c r="H1905" s="116"/>
      <c r="I1905" s="116"/>
      <c r="L1905" s="170">
        <v>44810</v>
      </c>
      <c r="M1905" s="116">
        <v>924.875</v>
      </c>
      <c r="N1905" s="116">
        <v>932.5</v>
      </c>
      <c r="O1905" s="116">
        <v>910</v>
      </c>
      <c r="P1905" s="116">
        <v>925.45</v>
      </c>
      <c r="Q1905" s="116">
        <v>1849.75</v>
      </c>
      <c r="R1905">
        <v>39214</v>
      </c>
    </row>
    <row r="1906" spans="1:18" x14ac:dyDescent="0.25">
      <c r="A1906" s="170">
        <v>44811</v>
      </c>
      <c r="B1906" s="116">
        <v>937.5</v>
      </c>
      <c r="C1906" s="116">
        <v>932.5</v>
      </c>
      <c r="D1906" s="116">
        <v>912.5</v>
      </c>
      <c r="E1906" s="116">
        <v>912.5</v>
      </c>
      <c r="F1906" s="116">
        <v>1865</v>
      </c>
      <c r="G1906">
        <v>3860</v>
      </c>
      <c r="H1906" s="116"/>
      <c r="I1906" s="116"/>
      <c r="L1906" s="170">
        <v>44811</v>
      </c>
      <c r="M1906" s="116">
        <v>933.07500000000005</v>
      </c>
      <c r="N1906" s="116">
        <v>937.5</v>
      </c>
      <c r="O1906" s="116">
        <v>913.5</v>
      </c>
      <c r="P1906" s="116">
        <v>929.75</v>
      </c>
      <c r="Q1906" s="116">
        <v>1866.15</v>
      </c>
      <c r="R1906">
        <v>71193</v>
      </c>
    </row>
    <row r="1907" spans="1:18" x14ac:dyDescent="0.25">
      <c r="A1907" s="170">
        <v>44812</v>
      </c>
      <c r="B1907" s="116">
        <v>948.5</v>
      </c>
      <c r="C1907" s="116">
        <v>942.65</v>
      </c>
      <c r="D1907" s="116">
        <v>924.6</v>
      </c>
      <c r="E1907" s="116">
        <v>933.07500000000005</v>
      </c>
      <c r="F1907" s="116">
        <v>1885.3</v>
      </c>
      <c r="G1907">
        <v>3749</v>
      </c>
      <c r="H1907" s="116"/>
      <c r="I1907" s="116"/>
      <c r="L1907" s="170">
        <v>44812</v>
      </c>
      <c r="M1907" s="116">
        <v>943.625</v>
      </c>
      <c r="N1907" s="116">
        <v>949</v>
      </c>
      <c r="O1907" s="116">
        <v>921</v>
      </c>
      <c r="P1907" s="116">
        <v>921</v>
      </c>
      <c r="Q1907" s="116">
        <v>1887.25</v>
      </c>
      <c r="R1907">
        <v>56455</v>
      </c>
    </row>
    <row r="1908" spans="1:18" x14ac:dyDescent="0.25">
      <c r="A1908" s="170">
        <v>44813</v>
      </c>
      <c r="B1908" s="116">
        <v>958.2</v>
      </c>
      <c r="C1908" s="116">
        <v>922.77499999999998</v>
      </c>
      <c r="D1908" s="116">
        <v>912.95</v>
      </c>
      <c r="E1908" s="116">
        <v>947.5</v>
      </c>
      <c r="F1908" s="116">
        <v>1845.55</v>
      </c>
      <c r="G1908">
        <v>6564</v>
      </c>
      <c r="H1908" s="116"/>
      <c r="I1908" s="116"/>
      <c r="L1908" s="170">
        <v>44813</v>
      </c>
      <c r="M1908" s="116">
        <v>923.55</v>
      </c>
      <c r="N1908" s="116">
        <v>958.57500000000005</v>
      </c>
      <c r="O1908" s="116">
        <v>912.5</v>
      </c>
      <c r="P1908" s="116">
        <v>950</v>
      </c>
      <c r="Q1908" s="116">
        <v>1847.1</v>
      </c>
      <c r="R1908">
        <v>58060</v>
      </c>
    </row>
    <row r="1909" spans="1:18" x14ac:dyDescent="0.25">
      <c r="A1909" s="170">
        <v>44816</v>
      </c>
      <c r="B1909" s="116">
        <v>953.5</v>
      </c>
      <c r="C1909" s="116">
        <v>935.85</v>
      </c>
      <c r="D1909" s="116">
        <v>921.125</v>
      </c>
      <c r="E1909" s="116">
        <v>925</v>
      </c>
      <c r="F1909" s="116">
        <v>1871.7</v>
      </c>
      <c r="G1909">
        <v>5524</v>
      </c>
      <c r="H1909" s="116"/>
      <c r="I1909" s="116"/>
      <c r="L1909" s="170">
        <v>44816</v>
      </c>
      <c r="M1909" s="116">
        <v>936.875</v>
      </c>
      <c r="N1909" s="116">
        <v>954</v>
      </c>
      <c r="O1909" s="116">
        <v>919.27499999999998</v>
      </c>
      <c r="P1909" s="116">
        <v>931.5</v>
      </c>
      <c r="Q1909" s="116">
        <v>1873.75</v>
      </c>
      <c r="R1909">
        <v>49837</v>
      </c>
    </row>
    <row r="1910" spans="1:18" x14ac:dyDescent="0.25">
      <c r="A1910" s="170">
        <v>44817</v>
      </c>
      <c r="B1910" s="116">
        <v>994.47500000000002</v>
      </c>
      <c r="C1910" s="116">
        <v>982.875</v>
      </c>
      <c r="D1910" s="116">
        <v>929.42499999999995</v>
      </c>
      <c r="E1910" s="116">
        <v>954.97500000000002</v>
      </c>
      <c r="F1910" s="116">
        <v>1965.75</v>
      </c>
      <c r="G1910">
        <v>15279</v>
      </c>
      <c r="H1910" s="116"/>
      <c r="I1910" s="116"/>
      <c r="L1910" s="170">
        <v>44817</v>
      </c>
      <c r="M1910" s="116">
        <v>982.15</v>
      </c>
      <c r="N1910" s="116">
        <v>994.5</v>
      </c>
      <c r="O1910" s="116">
        <v>928.8</v>
      </c>
      <c r="P1910" s="116">
        <v>940</v>
      </c>
      <c r="Q1910" s="116">
        <v>1964.3</v>
      </c>
      <c r="R1910">
        <v>328127</v>
      </c>
    </row>
    <row r="1911" spans="1:18" x14ac:dyDescent="0.25">
      <c r="A1911" s="170">
        <v>44818</v>
      </c>
      <c r="B1911" s="116">
        <v>1022.9</v>
      </c>
      <c r="C1911" s="116">
        <v>983.17499999999995</v>
      </c>
      <c r="D1911" s="116">
        <v>965</v>
      </c>
      <c r="E1911" s="116">
        <v>965</v>
      </c>
      <c r="F1911" s="116">
        <v>1966.35</v>
      </c>
      <c r="G1911">
        <v>17679</v>
      </c>
      <c r="H1911" s="116"/>
      <c r="I1911" s="116"/>
      <c r="L1911" s="170">
        <v>44818</v>
      </c>
      <c r="M1911" s="116">
        <v>983.17499999999995</v>
      </c>
      <c r="N1911" s="116">
        <v>1024</v>
      </c>
      <c r="O1911" s="116">
        <v>965.02499999999998</v>
      </c>
      <c r="P1911" s="116">
        <v>974</v>
      </c>
      <c r="Q1911" s="116">
        <v>1966.35</v>
      </c>
      <c r="R1911">
        <v>262323</v>
      </c>
    </row>
    <row r="1912" spans="1:18" x14ac:dyDescent="0.25">
      <c r="A1912" s="170">
        <v>44819</v>
      </c>
      <c r="B1912" s="116">
        <v>1005.95</v>
      </c>
      <c r="C1912" s="116">
        <v>976.55</v>
      </c>
      <c r="D1912" s="116">
        <v>972.52499999999998</v>
      </c>
      <c r="E1912" s="116">
        <v>1005.95</v>
      </c>
      <c r="F1912" s="116">
        <v>1953.1</v>
      </c>
      <c r="G1912">
        <v>5941</v>
      </c>
      <c r="H1912" s="116"/>
      <c r="I1912" s="116"/>
      <c r="L1912" s="170">
        <v>44819</v>
      </c>
      <c r="M1912" s="116">
        <v>976.55</v>
      </c>
      <c r="N1912" s="116">
        <v>1004.475</v>
      </c>
      <c r="O1912" s="116">
        <v>975.05</v>
      </c>
      <c r="P1912" s="116">
        <v>997.92499999999995</v>
      </c>
      <c r="Q1912" s="116">
        <v>1953.1</v>
      </c>
      <c r="R1912">
        <v>56733</v>
      </c>
    </row>
    <row r="1913" spans="1:18" x14ac:dyDescent="0.25">
      <c r="A1913" s="170">
        <v>44820</v>
      </c>
      <c r="B1913" s="116">
        <v>979.7</v>
      </c>
      <c r="C1913" s="116">
        <v>948.875</v>
      </c>
      <c r="D1913" s="116">
        <v>931.2</v>
      </c>
      <c r="E1913" s="116">
        <v>975</v>
      </c>
      <c r="F1913" s="116">
        <v>1897.75</v>
      </c>
      <c r="G1913">
        <v>5779</v>
      </c>
      <c r="H1913" s="116"/>
      <c r="I1913" s="116"/>
      <c r="L1913" s="170">
        <v>44820</v>
      </c>
      <c r="M1913" s="116">
        <v>949.82500000000005</v>
      </c>
      <c r="N1913" s="116">
        <v>979.375</v>
      </c>
      <c r="O1913" s="116">
        <v>934.22500000000002</v>
      </c>
      <c r="P1913" s="116">
        <v>976.5</v>
      </c>
      <c r="Q1913" s="116">
        <v>1899.65</v>
      </c>
      <c r="R1913">
        <v>56531</v>
      </c>
    </row>
    <row r="1914" spans="1:18" x14ac:dyDescent="0.25">
      <c r="A1914" s="170">
        <v>44823</v>
      </c>
      <c r="B1914" s="116">
        <v>975.72500000000002</v>
      </c>
      <c r="C1914" s="116">
        <v>940.97500000000002</v>
      </c>
      <c r="D1914" s="116">
        <v>927.5</v>
      </c>
      <c r="E1914" s="116">
        <v>948.02499999999998</v>
      </c>
      <c r="F1914" s="116">
        <v>1881.95</v>
      </c>
      <c r="G1914">
        <v>15054</v>
      </c>
      <c r="H1914" s="116"/>
      <c r="I1914" s="116"/>
      <c r="L1914" s="170">
        <v>44823</v>
      </c>
      <c r="M1914" s="116">
        <v>936.92499999999995</v>
      </c>
      <c r="N1914" s="116">
        <v>977</v>
      </c>
      <c r="O1914" s="116">
        <v>927.75</v>
      </c>
      <c r="P1914" s="116">
        <v>941.2</v>
      </c>
      <c r="Q1914" s="116">
        <v>1873.85</v>
      </c>
      <c r="R1914">
        <v>64604</v>
      </c>
    </row>
    <row r="1915" spans="1:18" x14ac:dyDescent="0.25">
      <c r="A1915" s="170">
        <v>44824</v>
      </c>
      <c r="B1915" s="116">
        <v>956.22500000000002</v>
      </c>
      <c r="C1915" s="116">
        <v>949.7</v>
      </c>
      <c r="D1915" s="116">
        <v>926.07500000000005</v>
      </c>
      <c r="E1915" s="116">
        <v>942.5</v>
      </c>
      <c r="F1915" s="116">
        <v>1899.4</v>
      </c>
      <c r="G1915">
        <v>8192</v>
      </c>
      <c r="H1915" s="116"/>
      <c r="I1915" s="116"/>
      <c r="L1915" s="170">
        <v>44824</v>
      </c>
      <c r="M1915" s="116">
        <v>950.45</v>
      </c>
      <c r="N1915" s="116">
        <v>956.85</v>
      </c>
      <c r="O1915" s="116">
        <v>928.2</v>
      </c>
      <c r="P1915" s="116">
        <v>941</v>
      </c>
      <c r="Q1915" s="116">
        <v>1900.9</v>
      </c>
      <c r="R1915">
        <v>63269</v>
      </c>
    </row>
    <row r="1916" spans="1:18" x14ac:dyDescent="0.25">
      <c r="A1916" s="170">
        <v>44825</v>
      </c>
      <c r="B1916" s="116">
        <v>973.2</v>
      </c>
      <c r="C1916" s="116">
        <v>937.6</v>
      </c>
      <c r="D1916" s="116">
        <v>930.02499999999998</v>
      </c>
      <c r="E1916" s="116">
        <v>956</v>
      </c>
      <c r="F1916" s="116">
        <v>1875.2</v>
      </c>
      <c r="G1916">
        <v>2917</v>
      </c>
      <c r="H1916" s="116"/>
      <c r="I1916" s="116"/>
      <c r="L1916" s="170">
        <v>44825</v>
      </c>
      <c r="M1916" s="116">
        <v>936.1</v>
      </c>
      <c r="N1916" s="116">
        <v>974</v>
      </c>
      <c r="O1916" s="116">
        <v>930.25</v>
      </c>
      <c r="P1916" s="116">
        <v>952.5</v>
      </c>
      <c r="Q1916" s="116">
        <v>1872.2</v>
      </c>
      <c r="R1916">
        <v>87085</v>
      </c>
    </row>
    <row r="1917" spans="1:18" x14ac:dyDescent="0.25">
      <c r="A1917" s="170">
        <v>44826</v>
      </c>
      <c r="B1917" s="116">
        <v>963.05</v>
      </c>
      <c r="C1917" s="116">
        <v>939.7</v>
      </c>
      <c r="D1917" s="116">
        <v>931.625</v>
      </c>
      <c r="E1917" s="116">
        <v>934.82500000000005</v>
      </c>
      <c r="F1917" s="116">
        <v>1879.4</v>
      </c>
      <c r="G1917">
        <v>4232</v>
      </c>
      <c r="H1917" s="116"/>
      <c r="I1917" s="116"/>
      <c r="L1917" s="170">
        <v>44826</v>
      </c>
      <c r="M1917" s="116">
        <v>940.17499999999995</v>
      </c>
      <c r="N1917" s="116">
        <v>962.95</v>
      </c>
      <c r="O1917" s="116">
        <v>931.77499999999998</v>
      </c>
      <c r="P1917" s="116">
        <v>938.97500000000002</v>
      </c>
      <c r="Q1917" s="116">
        <v>1880.35</v>
      </c>
      <c r="R1917">
        <v>41110</v>
      </c>
    </row>
    <row r="1918" spans="1:18" x14ac:dyDescent="0.25">
      <c r="A1918" s="170">
        <v>44827</v>
      </c>
      <c r="B1918" s="116">
        <v>944.25</v>
      </c>
      <c r="C1918" s="116">
        <v>925.75</v>
      </c>
      <c r="D1918" s="116">
        <v>924.02499999999998</v>
      </c>
      <c r="E1918" s="116">
        <v>940.75</v>
      </c>
      <c r="F1918" s="116">
        <v>1851.5</v>
      </c>
      <c r="G1918">
        <v>1447</v>
      </c>
      <c r="H1918" s="116"/>
      <c r="I1918" s="116"/>
      <c r="L1918" s="170">
        <v>44827</v>
      </c>
      <c r="M1918" s="116">
        <v>925.75</v>
      </c>
      <c r="N1918" s="116">
        <v>945.1</v>
      </c>
      <c r="O1918" s="116">
        <v>924.25</v>
      </c>
      <c r="P1918" s="116">
        <v>940.5</v>
      </c>
      <c r="Q1918" s="116">
        <v>1851.5</v>
      </c>
      <c r="R1918">
        <v>35498</v>
      </c>
    </row>
    <row r="1919" spans="1:18" x14ac:dyDescent="0.25">
      <c r="A1919" s="170">
        <v>44830</v>
      </c>
      <c r="B1919" s="116">
        <v>970.5</v>
      </c>
      <c r="C1919" s="116">
        <v>955.375</v>
      </c>
      <c r="D1919" s="116">
        <v>908.52499999999998</v>
      </c>
      <c r="E1919" s="116">
        <v>908.52499999999998</v>
      </c>
      <c r="F1919" s="116">
        <v>1910.75</v>
      </c>
      <c r="G1919">
        <v>14657</v>
      </c>
      <c r="H1919" s="116"/>
      <c r="I1919" s="116"/>
      <c r="L1919" s="170">
        <v>44830</v>
      </c>
      <c r="M1919" s="116">
        <v>958.1</v>
      </c>
      <c r="N1919" s="116">
        <v>970.6</v>
      </c>
      <c r="O1919" s="116">
        <v>915.67499999999995</v>
      </c>
      <c r="P1919" s="116">
        <v>940</v>
      </c>
      <c r="Q1919" s="116">
        <v>1916.2</v>
      </c>
      <c r="R1919">
        <v>182861</v>
      </c>
    </row>
    <row r="1920" spans="1:18" x14ac:dyDescent="0.25">
      <c r="A1920" s="170">
        <v>44831</v>
      </c>
      <c r="B1920" s="116">
        <v>980.45</v>
      </c>
      <c r="C1920" s="116">
        <v>955.15</v>
      </c>
      <c r="D1920" s="116">
        <v>943</v>
      </c>
      <c r="E1920" s="116">
        <v>956.25</v>
      </c>
      <c r="F1920" s="116">
        <v>1910.3</v>
      </c>
      <c r="G1920">
        <v>4391</v>
      </c>
      <c r="H1920" s="116"/>
      <c r="I1920" s="116"/>
      <c r="L1920" s="170">
        <v>44831</v>
      </c>
      <c r="M1920" s="116">
        <v>956.22500000000002</v>
      </c>
      <c r="N1920" s="116">
        <v>980.6</v>
      </c>
      <c r="O1920" s="116">
        <v>942.5</v>
      </c>
      <c r="P1920" s="116">
        <v>962.07500000000005</v>
      </c>
      <c r="Q1920" s="116">
        <v>1912.45</v>
      </c>
      <c r="R1920">
        <v>88812</v>
      </c>
    </row>
    <row r="1921" spans="1:18" x14ac:dyDescent="0.25">
      <c r="A1921" s="170">
        <v>44832</v>
      </c>
      <c r="B1921" s="116">
        <v>964.5</v>
      </c>
      <c r="C1921" s="116">
        <v>945.52499999999998</v>
      </c>
      <c r="D1921" s="116">
        <v>941.6</v>
      </c>
      <c r="E1921" s="116">
        <v>949.875</v>
      </c>
      <c r="F1921" s="116">
        <v>1891.05</v>
      </c>
      <c r="G1921">
        <v>2944</v>
      </c>
      <c r="H1921" s="116"/>
      <c r="I1921" s="116"/>
      <c r="L1921" s="170">
        <v>44832</v>
      </c>
      <c r="M1921" s="116">
        <v>945.42499999999995</v>
      </c>
      <c r="N1921" s="116">
        <v>966.22500000000002</v>
      </c>
      <c r="O1921" s="116">
        <v>942.5</v>
      </c>
      <c r="P1921" s="116">
        <v>949</v>
      </c>
      <c r="Q1921" s="116">
        <v>1890.85</v>
      </c>
      <c r="R1921">
        <v>58607</v>
      </c>
    </row>
    <row r="1922" spans="1:18" x14ac:dyDescent="0.25">
      <c r="A1922" s="170">
        <v>44833</v>
      </c>
      <c r="B1922" s="116">
        <v>966</v>
      </c>
      <c r="C1922" s="116">
        <v>957.1</v>
      </c>
      <c r="D1922" s="116">
        <v>931.4</v>
      </c>
      <c r="E1922" s="116">
        <v>945.55</v>
      </c>
      <c r="F1922" s="116">
        <v>1914.2</v>
      </c>
      <c r="G1922">
        <v>5431</v>
      </c>
      <c r="H1922" s="116"/>
      <c r="I1922" s="116"/>
      <c r="L1922" s="170">
        <v>44833</v>
      </c>
      <c r="M1922" s="116">
        <v>957.2</v>
      </c>
      <c r="N1922" s="116">
        <v>967.47500000000002</v>
      </c>
      <c r="O1922" s="116">
        <v>931</v>
      </c>
      <c r="P1922" s="116">
        <v>949.97500000000002</v>
      </c>
      <c r="Q1922" s="116">
        <v>1914.4</v>
      </c>
      <c r="R1922">
        <v>72950</v>
      </c>
    </row>
    <row r="1923" spans="1:18" x14ac:dyDescent="0.25">
      <c r="A1923" s="170">
        <v>44834</v>
      </c>
      <c r="B1923" s="116">
        <v>962.85</v>
      </c>
      <c r="C1923" s="116">
        <v>958.65</v>
      </c>
      <c r="D1923" s="116">
        <v>945.55</v>
      </c>
      <c r="E1923" s="116">
        <v>956.2</v>
      </c>
      <c r="F1923" s="116">
        <v>1917.3</v>
      </c>
      <c r="G1923">
        <v>1529</v>
      </c>
      <c r="H1923" s="116"/>
      <c r="I1923" s="116"/>
      <c r="L1923" s="170">
        <v>44834</v>
      </c>
      <c r="M1923" s="116">
        <v>959.9</v>
      </c>
      <c r="N1923" s="116">
        <v>963.375</v>
      </c>
      <c r="O1923" s="116">
        <v>944</v>
      </c>
      <c r="P1923" s="116">
        <v>957.2</v>
      </c>
      <c r="Q1923" s="116">
        <v>1919.8</v>
      </c>
      <c r="R1923">
        <v>92985</v>
      </c>
    </row>
    <row r="1924" spans="1:18" x14ac:dyDescent="0.25">
      <c r="A1924" s="170">
        <v>44837</v>
      </c>
      <c r="B1924" s="116">
        <v>1003.5</v>
      </c>
      <c r="C1924" s="116">
        <v>986.9</v>
      </c>
      <c r="D1924" s="116">
        <v>969.17499999999995</v>
      </c>
      <c r="E1924" s="116">
        <v>969.17499999999995</v>
      </c>
      <c r="F1924" s="116">
        <v>1973.8</v>
      </c>
      <c r="G1924">
        <v>28518</v>
      </c>
      <c r="H1924" s="116"/>
      <c r="I1924" s="116"/>
      <c r="L1924" s="170">
        <v>44837</v>
      </c>
      <c r="M1924" s="116">
        <v>982.5</v>
      </c>
      <c r="N1924" s="116">
        <v>1003.65</v>
      </c>
      <c r="O1924" s="116">
        <v>965.52499999999998</v>
      </c>
      <c r="P1924" s="116">
        <v>967.5</v>
      </c>
      <c r="Q1924" s="116">
        <v>1965</v>
      </c>
      <c r="R1924">
        <v>180559</v>
      </c>
    </row>
    <row r="1925" spans="1:18" x14ac:dyDescent="0.25">
      <c r="A1925" s="170">
        <v>44838</v>
      </c>
      <c r="B1925" s="116">
        <v>1014.2</v>
      </c>
      <c r="C1925" s="116">
        <v>1009.9</v>
      </c>
      <c r="D1925" s="116">
        <v>988.25</v>
      </c>
      <c r="E1925" s="116">
        <v>988.25</v>
      </c>
      <c r="F1925" s="116">
        <v>2019.8</v>
      </c>
      <c r="G1925">
        <v>8990</v>
      </c>
      <c r="H1925" s="116"/>
      <c r="I1925" s="116"/>
      <c r="L1925" s="170">
        <v>44838</v>
      </c>
      <c r="M1925" s="116">
        <v>1009.975</v>
      </c>
      <c r="N1925" s="116">
        <v>1012.675</v>
      </c>
      <c r="O1925" s="116">
        <v>987.65</v>
      </c>
      <c r="P1925" s="116">
        <v>987.65</v>
      </c>
      <c r="Q1925" s="116">
        <v>2019.95</v>
      </c>
      <c r="R1925">
        <v>97193</v>
      </c>
    </row>
    <row r="1926" spans="1:18" x14ac:dyDescent="0.25">
      <c r="A1926" s="170">
        <v>44840</v>
      </c>
      <c r="B1926" s="116">
        <v>1024.875</v>
      </c>
      <c r="C1926" s="116">
        <v>988.8</v>
      </c>
      <c r="D1926" s="116">
        <v>986.125</v>
      </c>
      <c r="E1926" s="116">
        <v>1024.875</v>
      </c>
      <c r="F1926" s="116">
        <v>1977.6</v>
      </c>
      <c r="G1926">
        <v>3412</v>
      </c>
      <c r="H1926" s="116"/>
      <c r="I1926" s="116"/>
      <c r="L1926" s="170">
        <v>44840</v>
      </c>
      <c r="M1926" s="116">
        <v>988.02499999999998</v>
      </c>
      <c r="N1926" s="116">
        <v>1015</v>
      </c>
      <c r="O1926" s="116">
        <v>985.05</v>
      </c>
      <c r="P1926" s="116">
        <v>1015</v>
      </c>
      <c r="Q1926" s="116">
        <v>1976.05</v>
      </c>
      <c r="R1926">
        <v>57339</v>
      </c>
    </row>
    <row r="1927" spans="1:18" x14ac:dyDescent="0.25">
      <c r="A1927" s="170">
        <v>44841</v>
      </c>
      <c r="B1927" s="116">
        <v>1003.75</v>
      </c>
      <c r="C1927" s="116">
        <v>998.75</v>
      </c>
      <c r="D1927" s="116">
        <v>990.52499999999998</v>
      </c>
      <c r="E1927" s="116">
        <v>990.52499999999998</v>
      </c>
      <c r="F1927" s="116">
        <v>1997.5</v>
      </c>
      <c r="G1927">
        <v>6987</v>
      </c>
      <c r="H1927" s="116"/>
      <c r="I1927" s="116"/>
      <c r="L1927" s="170">
        <v>44841</v>
      </c>
      <c r="M1927" s="116">
        <v>1000</v>
      </c>
      <c r="N1927" s="116">
        <v>1002.725</v>
      </c>
      <c r="O1927" s="116">
        <v>991.17499999999995</v>
      </c>
      <c r="P1927" s="116">
        <v>993.22500000000002</v>
      </c>
      <c r="Q1927" s="116">
        <v>2000</v>
      </c>
      <c r="R1927">
        <v>159709</v>
      </c>
    </row>
    <row r="1928" spans="1:18" x14ac:dyDescent="0.25">
      <c r="A1928" s="170">
        <v>44844</v>
      </c>
      <c r="B1928" s="116">
        <v>1032.5</v>
      </c>
      <c r="C1928" s="116">
        <v>985.02499999999998</v>
      </c>
      <c r="D1928" s="116">
        <v>975</v>
      </c>
      <c r="E1928" s="116">
        <v>998.8</v>
      </c>
      <c r="F1928" s="116">
        <v>1970.05</v>
      </c>
      <c r="G1928">
        <v>10427</v>
      </c>
      <c r="H1928" s="116"/>
      <c r="I1928" s="116"/>
      <c r="L1928" s="170">
        <v>44844</v>
      </c>
      <c r="M1928" s="116">
        <v>985.07500000000005</v>
      </c>
      <c r="N1928" s="116">
        <v>1034</v>
      </c>
      <c r="O1928" s="116">
        <v>975</v>
      </c>
      <c r="P1928" s="116">
        <v>1000</v>
      </c>
      <c r="Q1928" s="116">
        <v>1970.15</v>
      </c>
      <c r="R1928">
        <v>178456</v>
      </c>
    </row>
    <row r="1929" spans="1:18" x14ac:dyDescent="0.25">
      <c r="A1929" s="170">
        <v>44845</v>
      </c>
      <c r="B1929" s="116">
        <v>1013.975</v>
      </c>
      <c r="C1929" s="116">
        <v>987.55</v>
      </c>
      <c r="D1929" s="116">
        <v>983.47500000000002</v>
      </c>
      <c r="E1929" s="116">
        <v>1013.975</v>
      </c>
      <c r="F1929" s="116">
        <v>1975.1</v>
      </c>
      <c r="G1929">
        <v>13662</v>
      </c>
      <c r="H1929" s="116"/>
      <c r="I1929" s="116"/>
      <c r="L1929" s="170">
        <v>44845</v>
      </c>
      <c r="M1929" s="116">
        <v>988.47500000000002</v>
      </c>
      <c r="N1929" s="116">
        <v>996.95</v>
      </c>
      <c r="O1929" s="116">
        <v>981.5</v>
      </c>
      <c r="P1929" s="116">
        <v>989.7</v>
      </c>
      <c r="Q1929" s="116">
        <v>1976.95</v>
      </c>
      <c r="R1929">
        <v>68385</v>
      </c>
    </row>
    <row r="1930" spans="1:18" x14ac:dyDescent="0.25">
      <c r="A1930" s="170">
        <v>44846</v>
      </c>
      <c r="B1930" s="116">
        <v>1017.7</v>
      </c>
      <c r="C1930" s="116">
        <v>980.45</v>
      </c>
      <c r="D1930" s="116">
        <v>975.5</v>
      </c>
      <c r="E1930" s="116">
        <v>992.3</v>
      </c>
      <c r="F1930" s="116">
        <v>1960.9</v>
      </c>
      <c r="G1930">
        <v>3957</v>
      </c>
      <c r="H1930" s="116"/>
      <c r="I1930" s="116"/>
      <c r="L1930" s="170">
        <v>44846</v>
      </c>
      <c r="M1930" s="116">
        <v>980.15</v>
      </c>
      <c r="N1930" s="116">
        <v>1018</v>
      </c>
      <c r="O1930" s="116">
        <v>975.625</v>
      </c>
      <c r="P1930" s="116">
        <v>991.5</v>
      </c>
      <c r="Q1930" s="116">
        <v>1960.3</v>
      </c>
      <c r="R1930">
        <v>74462</v>
      </c>
    </row>
    <row r="1931" spans="1:18" x14ac:dyDescent="0.25">
      <c r="A1931" s="170">
        <v>44847</v>
      </c>
      <c r="B1931" s="116">
        <v>984.82500000000005</v>
      </c>
      <c r="C1931" s="116">
        <v>967.55</v>
      </c>
      <c r="D1931" s="116">
        <v>962.5</v>
      </c>
      <c r="E1931" s="116">
        <v>975.02499999999998</v>
      </c>
      <c r="F1931" s="116">
        <v>1935.1</v>
      </c>
      <c r="G1931">
        <v>2287</v>
      </c>
      <c r="H1931" s="116"/>
      <c r="I1931" s="116"/>
      <c r="L1931" s="170">
        <v>44847</v>
      </c>
      <c r="M1931" s="116">
        <v>966.7</v>
      </c>
      <c r="N1931" s="116">
        <v>988.95</v>
      </c>
      <c r="O1931" s="116">
        <v>962.55</v>
      </c>
      <c r="P1931" s="116">
        <v>984.97500000000002</v>
      </c>
      <c r="Q1931" s="116">
        <v>1933.4</v>
      </c>
      <c r="R1931">
        <v>36219</v>
      </c>
    </row>
    <row r="1932" spans="1:18" x14ac:dyDescent="0.25">
      <c r="A1932" s="170">
        <v>44848</v>
      </c>
      <c r="B1932" s="116">
        <v>981.27499999999998</v>
      </c>
      <c r="C1932" s="116">
        <v>965.05</v>
      </c>
      <c r="D1932" s="116">
        <v>961.8</v>
      </c>
      <c r="E1932" s="116">
        <v>967.72500000000002</v>
      </c>
      <c r="F1932" s="116">
        <v>1930.1</v>
      </c>
      <c r="G1932">
        <v>2438</v>
      </c>
      <c r="H1932" s="116"/>
      <c r="I1932" s="116"/>
      <c r="L1932" s="170">
        <v>44848</v>
      </c>
      <c r="M1932" s="116">
        <v>966.27499999999998</v>
      </c>
      <c r="N1932" s="116">
        <v>989.2</v>
      </c>
      <c r="O1932" s="116">
        <v>961.5</v>
      </c>
      <c r="P1932" s="116">
        <v>971.55</v>
      </c>
      <c r="Q1932" s="116">
        <v>1932.55</v>
      </c>
      <c r="R1932">
        <v>24408</v>
      </c>
    </row>
    <row r="1933" spans="1:18" x14ac:dyDescent="0.25">
      <c r="A1933" s="170">
        <v>44851</v>
      </c>
      <c r="B1933" s="116">
        <v>976.7</v>
      </c>
      <c r="C1933" s="116">
        <v>957.6</v>
      </c>
      <c r="D1933" s="116">
        <v>955.1</v>
      </c>
      <c r="E1933" s="116">
        <v>963.7</v>
      </c>
      <c r="F1933" s="116">
        <v>1915.2</v>
      </c>
      <c r="G1933">
        <v>7505</v>
      </c>
      <c r="H1933" s="116"/>
      <c r="I1933" s="116"/>
      <c r="L1933" s="170">
        <v>44851</v>
      </c>
      <c r="M1933" s="116">
        <v>957.1</v>
      </c>
      <c r="N1933" s="116">
        <v>977.5</v>
      </c>
      <c r="O1933" s="116">
        <v>953.52499999999998</v>
      </c>
      <c r="P1933" s="116">
        <v>957.5</v>
      </c>
      <c r="Q1933" s="116">
        <v>1914.2</v>
      </c>
      <c r="R1933">
        <v>23457</v>
      </c>
    </row>
    <row r="1934" spans="1:18" x14ac:dyDescent="0.25">
      <c r="A1934" s="170">
        <v>44852</v>
      </c>
      <c r="B1934" s="116">
        <v>969</v>
      </c>
      <c r="C1934" s="116">
        <v>965.82500000000005</v>
      </c>
      <c r="D1934" s="116">
        <v>955</v>
      </c>
      <c r="E1934" s="116">
        <v>960.5</v>
      </c>
      <c r="F1934" s="116">
        <v>1931.65</v>
      </c>
      <c r="G1934">
        <v>4049</v>
      </c>
      <c r="H1934" s="116"/>
      <c r="I1934" s="116"/>
      <c r="L1934" s="170">
        <v>44852</v>
      </c>
      <c r="M1934" s="116">
        <v>965.3</v>
      </c>
      <c r="N1934" s="116">
        <v>969.47500000000002</v>
      </c>
      <c r="O1934" s="116">
        <v>955.5</v>
      </c>
      <c r="P1934" s="116">
        <v>961.9</v>
      </c>
      <c r="Q1934" s="116">
        <v>1930.6</v>
      </c>
      <c r="R1934">
        <v>49603</v>
      </c>
    </row>
    <row r="1935" spans="1:18" x14ac:dyDescent="0.25">
      <c r="A1935" s="170">
        <v>44853</v>
      </c>
      <c r="B1935" s="116">
        <v>976.25</v>
      </c>
      <c r="C1935" s="116">
        <v>958.25</v>
      </c>
      <c r="D1935" s="116">
        <v>954.3</v>
      </c>
      <c r="E1935" s="116">
        <v>967.55</v>
      </c>
      <c r="F1935" s="116">
        <v>1916.5</v>
      </c>
      <c r="G1935">
        <v>2828</v>
      </c>
      <c r="H1935" s="116"/>
      <c r="I1935" s="116"/>
      <c r="L1935" s="170">
        <v>44853</v>
      </c>
      <c r="M1935" s="116">
        <v>960.1</v>
      </c>
      <c r="N1935" s="116">
        <v>977.27499999999998</v>
      </c>
      <c r="O1935" s="116">
        <v>955</v>
      </c>
      <c r="P1935" s="116">
        <v>970.15</v>
      </c>
      <c r="Q1935" s="116">
        <v>1920.2</v>
      </c>
      <c r="R1935">
        <v>69217</v>
      </c>
    </row>
    <row r="1936" spans="1:18" x14ac:dyDescent="0.25">
      <c r="A1936" s="170">
        <v>44854</v>
      </c>
      <c r="B1936" s="116">
        <v>963.3</v>
      </c>
      <c r="C1936" s="116">
        <v>952.22500000000002</v>
      </c>
      <c r="D1936" s="116">
        <v>936.77499999999998</v>
      </c>
      <c r="E1936" s="116">
        <v>959.27499999999998</v>
      </c>
      <c r="F1936" s="116">
        <v>1904.45</v>
      </c>
      <c r="G1936">
        <v>4290</v>
      </c>
      <c r="H1936" s="116"/>
      <c r="I1936" s="116"/>
      <c r="L1936" s="170">
        <v>44854</v>
      </c>
      <c r="M1936" s="116">
        <v>950</v>
      </c>
      <c r="N1936" s="116">
        <v>963.97500000000002</v>
      </c>
      <c r="O1936" s="116">
        <v>937.55</v>
      </c>
      <c r="P1936" s="116">
        <v>960.3</v>
      </c>
      <c r="Q1936" s="116">
        <v>1900</v>
      </c>
      <c r="R1936">
        <v>121803</v>
      </c>
    </row>
    <row r="1937" spans="1:18" x14ac:dyDescent="0.25">
      <c r="A1937" s="170">
        <v>44855</v>
      </c>
      <c r="B1937" s="116">
        <v>999</v>
      </c>
      <c r="C1937" s="116">
        <v>991.47500000000002</v>
      </c>
      <c r="D1937" s="116">
        <v>955.42499999999995</v>
      </c>
      <c r="E1937" s="116">
        <v>957.3</v>
      </c>
      <c r="F1937" s="116">
        <v>1982.95</v>
      </c>
      <c r="G1937">
        <v>4898</v>
      </c>
      <c r="H1937" s="116"/>
      <c r="I1937" s="116"/>
      <c r="L1937" s="170">
        <v>44855</v>
      </c>
      <c r="M1937" s="116">
        <v>991.625</v>
      </c>
      <c r="N1937" s="116">
        <v>1000</v>
      </c>
      <c r="O1937" s="116">
        <v>954.02499999999998</v>
      </c>
      <c r="P1937" s="116">
        <v>954.75</v>
      </c>
      <c r="Q1937" s="116">
        <v>1983.25</v>
      </c>
      <c r="R1937">
        <v>77882</v>
      </c>
    </row>
    <row r="1938" spans="1:18" x14ac:dyDescent="0.25">
      <c r="A1938" s="170">
        <v>44858</v>
      </c>
      <c r="B1938" s="116">
        <v>1002.5</v>
      </c>
      <c r="C1938" s="116">
        <v>989.02499999999998</v>
      </c>
      <c r="D1938" s="116">
        <v>985.52499999999998</v>
      </c>
      <c r="E1938" s="116">
        <v>1000</v>
      </c>
      <c r="F1938" s="116">
        <v>1978.05</v>
      </c>
      <c r="G1938">
        <v>436</v>
      </c>
      <c r="H1938" s="116"/>
      <c r="I1938" s="116"/>
      <c r="L1938" s="170">
        <v>44858</v>
      </c>
      <c r="M1938" s="116">
        <v>990.05</v>
      </c>
      <c r="N1938" s="116">
        <v>1006</v>
      </c>
      <c r="O1938" s="116">
        <v>985.22500000000002</v>
      </c>
      <c r="P1938" s="116">
        <v>1006</v>
      </c>
      <c r="Q1938" s="116">
        <v>1980.1</v>
      </c>
      <c r="R1938">
        <v>9761</v>
      </c>
    </row>
    <row r="1939" spans="1:18" x14ac:dyDescent="0.25">
      <c r="A1939" s="170">
        <v>44859</v>
      </c>
      <c r="B1939" s="116">
        <v>1002.375</v>
      </c>
      <c r="C1939" s="116">
        <v>957.6</v>
      </c>
      <c r="D1939" s="116">
        <v>951</v>
      </c>
      <c r="E1939" s="116">
        <v>972.82500000000005</v>
      </c>
      <c r="F1939" s="116">
        <v>1915.2</v>
      </c>
      <c r="G1939">
        <v>9036</v>
      </c>
      <c r="H1939" s="116"/>
      <c r="I1939" s="116"/>
      <c r="L1939" s="170">
        <v>44859</v>
      </c>
      <c r="M1939" s="116">
        <v>956.97500000000002</v>
      </c>
      <c r="N1939" s="116">
        <v>1004.275</v>
      </c>
      <c r="O1939" s="116">
        <v>950.97500000000002</v>
      </c>
      <c r="P1939" s="116">
        <v>992.875</v>
      </c>
      <c r="Q1939" s="116">
        <v>1913.95</v>
      </c>
      <c r="R1939">
        <v>42561</v>
      </c>
    </row>
    <row r="1940" spans="1:18" x14ac:dyDescent="0.25">
      <c r="A1940" s="170">
        <v>44861</v>
      </c>
      <c r="B1940" s="116">
        <v>968.45</v>
      </c>
      <c r="C1940" s="116">
        <v>961.27499999999998</v>
      </c>
      <c r="D1940" s="116">
        <v>942.77499999999998</v>
      </c>
      <c r="E1940" s="116">
        <v>968.45</v>
      </c>
      <c r="F1940" s="116">
        <v>1922.55</v>
      </c>
      <c r="G1940">
        <v>4510</v>
      </c>
      <c r="H1940" s="116"/>
      <c r="I1940" s="116"/>
      <c r="L1940" s="170">
        <v>44861</v>
      </c>
      <c r="M1940" s="116">
        <v>961.7</v>
      </c>
      <c r="N1940" s="116">
        <v>983.75</v>
      </c>
      <c r="O1940" s="116">
        <v>943.02499999999998</v>
      </c>
      <c r="P1940" s="116">
        <v>962</v>
      </c>
      <c r="Q1940" s="116">
        <v>1923.4</v>
      </c>
      <c r="R1940">
        <v>81889</v>
      </c>
    </row>
    <row r="1941" spans="1:18" x14ac:dyDescent="0.25">
      <c r="A1941" s="170">
        <v>44862</v>
      </c>
      <c r="B1941" s="116">
        <v>962.17499999999995</v>
      </c>
      <c r="C1941" s="116">
        <v>948</v>
      </c>
      <c r="D1941" s="116">
        <v>943.8</v>
      </c>
      <c r="E1941" s="116">
        <v>955</v>
      </c>
      <c r="F1941" s="116">
        <v>1896</v>
      </c>
      <c r="G1941">
        <v>3154</v>
      </c>
      <c r="H1941" s="116"/>
      <c r="I1941" s="116"/>
      <c r="L1941" s="170">
        <v>44862</v>
      </c>
      <c r="M1941" s="116">
        <v>947.42499999999995</v>
      </c>
      <c r="N1941" s="116">
        <v>966.4</v>
      </c>
      <c r="O1941" s="116">
        <v>943.5</v>
      </c>
      <c r="P1941" s="116">
        <v>962.27499999999998</v>
      </c>
      <c r="Q1941" s="116">
        <v>1894.85</v>
      </c>
      <c r="R1941">
        <v>33443</v>
      </c>
    </row>
    <row r="1942" spans="1:18" x14ac:dyDescent="0.25">
      <c r="A1942" s="170">
        <v>44865</v>
      </c>
      <c r="B1942" s="116">
        <v>989.45</v>
      </c>
      <c r="C1942" s="116">
        <v>987</v>
      </c>
      <c r="D1942" s="116">
        <v>948</v>
      </c>
      <c r="E1942" s="116">
        <v>948</v>
      </c>
      <c r="F1942" s="116">
        <v>1974</v>
      </c>
      <c r="G1942">
        <v>5339</v>
      </c>
      <c r="H1942" s="116"/>
      <c r="I1942" s="116"/>
      <c r="L1942" s="170">
        <v>44865</v>
      </c>
      <c r="M1942" s="116">
        <v>986.75</v>
      </c>
      <c r="N1942" s="116">
        <v>989.92499999999995</v>
      </c>
      <c r="O1942" s="116">
        <v>950</v>
      </c>
      <c r="P1942" s="116">
        <v>950.55</v>
      </c>
      <c r="Q1942" s="116">
        <v>1973.5</v>
      </c>
      <c r="R1942">
        <v>73959</v>
      </c>
    </row>
    <row r="1943" spans="1:18" x14ac:dyDescent="0.25">
      <c r="A1943" s="170">
        <v>44866</v>
      </c>
      <c r="B1943" s="116">
        <v>1005</v>
      </c>
      <c r="C1943" s="116">
        <v>999.32500000000005</v>
      </c>
      <c r="D1943" s="116">
        <v>989</v>
      </c>
      <c r="E1943" s="116">
        <v>989.45</v>
      </c>
      <c r="F1943" s="116">
        <v>1998.65</v>
      </c>
      <c r="G1943">
        <v>4661</v>
      </c>
      <c r="H1943" s="116"/>
      <c r="I1943" s="116"/>
      <c r="L1943" s="170">
        <v>44866</v>
      </c>
      <c r="M1943" s="116">
        <v>999.5</v>
      </c>
      <c r="N1943" s="116">
        <v>1005</v>
      </c>
      <c r="O1943" s="116">
        <v>988.77499999999998</v>
      </c>
      <c r="P1943" s="116">
        <v>992.5</v>
      </c>
      <c r="Q1943" s="116">
        <v>1999</v>
      </c>
      <c r="R1943">
        <v>65916</v>
      </c>
    </row>
    <row r="1944" spans="1:18" x14ac:dyDescent="0.25">
      <c r="A1944" s="170">
        <v>44867</v>
      </c>
      <c r="B1944" s="116">
        <v>1012.325</v>
      </c>
      <c r="C1944" s="116">
        <v>991.2</v>
      </c>
      <c r="D1944" s="116">
        <v>985.125</v>
      </c>
      <c r="E1944" s="116">
        <v>1004.625</v>
      </c>
      <c r="F1944" s="116">
        <v>1982.4</v>
      </c>
      <c r="G1944">
        <v>8038</v>
      </c>
      <c r="H1944" s="116"/>
      <c r="I1944" s="116"/>
      <c r="L1944" s="170">
        <v>44867</v>
      </c>
      <c r="M1944" s="116">
        <v>992.02499999999998</v>
      </c>
      <c r="N1944" s="116">
        <v>1012.5</v>
      </c>
      <c r="O1944" s="116">
        <v>985</v>
      </c>
      <c r="P1944" s="116">
        <v>999.5</v>
      </c>
      <c r="Q1944" s="116">
        <v>1984.05</v>
      </c>
      <c r="R1944">
        <v>51842</v>
      </c>
    </row>
    <row r="1945" spans="1:18" x14ac:dyDescent="0.25">
      <c r="A1945" s="170">
        <v>44868</v>
      </c>
      <c r="B1945" s="116">
        <v>1032.175</v>
      </c>
      <c r="C1945" s="116">
        <v>1011.625</v>
      </c>
      <c r="D1945" s="116">
        <v>996.22500000000002</v>
      </c>
      <c r="E1945" s="116">
        <v>999.42499999999995</v>
      </c>
      <c r="F1945" s="116">
        <v>2023.25</v>
      </c>
      <c r="G1945">
        <v>3778</v>
      </c>
      <c r="H1945" s="116"/>
      <c r="I1945" s="116"/>
      <c r="L1945" s="170">
        <v>44868</v>
      </c>
      <c r="M1945" s="116">
        <v>1011.325</v>
      </c>
      <c r="N1945" s="116">
        <v>1032.7</v>
      </c>
      <c r="O1945" s="116">
        <v>992.07500000000005</v>
      </c>
      <c r="P1945" s="116">
        <v>996.35</v>
      </c>
      <c r="Q1945" s="116">
        <v>2022.65</v>
      </c>
      <c r="R1945">
        <v>134641</v>
      </c>
    </row>
    <row r="1946" spans="1:18" x14ac:dyDescent="0.25">
      <c r="A1946" s="170">
        <v>44869</v>
      </c>
      <c r="B1946" s="116">
        <v>1019.325</v>
      </c>
      <c r="C1946" s="116">
        <v>997.25</v>
      </c>
      <c r="D1946" s="116">
        <v>988.57500000000005</v>
      </c>
      <c r="E1946" s="116">
        <v>1019.325</v>
      </c>
      <c r="F1946" s="116">
        <v>1994.5</v>
      </c>
      <c r="G1946">
        <v>3054</v>
      </c>
      <c r="H1946" s="116"/>
      <c r="I1946" s="116"/>
      <c r="L1946" s="170">
        <v>44869</v>
      </c>
      <c r="M1946" s="116">
        <v>998.05</v>
      </c>
      <c r="N1946" s="116">
        <v>1016.4</v>
      </c>
      <c r="O1946" s="116">
        <v>989.72500000000002</v>
      </c>
      <c r="P1946" s="116">
        <v>1016.4</v>
      </c>
      <c r="Q1946" s="116">
        <v>1996.1</v>
      </c>
      <c r="R1946">
        <v>53576</v>
      </c>
    </row>
    <row r="1947" spans="1:18" x14ac:dyDescent="0.25">
      <c r="A1947" s="170">
        <v>44872</v>
      </c>
      <c r="B1947" s="116">
        <v>1009.7</v>
      </c>
      <c r="C1947" s="116">
        <v>996.125</v>
      </c>
      <c r="D1947" s="116">
        <v>987.5</v>
      </c>
      <c r="E1947" s="116">
        <v>1009.7</v>
      </c>
      <c r="F1947" s="116">
        <v>1992.25</v>
      </c>
      <c r="G1947">
        <v>1862</v>
      </c>
      <c r="H1947" s="116"/>
      <c r="I1947" s="116"/>
      <c r="L1947" s="170">
        <v>44872</v>
      </c>
      <c r="M1947" s="116">
        <v>996.02499999999998</v>
      </c>
      <c r="N1947" s="116">
        <v>1005</v>
      </c>
      <c r="O1947" s="116">
        <v>987.625</v>
      </c>
      <c r="P1947" s="116">
        <v>1000.5</v>
      </c>
      <c r="Q1947" s="116">
        <v>1992.05</v>
      </c>
      <c r="R1947">
        <v>42603</v>
      </c>
    </row>
    <row r="1948" spans="1:18" x14ac:dyDescent="0.25">
      <c r="A1948" s="170">
        <v>44874</v>
      </c>
      <c r="B1948" s="116">
        <v>1010.65</v>
      </c>
      <c r="C1948" s="116">
        <v>990.4</v>
      </c>
      <c r="D1948" s="116">
        <v>988.05</v>
      </c>
      <c r="E1948" s="116">
        <v>1000.475</v>
      </c>
      <c r="F1948" s="116">
        <v>1980.8</v>
      </c>
      <c r="G1948">
        <v>2528</v>
      </c>
      <c r="H1948" s="116"/>
      <c r="I1948" s="116"/>
      <c r="L1948" s="170">
        <v>44874</v>
      </c>
      <c r="M1948" s="116">
        <v>990.52499999999998</v>
      </c>
      <c r="N1948" s="116">
        <v>1005.475</v>
      </c>
      <c r="O1948" s="116">
        <v>986</v>
      </c>
      <c r="P1948" s="116">
        <v>1000</v>
      </c>
      <c r="Q1948" s="116">
        <v>1981.05</v>
      </c>
      <c r="R1948">
        <v>27177</v>
      </c>
    </row>
    <row r="1949" spans="1:18" x14ac:dyDescent="0.25">
      <c r="A1949" s="170">
        <v>44875</v>
      </c>
      <c r="B1949" s="116">
        <v>997.85</v>
      </c>
      <c r="C1949" s="116">
        <v>994.55</v>
      </c>
      <c r="D1949" s="116">
        <v>982.3</v>
      </c>
      <c r="E1949" s="116">
        <v>982.3</v>
      </c>
      <c r="F1949" s="116">
        <v>1989.1</v>
      </c>
      <c r="G1949">
        <v>890</v>
      </c>
      <c r="H1949" s="116"/>
      <c r="I1949" s="116"/>
      <c r="L1949" s="170">
        <v>44875</v>
      </c>
      <c r="M1949" s="116">
        <v>994.72500000000002</v>
      </c>
      <c r="N1949" s="116">
        <v>998.5</v>
      </c>
      <c r="O1949" s="116">
        <v>985</v>
      </c>
      <c r="P1949" s="116">
        <v>991</v>
      </c>
      <c r="Q1949" s="116">
        <v>1989.45</v>
      </c>
      <c r="R1949">
        <v>30446</v>
      </c>
    </row>
    <row r="1950" spans="1:18" x14ac:dyDescent="0.25">
      <c r="A1950" s="170">
        <v>44876</v>
      </c>
      <c r="B1950" s="116">
        <v>1006</v>
      </c>
      <c r="C1950" s="116">
        <v>994.17499999999995</v>
      </c>
      <c r="D1950" s="116">
        <v>988.02499999999998</v>
      </c>
      <c r="E1950" s="116">
        <v>988.02499999999998</v>
      </c>
      <c r="F1950" s="116">
        <v>1988.35</v>
      </c>
      <c r="G1950">
        <v>1811</v>
      </c>
      <c r="H1950" s="116"/>
      <c r="I1950" s="116"/>
      <c r="L1950" s="170">
        <v>44876</v>
      </c>
      <c r="M1950" s="116">
        <v>995.1</v>
      </c>
      <c r="N1950" s="116">
        <v>1006.125</v>
      </c>
      <c r="O1950" s="116">
        <v>985</v>
      </c>
      <c r="P1950" s="116">
        <v>999</v>
      </c>
      <c r="Q1950" s="116">
        <v>1990.2</v>
      </c>
      <c r="R1950">
        <v>112367</v>
      </c>
    </row>
    <row r="1951" spans="1:18" x14ac:dyDescent="0.25">
      <c r="A1951" s="170">
        <v>44879</v>
      </c>
      <c r="B1951" s="116">
        <v>1013.225</v>
      </c>
      <c r="C1951" s="116">
        <v>989.77499999999998</v>
      </c>
      <c r="D1951" s="116">
        <v>979.65</v>
      </c>
      <c r="E1951" s="116">
        <v>1009.5</v>
      </c>
      <c r="F1951" s="116">
        <v>1979.55</v>
      </c>
      <c r="G1951">
        <v>3379</v>
      </c>
      <c r="H1951" s="116"/>
      <c r="I1951" s="116"/>
      <c r="L1951" s="170">
        <v>44879</v>
      </c>
      <c r="M1951" s="116">
        <v>989.17499999999995</v>
      </c>
      <c r="N1951" s="116">
        <v>1012.75</v>
      </c>
      <c r="O1951" s="116">
        <v>980</v>
      </c>
      <c r="P1951" s="116">
        <v>1012.5</v>
      </c>
      <c r="Q1951" s="116">
        <v>1978.35</v>
      </c>
      <c r="R1951">
        <v>61129</v>
      </c>
    </row>
    <row r="1952" spans="1:18" x14ac:dyDescent="0.25">
      <c r="A1952" s="170">
        <v>44880</v>
      </c>
      <c r="B1952" s="116">
        <v>1001.175</v>
      </c>
      <c r="C1952" s="116">
        <v>984.05</v>
      </c>
      <c r="D1952" s="116">
        <v>978.22500000000002</v>
      </c>
      <c r="E1952" s="116">
        <v>999.22500000000002</v>
      </c>
      <c r="F1952" s="116">
        <v>1968.1</v>
      </c>
      <c r="G1952">
        <v>2365</v>
      </c>
      <c r="H1952" s="116"/>
      <c r="I1952" s="116"/>
      <c r="L1952" s="170">
        <v>44880</v>
      </c>
      <c r="M1952" s="116">
        <v>983.7</v>
      </c>
      <c r="N1952" s="116">
        <v>1001.65</v>
      </c>
      <c r="O1952" s="116">
        <v>977.65</v>
      </c>
      <c r="P1952" s="116">
        <v>989.3</v>
      </c>
      <c r="Q1952" s="116">
        <v>1967.4</v>
      </c>
      <c r="R1952">
        <v>34544</v>
      </c>
    </row>
    <row r="1953" spans="1:18" x14ac:dyDescent="0.25">
      <c r="A1953" s="170">
        <v>44881</v>
      </c>
      <c r="B1953" s="116">
        <v>1030.45</v>
      </c>
      <c r="C1953" s="116">
        <v>1024</v>
      </c>
      <c r="D1953" s="116">
        <v>987.375</v>
      </c>
      <c r="E1953" s="116">
        <v>996.97500000000002</v>
      </c>
      <c r="F1953" s="116">
        <v>2048</v>
      </c>
      <c r="G1953">
        <v>8436</v>
      </c>
      <c r="H1953" s="116"/>
      <c r="I1953" s="116"/>
      <c r="L1953" s="170">
        <v>44881</v>
      </c>
      <c r="M1953" s="116">
        <v>1024.8</v>
      </c>
      <c r="N1953" s="116">
        <v>1031.2</v>
      </c>
      <c r="O1953" s="116">
        <v>981.77499999999998</v>
      </c>
      <c r="P1953" s="116">
        <v>986.35</v>
      </c>
      <c r="Q1953" s="116">
        <v>2049.6</v>
      </c>
      <c r="R1953">
        <v>121212</v>
      </c>
    </row>
    <row r="1954" spans="1:18" x14ac:dyDescent="0.25">
      <c r="A1954" s="170">
        <v>44882</v>
      </c>
      <c r="B1954" s="116">
        <v>1057.7249999999999</v>
      </c>
      <c r="C1954" s="116">
        <v>1019.75</v>
      </c>
      <c r="D1954" s="116">
        <v>1007.35</v>
      </c>
      <c r="E1954" s="116">
        <v>1031.5</v>
      </c>
      <c r="F1954" s="116">
        <v>2039.5</v>
      </c>
      <c r="G1954">
        <v>11239</v>
      </c>
      <c r="H1954" s="116"/>
      <c r="I1954" s="116"/>
      <c r="L1954" s="170">
        <v>44882</v>
      </c>
      <c r="M1954" s="116">
        <v>1021.1</v>
      </c>
      <c r="N1954" s="116">
        <v>1058</v>
      </c>
      <c r="O1954" s="116">
        <v>1010.1</v>
      </c>
      <c r="P1954" s="116">
        <v>1032.5</v>
      </c>
      <c r="Q1954" s="116">
        <v>2042.2</v>
      </c>
      <c r="R1954">
        <v>231176</v>
      </c>
    </row>
    <row r="1955" spans="1:18" x14ac:dyDescent="0.25">
      <c r="A1955" s="170">
        <v>44883</v>
      </c>
      <c r="B1955" s="116">
        <v>1070.0250000000001</v>
      </c>
      <c r="C1955" s="116">
        <v>1058.2750000000001</v>
      </c>
      <c r="D1955" s="116">
        <v>1000</v>
      </c>
      <c r="E1955" s="116">
        <v>1016.05</v>
      </c>
      <c r="F1955" s="116">
        <v>2116.5500000000002</v>
      </c>
      <c r="G1955">
        <v>5895</v>
      </c>
      <c r="H1955" s="116"/>
      <c r="I1955" s="116"/>
      <c r="L1955" s="170">
        <v>44883</v>
      </c>
      <c r="M1955" s="116">
        <v>1058.95</v>
      </c>
      <c r="N1955" s="116">
        <v>1075</v>
      </c>
      <c r="O1955" s="116">
        <v>997.65</v>
      </c>
      <c r="P1955" s="116">
        <v>1021.1</v>
      </c>
      <c r="Q1955" s="116">
        <v>2117.9</v>
      </c>
      <c r="R1955">
        <v>123705</v>
      </c>
    </row>
    <row r="1956" spans="1:18" x14ac:dyDescent="0.25">
      <c r="A1956" s="170">
        <v>44886</v>
      </c>
      <c r="B1956" s="116">
        <v>1074.95</v>
      </c>
      <c r="C1956" s="116">
        <v>1045.25</v>
      </c>
      <c r="D1956" s="116">
        <v>1031.8499999999999</v>
      </c>
      <c r="E1956" s="116">
        <v>1074.95</v>
      </c>
      <c r="F1956" s="116">
        <v>2090.5</v>
      </c>
      <c r="G1956">
        <v>5098</v>
      </c>
      <c r="H1956" s="116"/>
      <c r="I1956" s="116"/>
      <c r="L1956" s="170">
        <v>44886</v>
      </c>
      <c r="M1956" s="116">
        <v>1042.95</v>
      </c>
      <c r="N1956" s="116">
        <v>1070</v>
      </c>
      <c r="O1956" s="116">
        <v>1031.175</v>
      </c>
      <c r="P1956" s="116">
        <v>1070</v>
      </c>
      <c r="Q1956" s="116">
        <v>2085.9</v>
      </c>
      <c r="R1956">
        <v>70940</v>
      </c>
    </row>
    <row r="1957" spans="1:18" x14ac:dyDescent="0.25">
      <c r="A1957" s="170">
        <v>44887</v>
      </c>
      <c r="B1957" s="116">
        <v>1045.25</v>
      </c>
      <c r="C1957" s="116">
        <v>1021.4</v>
      </c>
      <c r="D1957" s="116">
        <v>1008.375</v>
      </c>
      <c r="E1957" s="116">
        <v>1045.25</v>
      </c>
      <c r="F1957" s="116">
        <v>2042.8</v>
      </c>
      <c r="G1957">
        <v>13220</v>
      </c>
      <c r="H1957" s="116"/>
      <c r="I1957" s="116"/>
      <c r="L1957" s="170">
        <v>44887</v>
      </c>
      <c r="M1957" s="116">
        <v>1021.975</v>
      </c>
      <c r="N1957" s="116">
        <v>1047.4749999999999</v>
      </c>
      <c r="O1957" s="116">
        <v>1008</v>
      </c>
      <c r="P1957" s="116">
        <v>1044.7</v>
      </c>
      <c r="Q1957" s="116">
        <v>2043.95</v>
      </c>
      <c r="R1957">
        <v>82770</v>
      </c>
    </row>
    <row r="1958" spans="1:18" x14ac:dyDescent="0.25">
      <c r="A1958" s="170">
        <v>44888</v>
      </c>
      <c r="B1958" s="116">
        <v>1030.4749999999999</v>
      </c>
      <c r="C1958" s="116">
        <v>1015.775</v>
      </c>
      <c r="D1958" s="116">
        <v>1007.575</v>
      </c>
      <c r="E1958" s="116">
        <v>1021.55</v>
      </c>
      <c r="F1958" s="116">
        <v>2031.55</v>
      </c>
      <c r="G1958">
        <v>3985</v>
      </c>
      <c r="H1958" s="116"/>
      <c r="I1958" s="116"/>
      <c r="L1958" s="170">
        <v>44888</v>
      </c>
      <c r="M1958" s="116">
        <v>1014.55</v>
      </c>
      <c r="N1958" s="116">
        <v>1030.5999999999999</v>
      </c>
      <c r="O1958" s="116">
        <v>1007.75</v>
      </c>
      <c r="P1958" s="116">
        <v>1025</v>
      </c>
      <c r="Q1958" s="116">
        <v>2029.1</v>
      </c>
      <c r="R1958">
        <v>62693</v>
      </c>
    </row>
    <row r="1959" spans="1:18" x14ac:dyDescent="0.25">
      <c r="A1959" s="170">
        <v>44889</v>
      </c>
      <c r="B1959" s="116">
        <v>1048.7</v>
      </c>
      <c r="C1959" s="116">
        <v>1034.95</v>
      </c>
      <c r="D1959" s="116">
        <v>1015.3</v>
      </c>
      <c r="E1959" s="116">
        <v>1015.3</v>
      </c>
      <c r="F1959" s="116">
        <v>2069.9</v>
      </c>
      <c r="G1959">
        <v>4992</v>
      </c>
      <c r="H1959" s="116"/>
      <c r="I1959" s="116"/>
      <c r="L1959" s="170">
        <v>44889</v>
      </c>
      <c r="M1959" s="116">
        <v>1034.925</v>
      </c>
      <c r="N1959" s="116">
        <v>1049</v>
      </c>
      <c r="O1959" s="116">
        <v>1018.975</v>
      </c>
      <c r="P1959" s="116">
        <v>1019.625</v>
      </c>
      <c r="Q1959" s="116">
        <v>2069.85</v>
      </c>
      <c r="R1959">
        <v>48781</v>
      </c>
    </row>
    <row r="1960" spans="1:18" x14ac:dyDescent="0.25">
      <c r="A1960" s="170">
        <v>44890</v>
      </c>
      <c r="B1960" s="116">
        <v>1040</v>
      </c>
      <c r="C1960" s="116">
        <v>1026.2249999999999</v>
      </c>
      <c r="D1960" s="116">
        <v>1020</v>
      </c>
      <c r="E1960" s="116">
        <v>1036</v>
      </c>
      <c r="F1960" s="116">
        <v>2052.4499999999998</v>
      </c>
      <c r="G1960">
        <v>2922</v>
      </c>
      <c r="H1960" s="116"/>
      <c r="I1960" s="116"/>
      <c r="L1960" s="170">
        <v>44890</v>
      </c>
      <c r="M1960" s="116">
        <v>1028.7750000000001</v>
      </c>
      <c r="N1960" s="116">
        <v>1041.95</v>
      </c>
      <c r="O1960" s="116">
        <v>1020</v>
      </c>
      <c r="P1960" s="116">
        <v>1039.4749999999999</v>
      </c>
      <c r="Q1960" s="116">
        <v>2057.5500000000002</v>
      </c>
      <c r="R1960">
        <v>16683</v>
      </c>
    </row>
    <row r="1961" spans="1:18" x14ac:dyDescent="0.25">
      <c r="A1961" s="170">
        <v>44893</v>
      </c>
      <c r="B1961" s="116">
        <v>1033.625</v>
      </c>
      <c r="C1961" s="116">
        <v>1012.725</v>
      </c>
      <c r="D1961" s="116">
        <v>1000.6</v>
      </c>
      <c r="E1961" s="116">
        <v>1000.6</v>
      </c>
      <c r="F1961" s="116">
        <v>2025.45</v>
      </c>
      <c r="G1961">
        <v>1163</v>
      </c>
      <c r="H1961" s="116"/>
      <c r="I1961" s="116"/>
      <c r="L1961" s="170">
        <v>44893</v>
      </c>
      <c r="M1961" s="116">
        <v>1014.8</v>
      </c>
      <c r="N1961" s="116">
        <v>1035.825</v>
      </c>
      <c r="O1961" s="116">
        <v>1011.125</v>
      </c>
      <c r="P1961" s="116">
        <v>1030</v>
      </c>
      <c r="Q1961" s="116">
        <v>2029.6</v>
      </c>
      <c r="R1961">
        <v>33514</v>
      </c>
    </row>
    <row r="1962" spans="1:18" x14ac:dyDescent="0.25">
      <c r="A1962" s="170">
        <v>44894</v>
      </c>
      <c r="B1962" s="116">
        <v>1018.55</v>
      </c>
      <c r="C1962" s="116">
        <v>1008.575</v>
      </c>
      <c r="D1962" s="116">
        <v>1002.5</v>
      </c>
      <c r="E1962" s="116">
        <v>1013.45</v>
      </c>
      <c r="F1962" s="116">
        <v>2017.15</v>
      </c>
      <c r="G1962">
        <v>2239</v>
      </c>
      <c r="H1962" s="116"/>
      <c r="I1962" s="116"/>
      <c r="L1962" s="170">
        <v>44894</v>
      </c>
      <c r="M1962" s="116">
        <v>1007.65</v>
      </c>
      <c r="N1962" s="116">
        <v>1017.725</v>
      </c>
      <c r="O1962" s="116">
        <v>1002.775</v>
      </c>
      <c r="P1962" s="116">
        <v>1014.75</v>
      </c>
      <c r="Q1962" s="116">
        <v>2015.3</v>
      </c>
      <c r="R1962">
        <v>23522</v>
      </c>
    </row>
    <row r="1963" spans="1:18" x14ac:dyDescent="0.25">
      <c r="A1963" s="170">
        <v>44895</v>
      </c>
      <c r="B1963" s="116">
        <v>1016.125</v>
      </c>
      <c r="C1963" s="116">
        <v>1005.875</v>
      </c>
      <c r="D1963" s="116">
        <v>1002.325</v>
      </c>
      <c r="E1963" s="116">
        <v>1005.025</v>
      </c>
      <c r="F1963" s="116">
        <v>2011.75</v>
      </c>
      <c r="G1963">
        <v>2683</v>
      </c>
      <c r="H1963" s="116"/>
      <c r="I1963" s="116"/>
      <c r="L1963" s="170">
        <v>44895</v>
      </c>
      <c r="M1963" s="116">
        <v>1009.1</v>
      </c>
      <c r="N1963" s="116">
        <v>1016.875</v>
      </c>
      <c r="O1963" s="116">
        <v>1005.275</v>
      </c>
      <c r="P1963" s="116">
        <v>1012</v>
      </c>
      <c r="Q1963" s="116">
        <v>2018.2</v>
      </c>
      <c r="R1963">
        <v>57765</v>
      </c>
    </row>
    <row r="1964" spans="1:18" x14ac:dyDescent="0.25">
      <c r="A1964" s="170">
        <v>44896</v>
      </c>
      <c r="B1964" s="116">
        <v>1015.875</v>
      </c>
      <c r="C1964" s="116">
        <v>1009.475</v>
      </c>
      <c r="D1964" s="116">
        <v>1005.975</v>
      </c>
      <c r="E1964" s="116">
        <v>1006.325</v>
      </c>
      <c r="F1964" s="116">
        <v>2018.95</v>
      </c>
      <c r="G1964">
        <v>714</v>
      </c>
      <c r="H1964" s="116"/>
      <c r="I1964" s="116"/>
      <c r="L1964" s="170">
        <v>44896</v>
      </c>
      <c r="M1964" s="116">
        <v>1009</v>
      </c>
      <c r="N1964" s="116">
        <v>1015</v>
      </c>
      <c r="O1964" s="116">
        <v>1005.95</v>
      </c>
      <c r="P1964" s="116">
        <v>1012.45</v>
      </c>
      <c r="Q1964" s="116">
        <v>2018</v>
      </c>
      <c r="R1964">
        <v>31935</v>
      </c>
    </row>
    <row r="1965" spans="1:18" x14ac:dyDescent="0.25">
      <c r="A1965" s="170">
        <v>44897</v>
      </c>
      <c r="B1965" s="116">
        <v>1013.6</v>
      </c>
      <c r="C1965" s="116">
        <v>999.95</v>
      </c>
      <c r="D1965" s="116">
        <v>995.67499999999995</v>
      </c>
      <c r="E1965" s="116">
        <v>1010.825</v>
      </c>
      <c r="F1965" s="116">
        <v>1999.9</v>
      </c>
      <c r="G1965">
        <v>2742</v>
      </c>
      <c r="H1965" s="116"/>
      <c r="I1965" s="116"/>
      <c r="L1965" s="170">
        <v>44897</v>
      </c>
      <c r="M1965" s="116">
        <v>1000.375</v>
      </c>
      <c r="N1965" s="116">
        <v>1015</v>
      </c>
      <c r="O1965" s="116">
        <v>997.75</v>
      </c>
      <c r="P1965" s="116">
        <v>1014.3</v>
      </c>
      <c r="Q1965" s="116">
        <v>2000.75</v>
      </c>
      <c r="R1965">
        <v>35743</v>
      </c>
    </row>
    <row r="1966" spans="1:18" x14ac:dyDescent="0.25">
      <c r="A1966" s="170">
        <v>44900</v>
      </c>
      <c r="B1966" s="116">
        <v>1020.5</v>
      </c>
      <c r="C1966" s="116">
        <v>1009.725</v>
      </c>
      <c r="D1966" s="116">
        <v>994.52499999999998</v>
      </c>
      <c r="E1966" s="116">
        <v>995.52499999999998</v>
      </c>
      <c r="F1966" s="116">
        <v>2019.45</v>
      </c>
      <c r="G1966">
        <v>3391</v>
      </c>
      <c r="H1966" s="116"/>
      <c r="I1966" s="116"/>
      <c r="L1966" s="170">
        <v>44900</v>
      </c>
      <c r="M1966" s="116">
        <v>1009.7</v>
      </c>
      <c r="N1966" s="116">
        <v>1020.775</v>
      </c>
      <c r="O1966" s="116">
        <v>994.75</v>
      </c>
      <c r="P1966" s="116">
        <v>1006.325</v>
      </c>
      <c r="Q1966" s="116">
        <v>2019.4</v>
      </c>
      <c r="R1966">
        <v>57998</v>
      </c>
    </row>
    <row r="1967" spans="1:18" x14ac:dyDescent="0.25">
      <c r="A1967" s="170">
        <v>44901</v>
      </c>
      <c r="B1967" s="116">
        <v>1029.575</v>
      </c>
      <c r="C1967" s="116">
        <v>1014.625</v>
      </c>
      <c r="D1967" s="116">
        <v>1010.025</v>
      </c>
      <c r="E1967" s="116">
        <v>1010.025</v>
      </c>
      <c r="F1967" s="116">
        <v>2029.25</v>
      </c>
      <c r="G1967">
        <v>2819</v>
      </c>
      <c r="H1967" s="116"/>
      <c r="I1967" s="116"/>
      <c r="L1967" s="170">
        <v>44901</v>
      </c>
      <c r="M1967" s="116">
        <v>1015.425</v>
      </c>
      <c r="N1967" s="116">
        <v>1029.5</v>
      </c>
      <c r="O1967" s="116">
        <v>1010.5</v>
      </c>
      <c r="P1967" s="116">
        <v>1015</v>
      </c>
      <c r="Q1967" s="116">
        <v>2030.85</v>
      </c>
      <c r="R1967">
        <v>134144</v>
      </c>
    </row>
    <row r="1968" spans="1:18" x14ac:dyDescent="0.25">
      <c r="A1968" s="170">
        <v>44902</v>
      </c>
      <c r="B1968" s="116">
        <v>1038.075</v>
      </c>
      <c r="C1968" s="116">
        <v>1009.625</v>
      </c>
      <c r="D1968" s="116">
        <v>1003.2</v>
      </c>
      <c r="E1968" s="116">
        <v>1006.725</v>
      </c>
      <c r="F1968" s="116">
        <v>2019.25</v>
      </c>
      <c r="G1968">
        <v>3559</v>
      </c>
      <c r="H1968" s="116"/>
      <c r="I1968" s="116"/>
      <c r="L1968" s="170">
        <v>44902</v>
      </c>
      <c r="M1968" s="116">
        <v>1009.35</v>
      </c>
      <c r="N1968" s="116">
        <v>1039</v>
      </c>
      <c r="O1968" s="116">
        <v>1002.725</v>
      </c>
      <c r="P1968" s="116">
        <v>1020.75</v>
      </c>
      <c r="Q1968" s="116">
        <v>2018.7</v>
      </c>
      <c r="R1968">
        <v>72418</v>
      </c>
    </row>
    <row r="1969" spans="1:18" x14ac:dyDescent="0.25">
      <c r="A1969" s="170">
        <v>44903</v>
      </c>
      <c r="B1969" s="116">
        <v>1020.725</v>
      </c>
      <c r="C1969" s="116">
        <v>1019.35</v>
      </c>
      <c r="D1969" s="116">
        <v>1011.825</v>
      </c>
      <c r="E1969" s="116">
        <v>1016.5</v>
      </c>
      <c r="F1969" s="116">
        <v>2038.7</v>
      </c>
      <c r="G1969">
        <v>1959</v>
      </c>
      <c r="H1969" s="116"/>
      <c r="I1969" s="116"/>
      <c r="L1969" s="170">
        <v>44903</v>
      </c>
      <c r="M1969" s="116">
        <v>1019.15</v>
      </c>
      <c r="N1969" s="116">
        <v>1020.5</v>
      </c>
      <c r="O1969" s="116">
        <v>1011.5</v>
      </c>
      <c r="P1969" s="116">
        <v>1012.5</v>
      </c>
      <c r="Q1969" s="116">
        <v>2038.3</v>
      </c>
      <c r="R1969">
        <v>37201</v>
      </c>
    </row>
    <row r="1970" spans="1:18" x14ac:dyDescent="0.25">
      <c r="A1970" s="170">
        <v>44904</v>
      </c>
      <c r="B1970" s="116">
        <v>1042.5</v>
      </c>
      <c r="C1970" s="116">
        <v>1025.3499999999999</v>
      </c>
      <c r="D1970" s="116">
        <v>1017.5</v>
      </c>
      <c r="E1970" s="116">
        <v>1020.5</v>
      </c>
      <c r="F1970" s="116">
        <v>2050.6999999999998</v>
      </c>
      <c r="G1970">
        <v>4358</v>
      </c>
      <c r="H1970" s="116"/>
      <c r="I1970" s="116"/>
      <c r="L1970" s="170">
        <v>44904</v>
      </c>
      <c r="M1970" s="116">
        <v>1024.4000000000001</v>
      </c>
      <c r="N1970" s="116">
        <v>1040</v>
      </c>
      <c r="O1970" s="116">
        <v>1017.375</v>
      </c>
      <c r="P1970" s="116">
        <v>1023</v>
      </c>
      <c r="Q1970" s="116">
        <v>2048.8000000000002</v>
      </c>
      <c r="R1970">
        <v>33293</v>
      </c>
    </row>
    <row r="1971" spans="1:18" x14ac:dyDescent="0.25">
      <c r="A1971" s="170">
        <v>44907</v>
      </c>
      <c r="B1971" s="116">
        <v>1039.4749999999999</v>
      </c>
      <c r="C1971" s="116">
        <v>1029.0250000000001</v>
      </c>
      <c r="D1971" s="116">
        <v>1023.275</v>
      </c>
      <c r="E1971" s="116">
        <v>1025.55</v>
      </c>
      <c r="F1971" s="116">
        <v>2058.0500000000002</v>
      </c>
      <c r="G1971">
        <v>2644</v>
      </c>
      <c r="H1971" s="116"/>
      <c r="I1971" s="116"/>
      <c r="L1971" s="170">
        <v>44907</v>
      </c>
      <c r="M1971" s="116">
        <v>1029.925</v>
      </c>
      <c r="N1971" s="116">
        <v>1040</v>
      </c>
      <c r="O1971" s="116">
        <v>1021.975</v>
      </c>
      <c r="P1971" s="116">
        <v>1032.5</v>
      </c>
      <c r="Q1971" s="116">
        <v>2059.85</v>
      </c>
      <c r="R1971">
        <v>48234</v>
      </c>
    </row>
    <row r="1972" spans="1:18" x14ac:dyDescent="0.25">
      <c r="A1972" s="170">
        <v>44908</v>
      </c>
      <c r="B1972" s="116">
        <v>1030.5</v>
      </c>
      <c r="C1972" s="116">
        <v>1017.05</v>
      </c>
      <c r="D1972" s="116">
        <v>997.77499999999998</v>
      </c>
      <c r="E1972" s="116">
        <v>1030.5</v>
      </c>
      <c r="F1972" s="116">
        <v>2034.1</v>
      </c>
      <c r="G1972">
        <v>2319</v>
      </c>
      <c r="H1972" s="116"/>
      <c r="I1972" s="116"/>
      <c r="L1972" s="170">
        <v>44908</v>
      </c>
      <c r="M1972" s="116">
        <v>1017.625</v>
      </c>
      <c r="N1972" s="116">
        <v>1030.9749999999999</v>
      </c>
      <c r="O1972" s="116">
        <v>998.02499999999998</v>
      </c>
      <c r="P1972" s="116">
        <v>1029.5</v>
      </c>
      <c r="Q1972" s="116">
        <v>2035.25</v>
      </c>
      <c r="R1972">
        <v>84427</v>
      </c>
    </row>
    <row r="1973" spans="1:18" x14ac:dyDescent="0.25">
      <c r="A1973" s="170">
        <v>44909</v>
      </c>
      <c r="B1973" s="116">
        <v>1027.325</v>
      </c>
      <c r="C1973" s="116">
        <v>1012.225</v>
      </c>
      <c r="D1973" s="116">
        <v>1009.75</v>
      </c>
      <c r="E1973" s="116">
        <v>1020.3</v>
      </c>
      <c r="F1973" s="116">
        <v>2024.45</v>
      </c>
      <c r="G1973">
        <v>1024</v>
      </c>
      <c r="H1973" s="116"/>
      <c r="I1973" s="116"/>
      <c r="L1973" s="170">
        <v>44909</v>
      </c>
      <c r="M1973" s="116">
        <v>1012.15</v>
      </c>
      <c r="N1973" s="116">
        <v>1027.5</v>
      </c>
      <c r="O1973" s="116">
        <v>1008.975</v>
      </c>
      <c r="P1973" s="116">
        <v>1017.625</v>
      </c>
      <c r="Q1973" s="116">
        <v>2024.3</v>
      </c>
      <c r="R1973">
        <v>24690</v>
      </c>
    </row>
    <row r="1974" spans="1:18" x14ac:dyDescent="0.25">
      <c r="A1974" s="170">
        <v>44910</v>
      </c>
      <c r="B1974" s="116">
        <v>1045</v>
      </c>
      <c r="C1974" s="116">
        <v>1038.875</v>
      </c>
      <c r="D1974" s="116">
        <v>1018.425</v>
      </c>
      <c r="E1974" s="116">
        <v>1027.5</v>
      </c>
      <c r="F1974" s="116">
        <v>2077.75</v>
      </c>
      <c r="G1974">
        <v>6317</v>
      </c>
      <c r="H1974" s="116"/>
      <c r="I1974" s="116"/>
      <c r="L1974" s="170">
        <v>44910</v>
      </c>
      <c r="M1974" s="116">
        <v>1038.9749999999999</v>
      </c>
      <c r="N1974" s="116">
        <v>1045.5</v>
      </c>
      <c r="O1974" s="116">
        <v>1017.525</v>
      </c>
      <c r="P1974" s="116">
        <v>1030</v>
      </c>
      <c r="Q1974" s="116">
        <v>2077.9499999999998</v>
      </c>
      <c r="R1974">
        <v>165469</v>
      </c>
    </row>
    <row r="1975" spans="1:18" x14ac:dyDescent="0.25">
      <c r="A1975" s="170">
        <v>44911</v>
      </c>
      <c r="B1975" s="116">
        <v>1072.2249999999999</v>
      </c>
      <c r="C1975" s="116">
        <v>1059.6500000000001</v>
      </c>
      <c r="D1975" s="116">
        <v>1022.525</v>
      </c>
      <c r="E1975" s="116">
        <v>1022.525</v>
      </c>
      <c r="F1975" s="116">
        <v>2119.3000000000002</v>
      </c>
      <c r="G1975">
        <v>6717</v>
      </c>
      <c r="H1975" s="116"/>
      <c r="I1975" s="116"/>
      <c r="L1975" s="170">
        <v>44911</v>
      </c>
      <c r="M1975" s="116">
        <v>1056.6500000000001</v>
      </c>
      <c r="N1975" s="116">
        <v>1062.5</v>
      </c>
      <c r="O1975" s="116">
        <v>1030.5250000000001</v>
      </c>
      <c r="P1975" s="116">
        <v>1030.5250000000001</v>
      </c>
      <c r="Q1975" s="116">
        <v>2113.3000000000002</v>
      </c>
      <c r="R1975">
        <v>122938</v>
      </c>
    </row>
    <row r="1976" spans="1:18" x14ac:dyDescent="0.25">
      <c r="A1976" s="170">
        <v>44914</v>
      </c>
      <c r="B1976" s="116">
        <v>1063.325</v>
      </c>
      <c r="C1976" s="116">
        <v>1029.6500000000001</v>
      </c>
      <c r="D1976" s="116">
        <v>1019.15</v>
      </c>
      <c r="E1976" s="116">
        <v>1055</v>
      </c>
      <c r="F1976" s="116">
        <v>2059.3000000000002</v>
      </c>
      <c r="G1976">
        <v>7349</v>
      </c>
      <c r="H1976" s="116"/>
      <c r="I1976" s="116"/>
      <c r="L1976" s="170">
        <v>44914</v>
      </c>
      <c r="M1976" s="116">
        <v>1032.4000000000001</v>
      </c>
      <c r="N1976" s="116">
        <v>1068.925</v>
      </c>
      <c r="O1976" s="116">
        <v>1026</v>
      </c>
      <c r="P1976" s="116">
        <v>1062.5</v>
      </c>
      <c r="Q1976" s="116">
        <v>2064.8000000000002</v>
      </c>
      <c r="R1976">
        <v>70844</v>
      </c>
    </row>
    <row r="1977" spans="1:18" x14ac:dyDescent="0.25">
      <c r="A1977" s="170">
        <v>44915</v>
      </c>
      <c r="B1977" s="116">
        <v>1040.2249999999999</v>
      </c>
      <c r="C1977" s="116">
        <v>999.47500000000002</v>
      </c>
      <c r="D1977" s="116">
        <v>994.125</v>
      </c>
      <c r="E1977" s="116">
        <v>1021.025</v>
      </c>
      <c r="F1977" s="116">
        <v>1998.95</v>
      </c>
      <c r="G1977">
        <v>3093</v>
      </c>
      <c r="H1977" s="116"/>
      <c r="I1977" s="116"/>
      <c r="L1977" s="170">
        <v>44915</v>
      </c>
      <c r="M1977" s="116">
        <v>999.85</v>
      </c>
      <c r="N1977" s="116">
        <v>1039.5</v>
      </c>
      <c r="O1977" s="116">
        <v>994.75</v>
      </c>
      <c r="P1977" s="116">
        <v>1039.5</v>
      </c>
      <c r="Q1977" s="116">
        <v>1999.7</v>
      </c>
      <c r="R1977">
        <v>103894</v>
      </c>
    </row>
    <row r="1978" spans="1:18" x14ac:dyDescent="0.25">
      <c r="A1978" s="170">
        <v>44916</v>
      </c>
      <c r="B1978" s="116">
        <v>1018.325</v>
      </c>
      <c r="C1978" s="116">
        <v>1007.075</v>
      </c>
      <c r="D1978" s="116">
        <v>991.05</v>
      </c>
      <c r="E1978" s="116">
        <v>991.05</v>
      </c>
      <c r="F1978" s="116">
        <v>2014.15</v>
      </c>
      <c r="G1978">
        <v>3166</v>
      </c>
      <c r="H1978" s="116"/>
      <c r="I1978" s="116"/>
      <c r="L1978" s="170">
        <v>44916</v>
      </c>
      <c r="M1978" s="116">
        <v>1005.85</v>
      </c>
      <c r="N1978" s="116">
        <v>1019.4</v>
      </c>
      <c r="O1978" s="116">
        <v>991.02499999999998</v>
      </c>
      <c r="P1978" s="116">
        <v>1005.1</v>
      </c>
      <c r="Q1978" s="116">
        <v>2011.7</v>
      </c>
      <c r="R1978">
        <v>35025</v>
      </c>
    </row>
    <row r="1979" spans="1:18" x14ac:dyDescent="0.25">
      <c r="A1979" s="170">
        <v>44917</v>
      </c>
      <c r="B1979" s="116">
        <v>1025</v>
      </c>
      <c r="C1979" s="116">
        <v>994.15</v>
      </c>
      <c r="D1979" s="116">
        <v>986.25</v>
      </c>
      <c r="E1979" s="116">
        <v>1024.9749999999999</v>
      </c>
      <c r="F1979" s="116">
        <v>1988.3</v>
      </c>
      <c r="G1979">
        <v>6249</v>
      </c>
      <c r="H1979" s="116"/>
      <c r="I1979" s="116"/>
      <c r="L1979" s="170">
        <v>44917</v>
      </c>
      <c r="M1979" s="116">
        <v>996.47500000000002</v>
      </c>
      <c r="N1979" s="116">
        <v>1020</v>
      </c>
      <c r="O1979" s="116">
        <v>987.75</v>
      </c>
      <c r="P1979" s="116">
        <v>1011.15</v>
      </c>
      <c r="Q1979" s="116">
        <v>1992.95</v>
      </c>
      <c r="R1979">
        <v>51302</v>
      </c>
    </row>
    <row r="1980" spans="1:18" x14ac:dyDescent="0.25">
      <c r="A1980" s="170">
        <v>44918</v>
      </c>
      <c r="B1980" s="116">
        <v>993.1</v>
      </c>
      <c r="C1980" s="116">
        <v>975.75</v>
      </c>
      <c r="D1980" s="116">
        <v>967.02499999999998</v>
      </c>
      <c r="E1980" s="116">
        <v>967.02499999999998</v>
      </c>
      <c r="F1980" s="116">
        <v>1951.5</v>
      </c>
      <c r="G1980">
        <v>2055</v>
      </c>
      <c r="H1980" s="116"/>
      <c r="I1980" s="116"/>
      <c r="L1980" s="170">
        <v>44918</v>
      </c>
      <c r="M1980" s="116">
        <v>977.97500000000002</v>
      </c>
      <c r="N1980" s="116">
        <v>994.55</v>
      </c>
      <c r="O1980" s="116">
        <v>970</v>
      </c>
      <c r="P1980" s="116">
        <v>986.3</v>
      </c>
      <c r="Q1980" s="116">
        <v>1955.95</v>
      </c>
      <c r="R1980">
        <v>55135</v>
      </c>
    </row>
    <row r="1981" spans="1:18" x14ac:dyDescent="0.25">
      <c r="A1981" s="170">
        <v>44921</v>
      </c>
      <c r="B1981" s="116">
        <v>997.55</v>
      </c>
      <c r="C1981" s="116">
        <v>969.67499999999995</v>
      </c>
      <c r="D1981" s="116">
        <v>965.27499999999998</v>
      </c>
      <c r="E1981" s="116">
        <v>997.55</v>
      </c>
      <c r="F1981" s="116">
        <v>1939.35</v>
      </c>
      <c r="G1981">
        <v>1187</v>
      </c>
      <c r="H1981" s="116"/>
      <c r="I1981" s="116"/>
      <c r="L1981" s="170">
        <v>44921</v>
      </c>
      <c r="M1981" s="116">
        <v>974.1</v>
      </c>
      <c r="N1981" s="116">
        <v>987.45</v>
      </c>
      <c r="O1981" s="116">
        <v>965.75</v>
      </c>
      <c r="P1981" s="116">
        <v>970.5</v>
      </c>
      <c r="Q1981" s="116">
        <v>1948.2</v>
      </c>
      <c r="R1981">
        <v>68350</v>
      </c>
    </row>
    <row r="1982" spans="1:18" x14ac:dyDescent="0.25">
      <c r="A1982" s="170">
        <v>44922</v>
      </c>
      <c r="B1982" s="116">
        <v>977.375</v>
      </c>
      <c r="C1982" s="116">
        <v>967.22500000000002</v>
      </c>
      <c r="D1982" s="116">
        <v>958.02499999999998</v>
      </c>
      <c r="E1982" s="116">
        <v>958.02499999999998</v>
      </c>
      <c r="F1982" s="116">
        <v>1934.45</v>
      </c>
      <c r="G1982">
        <v>679</v>
      </c>
      <c r="H1982" s="116"/>
      <c r="I1982" s="116"/>
      <c r="L1982" s="170">
        <v>44922</v>
      </c>
      <c r="M1982" s="116">
        <v>966.52499999999998</v>
      </c>
      <c r="N1982" s="116">
        <v>981.65</v>
      </c>
      <c r="O1982" s="116">
        <v>965.75</v>
      </c>
      <c r="P1982" s="116">
        <v>977.57500000000005</v>
      </c>
      <c r="Q1982" s="116">
        <v>1933.05</v>
      </c>
      <c r="R1982">
        <v>31552</v>
      </c>
    </row>
    <row r="1983" spans="1:18" x14ac:dyDescent="0.25">
      <c r="A1983" s="170">
        <v>44923</v>
      </c>
      <c r="B1983" s="116">
        <v>975.72500000000002</v>
      </c>
      <c r="C1983" s="116">
        <v>960.85</v>
      </c>
      <c r="D1983" s="116">
        <v>960</v>
      </c>
      <c r="E1983" s="116">
        <v>967.8</v>
      </c>
      <c r="F1983" s="116">
        <v>1921.7</v>
      </c>
      <c r="G1983">
        <v>2829</v>
      </c>
      <c r="H1983" s="116"/>
      <c r="I1983" s="116"/>
      <c r="L1983" s="170">
        <v>44923</v>
      </c>
      <c r="M1983" s="116">
        <v>962.35</v>
      </c>
      <c r="N1983" s="116">
        <v>976.6</v>
      </c>
      <c r="O1983" s="116">
        <v>960.25</v>
      </c>
      <c r="P1983" s="116">
        <v>962.17499999999995</v>
      </c>
      <c r="Q1983" s="116">
        <v>1924.7</v>
      </c>
      <c r="R1983">
        <v>66922</v>
      </c>
    </row>
    <row r="1984" spans="1:18" x14ac:dyDescent="0.25">
      <c r="A1984" s="170">
        <v>44924</v>
      </c>
      <c r="B1984" s="116">
        <v>975.5</v>
      </c>
      <c r="C1984" s="116">
        <v>966.7</v>
      </c>
      <c r="D1984" s="116">
        <v>959.7</v>
      </c>
      <c r="E1984" s="116">
        <v>963.05</v>
      </c>
      <c r="F1984" s="116">
        <v>1933.4</v>
      </c>
      <c r="G1984">
        <v>754</v>
      </c>
      <c r="H1984" s="116"/>
      <c r="I1984" s="116"/>
      <c r="L1984" s="170">
        <v>44924</v>
      </c>
      <c r="M1984" s="116">
        <v>969.02499999999998</v>
      </c>
      <c r="N1984" s="116">
        <v>979.9</v>
      </c>
      <c r="O1984" s="116">
        <v>960.75</v>
      </c>
      <c r="P1984" s="116">
        <v>967.4</v>
      </c>
      <c r="Q1984" s="116">
        <v>1938.05</v>
      </c>
      <c r="R1984">
        <v>27304</v>
      </c>
    </row>
    <row r="1985" spans="1:18" x14ac:dyDescent="0.25">
      <c r="A1985" s="170">
        <v>44925</v>
      </c>
      <c r="B1985" s="116">
        <v>978.55</v>
      </c>
      <c r="C1985" s="116">
        <v>971.67499999999995</v>
      </c>
      <c r="D1985" s="116">
        <v>960.8</v>
      </c>
      <c r="E1985" s="116">
        <v>969.7</v>
      </c>
      <c r="F1985" s="116">
        <v>1943.35</v>
      </c>
      <c r="G1985">
        <v>1127</v>
      </c>
      <c r="H1985" s="116"/>
      <c r="I1985" s="116"/>
      <c r="L1985" s="170">
        <v>44925</v>
      </c>
      <c r="M1985" s="116">
        <v>972.25</v>
      </c>
      <c r="N1985" s="116">
        <v>979.4</v>
      </c>
      <c r="O1985" s="116">
        <v>961.02499999999998</v>
      </c>
      <c r="P1985" s="116">
        <v>963.5</v>
      </c>
      <c r="Q1985" s="116">
        <v>1944.5</v>
      </c>
      <c r="R1985">
        <v>18371</v>
      </c>
    </row>
    <row r="1986" spans="1:18" x14ac:dyDescent="0.25">
      <c r="A1986" s="170">
        <v>44928</v>
      </c>
      <c r="B1986" s="116">
        <v>990.15</v>
      </c>
      <c r="C1986" s="116">
        <v>985.85</v>
      </c>
      <c r="D1986" s="116">
        <v>967.52499999999998</v>
      </c>
      <c r="E1986" s="116">
        <v>971.5</v>
      </c>
      <c r="F1986" s="116">
        <v>1971.7</v>
      </c>
      <c r="G1986">
        <v>2012</v>
      </c>
      <c r="H1986" s="116"/>
      <c r="I1986" s="116"/>
      <c r="L1986" s="170">
        <v>44928</v>
      </c>
      <c r="M1986" s="116">
        <v>985.72500000000002</v>
      </c>
      <c r="N1986" s="116">
        <v>989.2</v>
      </c>
      <c r="O1986" s="116">
        <v>967.47500000000002</v>
      </c>
      <c r="P1986" s="116">
        <v>977</v>
      </c>
      <c r="Q1986" s="116">
        <v>1971.45</v>
      </c>
      <c r="R1986">
        <v>19983</v>
      </c>
    </row>
    <row r="1987" spans="1:18" x14ac:dyDescent="0.25">
      <c r="A1987" s="170">
        <v>44929</v>
      </c>
      <c r="B1987" s="116">
        <v>1003.875</v>
      </c>
      <c r="C1987" s="116">
        <v>991.55</v>
      </c>
      <c r="D1987" s="116">
        <v>971.57500000000005</v>
      </c>
      <c r="E1987" s="116">
        <v>988</v>
      </c>
      <c r="F1987" s="116">
        <v>1983.1</v>
      </c>
      <c r="G1987">
        <v>1929</v>
      </c>
      <c r="H1987" s="116"/>
      <c r="I1987" s="116"/>
      <c r="L1987" s="170">
        <v>44929</v>
      </c>
      <c r="M1987" s="116">
        <v>991.42499999999995</v>
      </c>
      <c r="N1987" s="116">
        <v>1004</v>
      </c>
      <c r="O1987" s="116">
        <v>971.2</v>
      </c>
      <c r="P1987" s="116">
        <v>985</v>
      </c>
      <c r="Q1987" s="116">
        <v>1982.85</v>
      </c>
      <c r="R1987">
        <v>20798</v>
      </c>
    </row>
    <row r="1988" spans="1:18" x14ac:dyDescent="0.25">
      <c r="A1988" s="170">
        <v>44930</v>
      </c>
      <c r="B1988" s="116">
        <v>1000</v>
      </c>
      <c r="C1988" s="116">
        <v>994.375</v>
      </c>
      <c r="D1988" s="116">
        <v>975.1</v>
      </c>
      <c r="E1988" s="116">
        <v>988.85</v>
      </c>
      <c r="F1988" s="116">
        <v>1988.75</v>
      </c>
      <c r="G1988">
        <v>1187</v>
      </c>
      <c r="H1988" s="116"/>
      <c r="I1988" s="116"/>
      <c r="L1988" s="170">
        <v>44930</v>
      </c>
      <c r="M1988" s="116">
        <v>993.375</v>
      </c>
      <c r="N1988" s="116">
        <v>1002.5</v>
      </c>
      <c r="O1988" s="116">
        <v>974.05</v>
      </c>
      <c r="P1988" s="116">
        <v>989.375</v>
      </c>
      <c r="Q1988" s="116">
        <v>1986.75</v>
      </c>
      <c r="R1988">
        <v>21405</v>
      </c>
    </row>
    <row r="1989" spans="1:18" x14ac:dyDescent="0.25">
      <c r="A1989" s="170">
        <v>44931</v>
      </c>
      <c r="B1989" s="116">
        <v>1008.45</v>
      </c>
      <c r="C1989" s="116">
        <v>997.625</v>
      </c>
      <c r="D1989" s="116">
        <v>974.9</v>
      </c>
      <c r="E1989" s="116">
        <v>996.57500000000005</v>
      </c>
      <c r="F1989" s="116">
        <v>1995.25</v>
      </c>
      <c r="G1989">
        <v>2115</v>
      </c>
      <c r="H1989" s="116"/>
      <c r="I1989" s="116"/>
      <c r="L1989" s="170">
        <v>44931</v>
      </c>
      <c r="M1989" s="116">
        <v>997.02499999999998</v>
      </c>
      <c r="N1989" s="116">
        <v>1008.525</v>
      </c>
      <c r="O1989" s="116">
        <v>974</v>
      </c>
      <c r="P1989" s="116">
        <v>998.35</v>
      </c>
      <c r="Q1989" s="116">
        <v>1994.05</v>
      </c>
      <c r="R1989">
        <v>18510</v>
      </c>
    </row>
    <row r="1990" spans="1:18" x14ac:dyDescent="0.25">
      <c r="A1990" s="170">
        <v>44932</v>
      </c>
      <c r="B1990" s="116">
        <v>998.625</v>
      </c>
      <c r="C1990" s="116">
        <v>974.9</v>
      </c>
      <c r="D1990" s="116">
        <v>969.35</v>
      </c>
      <c r="E1990" s="116">
        <v>975.07500000000005</v>
      </c>
      <c r="F1990" s="116">
        <v>1949.8</v>
      </c>
      <c r="G1990">
        <v>3100</v>
      </c>
      <c r="H1990" s="116"/>
      <c r="I1990" s="116"/>
      <c r="L1990" s="170">
        <v>44932</v>
      </c>
      <c r="M1990" s="116">
        <v>976.25</v>
      </c>
      <c r="N1990" s="116">
        <v>999</v>
      </c>
      <c r="O1990" s="116">
        <v>970.85</v>
      </c>
      <c r="P1990" s="116">
        <v>997</v>
      </c>
      <c r="Q1990" s="116">
        <v>1952.5</v>
      </c>
      <c r="R1990">
        <v>34589</v>
      </c>
    </row>
    <row r="1991" spans="1:18" x14ac:dyDescent="0.25">
      <c r="A1991" s="170">
        <v>44935</v>
      </c>
      <c r="B1991" s="116">
        <v>983</v>
      </c>
      <c r="C1991" s="116">
        <v>965.22500000000002</v>
      </c>
      <c r="D1991" s="116">
        <v>961</v>
      </c>
      <c r="E1991" s="116">
        <v>982.85</v>
      </c>
      <c r="F1991" s="116">
        <v>1930.45</v>
      </c>
      <c r="G1991">
        <v>1564</v>
      </c>
      <c r="H1991" s="116"/>
      <c r="I1991" s="116"/>
      <c r="L1991" s="170">
        <v>44935</v>
      </c>
      <c r="M1991" s="116">
        <v>964.55</v>
      </c>
      <c r="N1991" s="116">
        <v>985.72500000000002</v>
      </c>
      <c r="O1991" s="116">
        <v>960.52499999999998</v>
      </c>
      <c r="P1991" s="116">
        <v>981.15</v>
      </c>
      <c r="Q1991" s="116">
        <v>1929.1</v>
      </c>
      <c r="R1991">
        <v>104326</v>
      </c>
    </row>
    <row r="1992" spans="1:18" x14ac:dyDescent="0.25">
      <c r="A1992" s="170">
        <v>44936</v>
      </c>
      <c r="B1992" s="116">
        <v>970.1</v>
      </c>
      <c r="C1992" s="116">
        <v>956.67499999999995</v>
      </c>
      <c r="D1992" s="116">
        <v>952.52499999999998</v>
      </c>
      <c r="E1992" s="116">
        <v>962.2</v>
      </c>
      <c r="F1992" s="116">
        <v>1913.35</v>
      </c>
      <c r="G1992">
        <v>1212</v>
      </c>
      <c r="H1992" s="116"/>
      <c r="I1992" s="116"/>
      <c r="L1992" s="170">
        <v>44936</v>
      </c>
      <c r="M1992" s="116">
        <v>956.375</v>
      </c>
      <c r="N1992" s="116">
        <v>970.65</v>
      </c>
      <c r="O1992" s="116">
        <v>952.77499999999998</v>
      </c>
      <c r="P1992" s="116">
        <v>968</v>
      </c>
      <c r="Q1992" s="116">
        <v>1912.75</v>
      </c>
      <c r="R1992">
        <v>65965</v>
      </c>
    </row>
    <row r="1993" spans="1:18" x14ac:dyDescent="0.25">
      <c r="A1993" s="170">
        <v>44937</v>
      </c>
      <c r="B1993" s="116">
        <v>965.6</v>
      </c>
      <c r="C1993" s="116">
        <v>961.22500000000002</v>
      </c>
      <c r="D1993" s="116">
        <v>951.4</v>
      </c>
      <c r="E1993" s="116">
        <v>954.5</v>
      </c>
      <c r="F1993" s="116">
        <v>1922.45</v>
      </c>
      <c r="G1993">
        <v>2094</v>
      </c>
      <c r="H1993" s="116"/>
      <c r="I1993" s="116"/>
      <c r="L1993" s="170">
        <v>44937</v>
      </c>
      <c r="M1993" s="116">
        <v>961.55</v>
      </c>
      <c r="N1993" s="116">
        <v>966.47500000000002</v>
      </c>
      <c r="O1993" s="116">
        <v>949.85</v>
      </c>
      <c r="P1993" s="116">
        <v>956.95</v>
      </c>
      <c r="Q1993" s="116">
        <v>1923.1</v>
      </c>
      <c r="R1993">
        <v>34930</v>
      </c>
    </row>
    <row r="1994" spans="1:18" x14ac:dyDescent="0.25">
      <c r="A1994" s="170">
        <v>44938</v>
      </c>
      <c r="B1994" s="116">
        <v>988.52499999999998</v>
      </c>
      <c r="C1994" s="116">
        <v>972.9</v>
      </c>
      <c r="D1994" s="116">
        <v>953.55</v>
      </c>
      <c r="E1994" s="116">
        <v>961.8</v>
      </c>
      <c r="F1994" s="116">
        <v>1945.8</v>
      </c>
      <c r="G1994">
        <v>1708</v>
      </c>
      <c r="H1994" s="116"/>
      <c r="I1994" s="116"/>
      <c r="L1994" s="170">
        <v>44938</v>
      </c>
      <c r="M1994" s="116">
        <v>979.65</v>
      </c>
      <c r="N1994" s="116">
        <v>990.55</v>
      </c>
      <c r="O1994" s="116">
        <v>952.77499999999998</v>
      </c>
      <c r="P1994" s="116">
        <v>966.375</v>
      </c>
      <c r="Q1994" s="116">
        <v>1959.3</v>
      </c>
      <c r="R1994">
        <v>22513</v>
      </c>
    </row>
    <row r="1995" spans="1:18" x14ac:dyDescent="0.25">
      <c r="A1995" s="170">
        <v>44939</v>
      </c>
      <c r="B1995" s="116">
        <v>983.95</v>
      </c>
      <c r="C1995" s="116">
        <v>978.57500000000005</v>
      </c>
      <c r="D1995" s="116">
        <v>964.55</v>
      </c>
      <c r="E1995" s="116">
        <v>978.5</v>
      </c>
      <c r="F1995" s="116">
        <v>1957.15</v>
      </c>
      <c r="G1995">
        <v>634</v>
      </c>
      <c r="H1995" s="116"/>
      <c r="I1995" s="116"/>
      <c r="L1995" s="170">
        <v>44939</v>
      </c>
      <c r="M1995" s="116">
        <v>978.57500000000005</v>
      </c>
      <c r="N1995" s="116">
        <v>984.55</v>
      </c>
      <c r="O1995" s="116">
        <v>963.52499999999998</v>
      </c>
      <c r="P1995" s="116">
        <v>977.5</v>
      </c>
      <c r="Q1995" s="116">
        <v>1957.15</v>
      </c>
      <c r="R1995">
        <v>16321</v>
      </c>
    </row>
    <row r="1996" spans="1:18" x14ac:dyDescent="0.25">
      <c r="A1996" s="170">
        <v>44942</v>
      </c>
      <c r="B1996" s="116">
        <v>983.97500000000002</v>
      </c>
      <c r="C1996" s="116">
        <v>972.02499999999998</v>
      </c>
      <c r="D1996" s="116">
        <v>970.85</v>
      </c>
      <c r="E1996" s="116">
        <v>978.92499999999995</v>
      </c>
      <c r="F1996" s="116">
        <v>1944.05</v>
      </c>
      <c r="G1996">
        <v>1029</v>
      </c>
      <c r="H1996" s="116"/>
      <c r="I1996" s="116"/>
      <c r="L1996" s="170">
        <v>44942</v>
      </c>
      <c r="M1996" s="116">
        <v>978.17499999999995</v>
      </c>
      <c r="N1996" s="116">
        <v>984.45</v>
      </c>
      <c r="O1996" s="116">
        <v>969.97500000000002</v>
      </c>
      <c r="P1996" s="116">
        <v>978.57500000000005</v>
      </c>
      <c r="Q1996" s="116">
        <v>1956.35</v>
      </c>
      <c r="R1996">
        <v>9806</v>
      </c>
    </row>
    <row r="1997" spans="1:18" x14ac:dyDescent="0.25">
      <c r="A1997" s="170">
        <v>44943</v>
      </c>
      <c r="B1997" s="116">
        <v>1002.725</v>
      </c>
      <c r="C1997" s="116">
        <v>990.55</v>
      </c>
      <c r="D1997" s="116">
        <v>975.42499999999995</v>
      </c>
      <c r="E1997" s="116">
        <v>983.82500000000005</v>
      </c>
      <c r="F1997" s="116">
        <v>1981.1</v>
      </c>
      <c r="G1997">
        <v>1528</v>
      </c>
      <c r="H1997" s="116"/>
      <c r="I1997" s="116"/>
      <c r="L1997" s="170">
        <v>44943</v>
      </c>
      <c r="M1997" s="116">
        <v>997.625</v>
      </c>
      <c r="N1997" s="116">
        <v>1004</v>
      </c>
      <c r="O1997" s="116">
        <v>974.45</v>
      </c>
      <c r="P1997" s="116">
        <v>974.45</v>
      </c>
      <c r="Q1997" s="116">
        <v>1995.25</v>
      </c>
      <c r="R1997">
        <v>24179</v>
      </c>
    </row>
    <row r="1998" spans="1:18" x14ac:dyDescent="0.25">
      <c r="A1998" s="170">
        <v>44944</v>
      </c>
      <c r="B1998" s="116">
        <v>1000</v>
      </c>
      <c r="C1998" s="116">
        <v>995.82500000000005</v>
      </c>
      <c r="D1998" s="116">
        <v>983.95</v>
      </c>
      <c r="E1998" s="116">
        <v>990.1</v>
      </c>
      <c r="F1998" s="116">
        <v>1991.65</v>
      </c>
      <c r="G1998">
        <v>1105</v>
      </c>
      <c r="H1998" s="116"/>
      <c r="I1998" s="116"/>
      <c r="L1998" s="170">
        <v>44944</v>
      </c>
      <c r="M1998" s="116">
        <v>996.17499999999995</v>
      </c>
      <c r="N1998" s="116">
        <v>999.5</v>
      </c>
      <c r="O1998" s="116">
        <v>984</v>
      </c>
      <c r="P1998" s="116">
        <v>995</v>
      </c>
      <c r="Q1998" s="116">
        <v>1992.35</v>
      </c>
      <c r="R1998">
        <v>24176</v>
      </c>
    </row>
    <row r="1999" spans="1:18" x14ac:dyDescent="0.25">
      <c r="A1999" s="170">
        <v>44945</v>
      </c>
      <c r="B1999" s="116">
        <v>995</v>
      </c>
      <c r="C1999" s="116">
        <v>994.77499999999998</v>
      </c>
      <c r="D1999" s="116">
        <v>979.52499999999998</v>
      </c>
      <c r="E1999" s="116">
        <v>979.52499999999998</v>
      </c>
      <c r="F1999" s="116">
        <v>1989.55</v>
      </c>
      <c r="G1999">
        <v>434</v>
      </c>
      <c r="H1999" s="116"/>
      <c r="I1999" s="116"/>
      <c r="L1999" s="170">
        <v>44945</v>
      </c>
      <c r="M1999" s="116">
        <v>994.05</v>
      </c>
      <c r="N1999" s="116">
        <v>999.45</v>
      </c>
      <c r="O1999" s="116">
        <v>982</v>
      </c>
      <c r="P1999" s="116">
        <v>996.17499999999995</v>
      </c>
      <c r="Q1999" s="116">
        <v>1988.1</v>
      </c>
      <c r="R1999">
        <v>20219</v>
      </c>
    </row>
    <row r="2000" spans="1:18" x14ac:dyDescent="0.25">
      <c r="A2000" s="170">
        <v>44946</v>
      </c>
      <c r="B2000" s="116">
        <v>990.375</v>
      </c>
      <c r="C2000" s="116">
        <v>966.4</v>
      </c>
      <c r="D2000" s="116">
        <v>964</v>
      </c>
      <c r="E2000" s="116">
        <v>990.375</v>
      </c>
      <c r="F2000" s="116">
        <v>1932.8</v>
      </c>
      <c r="G2000">
        <v>1938</v>
      </c>
      <c r="H2000" s="116"/>
      <c r="I2000" s="116"/>
      <c r="L2000" s="170">
        <v>44946</v>
      </c>
      <c r="M2000" s="116">
        <v>967.5</v>
      </c>
      <c r="N2000" s="116">
        <v>993.85</v>
      </c>
      <c r="O2000" s="116">
        <v>963.5</v>
      </c>
      <c r="P2000" s="116">
        <v>993.85</v>
      </c>
      <c r="Q2000" s="116">
        <v>1935</v>
      </c>
      <c r="R2000">
        <v>32726</v>
      </c>
    </row>
    <row r="2001" spans="1:18" x14ac:dyDescent="0.25">
      <c r="A2001" s="170">
        <v>44949</v>
      </c>
      <c r="B2001" s="116">
        <v>987.42499999999995</v>
      </c>
      <c r="C2001" s="116">
        <v>985.72500000000002</v>
      </c>
      <c r="D2001" s="116">
        <v>958</v>
      </c>
      <c r="E2001" s="116">
        <v>965.52499999999998</v>
      </c>
      <c r="F2001" s="116">
        <v>1971.45</v>
      </c>
      <c r="G2001">
        <v>1855</v>
      </c>
      <c r="H2001" s="116"/>
      <c r="I2001" s="116"/>
      <c r="L2001" s="170">
        <v>44949</v>
      </c>
      <c r="M2001" s="116">
        <v>985.82500000000005</v>
      </c>
      <c r="N2001" s="116">
        <v>989.3</v>
      </c>
      <c r="O2001" s="116">
        <v>957.77499999999998</v>
      </c>
      <c r="P2001" s="116">
        <v>967.45</v>
      </c>
      <c r="Q2001" s="116">
        <v>1971.65</v>
      </c>
      <c r="R2001">
        <v>48016</v>
      </c>
    </row>
    <row r="2002" spans="1:18" x14ac:dyDescent="0.25">
      <c r="A2002" s="170">
        <v>44950</v>
      </c>
      <c r="B2002" s="116">
        <v>994.95</v>
      </c>
      <c r="C2002" s="116">
        <v>990.97500000000002</v>
      </c>
      <c r="D2002" s="116">
        <v>978.35</v>
      </c>
      <c r="E2002" s="116">
        <v>983.95</v>
      </c>
      <c r="F2002" s="116">
        <v>1981.95</v>
      </c>
      <c r="G2002">
        <v>1034</v>
      </c>
      <c r="H2002" s="116"/>
      <c r="I2002" s="116"/>
      <c r="L2002" s="170">
        <v>44950</v>
      </c>
      <c r="M2002" s="116">
        <v>990.9</v>
      </c>
      <c r="N2002" s="116">
        <v>995</v>
      </c>
      <c r="O2002" s="116">
        <v>978.27499999999998</v>
      </c>
      <c r="P2002" s="116">
        <v>991</v>
      </c>
      <c r="Q2002" s="116">
        <v>1981.8</v>
      </c>
      <c r="R2002">
        <v>25692</v>
      </c>
    </row>
    <row r="2003" spans="1:18" x14ac:dyDescent="0.25">
      <c r="A2003" s="170">
        <v>44951</v>
      </c>
      <c r="B2003" s="116">
        <v>1010.975</v>
      </c>
      <c r="C2003" s="116">
        <v>1002.75</v>
      </c>
      <c r="D2003" s="116">
        <v>970.125</v>
      </c>
      <c r="E2003" s="116">
        <v>970.125</v>
      </c>
      <c r="F2003" s="116">
        <v>2005.5</v>
      </c>
      <c r="G2003">
        <v>2992</v>
      </c>
      <c r="H2003" s="116"/>
      <c r="I2003" s="116"/>
      <c r="L2003" s="170">
        <v>44951</v>
      </c>
      <c r="M2003" s="116">
        <v>1001.85</v>
      </c>
      <c r="N2003" s="116">
        <v>1012.5</v>
      </c>
      <c r="O2003" s="116">
        <v>982.75</v>
      </c>
      <c r="P2003" s="116">
        <v>989.65</v>
      </c>
      <c r="Q2003" s="116">
        <v>2003.7</v>
      </c>
      <c r="R2003">
        <v>48658</v>
      </c>
    </row>
    <row r="2004" spans="1:18" x14ac:dyDescent="0.25">
      <c r="A2004" s="170">
        <v>44953</v>
      </c>
      <c r="B2004" s="116">
        <v>1021.9</v>
      </c>
      <c r="C2004" s="116">
        <v>1012.875</v>
      </c>
      <c r="D2004" s="116">
        <v>989.42499999999995</v>
      </c>
      <c r="E2004" s="116">
        <v>1011.425</v>
      </c>
      <c r="F2004" s="116">
        <v>2025.75</v>
      </c>
      <c r="G2004">
        <v>5772</v>
      </c>
      <c r="H2004" s="116"/>
      <c r="I2004" s="116"/>
      <c r="L2004" s="170">
        <v>44953</v>
      </c>
      <c r="M2004" s="116">
        <v>1015.725</v>
      </c>
      <c r="N2004" s="116">
        <v>1022.5</v>
      </c>
      <c r="O2004" s="116">
        <v>988.55</v>
      </c>
      <c r="P2004" s="116">
        <v>1000.3</v>
      </c>
      <c r="Q2004" s="116">
        <v>2031.45</v>
      </c>
      <c r="R2004">
        <v>89232</v>
      </c>
    </row>
    <row r="2005" spans="1:18" x14ac:dyDescent="0.25">
      <c r="A2005" s="170">
        <v>44956</v>
      </c>
      <c r="B2005" s="116">
        <v>1019.275</v>
      </c>
      <c r="C2005" s="116">
        <v>1010</v>
      </c>
      <c r="D2005" s="116">
        <v>991.02499999999998</v>
      </c>
      <c r="E2005" s="116">
        <v>1003.025</v>
      </c>
      <c r="F2005" s="116">
        <v>2020</v>
      </c>
      <c r="G2005">
        <v>2865</v>
      </c>
      <c r="H2005" s="116"/>
      <c r="I2005" s="116"/>
      <c r="L2005" s="170">
        <v>44956</v>
      </c>
      <c r="M2005" s="116">
        <v>1014.05</v>
      </c>
      <c r="N2005" s="116">
        <v>1020</v>
      </c>
      <c r="O2005" s="116">
        <v>991.27499999999998</v>
      </c>
      <c r="P2005" s="116">
        <v>1015.475</v>
      </c>
      <c r="Q2005" s="116">
        <v>2028.1</v>
      </c>
      <c r="R2005">
        <v>96117</v>
      </c>
    </row>
    <row r="2006" spans="1:18" x14ac:dyDescent="0.25">
      <c r="A2006" s="170">
        <v>44957</v>
      </c>
      <c r="B2006" s="116">
        <v>1029.9749999999999</v>
      </c>
      <c r="C2006" s="116">
        <v>1021.175</v>
      </c>
      <c r="D2006" s="116">
        <v>997.1</v>
      </c>
      <c r="E2006" s="116">
        <v>1029.9749999999999</v>
      </c>
      <c r="F2006" s="116">
        <v>2042.35</v>
      </c>
      <c r="G2006">
        <v>1166</v>
      </c>
      <c r="H2006" s="116"/>
      <c r="I2006" s="116"/>
      <c r="L2006" s="170">
        <v>44957</v>
      </c>
      <c r="M2006" s="116">
        <v>1021.45</v>
      </c>
      <c r="N2006" s="116">
        <v>1024.3499999999999</v>
      </c>
      <c r="O2006" s="116">
        <v>996.1</v>
      </c>
      <c r="P2006" s="116">
        <v>1014.05</v>
      </c>
      <c r="Q2006" s="116">
        <v>2042.9</v>
      </c>
      <c r="R2006">
        <v>24194</v>
      </c>
    </row>
    <row r="2007" spans="1:18" x14ac:dyDescent="0.25">
      <c r="A2007" s="170">
        <v>44958</v>
      </c>
      <c r="B2007" s="116">
        <v>1030.45</v>
      </c>
      <c r="C2007" s="116">
        <v>1011.6</v>
      </c>
      <c r="D2007" s="116">
        <v>997.42499999999995</v>
      </c>
      <c r="E2007" s="116">
        <v>1020.525</v>
      </c>
      <c r="F2007" s="116">
        <v>2023.2</v>
      </c>
      <c r="G2007">
        <v>1305</v>
      </c>
      <c r="H2007" s="116"/>
      <c r="I2007" s="116"/>
      <c r="L2007" s="170">
        <v>44958</v>
      </c>
      <c r="M2007" s="116">
        <v>1010.4</v>
      </c>
      <c r="N2007" s="116">
        <v>1032.4000000000001</v>
      </c>
      <c r="O2007" s="116">
        <v>996.875</v>
      </c>
      <c r="P2007" s="116">
        <v>1018.95</v>
      </c>
      <c r="Q2007" s="116">
        <v>2020.8</v>
      </c>
      <c r="R2007">
        <v>42406</v>
      </c>
    </row>
    <row r="2008" spans="1:18" x14ac:dyDescent="0.25">
      <c r="A2008" s="170">
        <v>44959</v>
      </c>
      <c r="B2008" s="116">
        <v>1042.075</v>
      </c>
      <c r="C2008" s="116">
        <v>1020.475</v>
      </c>
      <c r="D2008" s="116">
        <v>1000.125</v>
      </c>
      <c r="E2008" s="116">
        <v>1011.575</v>
      </c>
      <c r="F2008" s="116">
        <v>2040.95</v>
      </c>
      <c r="G2008">
        <v>7083</v>
      </c>
      <c r="H2008" s="116"/>
      <c r="I2008" s="116"/>
      <c r="L2008" s="170">
        <v>44959</v>
      </c>
      <c r="M2008" s="116">
        <v>1020.025</v>
      </c>
      <c r="N2008" s="116">
        <v>1042.45</v>
      </c>
      <c r="O2008" s="116">
        <v>1000</v>
      </c>
      <c r="P2008" s="116">
        <v>1000</v>
      </c>
      <c r="Q2008" s="116">
        <v>2040.05</v>
      </c>
      <c r="R2008">
        <v>63262</v>
      </c>
    </row>
    <row r="2009" spans="1:18" x14ac:dyDescent="0.25">
      <c r="A2009" s="170">
        <v>44960</v>
      </c>
      <c r="B2009" s="116">
        <v>1035.925</v>
      </c>
      <c r="C2009" s="116">
        <v>1028.175</v>
      </c>
      <c r="D2009" s="116">
        <v>1010.025</v>
      </c>
      <c r="E2009" s="116">
        <v>1010.025</v>
      </c>
      <c r="F2009" s="116">
        <v>2056.35</v>
      </c>
      <c r="G2009">
        <v>1983</v>
      </c>
      <c r="H2009" s="116"/>
      <c r="I2009" s="116"/>
      <c r="L2009" s="170">
        <v>44960</v>
      </c>
      <c r="M2009" s="116">
        <v>1029.825</v>
      </c>
      <c r="N2009" s="116">
        <v>1036.125</v>
      </c>
      <c r="O2009" s="116">
        <v>1009.525</v>
      </c>
      <c r="P2009" s="116">
        <v>1020.425</v>
      </c>
      <c r="Q2009" s="116">
        <v>2059.65</v>
      </c>
      <c r="R2009">
        <v>40199</v>
      </c>
    </row>
    <row r="2010" spans="1:18" x14ac:dyDescent="0.25">
      <c r="A2010" s="170">
        <v>44963</v>
      </c>
      <c r="B2010" s="116">
        <v>1033.55</v>
      </c>
      <c r="C2010" s="116">
        <v>1007.25</v>
      </c>
      <c r="D2010" s="116">
        <v>1005</v>
      </c>
      <c r="E2010" s="116">
        <v>1009.275</v>
      </c>
      <c r="F2010" s="116">
        <v>2014.5</v>
      </c>
      <c r="G2010">
        <v>1410</v>
      </c>
      <c r="H2010" s="116"/>
      <c r="I2010" s="116"/>
      <c r="L2010" s="170">
        <v>44963</v>
      </c>
      <c r="M2010" s="116">
        <v>1010.1</v>
      </c>
      <c r="N2010" s="116">
        <v>1034.7</v>
      </c>
      <c r="O2010" s="116">
        <v>1002.5</v>
      </c>
      <c r="P2010" s="116">
        <v>1029.825</v>
      </c>
      <c r="Q2010" s="116">
        <v>2020.2</v>
      </c>
      <c r="R2010">
        <v>20111</v>
      </c>
    </row>
    <row r="2011" spans="1:18" x14ac:dyDescent="0.25">
      <c r="A2011" s="170">
        <v>44964</v>
      </c>
      <c r="B2011" s="116">
        <v>1017.375</v>
      </c>
      <c r="C2011" s="116">
        <v>1008.5</v>
      </c>
      <c r="D2011" s="116">
        <v>999.55</v>
      </c>
      <c r="E2011" s="116">
        <v>1007.2</v>
      </c>
      <c r="F2011" s="116">
        <v>2017</v>
      </c>
      <c r="G2011">
        <v>1653</v>
      </c>
      <c r="H2011" s="116"/>
      <c r="I2011" s="116"/>
      <c r="L2011" s="170">
        <v>44964</v>
      </c>
      <c r="M2011" s="116">
        <v>1007.325</v>
      </c>
      <c r="N2011" s="116">
        <v>1019.75</v>
      </c>
      <c r="O2011" s="116">
        <v>1000</v>
      </c>
      <c r="P2011" s="116">
        <v>1015.175</v>
      </c>
      <c r="Q2011" s="116">
        <v>2014.65</v>
      </c>
      <c r="R2011">
        <v>20896</v>
      </c>
    </row>
    <row r="2012" spans="1:18" x14ac:dyDescent="0.25">
      <c r="A2012" s="170">
        <v>44965</v>
      </c>
      <c r="B2012" s="116">
        <v>1026.3499999999999</v>
      </c>
      <c r="C2012" s="116">
        <v>1017.925</v>
      </c>
      <c r="D2012" s="116">
        <v>975.02499999999998</v>
      </c>
      <c r="E2012" s="116">
        <v>975.02499999999998</v>
      </c>
      <c r="F2012" s="116">
        <v>2035.85</v>
      </c>
      <c r="G2012">
        <v>1920</v>
      </c>
      <c r="H2012" s="116"/>
      <c r="I2012" s="116"/>
      <c r="L2012" s="170">
        <v>44965</v>
      </c>
      <c r="M2012" s="116">
        <v>1019.7</v>
      </c>
      <c r="N2012" s="116">
        <v>1027.4000000000001</v>
      </c>
      <c r="O2012" s="116">
        <v>1001.25</v>
      </c>
      <c r="P2012" s="116">
        <v>1008.05</v>
      </c>
      <c r="Q2012" s="116">
        <v>2039.4</v>
      </c>
      <c r="R2012">
        <v>29307</v>
      </c>
    </row>
    <row r="2013" spans="1:18" x14ac:dyDescent="0.25">
      <c r="A2013" s="170">
        <v>44966</v>
      </c>
      <c r="B2013" s="116">
        <v>1028.4749999999999</v>
      </c>
      <c r="C2013" s="116">
        <v>981.9</v>
      </c>
      <c r="D2013" s="116">
        <v>978.5</v>
      </c>
      <c r="E2013" s="116">
        <v>1028.4749999999999</v>
      </c>
      <c r="F2013" s="116">
        <v>1963.8</v>
      </c>
      <c r="G2013">
        <v>1986</v>
      </c>
      <c r="H2013" s="116"/>
      <c r="I2013" s="116"/>
      <c r="L2013" s="170">
        <v>44966</v>
      </c>
      <c r="M2013" s="116">
        <v>981.85</v>
      </c>
      <c r="N2013" s="116">
        <v>1029.5</v>
      </c>
      <c r="O2013" s="116">
        <v>975.15</v>
      </c>
      <c r="P2013" s="116">
        <v>1025.5250000000001</v>
      </c>
      <c r="Q2013" s="116">
        <v>1963.7</v>
      </c>
      <c r="R2013">
        <v>50012</v>
      </c>
    </row>
    <row r="2014" spans="1:18" x14ac:dyDescent="0.25">
      <c r="A2014" s="170">
        <v>44967</v>
      </c>
      <c r="B2014" s="116">
        <v>999.5</v>
      </c>
      <c r="C2014" s="116">
        <v>992.5</v>
      </c>
      <c r="D2014" s="116">
        <v>971</v>
      </c>
      <c r="E2014" s="116">
        <v>981.4</v>
      </c>
      <c r="F2014" s="116">
        <v>1985</v>
      </c>
      <c r="G2014">
        <v>1697</v>
      </c>
      <c r="H2014" s="116"/>
      <c r="I2014" s="116"/>
      <c r="L2014" s="170">
        <v>44967</v>
      </c>
      <c r="M2014" s="116">
        <v>993.72500000000002</v>
      </c>
      <c r="N2014" s="116">
        <v>1000</v>
      </c>
      <c r="O2014" s="116">
        <v>970.2</v>
      </c>
      <c r="P2014" s="116">
        <v>987</v>
      </c>
      <c r="Q2014" s="116">
        <v>1987.45</v>
      </c>
      <c r="R2014">
        <v>42502</v>
      </c>
    </row>
    <row r="2015" spans="1:18" x14ac:dyDescent="0.25">
      <c r="A2015" s="170">
        <v>44970</v>
      </c>
      <c r="B2015" s="116">
        <v>997.45</v>
      </c>
      <c r="C2015" s="116">
        <v>974.125</v>
      </c>
      <c r="D2015" s="116">
        <v>962.82500000000005</v>
      </c>
      <c r="E2015" s="116">
        <v>992.9</v>
      </c>
      <c r="F2015" s="116">
        <v>1948.25</v>
      </c>
      <c r="G2015">
        <v>10430</v>
      </c>
      <c r="H2015" s="116"/>
      <c r="I2015" s="116"/>
      <c r="L2015" s="170">
        <v>44970</v>
      </c>
      <c r="M2015" s="116">
        <v>978.67499999999995</v>
      </c>
      <c r="N2015" s="116">
        <v>998.47500000000002</v>
      </c>
      <c r="O2015" s="116">
        <v>964.95</v>
      </c>
      <c r="P2015" s="116">
        <v>993.72500000000002</v>
      </c>
      <c r="Q2015" s="116">
        <v>1957.35</v>
      </c>
      <c r="R2015">
        <v>26585</v>
      </c>
    </row>
    <row r="2016" spans="1:18" x14ac:dyDescent="0.25">
      <c r="A2016" s="170">
        <v>44971</v>
      </c>
      <c r="B2016" s="116">
        <v>987.57500000000005</v>
      </c>
      <c r="C2016" s="116">
        <v>984.3</v>
      </c>
      <c r="D2016" s="116">
        <v>972.125</v>
      </c>
      <c r="E2016" s="116">
        <v>972.125</v>
      </c>
      <c r="F2016" s="116">
        <v>1968.6</v>
      </c>
      <c r="G2016">
        <v>4166</v>
      </c>
      <c r="H2016" s="116"/>
      <c r="I2016" s="116"/>
      <c r="L2016" s="170">
        <v>44971</v>
      </c>
      <c r="M2016" s="116">
        <v>985.22500000000002</v>
      </c>
      <c r="N2016" s="116">
        <v>987.5</v>
      </c>
      <c r="O2016" s="116">
        <v>969.82500000000005</v>
      </c>
      <c r="P2016" s="116">
        <v>970.02499999999998</v>
      </c>
      <c r="Q2016" s="116">
        <v>1970.45</v>
      </c>
      <c r="R2016">
        <v>64788</v>
      </c>
    </row>
    <row r="2017" spans="1:18" x14ac:dyDescent="0.25">
      <c r="A2017" s="170">
        <v>44972</v>
      </c>
      <c r="B2017" s="116">
        <v>987.07500000000005</v>
      </c>
      <c r="C2017" s="116">
        <v>977.95</v>
      </c>
      <c r="D2017" s="116">
        <v>964.72500000000002</v>
      </c>
      <c r="E2017" s="116">
        <v>986.92499999999995</v>
      </c>
      <c r="F2017" s="116">
        <v>1955.9</v>
      </c>
      <c r="G2017">
        <v>832</v>
      </c>
      <c r="H2017" s="116"/>
      <c r="I2017" s="116"/>
      <c r="L2017" s="170">
        <v>44972</v>
      </c>
      <c r="M2017" s="116">
        <v>980.15</v>
      </c>
      <c r="N2017" s="116">
        <v>990.4</v>
      </c>
      <c r="O2017" s="116">
        <v>962.77499999999998</v>
      </c>
      <c r="P2017" s="116">
        <v>990.4</v>
      </c>
      <c r="Q2017" s="116">
        <v>1960.3</v>
      </c>
      <c r="R2017">
        <v>28602</v>
      </c>
    </row>
    <row r="2018" spans="1:18" x14ac:dyDescent="0.25">
      <c r="A2018" s="170">
        <v>44973</v>
      </c>
      <c r="B2018" s="116">
        <v>1014.975</v>
      </c>
      <c r="C2018" s="116">
        <v>980.52499999999998</v>
      </c>
      <c r="D2018" s="116">
        <v>974.77499999999998</v>
      </c>
      <c r="E2018" s="116">
        <v>1014.975</v>
      </c>
      <c r="F2018" s="116">
        <v>1961.05</v>
      </c>
      <c r="G2018">
        <v>1853</v>
      </c>
      <c r="H2018" s="116"/>
      <c r="I2018" s="116"/>
      <c r="L2018" s="170">
        <v>44973</v>
      </c>
      <c r="M2018" s="116">
        <v>982.52499999999998</v>
      </c>
      <c r="N2018" s="116">
        <v>995.52499999999998</v>
      </c>
      <c r="O2018" s="116">
        <v>974.8</v>
      </c>
      <c r="P2018" s="116">
        <v>992.5</v>
      </c>
      <c r="Q2018" s="116">
        <v>1965.05</v>
      </c>
      <c r="R2018">
        <v>23063</v>
      </c>
    </row>
    <row r="2019" spans="1:18" x14ac:dyDescent="0.25">
      <c r="A2019" s="170">
        <v>44974</v>
      </c>
      <c r="B2019" s="116">
        <v>993.92499999999995</v>
      </c>
      <c r="C2019" s="116">
        <v>982.72500000000002</v>
      </c>
      <c r="D2019" s="116">
        <v>974.65</v>
      </c>
      <c r="E2019" s="116">
        <v>993.92499999999995</v>
      </c>
      <c r="F2019" s="116">
        <v>1965.45</v>
      </c>
      <c r="G2019">
        <v>372</v>
      </c>
      <c r="H2019" s="116"/>
      <c r="I2019" s="116"/>
      <c r="L2019" s="170">
        <v>44974</v>
      </c>
      <c r="M2019" s="116">
        <v>980.35</v>
      </c>
      <c r="N2019" s="116">
        <v>987.7</v>
      </c>
      <c r="O2019" s="116">
        <v>975.55</v>
      </c>
      <c r="P2019" s="116">
        <v>978.02499999999998</v>
      </c>
      <c r="Q2019" s="116">
        <v>1960.7</v>
      </c>
      <c r="R2019">
        <v>7477</v>
      </c>
    </row>
    <row r="2020" spans="1:18" x14ac:dyDescent="0.25">
      <c r="A2020" s="170">
        <v>44977</v>
      </c>
      <c r="B2020" s="116">
        <v>984.5</v>
      </c>
      <c r="C2020" s="116">
        <v>975.25</v>
      </c>
      <c r="D2020" s="116">
        <v>970.85</v>
      </c>
      <c r="E2020" s="116">
        <v>979.57500000000005</v>
      </c>
      <c r="F2020" s="116">
        <v>1950.5</v>
      </c>
      <c r="G2020">
        <v>1537</v>
      </c>
      <c r="H2020" s="116"/>
      <c r="I2020" s="116"/>
      <c r="L2020" s="170">
        <v>44977</v>
      </c>
      <c r="M2020" s="116">
        <v>976.17499999999995</v>
      </c>
      <c r="N2020" s="116">
        <v>985.47500000000002</v>
      </c>
      <c r="O2020" s="116">
        <v>970.7</v>
      </c>
      <c r="P2020" s="116">
        <v>978</v>
      </c>
      <c r="Q2020" s="116">
        <v>1952.35</v>
      </c>
      <c r="R2020">
        <v>26069</v>
      </c>
    </row>
    <row r="2021" spans="1:18" x14ac:dyDescent="0.25">
      <c r="A2021" s="170">
        <v>44978</v>
      </c>
      <c r="B2021" s="116">
        <v>985.05</v>
      </c>
      <c r="C2021" s="116">
        <v>977.45</v>
      </c>
      <c r="D2021" s="116">
        <v>972.67499999999995</v>
      </c>
      <c r="E2021" s="116">
        <v>975</v>
      </c>
      <c r="F2021" s="116">
        <v>1954.9</v>
      </c>
      <c r="G2021">
        <v>1490</v>
      </c>
      <c r="H2021" s="116"/>
      <c r="I2021" s="116"/>
      <c r="L2021" s="170">
        <v>44978</v>
      </c>
      <c r="M2021" s="116">
        <v>978.85</v>
      </c>
      <c r="N2021" s="116">
        <v>985.3</v>
      </c>
      <c r="O2021" s="116">
        <v>970.5</v>
      </c>
      <c r="P2021" s="116">
        <v>977.52499999999998</v>
      </c>
      <c r="Q2021" s="116">
        <v>1957.7</v>
      </c>
      <c r="R2021">
        <v>15062</v>
      </c>
    </row>
    <row r="2022" spans="1:18" x14ac:dyDescent="0.25">
      <c r="A2022" s="170">
        <v>44979</v>
      </c>
      <c r="B2022" s="116">
        <v>978.92499999999995</v>
      </c>
      <c r="C2022" s="116">
        <v>962.57500000000005</v>
      </c>
      <c r="D2022" s="116">
        <v>952.95</v>
      </c>
      <c r="E2022" s="116">
        <v>973.25</v>
      </c>
      <c r="F2022" s="116">
        <v>1925.15</v>
      </c>
      <c r="G2022">
        <v>608</v>
      </c>
      <c r="H2022" s="116"/>
      <c r="I2022" s="116"/>
      <c r="L2022" s="170">
        <v>44979</v>
      </c>
      <c r="M2022" s="116">
        <v>959.125</v>
      </c>
      <c r="N2022" s="116">
        <v>978.875</v>
      </c>
      <c r="O2022" s="116">
        <v>953.27499999999998</v>
      </c>
      <c r="P2022" s="116">
        <v>976</v>
      </c>
      <c r="Q2022" s="116">
        <v>1918.25</v>
      </c>
      <c r="R2022">
        <v>44383</v>
      </c>
    </row>
    <row r="2023" spans="1:18" x14ac:dyDescent="0.25">
      <c r="A2023" s="170">
        <v>44980</v>
      </c>
      <c r="B2023" s="116">
        <v>981.72500000000002</v>
      </c>
      <c r="C2023" s="116">
        <v>973.77499999999998</v>
      </c>
      <c r="D2023" s="116">
        <v>948.75</v>
      </c>
      <c r="E2023" s="116">
        <v>971.77499999999998</v>
      </c>
      <c r="F2023" s="116">
        <v>1947.55</v>
      </c>
      <c r="G2023">
        <v>1681</v>
      </c>
      <c r="H2023" s="116"/>
      <c r="I2023" s="116"/>
      <c r="L2023" s="170">
        <v>44980</v>
      </c>
      <c r="M2023" s="116">
        <v>975.47500000000002</v>
      </c>
      <c r="N2023" s="116">
        <v>982.47500000000002</v>
      </c>
      <c r="O2023" s="116">
        <v>953.27499999999998</v>
      </c>
      <c r="P2023" s="116">
        <v>964.15</v>
      </c>
      <c r="Q2023" s="116">
        <v>1950.95</v>
      </c>
      <c r="R2023">
        <v>47127</v>
      </c>
    </row>
    <row r="2024" spans="1:18" x14ac:dyDescent="0.25">
      <c r="A2024" s="170">
        <v>44981</v>
      </c>
      <c r="B2024" s="116">
        <v>986.92499999999995</v>
      </c>
      <c r="C2024" s="116">
        <v>983</v>
      </c>
      <c r="D2024" s="116">
        <v>958.82500000000005</v>
      </c>
      <c r="E2024" s="116">
        <v>973.125</v>
      </c>
      <c r="F2024" s="116">
        <v>1966</v>
      </c>
      <c r="G2024">
        <v>12005</v>
      </c>
      <c r="H2024" s="116"/>
      <c r="I2024" s="116"/>
      <c r="L2024" s="170">
        <v>44981</v>
      </c>
      <c r="M2024" s="116">
        <v>983.7</v>
      </c>
      <c r="N2024" s="116">
        <v>987.5</v>
      </c>
      <c r="O2024" s="116">
        <v>958</v>
      </c>
      <c r="P2024" s="116">
        <v>967.5</v>
      </c>
      <c r="Q2024" s="116">
        <v>1967.4</v>
      </c>
      <c r="R2024">
        <v>54300</v>
      </c>
    </row>
    <row r="2025" spans="1:18" x14ac:dyDescent="0.25">
      <c r="A2025" s="170">
        <v>44984</v>
      </c>
      <c r="B2025" s="116">
        <v>1002.425</v>
      </c>
      <c r="C2025" s="116">
        <v>997.02499999999998</v>
      </c>
      <c r="D2025" s="116">
        <v>977.125</v>
      </c>
      <c r="E2025" s="116">
        <v>981</v>
      </c>
      <c r="F2025" s="116">
        <v>1994.05</v>
      </c>
      <c r="G2025">
        <v>1107</v>
      </c>
      <c r="H2025" s="116"/>
      <c r="I2025" s="116"/>
      <c r="L2025" s="170">
        <v>44984</v>
      </c>
      <c r="M2025" s="116">
        <v>999.07500000000005</v>
      </c>
      <c r="N2025" s="116">
        <v>1001.9</v>
      </c>
      <c r="O2025" s="116">
        <v>976.15</v>
      </c>
      <c r="P2025" s="116">
        <v>983.7</v>
      </c>
      <c r="Q2025" s="116">
        <v>1998.15</v>
      </c>
      <c r="R2025">
        <v>64092</v>
      </c>
    </row>
    <row r="2026" spans="1:18" x14ac:dyDescent="0.25">
      <c r="A2026" s="170">
        <v>44985</v>
      </c>
      <c r="B2026" s="116">
        <v>998</v>
      </c>
      <c r="C2026" s="116">
        <v>966.97500000000002</v>
      </c>
      <c r="D2026" s="116">
        <v>965.45</v>
      </c>
      <c r="E2026" s="116">
        <v>998</v>
      </c>
      <c r="F2026" s="116">
        <v>1933.95</v>
      </c>
      <c r="G2026">
        <v>6556</v>
      </c>
      <c r="H2026" s="116"/>
      <c r="I2026" s="116"/>
      <c r="L2026" s="170">
        <v>44985</v>
      </c>
      <c r="M2026" s="116">
        <v>969.35</v>
      </c>
      <c r="N2026" s="116">
        <v>1004</v>
      </c>
      <c r="O2026" s="116">
        <v>965.55</v>
      </c>
      <c r="P2026" s="116">
        <v>1004</v>
      </c>
      <c r="Q2026" s="116">
        <v>1938.7</v>
      </c>
      <c r="R2026">
        <v>52933</v>
      </c>
    </row>
    <row r="2027" spans="1:18" x14ac:dyDescent="0.25">
      <c r="A2027" s="170">
        <v>44986</v>
      </c>
      <c r="B2027" s="116">
        <v>997.92499999999995</v>
      </c>
      <c r="C2027" s="116">
        <v>996.42499999999995</v>
      </c>
      <c r="D2027" s="116">
        <v>968.125</v>
      </c>
      <c r="E2027" s="116">
        <v>968.125</v>
      </c>
      <c r="F2027" s="116">
        <v>1992.85</v>
      </c>
      <c r="G2027">
        <v>1416</v>
      </c>
      <c r="H2027" s="116"/>
      <c r="I2027" s="116"/>
      <c r="L2027" s="170">
        <v>44986</v>
      </c>
      <c r="M2027" s="116">
        <v>995.92499999999995</v>
      </c>
      <c r="N2027" s="116">
        <v>999</v>
      </c>
      <c r="O2027" s="116">
        <v>972.5</v>
      </c>
      <c r="P2027" s="116">
        <v>974.2</v>
      </c>
      <c r="Q2027" s="116">
        <v>1991.85</v>
      </c>
      <c r="R2027">
        <v>21848</v>
      </c>
    </row>
    <row r="2028" spans="1:18" x14ac:dyDescent="0.25">
      <c r="A2028" s="170">
        <v>44987</v>
      </c>
      <c r="B2028" s="116">
        <v>1005.975</v>
      </c>
      <c r="C2028" s="116">
        <v>987.375</v>
      </c>
      <c r="D2028" s="116">
        <v>977.05</v>
      </c>
      <c r="E2028" s="116">
        <v>1005.975</v>
      </c>
      <c r="F2028" s="116">
        <v>1974.75</v>
      </c>
      <c r="G2028">
        <v>1841</v>
      </c>
      <c r="H2028" s="116"/>
      <c r="I2028" s="116"/>
      <c r="L2028" s="170">
        <v>44987</v>
      </c>
      <c r="M2028" s="116">
        <v>988.2</v>
      </c>
      <c r="N2028" s="116">
        <v>998.9</v>
      </c>
      <c r="O2028" s="116">
        <v>976</v>
      </c>
      <c r="P2028" s="116">
        <v>994.5</v>
      </c>
      <c r="Q2028" s="116">
        <v>1976.4</v>
      </c>
      <c r="R2028">
        <v>12810</v>
      </c>
    </row>
    <row r="2029" spans="1:18" x14ac:dyDescent="0.25">
      <c r="A2029" s="170">
        <v>44988</v>
      </c>
      <c r="B2029" s="116">
        <v>993.65</v>
      </c>
      <c r="C2029" s="116">
        <v>975.07500000000005</v>
      </c>
      <c r="D2029" s="116">
        <v>974</v>
      </c>
      <c r="E2029" s="116">
        <v>992.77499999999998</v>
      </c>
      <c r="F2029" s="116">
        <v>1950.15</v>
      </c>
      <c r="G2029">
        <v>977</v>
      </c>
      <c r="H2029" s="116"/>
      <c r="I2029" s="116"/>
      <c r="L2029" s="170">
        <v>44988</v>
      </c>
      <c r="M2029" s="116">
        <v>975.17499999999995</v>
      </c>
      <c r="N2029" s="116">
        <v>995.72500000000002</v>
      </c>
      <c r="O2029" s="116">
        <v>972.8</v>
      </c>
      <c r="P2029" s="116">
        <v>989</v>
      </c>
      <c r="Q2029" s="116">
        <v>1950.35</v>
      </c>
      <c r="R2029">
        <v>26018</v>
      </c>
    </row>
    <row r="2030" spans="1:18" x14ac:dyDescent="0.25">
      <c r="A2030" s="170">
        <v>44991</v>
      </c>
      <c r="B2030" s="116">
        <v>982.45</v>
      </c>
      <c r="C2030" s="116">
        <v>975.22500000000002</v>
      </c>
      <c r="D2030" s="116">
        <v>972.6</v>
      </c>
      <c r="E2030" s="116">
        <v>979.25</v>
      </c>
      <c r="F2030" s="116">
        <v>1950.45</v>
      </c>
      <c r="G2030">
        <v>711</v>
      </c>
      <c r="H2030" s="116"/>
      <c r="I2030" s="116"/>
      <c r="L2030" s="170">
        <v>44991</v>
      </c>
      <c r="M2030" s="116">
        <v>976.95</v>
      </c>
      <c r="N2030" s="116">
        <v>983.67499999999995</v>
      </c>
      <c r="O2030" s="116">
        <v>966.5</v>
      </c>
      <c r="P2030" s="116">
        <v>976.5</v>
      </c>
      <c r="Q2030" s="116">
        <v>1953.9</v>
      </c>
      <c r="R2030">
        <v>20957</v>
      </c>
    </row>
    <row r="2031" spans="1:18" x14ac:dyDescent="0.25">
      <c r="A2031" s="170">
        <v>44993</v>
      </c>
      <c r="B2031" s="116">
        <v>983.57500000000005</v>
      </c>
      <c r="C2031" s="116">
        <v>977.77499999999998</v>
      </c>
      <c r="D2031" s="116">
        <v>971.15</v>
      </c>
      <c r="E2031" s="116">
        <v>971.72500000000002</v>
      </c>
      <c r="F2031" s="116">
        <v>1955.55</v>
      </c>
      <c r="G2031">
        <v>5876</v>
      </c>
      <c r="H2031" s="116"/>
      <c r="I2031" s="116"/>
      <c r="L2031" s="170">
        <v>44993</v>
      </c>
      <c r="M2031" s="116">
        <v>978.77499999999998</v>
      </c>
      <c r="N2031" s="116">
        <v>984.42499999999995</v>
      </c>
      <c r="O2031" s="116">
        <v>969.35</v>
      </c>
      <c r="P2031" s="116">
        <v>976.05</v>
      </c>
      <c r="Q2031" s="116">
        <v>1957.55</v>
      </c>
      <c r="R2031">
        <v>36501</v>
      </c>
    </row>
    <row r="2032" spans="1:18" x14ac:dyDescent="0.25">
      <c r="A2032" s="170">
        <v>44994</v>
      </c>
      <c r="B2032" s="116">
        <v>984.5</v>
      </c>
      <c r="C2032" s="116">
        <v>980.55</v>
      </c>
      <c r="D2032" s="116">
        <v>973.125</v>
      </c>
      <c r="E2032" s="116">
        <v>980.125</v>
      </c>
      <c r="F2032" s="116">
        <v>1961.1</v>
      </c>
      <c r="G2032">
        <v>416</v>
      </c>
      <c r="H2032" s="116"/>
      <c r="I2032" s="116"/>
      <c r="L2032" s="170">
        <v>44994</v>
      </c>
      <c r="M2032" s="116">
        <v>982.52499999999998</v>
      </c>
      <c r="N2032" s="116">
        <v>983.97500000000002</v>
      </c>
      <c r="O2032" s="116">
        <v>972.52499999999998</v>
      </c>
      <c r="P2032" s="116">
        <v>982.5</v>
      </c>
      <c r="Q2032" s="116">
        <v>1965.05</v>
      </c>
      <c r="R2032">
        <v>15555</v>
      </c>
    </row>
    <row r="2033" spans="1:18" x14ac:dyDescent="0.25">
      <c r="A2033" s="170">
        <v>44995</v>
      </c>
      <c r="B2033" s="116">
        <v>984</v>
      </c>
      <c r="C2033" s="116">
        <v>980.4</v>
      </c>
      <c r="D2033" s="116">
        <v>962.9</v>
      </c>
      <c r="E2033" s="116">
        <v>962.9</v>
      </c>
      <c r="F2033" s="116">
        <v>1960.8</v>
      </c>
      <c r="G2033">
        <v>525</v>
      </c>
      <c r="H2033" s="116"/>
      <c r="I2033" s="116"/>
      <c r="L2033" s="170">
        <v>44995</v>
      </c>
      <c r="M2033" s="116">
        <v>981.2</v>
      </c>
      <c r="N2033" s="116">
        <v>985.375</v>
      </c>
      <c r="O2033" s="116">
        <v>971</v>
      </c>
      <c r="P2033" s="116">
        <v>975.75</v>
      </c>
      <c r="Q2033" s="116">
        <v>1962.4</v>
      </c>
      <c r="R2033">
        <v>20976</v>
      </c>
    </row>
    <row r="2034" spans="1:18" x14ac:dyDescent="0.25">
      <c r="A2034" s="170">
        <v>44998</v>
      </c>
      <c r="B2034" s="116">
        <v>986.47500000000002</v>
      </c>
      <c r="C2034" s="116">
        <v>975.95</v>
      </c>
      <c r="D2034" s="116">
        <v>970</v>
      </c>
      <c r="E2034" s="116">
        <v>985.32500000000005</v>
      </c>
      <c r="F2034" s="116">
        <v>1951.9</v>
      </c>
      <c r="G2034">
        <v>904</v>
      </c>
      <c r="H2034" s="116"/>
      <c r="I2034" s="116"/>
      <c r="L2034" s="170">
        <v>44998</v>
      </c>
      <c r="M2034" s="116">
        <v>976.27499999999998</v>
      </c>
      <c r="N2034" s="116">
        <v>994</v>
      </c>
      <c r="O2034" s="116">
        <v>970</v>
      </c>
      <c r="P2034" s="116">
        <v>980</v>
      </c>
      <c r="Q2034" s="116">
        <v>1952.55</v>
      </c>
      <c r="R2034">
        <v>21893</v>
      </c>
    </row>
    <row r="2035" spans="1:18" x14ac:dyDescent="0.25">
      <c r="A2035" s="170">
        <v>44999</v>
      </c>
      <c r="B2035" s="116">
        <v>981.05</v>
      </c>
      <c r="C2035" s="116">
        <v>969.32500000000005</v>
      </c>
      <c r="D2035" s="116">
        <v>966</v>
      </c>
      <c r="E2035" s="116">
        <v>981.05</v>
      </c>
      <c r="F2035" s="116">
        <v>1938.65</v>
      </c>
      <c r="G2035">
        <v>674</v>
      </c>
      <c r="H2035" s="116"/>
      <c r="I2035" s="116"/>
      <c r="L2035" s="170">
        <v>44999</v>
      </c>
      <c r="M2035" s="116">
        <v>970.2</v>
      </c>
      <c r="N2035" s="116">
        <v>981.15</v>
      </c>
      <c r="O2035" s="116">
        <v>967.5</v>
      </c>
      <c r="P2035" s="116">
        <v>976.1</v>
      </c>
      <c r="Q2035" s="116">
        <v>1940.4</v>
      </c>
      <c r="R2035">
        <v>20878</v>
      </c>
    </row>
    <row r="2036" spans="1:18" x14ac:dyDescent="0.25">
      <c r="A2036" s="170">
        <v>45000</v>
      </c>
      <c r="B2036" s="116">
        <v>979.375</v>
      </c>
      <c r="C2036" s="116">
        <v>974.75</v>
      </c>
      <c r="D2036" s="116">
        <v>970.3</v>
      </c>
      <c r="E2036" s="116">
        <v>973.75</v>
      </c>
      <c r="F2036" s="116">
        <v>1949.5</v>
      </c>
      <c r="G2036">
        <v>611</v>
      </c>
      <c r="H2036" s="116"/>
      <c r="I2036" s="116"/>
      <c r="L2036" s="170">
        <v>45000</v>
      </c>
      <c r="M2036" s="116">
        <v>972.82500000000005</v>
      </c>
      <c r="N2036" s="116">
        <v>979.85</v>
      </c>
      <c r="O2036" s="116">
        <v>970</v>
      </c>
      <c r="P2036" s="116">
        <v>975.07500000000005</v>
      </c>
      <c r="Q2036" s="116">
        <v>1945.65</v>
      </c>
      <c r="R2036">
        <v>17433</v>
      </c>
    </row>
    <row r="2037" spans="1:18" x14ac:dyDescent="0.25">
      <c r="A2037" s="170">
        <v>45001</v>
      </c>
      <c r="B2037" s="116">
        <v>992.47500000000002</v>
      </c>
      <c r="C2037" s="116">
        <v>979.95</v>
      </c>
      <c r="D2037" s="116">
        <v>968.27499999999998</v>
      </c>
      <c r="E2037" s="116">
        <v>992.47500000000002</v>
      </c>
      <c r="F2037" s="116">
        <v>1959.9</v>
      </c>
      <c r="G2037">
        <v>917</v>
      </c>
      <c r="H2037" s="116"/>
      <c r="I2037" s="116"/>
      <c r="L2037" s="170">
        <v>45001</v>
      </c>
      <c r="M2037" s="116">
        <v>980.6</v>
      </c>
      <c r="N2037" s="116">
        <v>988.47500000000002</v>
      </c>
      <c r="O2037" s="116">
        <v>969</v>
      </c>
      <c r="P2037" s="116">
        <v>970.82500000000005</v>
      </c>
      <c r="Q2037" s="116">
        <v>1961.2</v>
      </c>
      <c r="R2037">
        <v>31117</v>
      </c>
    </row>
    <row r="2038" spans="1:18" x14ac:dyDescent="0.25">
      <c r="A2038" s="170">
        <v>45002</v>
      </c>
      <c r="B2038" s="116">
        <v>985.77499999999998</v>
      </c>
      <c r="C2038" s="116">
        <v>979.32500000000005</v>
      </c>
      <c r="D2038" s="116">
        <v>972.75</v>
      </c>
      <c r="E2038" s="116">
        <v>975.02499999999998</v>
      </c>
      <c r="F2038" s="116">
        <v>1958.65</v>
      </c>
      <c r="G2038">
        <v>243</v>
      </c>
      <c r="H2038" s="116"/>
      <c r="I2038" s="116"/>
      <c r="L2038" s="170">
        <v>45002</v>
      </c>
      <c r="M2038" s="116">
        <v>978.42499999999995</v>
      </c>
      <c r="N2038" s="116">
        <v>986</v>
      </c>
      <c r="O2038" s="116">
        <v>972.5</v>
      </c>
      <c r="P2038" s="116">
        <v>985</v>
      </c>
      <c r="Q2038" s="116">
        <v>1956.85</v>
      </c>
      <c r="R2038">
        <v>19607</v>
      </c>
    </row>
    <row r="2039" spans="1:18" x14ac:dyDescent="0.25">
      <c r="A2039" s="170">
        <v>45005</v>
      </c>
      <c r="B2039" s="116">
        <v>998.47500000000002</v>
      </c>
      <c r="C2039" s="116">
        <v>977.375</v>
      </c>
      <c r="D2039" s="116">
        <v>969.5</v>
      </c>
      <c r="E2039" s="116">
        <v>996.5</v>
      </c>
      <c r="F2039" s="116">
        <v>1954.75</v>
      </c>
      <c r="G2039">
        <v>1242</v>
      </c>
      <c r="H2039" s="116"/>
      <c r="I2039" s="116"/>
      <c r="L2039" s="170">
        <v>45005</v>
      </c>
      <c r="M2039" s="116">
        <v>977.875</v>
      </c>
      <c r="N2039" s="116">
        <v>1000.2</v>
      </c>
      <c r="O2039" s="116">
        <v>905.17499999999995</v>
      </c>
      <c r="P2039" s="116">
        <v>905.17499999999995</v>
      </c>
      <c r="Q2039" s="116">
        <v>1955.75</v>
      </c>
      <c r="R2039">
        <v>11359</v>
      </c>
    </row>
    <row r="2040" spans="1:18" x14ac:dyDescent="0.25">
      <c r="A2040" s="170">
        <v>45006</v>
      </c>
      <c r="B2040" s="116">
        <v>983.22500000000002</v>
      </c>
      <c r="C2040" s="116">
        <v>977.47500000000002</v>
      </c>
      <c r="D2040" s="116">
        <v>972.02499999999998</v>
      </c>
      <c r="E2040" s="116">
        <v>977.3</v>
      </c>
      <c r="F2040" s="116">
        <v>1954.95</v>
      </c>
      <c r="G2040">
        <v>266</v>
      </c>
      <c r="H2040" s="116"/>
      <c r="I2040" s="116"/>
      <c r="L2040" s="170">
        <v>45006</v>
      </c>
      <c r="M2040" s="116">
        <v>977.75</v>
      </c>
      <c r="N2040" s="116">
        <v>984.95</v>
      </c>
      <c r="O2040" s="116">
        <v>971.5</v>
      </c>
      <c r="P2040" s="116">
        <v>977.875</v>
      </c>
      <c r="Q2040" s="116">
        <v>1955.5</v>
      </c>
      <c r="R2040">
        <v>7910</v>
      </c>
    </row>
    <row r="2041" spans="1:18" x14ac:dyDescent="0.25">
      <c r="A2041" s="170">
        <v>45007</v>
      </c>
      <c r="B2041" s="116">
        <v>987.5</v>
      </c>
      <c r="C2041" s="116">
        <v>979.6</v>
      </c>
      <c r="D2041" s="116">
        <v>972.02499999999998</v>
      </c>
      <c r="E2041" s="116">
        <v>977.27499999999998</v>
      </c>
      <c r="F2041" s="116">
        <v>1959.2</v>
      </c>
      <c r="G2041">
        <v>510</v>
      </c>
      <c r="H2041" s="116"/>
      <c r="I2041" s="116"/>
      <c r="L2041" s="170">
        <v>45007</v>
      </c>
      <c r="M2041" s="116">
        <v>979.02499999999998</v>
      </c>
      <c r="N2041" s="116">
        <v>992.5</v>
      </c>
      <c r="O2041" s="116">
        <v>971.97500000000002</v>
      </c>
      <c r="P2041" s="116">
        <v>977.7</v>
      </c>
      <c r="Q2041" s="116">
        <v>1958.05</v>
      </c>
      <c r="R2041">
        <v>37102</v>
      </c>
    </row>
    <row r="2042" spans="1:18" x14ac:dyDescent="0.25">
      <c r="A2042" s="170">
        <v>45008</v>
      </c>
      <c r="B2042" s="116">
        <v>986.5</v>
      </c>
      <c r="C2042" s="116">
        <v>984.52499999999998</v>
      </c>
      <c r="D2042" s="116">
        <v>972.4</v>
      </c>
      <c r="E2042" s="116">
        <v>976.92499999999995</v>
      </c>
      <c r="F2042" s="116">
        <v>1969.05</v>
      </c>
      <c r="G2042">
        <v>5674</v>
      </c>
      <c r="H2042" s="116"/>
      <c r="I2042" s="116"/>
      <c r="L2042" s="170">
        <v>45008</v>
      </c>
      <c r="M2042" s="116">
        <v>984.375</v>
      </c>
      <c r="N2042" s="116">
        <v>987.45</v>
      </c>
      <c r="O2042" s="116">
        <v>973.45</v>
      </c>
      <c r="P2042" s="116">
        <v>980.8</v>
      </c>
      <c r="Q2042" s="116">
        <v>1968.75</v>
      </c>
      <c r="R2042">
        <v>42377</v>
      </c>
    </row>
    <row r="2043" spans="1:18" x14ac:dyDescent="0.25">
      <c r="A2043" s="170">
        <v>45009</v>
      </c>
      <c r="B2043" s="116">
        <v>987.02499999999998</v>
      </c>
      <c r="C2043" s="116">
        <v>986.25</v>
      </c>
      <c r="D2043" s="116">
        <v>977.42499999999995</v>
      </c>
      <c r="E2043" s="116">
        <v>979.45</v>
      </c>
      <c r="F2043" s="116">
        <v>1972.5</v>
      </c>
      <c r="G2043">
        <v>368</v>
      </c>
      <c r="H2043" s="116"/>
      <c r="I2043" s="116"/>
      <c r="L2043" s="170">
        <v>45009</v>
      </c>
      <c r="M2043" s="116">
        <v>984.25</v>
      </c>
      <c r="N2043" s="116">
        <v>987.375</v>
      </c>
      <c r="O2043" s="116">
        <v>976</v>
      </c>
      <c r="P2043" s="116">
        <v>976</v>
      </c>
      <c r="Q2043" s="116">
        <v>1968.5</v>
      </c>
      <c r="R2043">
        <v>15498</v>
      </c>
    </row>
    <row r="2044" spans="1:18" x14ac:dyDescent="0.25">
      <c r="A2044" s="170">
        <v>45012</v>
      </c>
      <c r="B2044" s="116">
        <v>992.5</v>
      </c>
      <c r="C2044" s="116">
        <v>974.85</v>
      </c>
      <c r="D2044" s="116">
        <v>966.52499999999998</v>
      </c>
      <c r="E2044" s="116">
        <v>987.47500000000002</v>
      </c>
      <c r="F2044" s="116">
        <v>1949.7</v>
      </c>
      <c r="G2044">
        <v>1230</v>
      </c>
      <c r="H2044" s="116"/>
      <c r="I2044" s="116"/>
      <c r="L2044" s="170">
        <v>45012</v>
      </c>
      <c r="M2044" s="116">
        <v>975</v>
      </c>
      <c r="N2044" s="116">
        <v>992.5</v>
      </c>
      <c r="O2044" s="116">
        <v>968</v>
      </c>
      <c r="P2044" s="116">
        <v>984.25</v>
      </c>
      <c r="Q2044" s="116">
        <v>1950</v>
      </c>
      <c r="R2044">
        <v>21305</v>
      </c>
    </row>
    <row r="2045" spans="1:18" x14ac:dyDescent="0.25">
      <c r="A2045" s="170">
        <v>45013</v>
      </c>
      <c r="B2045" s="116">
        <v>983.85</v>
      </c>
      <c r="C2045" s="116">
        <v>980.9</v>
      </c>
      <c r="D2045" s="116">
        <v>970.625</v>
      </c>
      <c r="E2045" s="116">
        <v>972.82500000000005</v>
      </c>
      <c r="F2045" s="116">
        <v>1961.8</v>
      </c>
      <c r="G2045">
        <v>521</v>
      </c>
      <c r="H2045" s="116"/>
      <c r="I2045" s="116"/>
      <c r="L2045" s="170">
        <v>45013</v>
      </c>
      <c r="M2045" s="116">
        <v>980.1</v>
      </c>
      <c r="N2045" s="116">
        <v>982.97500000000002</v>
      </c>
      <c r="O2045" s="116">
        <v>969.27499999999998</v>
      </c>
      <c r="P2045" s="116">
        <v>971.25</v>
      </c>
      <c r="Q2045" s="116">
        <v>1960.2</v>
      </c>
      <c r="R2045">
        <v>21957</v>
      </c>
    </row>
    <row r="2046" spans="1:18" x14ac:dyDescent="0.25">
      <c r="A2046" s="170">
        <v>45014</v>
      </c>
      <c r="B2046" s="116">
        <v>982.5</v>
      </c>
      <c r="C2046" s="116">
        <v>976.5</v>
      </c>
      <c r="D2046" s="116">
        <v>960.22500000000002</v>
      </c>
      <c r="E2046" s="116">
        <v>977.1</v>
      </c>
      <c r="F2046" s="116">
        <v>1953</v>
      </c>
      <c r="G2046">
        <v>1584</v>
      </c>
      <c r="H2046" s="116"/>
      <c r="I2046" s="116"/>
      <c r="L2046" s="170">
        <v>45014</v>
      </c>
      <c r="M2046" s="116">
        <v>977.35</v>
      </c>
      <c r="N2046" s="116">
        <v>983.95</v>
      </c>
      <c r="O2046" s="116">
        <v>958.52499999999998</v>
      </c>
      <c r="P2046" s="116">
        <v>977.77499999999998</v>
      </c>
      <c r="Q2046" s="116">
        <v>1954.7</v>
      </c>
      <c r="R2046">
        <v>46972</v>
      </c>
    </row>
    <row r="2047" spans="1:18" x14ac:dyDescent="0.25">
      <c r="A2047" s="170">
        <v>45016</v>
      </c>
      <c r="B2047" s="116">
        <v>1004.475</v>
      </c>
      <c r="C2047" s="116">
        <v>985.45</v>
      </c>
      <c r="D2047" s="116">
        <v>971.45</v>
      </c>
      <c r="E2047" s="116">
        <v>1004.475</v>
      </c>
      <c r="F2047" s="116">
        <v>1970.9</v>
      </c>
      <c r="G2047">
        <v>988</v>
      </c>
      <c r="H2047" s="116"/>
      <c r="I2047" s="116"/>
      <c r="L2047" s="170">
        <v>45016</v>
      </c>
      <c r="M2047" s="116">
        <v>988.17499999999995</v>
      </c>
      <c r="N2047" s="116">
        <v>999</v>
      </c>
      <c r="O2047" s="116">
        <v>971</v>
      </c>
      <c r="P2047" s="116">
        <v>977.375</v>
      </c>
      <c r="Q2047" s="116">
        <v>1976.35</v>
      </c>
      <c r="R2047">
        <v>126927</v>
      </c>
    </row>
    <row r="2048" spans="1:18" x14ac:dyDescent="0.25">
      <c r="A2048" s="170">
        <v>45019</v>
      </c>
      <c r="B2048" s="116">
        <v>985.125</v>
      </c>
      <c r="C2048" s="116">
        <v>980.7</v>
      </c>
      <c r="D2048" s="116">
        <v>972</v>
      </c>
      <c r="E2048" s="116">
        <v>985.125</v>
      </c>
      <c r="F2048" s="116">
        <v>1961.4</v>
      </c>
      <c r="G2048">
        <v>918</v>
      </c>
      <c r="H2048" s="116"/>
      <c r="I2048" s="116"/>
      <c r="L2048" s="170">
        <v>45019</v>
      </c>
      <c r="M2048" s="116">
        <v>979.35</v>
      </c>
      <c r="N2048" s="116">
        <v>988</v>
      </c>
      <c r="O2048" s="116">
        <v>971.05</v>
      </c>
      <c r="P2048" s="116">
        <v>988</v>
      </c>
      <c r="Q2048" s="116">
        <v>1958.7</v>
      </c>
      <c r="R2048">
        <v>18920</v>
      </c>
    </row>
    <row r="2049" spans="1:18" x14ac:dyDescent="0.25">
      <c r="A2049" s="170">
        <v>45021</v>
      </c>
      <c r="B2049" s="116">
        <v>989.95</v>
      </c>
      <c r="C2049" s="116">
        <v>978.67499999999995</v>
      </c>
      <c r="D2049" s="116">
        <v>972.45</v>
      </c>
      <c r="E2049" s="116">
        <v>972.52499999999998</v>
      </c>
      <c r="F2049" s="116">
        <v>1957.35</v>
      </c>
      <c r="G2049">
        <v>7207</v>
      </c>
      <c r="H2049" s="116"/>
      <c r="I2049" s="116"/>
      <c r="L2049" s="170">
        <v>45021</v>
      </c>
      <c r="M2049" s="116">
        <v>977.77499999999998</v>
      </c>
      <c r="N2049" s="116">
        <v>989.27499999999998</v>
      </c>
      <c r="O2049" s="116">
        <v>972.55</v>
      </c>
      <c r="P2049" s="116">
        <v>977.5</v>
      </c>
      <c r="Q2049" s="116">
        <v>1955.55</v>
      </c>
      <c r="R2049">
        <v>226969</v>
      </c>
    </row>
    <row r="2050" spans="1:18" x14ac:dyDescent="0.25">
      <c r="A2050" s="170">
        <v>45022</v>
      </c>
      <c r="B2050" s="116">
        <v>1020.95</v>
      </c>
      <c r="C2050" s="116">
        <v>1014.675</v>
      </c>
      <c r="D2050" s="116">
        <v>958.02499999999998</v>
      </c>
      <c r="E2050" s="116">
        <v>958.02499999999998</v>
      </c>
      <c r="F2050" s="116">
        <v>2029.35</v>
      </c>
      <c r="G2050">
        <v>3403</v>
      </c>
      <c r="H2050" s="116"/>
      <c r="I2050" s="116"/>
      <c r="L2050" s="170">
        <v>45022</v>
      </c>
      <c r="M2050" s="116">
        <v>1014.8</v>
      </c>
      <c r="N2050" s="116">
        <v>1021.5</v>
      </c>
      <c r="O2050" s="116">
        <v>974.5</v>
      </c>
      <c r="P2050" s="116">
        <v>982.67499999999995</v>
      </c>
      <c r="Q2050" s="116">
        <v>2029.6</v>
      </c>
      <c r="R2050">
        <v>75704</v>
      </c>
    </row>
    <row r="2051" spans="1:18" x14ac:dyDescent="0.25">
      <c r="A2051" s="170">
        <v>45026</v>
      </c>
      <c r="B2051" s="116">
        <v>1034.4749999999999</v>
      </c>
      <c r="C2051" s="116">
        <v>1023.85</v>
      </c>
      <c r="D2051" s="116">
        <v>1001.55</v>
      </c>
      <c r="E2051" s="116">
        <v>1034.4749999999999</v>
      </c>
      <c r="F2051" s="116">
        <v>2047.7</v>
      </c>
      <c r="G2051">
        <v>1356</v>
      </c>
      <c r="H2051" s="116"/>
      <c r="I2051" s="116"/>
      <c r="L2051" s="170">
        <v>45026</v>
      </c>
      <c r="M2051" s="116">
        <v>1023.35</v>
      </c>
      <c r="N2051" s="116">
        <v>1026.4749999999999</v>
      </c>
      <c r="O2051" s="116">
        <v>1001.8</v>
      </c>
      <c r="P2051" s="116">
        <v>1019.875</v>
      </c>
      <c r="Q2051" s="116">
        <v>2046.7</v>
      </c>
      <c r="R2051">
        <v>63100</v>
      </c>
    </row>
    <row r="2052" spans="1:18" x14ac:dyDescent="0.25">
      <c r="A2052" s="170">
        <v>45027</v>
      </c>
      <c r="B2052" s="116">
        <v>1028.5</v>
      </c>
      <c r="C2052" s="116">
        <v>1012.775</v>
      </c>
      <c r="D2052" s="116">
        <v>990.52499999999998</v>
      </c>
      <c r="E2052" s="116">
        <v>1002.525</v>
      </c>
      <c r="F2052" s="116">
        <v>2025.55</v>
      </c>
      <c r="G2052">
        <v>3162</v>
      </c>
      <c r="H2052" s="116"/>
      <c r="I2052" s="116"/>
      <c r="L2052" s="170">
        <v>45027</v>
      </c>
      <c r="M2052" s="116">
        <v>1014.6</v>
      </c>
      <c r="N2052" s="116">
        <v>1028.9000000000001</v>
      </c>
      <c r="O2052" s="116">
        <v>991.35</v>
      </c>
      <c r="P2052" s="116">
        <v>1025</v>
      </c>
      <c r="Q2052" s="116">
        <v>2029.2</v>
      </c>
      <c r="R2052">
        <v>150104</v>
      </c>
    </row>
    <row r="2053" spans="1:18" x14ac:dyDescent="0.25">
      <c r="A2053" s="170">
        <v>45028</v>
      </c>
      <c r="B2053" s="116">
        <v>1057.45</v>
      </c>
      <c r="C2053" s="116">
        <v>1051.25</v>
      </c>
      <c r="D2053" s="116">
        <v>994.35</v>
      </c>
      <c r="E2053" s="116">
        <v>994.35</v>
      </c>
      <c r="F2053" s="116">
        <v>2102.5</v>
      </c>
      <c r="G2053">
        <v>3186</v>
      </c>
      <c r="H2053" s="116"/>
      <c r="I2053" s="116"/>
      <c r="L2053" s="170">
        <v>45028</v>
      </c>
      <c r="M2053" s="116">
        <v>1051.75</v>
      </c>
      <c r="N2053" s="116">
        <v>1057.5</v>
      </c>
      <c r="O2053" s="116">
        <v>1013.5</v>
      </c>
      <c r="P2053" s="116">
        <v>1014.975</v>
      </c>
      <c r="Q2053" s="116">
        <v>2103.5</v>
      </c>
      <c r="R2053">
        <v>81305</v>
      </c>
    </row>
    <row r="2054" spans="1:18" x14ac:dyDescent="0.25">
      <c r="A2054" s="170">
        <v>45029</v>
      </c>
      <c r="B2054" s="116">
        <v>1102.45</v>
      </c>
      <c r="C2054" s="116">
        <v>1083.2249999999999</v>
      </c>
      <c r="D2054" s="116">
        <v>1031.075</v>
      </c>
      <c r="E2054" s="116">
        <v>1062.45</v>
      </c>
      <c r="F2054" s="116">
        <v>2166.4499999999998</v>
      </c>
      <c r="G2054">
        <v>5984</v>
      </c>
      <c r="H2054" s="116"/>
      <c r="I2054" s="116"/>
      <c r="L2054" s="170">
        <v>45029</v>
      </c>
      <c r="M2054" s="116">
        <v>1082.95</v>
      </c>
      <c r="N2054" s="116">
        <v>1103.5</v>
      </c>
      <c r="O2054" s="116">
        <v>1030.5999999999999</v>
      </c>
      <c r="P2054" s="116">
        <v>1050.0250000000001</v>
      </c>
      <c r="Q2054" s="116">
        <v>2165.9</v>
      </c>
      <c r="R2054">
        <v>254736</v>
      </c>
    </row>
    <row r="2055" spans="1:18" x14ac:dyDescent="0.25">
      <c r="A2055" s="170">
        <v>45033</v>
      </c>
      <c r="B2055" s="116">
        <v>1111.9749999999999</v>
      </c>
      <c r="C2055" s="116">
        <v>1070.5999999999999</v>
      </c>
      <c r="D2055" s="116">
        <v>1064.375</v>
      </c>
      <c r="E2055" s="116">
        <v>1105.0250000000001</v>
      </c>
      <c r="F2055" s="116">
        <v>2141.1999999999998</v>
      </c>
      <c r="G2055">
        <v>5720</v>
      </c>
      <c r="H2055" s="116"/>
      <c r="I2055" s="116"/>
      <c r="L2055" s="170">
        <v>45033</v>
      </c>
      <c r="M2055" s="116">
        <v>1071.875</v>
      </c>
      <c r="N2055" s="116">
        <v>1111.95</v>
      </c>
      <c r="O2055" s="116">
        <v>1066.25</v>
      </c>
      <c r="P2055" s="116">
        <v>1111.95</v>
      </c>
      <c r="Q2055" s="116">
        <v>2143.75</v>
      </c>
      <c r="R2055">
        <v>80182</v>
      </c>
    </row>
    <row r="2056" spans="1:18" x14ac:dyDescent="0.25">
      <c r="A2056" s="170">
        <v>45034</v>
      </c>
      <c r="B2056" s="116">
        <v>1082.55</v>
      </c>
      <c r="C2056" s="116">
        <v>1055.325</v>
      </c>
      <c r="D2056" s="116">
        <v>1053</v>
      </c>
      <c r="E2056" s="116">
        <v>1077.2</v>
      </c>
      <c r="F2056" s="116">
        <v>2110.65</v>
      </c>
      <c r="G2056">
        <v>1115</v>
      </c>
      <c r="H2056" s="116"/>
      <c r="I2056" s="116"/>
      <c r="L2056" s="170">
        <v>45034</v>
      </c>
      <c r="M2056" s="116">
        <v>1059.175</v>
      </c>
      <c r="N2056" s="116">
        <v>1082.825</v>
      </c>
      <c r="O2056" s="116">
        <v>1050</v>
      </c>
      <c r="P2056" s="116">
        <v>1072.5999999999999</v>
      </c>
      <c r="Q2056" s="116">
        <v>2118.35</v>
      </c>
      <c r="R2056">
        <v>135336</v>
      </c>
    </row>
    <row r="2057" spans="1:18" x14ac:dyDescent="0.25">
      <c r="A2057" s="170">
        <v>45035</v>
      </c>
      <c r="B2057" s="116">
        <v>1076.3499999999999</v>
      </c>
      <c r="C2057" s="116">
        <v>1063.1500000000001</v>
      </c>
      <c r="D2057" s="116">
        <v>1061.45</v>
      </c>
      <c r="E2057" s="116">
        <v>1066.8</v>
      </c>
      <c r="F2057" s="116">
        <v>2126.3000000000002</v>
      </c>
      <c r="G2057">
        <v>897</v>
      </c>
      <c r="H2057" s="116"/>
      <c r="I2057" s="116"/>
      <c r="L2057" s="170">
        <v>45035</v>
      </c>
      <c r="M2057" s="116">
        <v>1064.4749999999999</v>
      </c>
      <c r="N2057" s="116">
        <v>1077.5</v>
      </c>
      <c r="O2057" s="116">
        <v>1061.55</v>
      </c>
      <c r="P2057" s="116">
        <v>1065.625</v>
      </c>
      <c r="Q2057" s="116">
        <v>2128.9499999999998</v>
      </c>
      <c r="R2057">
        <v>49459</v>
      </c>
    </row>
    <row r="2058" spans="1:18" x14ac:dyDescent="0.25">
      <c r="A2058" s="170">
        <v>45036</v>
      </c>
      <c r="B2058" s="116">
        <v>1073</v>
      </c>
      <c r="C2058" s="116">
        <v>1053.7249999999999</v>
      </c>
      <c r="D2058" s="116">
        <v>1047.6500000000001</v>
      </c>
      <c r="E2058" s="116">
        <v>1066.2750000000001</v>
      </c>
      <c r="F2058" s="116">
        <v>2107.4499999999998</v>
      </c>
      <c r="G2058">
        <v>1240</v>
      </c>
      <c r="H2058" s="116"/>
      <c r="I2058" s="116"/>
      <c r="L2058" s="170">
        <v>45036</v>
      </c>
      <c r="M2058" s="116">
        <v>1055.075</v>
      </c>
      <c r="N2058" s="116">
        <v>1073.5</v>
      </c>
      <c r="O2058" s="116">
        <v>1047.5</v>
      </c>
      <c r="P2058" s="116">
        <v>1064.4749999999999</v>
      </c>
      <c r="Q2058" s="116">
        <v>2110.15</v>
      </c>
      <c r="R2058">
        <v>88636</v>
      </c>
    </row>
    <row r="2059" spans="1:18" x14ac:dyDescent="0.25">
      <c r="A2059" s="170">
        <v>45037</v>
      </c>
      <c r="B2059" s="116">
        <v>1076.4749999999999</v>
      </c>
      <c r="C2059" s="116">
        <v>1071.925</v>
      </c>
      <c r="D2059" s="116">
        <v>1050.5</v>
      </c>
      <c r="E2059" s="116">
        <v>1055.9000000000001</v>
      </c>
      <c r="F2059" s="116">
        <v>2143.85</v>
      </c>
      <c r="G2059">
        <v>4601</v>
      </c>
      <c r="H2059" s="116"/>
      <c r="I2059" s="116"/>
      <c r="L2059" s="170">
        <v>45037</v>
      </c>
      <c r="M2059" s="116">
        <v>1073.0999999999999</v>
      </c>
      <c r="N2059" s="116">
        <v>1076.5</v>
      </c>
      <c r="O2059" s="116">
        <v>1049.8499999999999</v>
      </c>
      <c r="P2059" s="116">
        <v>1056.0999999999999</v>
      </c>
      <c r="Q2059" s="116">
        <v>2146.1999999999998</v>
      </c>
      <c r="R2059">
        <v>49168</v>
      </c>
    </row>
    <row r="2060" spans="1:18" x14ac:dyDescent="0.25">
      <c r="A2060" s="170">
        <v>45040</v>
      </c>
      <c r="B2060" s="116">
        <v>1085.75</v>
      </c>
      <c r="C2060" s="116">
        <v>1045.2750000000001</v>
      </c>
      <c r="D2060" s="116">
        <v>1035.075</v>
      </c>
      <c r="E2060" s="116">
        <v>1071.925</v>
      </c>
      <c r="F2060" s="116">
        <v>2090.5500000000002</v>
      </c>
      <c r="G2060">
        <v>2962</v>
      </c>
      <c r="H2060" s="116"/>
      <c r="I2060" s="116"/>
      <c r="L2060" s="170">
        <v>45040</v>
      </c>
      <c r="M2060" s="116">
        <v>1046.2</v>
      </c>
      <c r="N2060" s="116">
        <v>1085.9000000000001</v>
      </c>
      <c r="O2060" s="116">
        <v>1033.5250000000001</v>
      </c>
      <c r="P2060" s="116">
        <v>1078.75</v>
      </c>
      <c r="Q2060" s="116">
        <v>2092.4</v>
      </c>
      <c r="R2060">
        <v>223313</v>
      </c>
    </row>
    <row r="2061" spans="1:18" x14ac:dyDescent="0.25">
      <c r="A2061" s="170">
        <v>45041</v>
      </c>
      <c r="B2061" s="116">
        <v>1049</v>
      </c>
      <c r="C2061" s="116">
        <v>1033.925</v>
      </c>
      <c r="D2061" s="116">
        <v>1031.55</v>
      </c>
      <c r="E2061" s="116">
        <v>1049</v>
      </c>
      <c r="F2061" s="116">
        <v>2067.85</v>
      </c>
      <c r="G2061">
        <v>852</v>
      </c>
      <c r="H2061" s="116"/>
      <c r="I2061" s="116"/>
      <c r="L2061" s="170">
        <v>45041</v>
      </c>
      <c r="M2061" s="116">
        <v>1033.625</v>
      </c>
      <c r="N2061" s="116">
        <v>1051.7</v>
      </c>
      <c r="O2061" s="116">
        <v>1030.2750000000001</v>
      </c>
      <c r="P2061" s="116">
        <v>1046.5</v>
      </c>
      <c r="Q2061" s="116">
        <v>2067.25</v>
      </c>
      <c r="R2061">
        <v>36977</v>
      </c>
    </row>
    <row r="2062" spans="1:18" x14ac:dyDescent="0.25">
      <c r="A2062" s="170">
        <v>45042</v>
      </c>
      <c r="B2062" s="116">
        <v>1055.9000000000001</v>
      </c>
      <c r="C2062" s="116">
        <v>1047.675</v>
      </c>
      <c r="D2062" s="116">
        <v>1005.025</v>
      </c>
      <c r="E2062" s="116">
        <v>1005.025</v>
      </c>
      <c r="F2062" s="116">
        <v>2095.35</v>
      </c>
      <c r="G2062">
        <v>2776</v>
      </c>
      <c r="H2062" s="116"/>
      <c r="I2062" s="116"/>
      <c r="L2062" s="170">
        <v>45042</v>
      </c>
      <c r="M2062" s="116">
        <v>1050.825</v>
      </c>
      <c r="N2062" s="116">
        <v>1057.9749999999999</v>
      </c>
      <c r="O2062" s="116">
        <v>1027.1500000000001</v>
      </c>
      <c r="P2062" s="116">
        <v>1028</v>
      </c>
      <c r="Q2062" s="116">
        <v>2101.65</v>
      </c>
      <c r="R2062">
        <v>141651</v>
      </c>
    </row>
    <row r="2063" spans="1:18" x14ac:dyDescent="0.25">
      <c r="A2063" s="170">
        <v>45043</v>
      </c>
      <c r="B2063" s="116">
        <v>1079.9749999999999</v>
      </c>
      <c r="C2063" s="116">
        <v>1065.075</v>
      </c>
      <c r="D2063" s="116">
        <v>1051.875</v>
      </c>
      <c r="E2063" s="116">
        <v>1079.9749999999999</v>
      </c>
      <c r="F2063" s="116">
        <v>2130.15</v>
      </c>
      <c r="G2063">
        <v>730</v>
      </c>
      <c r="H2063" s="116"/>
      <c r="I2063" s="116"/>
      <c r="L2063" s="170">
        <v>45043</v>
      </c>
      <c r="M2063" s="116">
        <v>1064.575</v>
      </c>
      <c r="N2063" s="116">
        <v>1067.5</v>
      </c>
      <c r="O2063" s="116">
        <v>1051.9749999999999</v>
      </c>
      <c r="P2063" s="116">
        <v>1052</v>
      </c>
      <c r="Q2063" s="116">
        <v>2129.15</v>
      </c>
      <c r="R2063">
        <v>241146</v>
      </c>
    </row>
    <row r="2064" spans="1:18" x14ac:dyDescent="0.25">
      <c r="A2064" s="170">
        <v>45044</v>
      </c>
      <c r="B2064" s="116">
        <v>1075.5</v>
      </c>
      <c r="C2064" s="116">
        <v>1065.45</v>
      </c>
      <c r="D2064" s="116">
        <v>1056.3</v>
      </c>
      <c r="E2064" s="116">
        <v>1066.375</v>
      </c>
      <c r="F2064" s="116">
        <v>2130.9</v>
      </c>
      <c r="G2064">
        <v>3751</v>
      </c>
      <c r="H2064" s="116"/>
      <c r="I2064" s="116"/>
      <c r="L2064" s="170">
        <v>45044</v>
      </c>
      <c r="M2064" s="116">
        <v>1064.925</v>
      </c>
      <c r="N2064" s="116">
        <v>1076</v>
      </c>
      <c r="O2064" s="116">
        <v>1055.7750000000001</v>
      </c>
      <c r="P2064" s="116">
        <v>1070</v>
      </c>
      <c r="Q2064" s="116">
        <v>2129.85</v>
      </c>
      <c r="R2064">
        <v>114041</v>
      </c>
    </row>
    <row r="2065" spans="1:18" x14ac:dyDescent="0.25">
      <c r="A2065" s="170">
        <v>45048</v>
      </c>
      <c r="B2065" s="116">
        <v>1073.625</v>
      </c>
      <c r="C2065" s="116">
        <v>1040.075</v>
      </c>
      <c r="D2065" s="116">
        <v>1020.55</v>
      </c>
      <c r="E2065" s="116">
        <v>1066.0250000000001</v>
      </c>
      <c r="F2065" s="116">
        <v>2080.15</v>
      </c>
      <c r="G2065">
        <v>5211</v>
      </c>
      <c r="H2065" s="116"/>
      <c r="I2065" s="116"/>
      <c r="L2065" s="170">
        <v>45048</v>
      </c>
      <c r="M2065" s="116">
        <v>1040</v>
      </c>
      <c r="N2065" s="116">
        <v>1073.95</v>
      </c>
      <c r="O2065" s="116">
        <v>1020</v>
      </c>
      <c r="P2065" s="116">
        <v>1069.9749999999999</v>
      </c>
      <c r="Q2065" s="116">
        <v>2080</v>
      </c>
      <c r="R2065">
        <v>68239</v>
      </c>
    </row>
    <row r="2066" spans="1:18" x14ac:dyDescent="0.25">
      <c r="A2066" s="170">
        <v>45049</v>
      </c>
      <c r="B2066" s="116">
        <v>1055</v>
      </c>
      <c r="C2066" s="116">
        <v>1046.6500000000001</v>
      </c>
      <c r="D2066" s="116">
        <v>1038.7249999999999</v>
      </c>
      <c r="E2066" s="116">
        <v>1042.5</v>
      </c>
      <c r="F2066" s="116">
        <v>2093.3000000000002</v>
      </c>
      <c r="G2066">
        <v>1297</v>
      </c>
      <c r="H2066" s="116"/>
      <c r="I2066" s="116"/>
      <c r="L2066" s="170">
        <v>45049</v>
      </c>
      <c r="M2066" s="116">
        <v>1048.125</v>
      </c>
      <c r="N2066" s="116">
        <v>1054.925</v>
      </c>
      <c r="O2066" s="116">
        <v>1037.7750000000001</v>
      </c>
      <c r="P2066" s="116">
        <v>1040</v>
      </c>
      <c r="Q2066" s="116">
        <v>2096.25</v>
      </c>
      <c r="R2066">
        <v>43398</v>
      </c>
    </row>
    <row r="2067" spans="1:18" x14ac:dyDescent="0.25">
      <c r="A2067" s="170">
        <v>45050</v>
      </c>
      <c r="B2067" s="116">
        <v>1058.075</v>
      </c>
      <c r="C2067" s="116">
        <v>1037.45</v>
      </c>
      <c r="D2067" s="116">
        <v>1027.5250000000001</v>
      </c>
      <c r="E2067" s="116">
        <v>1027.5250000000001</v>
      </c>
      <c r="F2067" s="116">
        <v>2074.9</v>
      </c>
      <c r="G2067">
        <v>857</v>
      </c>
      <c r="H2067" s="116"/>
      <c r="I2067" s="116"/>
      <c r="L2067" s="170">
        <v>45050</v>
      </c>
      <c r="M2067" s="116">
        <v>1037.2249999999999</v>
      </c>
      <c r="N2067" s="116">
        <v>1060</v>
      </c>
      <c r="O2067" s="116">
        <v>1032.5</v>
      </c>
      <c r="P2067" s="116">
        <v>1053.375</v>
      </c>
      <c r="Q2067" s="116">
        <v>2074.4499999999998</v>
      </c>
      <c r="R2067">
        <v>12307</v>
      </c>
    </row>
    <row r="2068" spans="1:18" x14ac:dyDescent="0.25">
      <c r="A2068" s="170">
        <v>45051</v>
      </c>
      <c r="B2068" s="116">
        <v>1045.425</v>
      </c>
      <c r="C2068" s="116">
        <v>1016.625</v>
      </c>
      <c r="D2068" s="116">
        <v>1010.9</v>
      </c>
      <c r="E2068" s="116">
        <v>1043.2</v>
      </c>
      <c r="F2068" s="116">
        <v>2033.25</v>
      </c>
      <c r="G2068">
        <v>1727</v>
      </c>
      <c r="H2068" s="116"/>
      <c r="I2068" s="116"/>
      <c r="L2068" s="170">
        <v>45051</v>
      </c>
      <c r="M2068" s="116">
        <v>1015.075</v>
      </c>
      <c r="N2068" s="116">
        <v>1048</v>
      </c>
      <c r="O2068" s="116">
        <v>1010.5</v>
      </c>
      <c r="P2068" s="116">
        <v>1038.5250000000001</v>
      </c>
      <c r="Q2068" s="116">
        <v>2030.15</v>
      </c>
      <c r="R2068">
        <v>26435</v>
      </c>
    </row>
    <row r="2069" spans="1:18" x14ac:dyDescent="0.25">
      <c r="A2069" s="170">
        <v>45054</v>
      </c>
      <c r="B2069" s="116">
        <v>1045</v>
      </c>
      <c r="C2069" s="116">
        <v>1042.7750000000001</v>
      </c>
      <c r="D2069" s="116">
        <v>1009.925</v>
      </c>
      <c r="E2069" s="116">
        <v>1017.525</v>
      </c>
      <c r="F2069" s="116">
        <v>2085.5500000000002</v>
      </c>
      <c r="G2069">
        <v>2477</v>
      </c>
      <c r="H2069" s="116"/>
      <c r="I2069" s="116"/>
      <c r="L2069" s="170">
        <v>45054</v>
      </c>
      <c r="M2069" s="116">
        <v>1042.55</v>
      </c>
      <c r="N2069" s="116">
        <v>1045.9749999999999</v>
      </c>
      <c r="O2069" s="116">
        <v>1010.85</v>
      </c>
      <c r="P2069" s="116">
        <v>1020.15</v>
      </c>
      <c r="Q2069" s="116">
        <v>2085.1</v>
      </c>
      <c r="R2069">
        <v>32598</v>
      </c>
    </row>
    <row r="2070" spans="1:18" x14ac:dyDescent="0.25">
      <c r="A2070" s="170">
        <v>45055</v>
      </c>
      <c r="B2070" s="116">
        <v>1073.75</v>
      </c>
      <c r="C2070" s="116">
        <v>1037.175</v>
      </c>
      <c r="D2070" s="116">
        <v>1025.075</v>
      </c>
      <c r="E2070" s="116">
        <v>1047.575</v>
      </c>
      <c r="F2070" s="116">
        <v>2074.35</v>
      </c>
      <c r="G2070">
        <v>3571</v>
      </c>
      <c r="H2070" s="116"/>
      <c r="I2070" s="116"/>
      <c r="L2070" s="170">
        <v>45055</v>
      </c>
      <c r="M2070" s="116">
        <v>1035.4749999999999</v>
      </c>
      <c r="N2070" s="116">
        <v>1074.5</v>
      </c>
      <c r="O2070" s="116">
        <v>1024</v>
      </c>
      <c r="P2070" s="116">
        <v>1054.5</v>
      </c>
      <c r="Q2070" s="116">
        <v>2070.9499999999998</v>
      </c>
      <c r="R2070">
        <v>67493</v>
      </c>
    </row>
    <row r="2071" spans="1:18" x14ac:dyDescent="0.25">
      <c r="A2071" s="170">
        <v>45056</v>
      </c>
      <c r="B2071" s="116">
        <v>1049.3499999999999</v>
      </c>
      <c r="C2071" s="116">
        <v>1047.7</v>
      </c>
      <c r="D2071" s="116">
        <v>1038.4000000000001</v>
      </c>
      <c r="E2071" s="116">
        <v>1045.7750000000001</v>
      </c>
      <c r="F2071" s="116">
        <v>2095.4</v>
      </c>
      <c r="G2071">
        <v>1506</v>
      </c>
      <c r="H2071" s="116"/>
      <c r="I2071" s="116"/>
      <c r="L2071" s="170">
        <v>45056</v>
      </c>
      <c r="M2071" s="116">
        <v>1047.5999999999999</v>
      </c>
      <c r="N2071" s="116">
        <v>1050.325</v>
      </c>
      <c r="O2071" s="116">
        <v>1038.125</v>
      </c>
      <c r="P2071" s="116">
        <v>1042.5</v>
      </c>
      <c r="Q2071" s="116">
        <v>2095.1999999999998</v>
      </c>
      <c r="R2071">
        <v>16523</v>
      </c>
    </row>
    <row r="2072" spans="1:18" x14ac:dyDescent="0.25">
      <c r="A2072" s="170">
        <v>45057</v>
      </c>
      <c r="B2072" s="116">
        <v>1049.7249999999999</v>
      </c>
      <c r="C2072" s="116">
        <v>1034.2249999999999</v>
      </c>
      <c r="D2072" s="116">
        <v>1028.125</v>
      </c>
      <c r="E2072" s="116">
        <v>1048.5</v>
      </c>
      <c r="F2072" s="116">
        <v>2068.4499999999998</v>
      </c>
      <c r="G2072">
        <v>6291</v>
      </c>
      <c r="H2072" s="116"/>
      <c r="I2072" s="116"/>
      <c r="L2072" s="170">
        <v>45057</v>
      </c>
      <c r="M2072" s="116">
        <v>1037.325</v>
      </c>
      <c r="N2072" s="116">
        <v>1050.125</v>
      </c>
      <c r="O2072" s="116">
        <v>1025</v>
      </c>
      <c r="P2072" s="116">
        <v>1050.125</v>
      </c>
      <c r="Q2072" s="116">
        <v>2074.65</v>
      </c>
      <c r="R2072">
        <v>20975</v>
      </c>
    </row>
    <row r="2073" spans="1:18" x14ac:dyDescent="0.25">
      <c r="A2073" s="170">
        <v>45058</v>
      </c>
      <c r="B2073" s="116">
        <v>1039.4749999999999</v>
      </c>
      <c r="C2073" s="116">
        <v>1022</v>
      </c>
      <c r="D2073" s="116">
        <v>1005.025</v>
      </c>
      <c r="E2073" s="116">
        <v>1039.4749999999999</v>
      </c>
      <c r="F2073" s="116">
        <v>2044</v>
      </c>
      <c r="G2073">
        <v>2193</v>
      </c>
      <c r="H2073" s="116"/>
      <c r="I2073" s="116"/>
      <c r="L2073" s="170">
        <v>45058</v>
      </c>
      <c r="M2073" s="116">
        <v>1020.2</v>
      </c>
      <c r="N2073" s="116">
        <v>1036.95</v>
      </c>
      <c r="O2073" s="116">
        <v>1006</v>
      </c>
      <c r="P2073" s="116">
        <v>1032</v>
      </c>
      <c r="Q2073" s="116">
        <v>2040.4</v>
      </c>
      <c r="R2073">
        <v>44836</v>
      </c>
    </row>
    <row r="2074" spans="1:18" x14ac:dyDescent="0.25">
      <c r="A2074" s="170">
        <v>45061</v>
      </c>
      <c r="B2074" s="116">
        <v>1029.5</v>
      </c>
      <c r="C2074" s="116">
        <v>1023</v>
      </c>
      <c r="D2074" s="116">
        <v>1010.025</v>
      </c>
      <c r="E2074" s="116">
        <v>1010.025</v>
      </c>
      <c r="F2074" s="116">
        <v>2046</v>
      </c>
      <c r="G2074">
        <v>1744</v>
      </c>
      <c r="H2074" s="116"/>
      <c r="I2074" s="116"/>
      <c r="L2074" s="170">
        <v>45061</v>
      </c>
      <c r="M2074" s="116">
        <v>1023.6</v>
      </c>
      <c r="N2074" s="116">
        <v>1029.95</v>
      </c>
      <c r="O2074" s="116">
        <v>1010.95</v>
      </c>
      <c r="P2074" s="116">
        <v>1025.325</v>
      </c>
      <c r="Q2074" s="116">
        <v>2047.2</v>
      </c>
      <c r="R2074">
        <v>23688</v>
      </c>
    </row>
    <row r="2075" spans="1:18" x14ac:dyDescent="0.25">
      <c r="A2075" s="170">
        <v>45062</v>
      </c>
      <c r="B2075" s="116">
        <v>1024.675</v>
      </c>
      <c r="C2075" s="116">
        <v>998.4</v>
      </c>
      <c r="D2075" s="116">
        <v>989.42499999999995</v>
      </c>
      <c r="E2075" s="116">
        <v>1024.6500000000001</v>
      </c>
      <c r="F2075" s="116">
        <v>1996.8</v>
      </c>
      <c r="G2075">
        <v>1978</v>
      </c>
      <c r="H2075" s="116"/>
      <c r="I2075" s="116"/>
      <c r="L2075" s="170">
        <v>45062</v>
      </c>
      <c r="M2075" s="116">
        <v>999.9</v>
      </c>
      <c r="N2075" s="116">
        <v>1028.2</v>
      </c>
      <c r="O2075" s="116">
        <v>996.2</v>
      </c>
      <c r="P2075" s="116">
        <v>1026.5</v>
      </c>
      <c r="Q2075" s="116">
        <v>1999.8</v>
      </c>
      <c r="R2075">
        <v>218881</v>
      </c>
    </row>
    <row r="2076" spans="1:18" x14ac:dyDescent="0.25">
      <c r="A2076" s="170">
        <v>45063</v>
      </c>
      <c r="B2076" s="116">
        <v>1004.25</v>
      </c>
      <c r="C2076" s="116">
        <v>985.67499999999995</v>
      </c>
      <c r="D2076" s="116">
        <v>977.57500000000005</v>
      </c>
      <c r="E2076" s="116">
        <v>999.5</v>
      </c>
      <c r="F2076" s="116">
        <v>1971.35</v>
      </c>
      <c r="G2076">
        <v>1700</v>
      </c>
      <c r="H2076" s="116"/>
      <c r="I2076" s="116"/>
      <c r="L2076" s="170">
        <v>45063</v>
      </c>
      <c r="M2076" s="116">
        <v>986.7</v>
      </c>
      <c r="N2076" s="116">
        <v>1005.15</v>
      </c>
      <c r="O2076" s="116">
        <v>977.65</v>
      </c>
      <c r="P2076" s="116">
        <v>999.75</v>
      </c>
      <c r="Q2076" s="116">
        <v>1973.4</v>
      </c>
      <c r="R2076">
        <v>62209</v>
      </c>
    </row>
    <row r="2077" spans="1:18" x14ac:dyDescent="0.25">
      <c r="A2077" s="170">
        <v>45064</v>
      </c>
      <c r="B2077" s="116">
        <v>1018.525</v>
      </c>
      <c r="C2077" s="116">
        <v>1007.1</v>
      </c>
      <c r="D2077" s="116">
        <v>985</v>
      </c>
      <c r="E2077" s="116">
        <v>985</v>
      </c>
      <c r="F2077" s="116">
        <v>2014.2</v>
      </c>
      <c r="G2077">
        <v>3116</v>
      </c>
      <c r="H2077" s="116"/>
      <c r="I2077" s="116"/>
      <c r="L2077" s="170">
        <v>45064</v>
      </c>
      <c r="M2077" s="116">
        <v>1003.375</v>
      </c>
      <c r="N2077" s="116">
        <v>1017</v>
      </c>
      <c r="O2077" s="116">
        <v>987</v>
      </c>
      <c r="P2077" s="116">
        <v>987</v>
      </c>
      <c r="Q2077" s="116">
        <v>2006.75</v>
      </c>
      <c r="R2077">
        <v>80234</v>
      </c>
    </row>
    <row r="2078" spans="1:18" x14ac:dyDescent="0.25">
      <c r="A2078" s="170">
        <v>45065</v>
      </c>
      <c r="B2078" s="116">
        <v>1010.5</v>
      </c>
      <c r="C2078" s="116">
        <v>994.52499999999998</v>
      </c>
      <c r="D2078" s="116">
        <v>988.02499999999998</v>
      </c>
      <c r="E2078" s="116">
        <v>1001.975</v>
      </c>
      <c r="F2078" s="116">
        <v>1989.05</v>
      </c>
      <c r="G2078">
        <v>8891</v>
      </c>
      <c r="H2078" s="116"/>
      <c r="I2078" s="116"/>
      <c r="L2078" s="170">
        <v>45065</v>
      </c>
      <c r="M2078" s="116">
        <v>994.67499999999995</v>
      </c>
      <c r="N2078" s="116">
        <v>1012.15</v>
      </c>
      <c r="O2078" s="116">
        <v>987.5</v>
      </c>
      <c r="P2078" s="116">
        <v>1002</v>
      </c>
      <c r="Q2078" s="116">
        <v>1989.35</v>
      </c>
      <c r="R2078">
        <v>14473</v>
      </c>
    </row>
    <row r="2079" spans="1:18" x14ac:dyDescent="0.25">
      <c r="A2079" s="170">
        <v>45068</v>
      </c>
      <c r="B2079" s="116">
        <v>1004.85</v>
      </c>
      <c r="C2079" s="116">
        <v>975.625</v>
      </c>
      <c r="D2079" s="116">
        <v>914.65</v>
      </c>
      <c r="E2079" s="116">
        <v>977.5</v>
      </c>
      <c r="F2079" s="116">
        <v>1951.25</v>
      </c>
      <c r="G2079">
        <v>8489</v>
      </c>
      <c r="H2079" s="116"/>
      <c r="I2079" s="116"/>
      <c r="L2079" s="170">
        <v>45068</v>
      </c>
      <c r="M2079" s="116">
        <v>981.77499999999998</v>
      </c>
      <c r="N2079" s="116">
        <v>1006.125</v>
      </c>
      <c r="O2079" s="116">
        <v>875</v>
      </c>
      <c r="P2079" s="116">
        <v>875</v>
      </c>
      <c r="Q2079" s="116">
        <v>1963.55</v>
      </c>
      <c r="R2079">
        <v>90313</v>
      </c>
    </row>
    <row r="2080" spans="1:18" x14ac:dyDescent="0.25">
      <c r="A2080" s="170">
        <v>45069</v>
      </c>
      <c r="B2080" s="116">
        <v>1019.9</v>
      </c>
      <c r="C2080" s="116">
        <v>975.17499999999995</v>
      </c>
      <c r="D2080" s="116">
        <v>972.6</v>
      </c>
      <c r="E2080" s="116">
        <v>1019.9</v>
      </c>
      <c r="F2080" s="116">
        <v>1950.35</v>
      </c>
      <c r="G2080">
        <v>1663</v>
      </c>
      <c r="H2080" s="116"/>
      <c r="I2080" s="116"/>
      <c r="L2080" s="170">
        <v>45069</v>
      </c>
      <c r="M2080" s="116">
        <v>976</v>
      </c>
      <c r="N2080" s="116">
        <v>997.47500000000002</v>
      </c>
      <c r="O2080" s="116">
        <v>973</v>
      </c>
      <c r="P2080" s="116">
        <v>993.5</v>
      </c>
      <c r="Q2080" s="116">
        <v>1952</v>
      </c>
      <c r="R2080">
        <v>27486</v>
      </c>
    </row>
    <row r="2081" spans="1:18" x14ac:dyDescent="0.25">
      <c r="A2081" s="170">
        <v>45070</v>
      </c>
      <c r="B2081" s="116">
        <v>980</v>
      </c>
      <c r="C2081" s="116">
        <v>959.7</v>
      </c>
      <c r="D2081" s="116">
        <v>944.2</v>
      </c>
      <c r="E2081" s="116">
        <v>977</v>
      </c>
      <c r="F2081" s="116">
        <v>1919.4</v>
      </c>
      <c r="G2081">
        <v>3696</v>
      </c>
      <c r="H2081" s="116"/>
      <c r="I2081" s="116"/>
      <c r="L2081" s="170">
        <v>45070</v>
      </c>
      <c r="M2081" s="116">
        <v>960.02499999999998</v>
      </c>
      <c r="N2081" s="116">
        <v>980.42499999999995</v>
      </c>
      <c r="O2081" s="116">
        <v>943.02499999999998</v>
      </c>
      <c r="P2081" s="116">
        <v>978.5</v>
      </c>
      <c r="Q2081" s="116">
        <v>1920.05</v>
      </c>
      <c r="R2081">
        <v>72461</v>
      </c>
    </row>
    <row r="2082" spans="1:18" x14ac:dyDescent="0.25">
      <c r="A2082" s="170">
        <v>45071</v>
      </c>
      <c r="B2082" s="116">
        <v>1040</v>
      </c>
      <c r="C2082" s="116">
        <v>1029.0250000000001</v>
      </c>
      <c r="D2082" s="116">
        <v>960</v>
      </c>
      <c r="E2082" s="116">
        <v>960.02499999999998</v>
      </c>
      <c r="F2082" s="116">
        <v>2058.0500000000002</v>
      </c>
      <c r="G2082">
        <v>20836</v>
      </c>
      <c r="H2082" s="116"/>
      <c r="I2082" s="116"/>
      <c r="L2082" s="170">
        <v>45071</v>
      </c>
      <c r="M2082" s="116">
        <v>1027.425</v>
      </c>
      <c r="N2082" s="116">
        <v>1040</v>
      </c>
      <c r="O2082" s="116">
        <v>957.6</v>
      </c>
      <c r="P2082" s="116">
        <v>960</v>
      </c>
      <c r="Q2082" s="116">
        <v>2054.85</v>
      </c>
      <c r="R2082">
        <v>741502</v>
      </c>
    </row>
    <row r="2083" spans="1:18" x14ac:dyDescent="0.25">
      <c r="A2083" s="170">
        <v>45072</v>
      </c>
      <c r="B2083" s="116">
        <v>1032.5</v>
      </c>
      <c r="C2083" s="116">
        <v>1029.8499999999999</v>
      </c>
      <c r="D2083" s="116">
        <v>1007</v>
      </c>
      <c r="E2083" s="116">
        <v>1027.825</v>
      </c>
      <c r="F2083" s="116">
        <v>2059.6999999999998</v>
      </c>
      <c r="G2083">
        <v>4577</v>
      </c>
      <c r="H2083" s="116"/>
      <c r="I2083" s="116"/>
      <c r="L2083" s="170">
        <v>45072</v>
      </c>
      <c r="M2083" s="116">
        <v>1032.125</v>
      </c>
      <c r="N2083" s="116">
        <v>1042.075</v>
      </c>
      <c r="O2083" s="116">
        <v>1007.025</v>
      </c>
      <c r="P2083" s="116">
        <v>1025.4000000000001</v>
      </c>
      <c r="Q2083" s="116">
        <v>2064.25</v>
      </c>
      <c r="R2083">
        <v>160627</v>
      </c>
    </row>
    <row r="2084" spans="1:18" x14ac:dyDescent="0.25">
      <c r="A2084" s="170">
        <v>45075</v>
      </c>
      <c r="B2084" s="116">
        <v>1070.8499999999999</v>
      </c>
      <c r="C2084" s="116">
        <v>1049.9000000000001</v>
      </c>
      <c r="D2084" s="116">
        <v>1025.0250000000001</v>
      </c>
      <c r="E2084" s="116">
        <v>1025.0250000000001</v>
      </c>
      <c r="F2084" s="116">
        <v>2099.8000000000002</v>
      </c>
      <c r="G2084">
        <v>5687</v>
      </c>
      <c r="H2084" s="116"/>
      <c r="I2084" s="116"/>
      <c r="L2084" s="170">
        <v>45075</v>
      </c>
      <c r="M2084" s="116">
        <v>1050.825</v>
      </c>
      <c r="N2084" s="116">
        <v>1071.45</v>
      </c>
      <c r="O2084" s="116">
        <v>1031.4000000000001</v>
      </c>
      <c r="P2084" s="116">
        <v>1034</v>
      </c>
      <c r="Q2084" s="116">
        <v>2101.65</v>
      </c>
      <c r="R2084">
        <v>141310</v>
      </c>
    </row>
    <row r="2085" spans="1:18" x14ac:dyDescent="0.25">
      <c r="A2085" s="170">
        <v>45076</v>
      </c>
      <c r="B2085" s="116">
        <v>1066.95</v>
      </c>
      <c r="C2085" s="116">
        <v>1058.625</v>
      </c>
      <c r="D2085" s="116">
        <v>1049.5</v>
      </c>
      <c r="E2085" s="116">
        <v>1049.5</v>
      </c>
      <c r="F2085" s="116">
        <v>2117.25</v>
      </c>
      <c r="G2085">
        <v>1295</v>
      </c>
      <c r="H2085" s="116"/>
      <c r="I2085" s="116"/>
      <c r="L2085" s="170">
        <v>45076</v>
      </c>
      <c r="M2085" s="116">
        <v>1058.4000000000001</v>
      </c>
      <c r="N2085" s="116">
        <v>1067.45</v>
      </c>
      <c r="O2085" s="116">
        <v>1050.7750000000001</v>
      </c>
      <c r="P2085" s="116">
        <v>1054.4749999999999</v>
      </c>
      <c r="Q2085" s="116">
        <v>2116.8000000000002</v>
      </c>
      <c r="R2085">
        <v>45706</v>
      </c>
    </row>
    <row r="2086" spans="1:18" x14ac:dyDescent="0.25">
      <c r="A2086" s="170">
        <v>45077</v>
      </c>
      <c r="B2086" s="116">
        <v>1066.0250000000001</v>
      </c>
      <c r="C2086" s="116">
        <v>1050.8</v>
      </c>
      <c r="D2086" s="116">
        <v>1047.95</v>
      </c>
      <c r="E2086" s="116">
        <v>1052.325</v>
      </c>
      <c r="F2086" s="116">
        <v>2101.6</v>
      </c>
      <c r="G2086">
        <v>3301</v>
      </c>
      <c r="H2086" s="116"/>
      <c r="I2086" s="116"/>
      <c r="L2086" s="170">
        <v>45077</v>
      </c>
      <c r="M2086" s="116">
        <v>1052.25</v>
      </c>
      <c r="N2086" s="116">
        <v>1065.7</v>
      </c>
      <c r="O2086" s="116">
        <v>1042.55</v>
      </c>
      <c r="P2086" s="116">
        <v>1042.55</v>
      </c>
      <c r="Q2086" s="116">
        <v>2104.5</v>
      </c>
      <c r="R2086">
        <v>37422</v>
      </c>
    </row>
    <row r="2087" spans="1:18" x14ac:dyDescent="0.25">
      <c r="A2087" s="170">
        <v>45078</v>
      </c>
      <c r="B2087" s="116">
        <v>1060.6500000000001</v>
      </c>
      <c r="C2087" s="116">
        <v>1056.675</v>
      </c>
      <c r="D2087" s="116">
        <v>1041.2249999999999</v>
      </c>
      <c r="E2087" s="116">
        <v>1050.8</v>
      </c>
      <c r="F2087" s="116">
        <v>2113.35</v>
      </c>
      <c r="G2087">
        <v>2189</v>
      </c>
      <c r="H2087" s="116"/>
      <c r="I2087" s="116"/>
      <c r="L2087" s="170">
        <v>45078</v>
      </c>
      <c r="M2087" s="116">
        <v>1058.375</v>
      </c>
      <c r="N2087" s="116">
        <v>1063.3</v>
      </c>
      <c r="O2087" s="116">
        <v>1041</v>
      </c>
      <c r="P2087" s="116">
        <v>1050</v>
      </c>
      <c r="Q2087" s="116">
        <v>2116.75</v>
      </c>
      <c r="R2087">
        <v>38262</v>
      </c>
    </row>
    <row r="2088" spans="1:18" x14ac:dyDescent="0.25">
      <c r="A2088" s="170">
        <v>45079</v>
      </c>
      <c r="B2088" s="116">
        <v>1066.5</v>
      </c>
      <c r="C2088" s="116">
        <v>1060.5999999999999</v>
      </c>
      <c r="D2088" s="116">
        <v>1057.325</v>
      </c>
      <c r="E2088" s="116">
        <v>1058.75</v>
      </c>
      <c r="F2088" s="116">
        <v>2121.1999999999998</v>
      </c>
      <c r="G2088">
        <v>1818</v>
      </c>
      <c r="H2088" s="116"/>
      <c r="I2088" s="116"/>
      <c r="L2088" s="170">
        <v>45079</v>
      </c>
      <c r="M2088" s="116">
        <v>1059.625</v>
      </c>
      <c r="N2088" s="116">
        <v>1067.5</v>
      </c>
      <c r="O2088" s="116">
        <v>1055.8</v>
      </c>
      <c r="P2088" s="116">
        <v>1055.8</v>
      </c>
      <c r="Q2088" s="116">
        <v>2119.25</v>
      </c>
      <c r="R2088">
        <v>20425</v>
      </c>
    </row>
    <row r="2089" spans="1:18" x14ac:dyDescent="0.25">
      <c r="A2089" s="170">
        <v>45082</v>
      </c>
      <c r="B2089" s="116">
        <v>1064.5</v>
      </c>
      <c r="C2089" s="116">
        <v>1059.9000000000001</v>
      </c>
      <c r="D2089" s="116">
        <v>1052.5</v>
      </c>
      <c r="E2089" s="116">
        <v>1060.7249999999999</v>
      </c>
      <c r="F2089" s="116">
        <v>2119.8000000000002</v>
      </c>
      <c r="G2089">
        <v>2107</v>
      </c>
      <c r="H2089" s="116"/>
      <c r="I2089" s="116"/>
      <c r="L2089" s="170">
        <v>45082</v>
      </c>
      <c r="M2089" s="116">
        <v>1059.5250000000001</v>
      </c>
      <c r="N2089" s="116">
        <v>1068.45</v>
      </c>
      <c r="O2089" s="116">
        <v>1050.4749999999999</v>
      </c>
      <c r="P2089" s="116">
        <v>1064.925</v>
      </c>
      <c r="Q2089" s="116">
        <v>2119.0500000000002</v>
      </c>
      <c r="R2089">
        <v>34845</v>
      </c>
    </row>
    <row r="2090" spans="1:18" x14ac:dyDescent="0.25">
      <c r="A2090" s="170">
        <v>45083</v>
      </c>
      <c r="B2090" s="116">
        <v>1073</v>
      </c>
      <c r="C2090" s="116">
        <v>1059.7</v>
      </c>
      <c r="D2090" s="116">
        <v>1045.5250000000001</v>
      </c>
      <c r="E2090" s="116">
        <v>1045.5250000000001</v>
      </c>
      <c r="F2090" s="116">
        <v>2119.4</v>
      </c>
      <c r="G2090">
        <v>1358</v>
      </c>
      <c r="H2090" s="116"/>
      <c r="I2090" s="116"/>
      <c r="L2090" s="170">
        <v>45083</v>
      </c>
      <c r="M2090" s="116">
        <v>1059.925</v>
      </c>
      <c r="N2090" s="116">
        <v>1072.5</v>
      </c>
      <c r="O2090" s="116">
        <v>1055.925</v>
      </c>
      <c r="P2090" s="116">
        <v>1062.625</v>
      </c>
      <c r="Q2090" s="116">
        <v>2119.85</v>
      </c>
      <c r="R2090">
        <v>36519</v>
      </c>
    </row>
    <row r="2091" spans="1:18" x14ac:dyDescent="0.25">
      <c r="A2091" s="170">
        <v>45084</v>
      </c>
      <c r="B2091" s="116">
        <v>1084.425</v>
      </c>
      <c r="C2091" s="116">
        <v>1079.75</v>
      </c>
      <c r="D2091" s="116">
        <v>1059.2</v>
      </c>
      <c r="E2091" s="116">
        <v>1060.05</v>
      </c>
      <c r="F2091" s="116">
        <v>2159.5</v>
      </c>
      <c r="G2091">
        <v>2421</v>
      </c>
      <c r="H2091" s="116"/>
      <c r="I2091" s="116"/>
      <c r="L2091" s="170">
        <v>45084</v>
      </c>
      <c r="M2091" s="116">
        <v>1080.9000000000001</v>
      </c>
      <c r="N2091" s="116">
        <v>1085.3</v>
      </c>
      <c r="O2091" s="116">
        <v>1060.0250000000001</v>
      </c>
      <c r="P2091" s="116">
        <v>1061</v>
      </c>
      <c r="Q2091" s="116">
        <v>2161.8000000000002</v>
      </c>
      <c r="R2091">
        <v>32742</v>
      </c>
    </row>
    <row r="2092" spans="1:18" x14ac:dyDescent="0.25">
      <c r="A2092" s="170">
        <v>45085</v>
      </c>
      <c r="B2092" s="116">
        <v>1090.5</v>
      </c>
      <c r="C2092" s="116">
        <v>1068.25</v>
      </c>
      <c r="D2092" s="116">
        <v>1065.3499999999999</v>
      </c>
      <c r="E2092" s="116">
        <v>1088.4749999999999</v>
      </c>
      <c r="F2092" s="116">
        <v>2136.5</v>
      </c>
      <c r="G2092">
        <v>665</v>
      </c>
      <c r="H2092" s="116"/>
      <c r="I2092" s="116"/>
      <c r="L2092" s="170">
        <v>45085</v>
      </c>
      <c r="M2092" s="116">
        <v>1068.675</v>
      </c>
      <c r="N2092" s="116">
        <v>1089.2</v>
      </c>
      <c r="O2092" s="116">
        <v>1065.05</v>
      </c>
      <c r="P2092" s="116">
        <v>1081.5250000000001</v>
      </c>
      <c r="Q2092" s="116">
        <v>2137.35</v>
      </c>
      <c r="R2092">
        <v>27591</v>
      </c>
    </row>
    <row r="2093" spans="1:18" x14ac:dyDescent="0.25">
      <c r="A2093" s="170">
        <v>45086</v>
      </c>
      <c r="B2093" s="116">
        <v>1088.375</v>
      </c>
      <c r="C2093" s="116">
        <v>1080.5999999999999</v>
      </c>
      <c r="D2093" s="116">
        <v>1037.325</v>
      </c>
      <c r="E2093" s="116">
        <v>1037.325</v>
      </c>
      <c r="F2093" s="116">
        <v>2161.1999999999998</v>
      </c>
      <c r="G2093">
        <v>1830</v>
      </c>
      <c r="H2093" s="116"/>
      <c r="I2093" s="116"/>
      <c r="L2093" s="170">
        <v>45086</v>
      </c>
      <c r="M2093" s="116">
        <v>1079.7249999999999</v>
      </c>
      <c r="N2093" s="116">
        <v>1090</v>
      </c>
      <c r="O2093" s="116">
        <v>1069.55</v>
      </c>
      <c r="P2093" s="116">
        <v>1071.825</v>
      </c>
      <c r="Q2093" s="116">
        <v>2159.4499999999998</v>
      </c>
      <c r="R2093">
        <v>58558</v>
      </c>
    </row>
    <row r="2094" spans="1:18" x14ac:dyDescent="0.25">
      <c r="A2094" s="170">
        <v>45089</v>
      </c>
      <c r="B2094" s="116">
        <v>1093.2249999999999</v>
      </c>
      <c r="C2094" s="116">
        <v>1069.3499999999999</v>
      </c>
      <c r="D2094" s="116">
        <v>1065.5</v>
      </c>
      <c r="E2094" s="116">
        <v>1076.9000000000001</v>
      </c>
      <c r="F2094" s="116">
        <v>2138.6999999999998</v>
      </c>
      <c r="G2094">
        <v>3703</v>
      </c>
      <c r="H2094" s="116"/>
      <c r="I2094" s="116"/>
      <c r="L2094" s="170">
        <v>45089</v>
      </c>
      <c r="M2094" s="116">
        <v>1070.0250000000001</v>
      </c>
      <c r="N2094" s="116">
        <v>1094.5</v>
      </c>
      <c r="O2094" s="116">
        <v>1065.05</v>
      </c>
      <c r="P2094" s="116">
        <v>1077.2750000000001</v>
      </c>
      <c r="Q2094" s="116">
        <v>2140.0500000000002</v>
      </c>
      <c r="R2094">
        <v>75186</v>
      </c>
    </row>
    <row r="2095" spans="1:18" x14ac:dyDescent="0.25">
      <c r="A2095" s="170">
        <v>45090</v>
      </c>
      <c r="B2095" s="116">
        <v>1080</v>
      </c>
      <c r="C2095" s="116">
        <v>1076.575</v>
      </c>
      <c r="D2095" s="116">
        <v>1055.9749999999999</v>
      </c>
      <c r="E2095" s="116">
        <v>1060.5250000000001</v>
      </c>
      <c r="F2095" s="116">
        <v>2153.15</v>
      </c>
      <c r="G2095">
        <v>6117</v>
      </c>
      <c r="H2095" s="116"/>
      <c r="I2095" s="116"/>
      <c r="L2095" s="170">
        <v>45090</v>
      </c>
      <c r="M2095" s="116">
        <v>1077.45</v>
      </c>
      <c r="N2095" s="116">
        <v>1080.0250000000001</v>
      </c>
      <c r="O2095" s="116">
        <v>1067.5</v>
      </c>
      <c r="P2095" s="116">
        <v>1075.4000000000001</v>
      </c>
      <c r="Q2095" s="116">
        <v>2154.9</v>
      </c>
      <c r="R2095">
        <v>34037</v>
      </c>
    </row>
    <row r="2096" spans="1:18" x14ac:dyDescent="0.25">
      <c r="A2096" s="170">
        <v>45091</v>
      </c>
      <c r="B2096" s="116">
        <v>1091.2249999999999</v>
      </c>
      <c r="C2096" s="116">
        <v>1086.575</v>
      </c>
      <c r="D2096" s="116">
        <v>1055.9000000000001</v>
      </c>
      <c r="E2096" s="116">
        <v>1055.9000000000001</v>
      </c>
      <c r="F2096" s="116">
        <v>2173.15</v>
      </c>
      <c r="G2096">
        <v>755</v>
      </c>
      <c r="H2096" s="116"/>
      <c r="I2096" s="116"/>
      <c r="L2096" s="170">
        <v>45091</v>
      </c>
      <c r="M2096" s="116">
        <v>1088.55</v>
      </c>
      <c r="N2096" s="116">
        <v>1091</v>
      </c>
      <c r="O2096" s="116">
        <v>1076.5</v>
      </c>
      <c r="P2096" s="116">
        <v>1079.55</v>
      </c>
      <c r="Q2096" s="116">
        <v>2177.1</v>
      </c>
      <c r="R2096">
        <v>24150</v>
      </c>
    </row>
    <row r="2097" spans="1:18" x14ac:dyDescent="0.25">
      <c r="A2097" s="170">
        <v>45092</v>
      </c>
      <c r="B2097" s="116">
        <v>1090.4000000000001</v>
      </c>
      <c r="C2097" s="116">
        <v>1083.925</v>
      </c>
      <c r="D2097" s="116">
        <v>1071.75</v>
      </c>
      <c r="E2097" s="116">
        <v>1086.5</v>
      </c>
      <c r="F2097" s="116">
        <v>2167.85</v>
      </c>
      <c r="G2097">
        <v>542</v>
      </c>
      <c r="H2097" s="116"/>
      <c r="I2097" s="116"/>
      <c r="L2097" s="170">
        <v>45092</v>
      </c>
      <c r="M2097" s="116">
        <v>1080.9000000000001</v>
      </c>
      <c r="N2097" s="116">
        <v>1092.05</v>
      </c>
      <c r="O2097" s="116">
        <v>1071.8</v>
      </c>
      <c r="P2097" s="116">
        <v>1082.5</v>
      </c>
      <c r="Q2097" s="116">
        <v>2161.8000000000002</v>
      </c>
      <c r="R2097">
        <v>17104</v>
      </c>
    </row>
    <row r="2098" spans="1:18" x14ac:dyDescent="0.25">
      <c r="A2098" s="170">
        <v>45093</v>
      </c>
      <c r="B2098" s="116">
        <v>1134.55</v>
      </c>
      <c r="C2098" s="116">
        <v>1126.875</v>
      </c>
      <c r="D2098" s="116">
        <v>1077.925</v>
      </c>
      <c r="E2098" s="116">
        <v>1099.9749999999999</v>
      </c>
      <c r="F2098" s="116">
        <v>2253.75</v>
      </c>
      <c r="G2098">
        <v>6965</v>
      </c>
      <c r="H2098" s="116"/>
      <c r="I2098" s="116"/>
      <c r="L2098" s="170">
        <v>45093</v>
      </c>
      <c r="M2098" s="116">
        <v>1128.6500000000001</v>
      </c>
      <c r="N2098" s="116">
        <v>1134.9749999999999</v>
      </c>
      <c r="O2098" s="116">
        <v>1077.0250000000001</v>
      </c>
      <c r="P2098" s="116">
        <v>1084.075</v>
      </c>
      <c r="Q2098" s="116">
        <v>2257.3000000000002</v>
      </c>
      <c r="R2098">
        <v>263933</v>
      </c>
    </row>
    <row r="2099" spans="1:18" x14ac:dyDescent="0.25">
      <c r="A2099" s="170">
        <v>45096</v>
      </c>
      <c r="B2099" s="116">
        <v>1191.75</v>
      </c>
      <c r="C2099" s="116">
        <v>1173.5</v>
      </c>
      <c r="D2099" s="116">
        <v>1127.5250000000001</v>
      </c>
      <c r="E2099" s="116">
        <v>1127.5250000000001</v>
      </c>
      <c r="F2099" s="116">
        <v>2347</v>
      </c>
      <c r="G2099">
        <v>8894</v>
      </c>
      <c r="H2099" s="116"/>
      <c r="I2099" s="116"/>
      <c r="L2099" s="170">
        <v>45096</v>
      </c>
      <c r="M2099" s="116">
        <v>1173.425</v>
      </c>
      <c r="N2099" s="116">
        <v>1191.75</v>
      </c>
      <c r="O2099" s="116">
        <v>1130.4749999999999</v>
      </c>
      <c r="P2099" s="116">
        <v>1130.4749999999999</v>
      </c>
      <c r="Q2099" s="116">
        <v>2346.85</v>
      </c>
      <c r="R2099">
        <v>301201</v>
      </c>
    </row>
    <row r="2100" spans="1:18" x14ac:dyDescent="0.25">
      <c r="A2100" s="170">
        <v>45097</v>
      </c>
      <c r="B2100" s="116">
        <v>1220.0250000000001</v>
      </c>
      <c r="C2100" s="116">
        <v>1195.75</v>
      </c>
      <c r="D2100" s="116">
        <v>1181.7</v>
      </c>
      <c r="E2100" s="116">
        <v>1189.325</v>
      </c>
      <c r="F2100" s="116">
        <v>2391.5</v>
      </c>
      <c r="G2100">
        <v>11244</v>
      </c>
      <c r="H2100" s="116"/>
      <c r="I2100" s="116"/>
      <c r="L2100" s="170">
        <v>45097</v>
      </c>
      <c r="M2100" s="116">
        <v>1195.375</v>
      </c>
      <c r="N2100" s="116">
        <v>1223.875</v>
      </c>
      <c r="O2100" s="116">
        <v>1181</v>
      </c>
      <c r="P2100" s="116">
        <v>1203.4749999999999</v>
      </c>
      <c r="Q2100" s="116">
        <v>2390.75</v>
      </c>
      <c r="R2100">
        <v>276851</v>
      </c>
    </row>
    <row r="2101" spans="1:18" x14ac:dyDescent="0.25">
      <c r="A2101" s="170">
        <v>45098</v>
      </c>
      <c r="B2101" s="116">
        <v>1214.9749999999999</v>
      </c>
      <c r="C2101" s="116">
        <v>1180.1500000000001</v>
      </c>
      <c r="D2101" s="116">
        <v>1166.625</v>
      </c>
      <c r="E2101" s="116">
        <v>1214.9749999999999</v>
      </c>
      <c r="F2101" s="116">
        <v>2360.3000000000002</v>
      </c>
      <c r="G2101">
        <v>5766</v>
      </c>
      <c r="H2101" s="116"/>
      <c r="I2101" s="116"/>
      <c r="L2101" s="170">
        <v>45098</v>
      </c>
      <c r="M2101" s="116">
        <v>1179.4749999999999</v>
      </c>
      <c r="N2101" s="116">
        <v>1198.75</v>
      </c>
      <c r="O2101" s="116">
        <v>1164</v>
      </c>
      <c r="P2101" s="116">
        <v>1198.75</v>
      </c>
      <c r="Q2101" s="116">
        <v>2358.9499999999998</v>
      </c>
      <c r="R2101">
        <v>107139</v>
      </c>
    </row>
    <row r="2102" spans="1:18" x14ac:dyDescent="0.25">
      <c r="A2102" s="170">
        <v>45099</v>
      </c>
      <c r="B2102" s="116">
        <v>1201</v>
      </c>
      <c r="C2102" s="116">
        <v>1195.1500000000001</v>
      </c>
      <c r="D2102" s="116">
        <v>1169.55</v>
      </c>
      <c r="E2102" s="116">
        <v>1176</v>
      </c>
      <c r="F2102" s="116">
        <v>2390.3000000000002</v>
      </c>
      <c r="G2102">
        <v>3351</v>
      </c>
      <c r="H2102" s="116"/>
      <c r="I2102" s="116"/>
      <c r="L2102" s="170">
        <v>45099</v>
      </c>
      <c r="M2102" s="116">
        <v>1196.45</v>
      </c>
      <c r="N2102" s="116">
        <v>1207.9000000000001</v>
      </c>
      <c r="O2102" s="116">
        <v>1169</v>
      </c>
      <c r="P2102" s="116">
        <v>1179.45</v>
      </c>
      <c r="Q2102" s="116">
        <v>2392.9</v>
      </c>
      <c r="R2102">
        <v>36903</v>
      </c>
    </row>
    <row r="2103" spans="1:18" x14ac:dyDescent="0.25">
      <c r="A2103" s="170">
        <v>45100</v>
      </c>
      <c r="B2103" s="116">
        <v>1212.4749999999999</v>
      </c>
      <c r="C2103" s="116">
        <v>1154.3</v>
      </c>
      <c r="D2103" s="116">
        <v>1131.075</v>
      </c>
      <c r="E2103" s="116">
        <v>1212.4749999999999</v>
      </c>
      <c r="F2103" s="116">
        <v>2308.6</v>
      </c>
      <c r="G2103">
        <v>5151</v>
      </c>
      <c r="H2103" s="116"/>
      <c r="I2103" s="116"/>
      <c r="L2103" s="170">
        <v>45100</v>
      </c>
      <c r="M2103" s="116">
        <v>1155.5250000000001</v>
      </c>
      <c r="N2103" s="116">
        <v>1199.5</v>
      </c>
      <c r="O2103" s="116">
        <v>1130.2750000000001</v>
      </c>
      <c r="P2103" s="116">
        <v>1196.45</v>
      </c>
      <c r="Q2103" s="116">
        <v>2311.0500000000002</v>
      </c>
      <c r="R2103">
        <v>66229</v>
      </c>
    </row>
    <row r="2104" spans="1:18" x14ac:dyDescent="0.25">
      <c r="A2104" s="170">
        <v>45103</v>
      </c>
      <c r="B2104" s="116">
        <v>1178.5250000000001</v>
      </c>
      <c r="C2104" s="116">
        <v>1169.425</v>
      </c>
      <c r="D2104" s="116">
        <v>1153.25</v>
      </c>
      <c r="E2104" s="116">
        <v>1153.5250000000001</v>
      </c>
      <c r="F2104" s="116">
        <v>2338.85</v>
      </c>
      <c r="G2104">
        <v>1089</v>
      </c>
      <c r="H2104" s="116"/>
      <c r="I2104" s="116"/>
      <c r="L2104" s="170">
        <v>45103</v>
      </c>
      <c r="M2104" s="116">
        <v>1170.7249999999999</v>
      </c>
      <c r="N2104" s="116">
        <v>1180</v>
      </c>
      <c r="O2104" s="116">
        <v>1152.325</v>
      </c>
      <c r="P2104" s="116">
        <v>1161</v>
      </c>
      <c r="Q2104" s="116">
        <v>2341.4499999999998</v>
      </c>
      <c r="R2104">
        <v>54145</v>
      </c>
    </row>
    <row r="2105" spans="1:18" x14ac:dyDescent="0.25">
      <c r="A2105" s="170">
        <v>45104</v>
      </c>
      <c r="B2105" s="116">
        <v>1179.8</v>
      </c>
      <c r="C2105" s="116">
        <v>1166.4000000000001</v>
      </c>
      <c r="D2105" s="116">
        <v>1142.5250000000001</v>
      </c>
      <c r="E2105" s="116">
        <v>1142.5250000000001</v>
      </c>
      <c r="F2105" s="116">
        <v>2332.8000000000002</v>
      </c>
      <c r="G2105">
        <v>888</v>
      </c>
      <c r="H2105" s="116"/>
      <c r="I2105" s="116"/>
      <c r="L2105" s="170">
        <v>45104</v>
      </c>
      <c r="M2105" s="116">
        <v>1168.1500000000001</v>
      </c>
      <c r="N2105" s="116">
        <v>1182.4749999999999</v>
      </c>
      <c r="O2105" s="116">
        <v>1151.75</v>
      </c>
      <c r="P2105" s="116">
        <v>1181.2750000000001</v>
      </c>
      <c r="Q2105" s="116">
        <v>2336.3000000000002</v>
      </c>
      <c r="R2105">
        <v>136326</v>
      </c>
    </row>
    <row r="2106" spans="1:18" x14ac:dyDescent="0.25">
      <c r="A2106" s="170">
        <v>45105</v>
      </c>
      <c r="B2106" s="116">
        <v>1176.5</v>
      </c>
      <c r="C2106" s="116">
        <v>1173.7249999999999</v>
      </c>
      <c r="D2106" s="116">
        <v>1160.8</v>
      </c>
      <c r="E2106" s="116">
        <v>1165.0250000000001</v>
      </c>
      <c r="F2106" s="116">
        <v>2347.4499999999998</v>
      </c>
      <c r="G2106">
        <v>1167</v>
      </c>
      <c r="H2106" s="116"/>
      <c r="I2106" s="116"/>
      <c r="L2106" s="170">
        <v>45105</v>
      </c>
      <c r="M2106" s="116">
        <v>1175</v>
      </c>
      <c r="N2106" s="116">
        <v>1179.8499999999999</v>
      </c>
      <c r="O2106" s="116">
        <v>1160.05</v>
      </c>
      <c r="P2106" s="116">
        <v>1173.9749999999999</v>
      </c>
      <c r="Q2106" s="116">
        <v>2350</v>
      </c>
      <c r="R2106">
        <v>83294</v>
      </c>
    </row>
    <row r="2107" spans="1:18" x14ac:dyDescent="0.25">
      <c r="A2107" s="170">
        <v>45107</v>
      </c>
      <c r="B2107" s="116">
        <v>1188.8499999999999</v>
      </c>
      <c r="C2107" s="116">
        <v>1183.1500000000001</v>
      </c>
      <c r="D2107" s="116">
        <v>1166.45</v>
      </c>
      <c r="E2107" s="116">
        <v>1174.5</v>
      </c>
      <c r="F2107" s="116">
        <v>2366.3000000000002</v>
      </c>
      <c r="G2107">
        <v>1052</v>
      </c>
      <c r="H2107" s="116"/>
      <c r="I2107" s="116"/>
      <c r="L2107" s="170">
        <v>45107</v>
      </c>
      <c r="M2107" s="116">
        <v>1183.4749999999999</v>
      </c>
      <c r="N2107" s="116">
        <v>1190.8499999999999</v>
      </c>
      <c r="O2107" s="116">
        <v>1166</v>
      </c>
      <c r="P2107" s="116">
        <v>1171.0250000000001</v>
      </c>
      <c r="Q2107" s="116">
        <v>2366.9499999999998</v>
      </c>
      <c r="R2107">
        <v>96248</v>
      </c>
    </row>
    <row r="2108" spans="1:18" x14ac:dyDescent="0.25">
      <c r="A2108" s="170">
        <v>45110</v>
      </c>
      <c r="B2108" s="116">
        <v>1190.55</v>
      </c>
      <c r="C2108" s="116">
        <v>1181.4000000000001</v>
      </c>
      <c r="D2108" s="116">
        <v>1167.875</v>
      </c>
      <c r="E2108" s="116">
        <v>1188.0250000000001</v>
      </c>
      <c r="F2108" s="116">
        <v>2362.8000000000002</v>
      </c>
      <c r="G2108">
        <v>1169</v>
      </c>
      <c r="H2108" s="116"/>
      <c r="I2108" s="116"/>
      <c r="L2108" s="170">
        <v>45110</v>
      </c>
      <c r="M2108" s="116">
        <v>1181.1500000000001</v>
      </c>
      <c r="N2108" s="116">
        <v>1191.5</v>
      </c>
      <c r="O2108" s="116">
        <v>1163.2249999999999</v>
      </c>
      <c r="P2108" s="116">
        <v>1183.4749999999999</v>
      </c>
      <c r="Q2108" s="116">
        <v>2362.3000000000002</v>
      </c>
      <c r="R2108">
        <v>74414</v>
      </c>
    </row>
    <row r="2109" spans="1:18" x14ac:dyDescent="0.25">
      <c r="A2109" s="170">
        <v>45111</v>
      </c>
      <c r="B2109" s="116">
        <v>1195</v>
      </c>
      <c r="C2109" s="116">
        <v>1175.8499999999999</v>
      </c>
      <c r="D2109" s="116">
        <v>1171.25</v>
      </c>
      <c r="E2109" s="116">
        <v>1185.0250000000001</v>
      </c>
      <c r="F2109" s="116">
        <v>2351.6999999999998</v>
      </c>
      <c r="G2109">
        <v>1585</v>
      </c>
      <c r="H2109" s="116"/>
      <c r="I2109" s="116"/>
      <c r="L2109" s="170">
        <v>45111</v>
      </c>
      <c r="M2109" s="116">
        <v>1175.7</v>
      </c>
      <c r="N2109" s="116">
        <v>1196.8499999999999</v>
      </c>
      <c r="O2109" s="116">
        <v>1170</v>
      </c>
      <c r="P2109" s="116">
        <v>1184.625</v>
      </c>
      <c r="Q2109" s="116">
        <v>2351.4</v>
      </c>
      <c r="R2109">
        <v>55596</v>
      </c>
    </row>
    <row r="2110" spans="1:18" x14ac:dyDescent="0.25">
      <c r="A2110" s="170">
        <v>45112</v>
      </c>
      <c r="B2110" s="116">
        <v>1169.0999999999999</v>
      </c>
      <c r="C2110" s="116">
        <v>1151.325</v>
      </c>
      <c r="D2110" s="116">
        <v>1149.05</v>
      </c>
      <c r="E2110" s="116">
        <v>1160.0250000000001</v>
      </c>
      <c r="F2110" s="116">
        <v>2302.65</v>
      </c>
      <c r="G2110">
        <v>3400</v>
      </c>
      <c r="H2110" s="116"/>
      <c r="I2110" s="116"/>
      <c r="L2110" s="170">
        <v>45112</v>
      </c>
      <c r="M2110" s="116">
        <v>1150.3499999999999</v>
      </c>
      <c r="N2110" s="116">
        <v>1172.4000000000001</v>
      </c>
      <c r="O2110" s="116">
        <v>1139</v>
      </c>
      <c r="P2110" s="116">
        <v>1139</v>
      </c>
      <c r="Q2110" s="116">
        <v>2300.6999999999998</v>
      </c>
      <c r="R2110">
        <v>69391</v>
      </c>
    </row>
    <row r="2111" spans="1:18" x14ac:dyDescent="0.25">
      <c r="A2111" s="170">
        <v>45113</v>
      </c>
      <c r="B2111" s="116">
        <v>1161.5</v>
      </c>
      <c r="C2111" s="116">
        <v>1155.5</v>
      </c>
      <c r="D2111" s="116">
        <v>1147</v>
      </c>
      <c r="E2111" s="116">
        <v>1150.3499999999999</v>
      </c>
      <c r="F2111" s="116">
        <v>2311</v>
      </c>
      <c r="G2111">
        <v>1963</v>
      </c>
      <c r="H2111" s="116"/>
      <c r="I2111" s="116"/>
      <c r="L2111" s="170">
        <v>45113</v>
      </c>
      <c r="M2111" s="116">
        <v>1156.825</v>
      </c>
      <c r="N2111" s="116">
        <v>1160.5</v>
      </c>
      <c r="O2111" s="116">
        <v>1143.25</v>
      </c>
      <c r="P2111" s="116">
        <v>1156.125</v>
      </c>
      <c r="Q2111" s="116">
        <v>2313.65</v>
      </c>
      <c r="R2111">
        <v>31193</v>
      </c>
    </row>
    <row r="2112" spans="1:18" x14ac:dyDescent="0.25">
      <c r="A2112" s="170">
        <v>45114</v>
      </c>
      <c r="B2112" s="116">
        <v>1157.675</v>
      </c>
      <c r="C2112" s="116">
        <v>1150.875</v>
      </c>
      <c r="D2112" s="116">
        <v>1132.4000000000001</v>
      </c>
      <c r="E2112" s="116">
        <v>1132.4000000000001</v>
      </c>
      <c r="F2112" s="116">
        <v>2301.75</v>
      </c>
      <c r="G2112">
        <v>455</v>
      </c>
      <c r="H2112" s="116"/>
      <c r="I2112" s="116"/>
      <c r="L2112" s="170">
        <v>45114</v>
      </c>
      <c r="M2112" s="116">
        <v>1147.675</v>
      </c>
      <c r="N2112" s="116">
        <v>1162.5</v>
      </c>
      <c r="O2112" s="116">
        <v>1137.5</v>
      </c>
      <c r="P2112" s="116">
        <v>1152.5</v>
      </c>
      <c r="Q2112" s="116">
        <v>2295.35</v>
      </c>
      <c r="R2112">
        <v>23986</v>
      </c>
    </row>
    <row r="2113" spans="1:18" x14ac:dyDescent="0.25">
      <c r="A2113" s="170">
        <v>45117</v>
      </c>
      <c r="B2113" s="116">
        <v>1171.925</v>
      </c>
      <c r="C2113" s="116">
        <v>1167.55</v>
      </c>
      <c r="D2113" s="116">
        <v>1139.1500000000001</v>
      </c>
      <c r="E2113" s="116">
        <v>1147.5250000000001</v>
      </c>
      <c r="F2113" s="116">
        <v>2335.1</v>
      </c>
      <c r="G2113">
        <v>4115</v>
      </c>
      <c r="H2113" s="116"/>
      <c r="I2113" s="116"/>
      <c r="L2113" s="170">
        <v>45117</v>
      </c>
      <c r="M2113" s="116">
        <v>1169.45</v>
      </c>
      <c r="N2113" s="116">
        <v>1172.25</v>
      </c>
      <c r="O2113" s="116">
        <v>1143.125</v>
      </c>
      <c r="P2113" s="116">
        <v>1149.875</v>
      </c>
      <c r="Q2113" s="116">
        <v>2338.9</v>
      </c>
      <c r="R2113">
        <v>37770</v>
      </c>
    </row>
    <row r="2114" spans="1:18" x14ac:dyDescent="0.25">
      <c r="A2114" s="170">
        <v>45118</v>
      </c>
      <c r="B2114" s="116">
        <v>1231.4749999999999</v>
      </c>
      <c r="C2114" s="116">
        <v>1223.45</v>
      </c>
      <c r="D2114" s="116">
        <v>1169.4000000000001</v>
      </c>
      <c r="E2114" s="116">
        <v>1169.7750000000001</v>
      </c>
      <c r="F2114" s="116">
        <v>2446.9</v>
      </c>
      <c r="G2114">
        <v>2787</v>
      </c>
      <c r="H2114" s="116"/>
      <c r="I2114" s="116"/>
      <c r="L2114" s="170">
        <v>45118</v>
      </c>
      <c r="M2114" s="116">
        <v>1224.875</v>
      </c>
      <c r="N2114" s="116">
        <v>1232.325</v>
      </c>
      <c r="O2114" s="116">
        <v>1169.55</v>
      </c>
      <c r="P2114" s="116">
        <v>1172.5</v>
      </c>
      <c r="Q2114" s="116">
        <v>2449.75</v>
      </c>
      <c r="R2114">
        <v>120808</v>
      </c>
    </row>
    <row r="2115" spans="1:18" x14ac:dyDescent="0.25">
      <c r="A2115" s="170">
        <v>45119</v>
      </c>
      <c r="B2115" s="116">
        <v>1385</v>
      </c>
      <c r="C2115" s="116">
        <v>1302.3499999999999</v>
      </c>
      <c r="D2115" s="116">
        <v>1224.8</v>
      </c>
      <c r="E2115" s="116">
        <v>1231.825</v>
      </c>
      <c r="F2115" s="116">
        <v>2604.6999999999998</v>
      </c>
      <c r="G2115">
        <v>31508</v>
      </c>
      <c r="H2115" s="116"/>
      <c r="I2115" s="116"/>
      <c r="L2115" s="170">
        <v>45119</v>
      </c>
      <c r="M2115" s="116">
        <v>1301.75</v>
      </c>
      <c r="N2115" s="116">
        <v>1386.9749999999999</v>
      </c>
      <c r="O2115" s="116">
        <v>1223</v>
      </c>
      <c r="P2115" s="116">
        <v>1234.5</v>
      </c>
      <c r="Q2115" s="116">
        <v>2603.5</v>
      </c>
      <c r="R2115">
        <v>1117073</v>
      </c>
    </row>
    <row r="2116" spans="1:18" x14ac:dyDescent="0.25">
      <c r="A2116" s="170">
        <v>45120</v>
      </c>
      <c r="B2116" s="116">
        <v>1369.15</v>
      </c>
      <c r="C2116" s="116">
        <v>1258.375</v>
      </c>
      <c r="D2116" s="116">
        <v>1238.075</v>
      </c>
      <c r="E2116" s="116">
        <v>1302.3499999999999</v>
      </c>
      <c r="F2116" s="116">
        <v>2516.75</v>
      </c>
      <c r="G2116">
        <v>13155</v>
      </c>
      <c r="H2116" s="116"/>
      <c r="I2116" s="116"/>
      <c r="L2116" s="170">
        <v>45120</v>
      </c>
      <c r="M2116" s="116">
        <v>1261.075</v>
      </c>
      <c r="N2116" s="116">
        <v>1368.2750000000001</v>
      </c>
      <c r="O2116" s="116">
        <v>1236.325</v>
      </c>
      <c r="P2116" s="116">
        <v>1310</v>
      </c>
      <c r="Q2116" s="116">
        <v>2522.15</v>
      </c>
      <c r="R2116">
        <v>328520</v>
      </c>
    </row>
    <row r="2117" spans="1:18" x14ac:dyDescent="0.25">
      <c r="A2117" s="170">
        <v>45121</v>
      </c>
      <c r="B2117" s="116">
        <v>1291.7249999999999</v>
      </c>
      <c r="C2117" s="116">
        <v>1284</v>
      </c>
      <c r="D2117" s="116">
        <v>1240.5250000000001</v>
      </c>
      <c r="E2117" s="116">
        <v>1240.5250000000001</v>
      </c>
      <c r="F2117" s="116">
        <v>2568</v>
      </c>
      <c r="G2117">
        <v>1795</v>
      </c>
      <c r="H2117" s="116"/>
      <c r="I2117" s="116"/>
      <c r="L2117" s="170">
        <v>45121</v>
      </c>
      <c r="M2117" s="116">
        <v>1284.5250000000001</v>
      </c>
      <c r="N2117" s="116">
        <v>1292.5</v>
      </c>
      <c r="O2117" s="116">
        <v>1244.9749999999999</v>
      </c>
      <c r="P2117" s="116">
        <v>1267.5</v>
      </c>
      <c r="Q2117" s="116">
        <v>2569.0500000000002</v>
      </c>
      <c r="R2117">
        <v>118877</v>
      </c>
    </row>
    <row r="2118" spans="1:18" x14ac:dyDescent="0.25">
      <c r="A2118" s="170">
        <v>45124</v>
      </c>
      <c r="B2118" s="116">
        <v>1293.575</v>
      </c>
      <c r="C2118" s="116">
        <v>1285.45</v>
      </c>
      <c r="D2118" s="116">
        <v>1265.0250000000001</v>
      </c>
      <c r="E2118" s="116">
        <v>1265.0250000000001</v>
      </c>
      <c r="F2118" s="116">
        <v>2570.9</v>
      </c>
      <c r="G2118">
        <v>2103</v>
      </c>
      <c r="H2118" s="116"/>
      <c r="I2118" s="116"/>
      <c r="L2118" s="170">
        <v>45124</v>
      </c>
      <c r="M2118" s="116">
        <v>1287.1500000000001</v>
      </c>
      <c r="N2118" s="116">
        <v>1294.4749999999999</v>
      </c>
      <c r="O2118" s="116">
        <v>1272.0250000000001</v>
      </c>
      <c r="P2118" s="116">
        <v>1290.5</v>
      </c>
      <c r="Q2118" s="116">
        <v>2574.3000000000002</v>
      </c>
      <c r="R2118">
        <v>41072</v>
      </c>
    </row>
    <row r="2119" spans="1:18" x14ac:dyDescent="0.25">
      <c r="A2119" s="170">
        <v>45125</v>
      </c>
      <c r="B2119" s="116">
        <v>1286.875</v>
      </c>
      <c r="C2119" s="116">
        <v>1253.45</v>
      </c>
      <c r="D2119" s="116">
        <v>1232.0250000000001</v>
      </c>
      <c r="E2119" s="116">
        <v>1273.5250000000001</v>
      </c>
      <c r="F2119" s="116">
        <v>2506.9</v>
      </c>
      <c r="G2119">
        <v>1975</v>
      </c>
      <c r="H2119" s="116"/>
      <c r="I2119" s="116"/>
      <c r="L2119" s="170">
        <v>45125</v>
      </c>
      <c r="M2119" s="116">
        <v>1254.5250000000001</v>
      </c>
      <c r="N2119" s="116">
        <v>1296.55</v>
      </c>
      <c r="O2119" s="116">
        <v>1231.05</v>
      </c>
      <c r="P2119" s="116">
        <v>1296.55</v>
      </c>
      <c r="Q2119" s="116">
        <v>2509.0500000000002</v>
      </c>
      <c r="R2119">
        <v>49013</v>
      </c>
    </row>
    <row r="2120" spans="1:18" x14ac:dyDescent="0.25">
      <c r="A2120" s="170">
        <v>45126</v>
      </c>
      <c r="B2120" s="116">
        <v>1267.55</v>
      </c>
      <c r="C2120" s="116">
        <v>1263.175</v>
      </c>
      <c r="D2120" s="116">
        <v>1251.325</v>
      </c>
      <c r="E2120" s="116">
        <v>1259.925</v>
      </c>
      <c r="F2120" s="116">
        <v>2526.35</v>
      </c>
      <c r="G2120">
        <v>824</v>
      </c>
      <c r="H2120" s="116"/>
      <c r="I2120" s="116"/>
      <c r="L2120" s="170">
        <v>45126</v>
      </c>
      <c r="M2120" s="116">
        <v>1261.675</v>
      </c>
      <c r="N2120" s="116">
        <v>1269.0999999999999</v>
      </c>
      <c r="O2120" s="116">
        <v>1250.6500000000001</v>
      </c>
      <c r="P2120" s="116">
        <v>1260</v>
      </c>
      <c r="Q2120" s="116">
        <v>2523.35</v>
      </c>
      <c r="R2120">
        <v>13206</v>
      </c>
    </row>
    <row r="2121" spans="1:18" x14ac:dyDescent="0.25">
      <c r="A2121" s="170">
        <v>45127</v>
      </c>
      <c r="B2121" s="116">
        <v>1260.5</v>
      </c>
      <c r="C2121" s="116">
        <v>1251.625</v>
      </c>
      <c r="D2121" s="116">
        <v>1241.675</v>
      </c>
      <c r="E2121" s="116">
        <v>1255.7</v>
      </c>
      <c r="F2121" s="116">
        <v>2503.25</v>
      </c>
      <c r="G2121">
        <v>2295</v>
      </c>
      <c r="H2121" s="116"/>
      <c r="I2121" s="116"/>
      <c r="L2121" s="170">
        <v>45127</v>
      </c>
      <c r="M2121" s="116">
        <v>1251.2750000000001</v>
      </c>
      <c r="N2121" s="116">
        <v>1261.675</v>
      </c>
      <c r="O2121" s="116">
        <v>1246.925</v>
      </c>
      <c r="P2121" s="116">
        <v>1261.675</v>
      </c>
      <c r="Q2121" s="116">
        <v>2502.5500000000002</v>
      </c>
      <c r="R2121">
        <v>11643</v>
      </c>
    </row>
    <row r="2122" spans="1:18" x14ac:dyDescent="0.25">
      <c r="A2122" s="170">
        <v>45128</v>
      </c>
      <c r="B2122" s="116">
        <v>1260.575</v>
      </c>
      <c r="C2122" s="116">
        <v>1255.925</v>
      </c>
      <c r="D2122" s="116">
        <v>1245</v>
      </c>
      <c r="E2122" s="116">
        <v>1259.9749999999999</v>
      </c>
      <c r="F2122" s="116">
        <v>2511.85</v>
      </c>
      <c r="G2122">
        <v>1118</v>
      </c>
      <c r="H2122" s="116"/>
      <c r="I2122" s="116"/>
      <c r="L2122" s="170">
        <v>45128</v>
      </c>
      <c r="M2122" s="116">
        <v>1255.625</v>
      </c>
      <c r="N2122" s="116">
        <v>1260.55</v>
      </c>
      <c r="O2122" s="116">
        <v>1245</v>
      </c>
      <c r="P2122" s="116">
        <v>1252.5</v>
      </c>
      <c r="Q2122" s="116">
        <v>2511.25</v>
      </c>
      <c r="R2122">
        <v>12052</v>
      </c>
    </row>
    <row r="2123" spans="1:18" x14ac:dyDescent="0.25">
      <c r="A2123" s="170">
        <v>45131</v>
      </c>
      <c r="B2123" s="116">
        <v>1257.75</v>
      </c>
      <c r="C2123" s="116">
        <v>1220.0250000000001</v>
      </c>
      <c r="D2123" s="116">
        <v>1211.5</v>
      </c>
      <c r="E2123" s="116">
        <v>1252.55</v>
      </c>
      <c r="F2123" s="116">
        <v>2440.0500000000002</v>
      </c>
      <c r="G2123">
        <v>1710</v>
      </c>
      <c r="H2123" s="116"/>
      <c r="I2123" s="116"/>
      <c r="L2123" s="170">
        <v>45131</v>
      </c>
      <c r="M2123" s="116">
        <v>1218.7249999999999</v>
      </c>
      <c r="N2123" s="116">
        <v>1260</v>
      </c>
      <c r="O2123" s="116">
        <v>1212.1500000000001</v>
      </c>
      <c r="P2123" s="116">
        <v>1247</v>
      </c>
      <c r="Q2123" s="116">
        <v>2437.4499999999998</v>
      </c>
      <c r="R2123">
        <v>23633</v>
      </c>
    </row>
    <row r="2124" spans="1:18" x14ac:dyDescent="0.25">
      <c r="A2124" s="170">
        <v>45132</v>
      </c>
      <c r="B2124" s="116">
        <v>1247.9749999999999</v>
      </c>
      <c r="C2124" s="116">
        <v>1243.2</v>
      </c>
      <c r="D2124" s="116">
        <v>1215.0999999999999</v>
      </c>
      <c r="E2124" s="116">
        <v>1240.6500000000001</v>
      </c>
      <c r="F2124" s="116">
        <v>2486.4</v>
      </c>
      <c r="G2124">
        <v>1974</v>
      </c>
      <c r="H2124" s="116"/>
      <c r="I2124" s="116"/>
      <c r="L2124" s="170">
        <v>45132</v>
      </c>
      <c r="M2124" s="116">
        <v>1244.5250000000001</v>
      </c>
      <c r="N2124" s="116">
        <v>1247.2</v>
      </c>
      <c r="O2124" s="116">
        <v>1215.625</v>
      </c>
      <c r="P2124" s="116">
        <v>1218.7249999999999</v>
      </c>
      <c r="Q2124" s="116">
        <v>2489.0500000000002</v>
      </c>
      <c r="R2124">
        <v>74816</v>
      </c>
    </row>
    <row r="2125" spans="1:18" x14ac:dyDescent="0.25">
      <c r="A2125" s="170">
        <v>45133</v>
      </c>
      <c r="B2125" s="116">
        <v>1257.8</v>
      </c>
      <c r="C2125" s="116">
        <v>1227.1500000000001</v>
      </c>
      <c r="D2125" s="116">
        <v>1219.875</v>
      </c>
      <c r="E2125" s="116">
        <v>1243.325</v>
      </c>
      <c r="F2125" s="116">
        <v>2454.3000000000002</v>
      </c>
      <c r="G2125">
        <v>1205</v>
      </c>
      <c r="H2125" s="116"/>
      <c r="I2125" s="116"/>
      <c r="L2125" s="170">
        <v>45133</v>
      </c>
      <c r="M2125" s="116">
        <v>1224.9000000000001</v>
      </c>
      <c r="N2125" s="116">
        <v>1258</v>
      </c>
      <c r="O2125" s="116">
        <v>1217.3</v>
      </c>
      <c r="P2125" s="116">
        <v>1244.425</v>
      </c>
      <c r="Q2125" s="116">
        <v>2449.8000000000002</v>
      </c>
      <c r="R2125">
        <v>46546</v>
      </c>
    </row>
    <row r="2126" spans="1:18" x14ac:dyDescent="0.25">
      <c r="A2126" s="170">
        <v>45134</v>
      </c>
      <c r="B2126" s="116">
        <v>1264.05</v>
      </c>
      <c r="C2126" s="116">
        <v>1213.625</v>
      </c>
      <c r="D2126" s="116">
        <v>1208.25</v>
      </c>
      <c r="E2126" s="116">
        <v>1264.05</v>
      </c>
      <c r="F2126" s="116">
        <v>2427.25</v>
      </c>
      <c r="G2126">
        <v>3314</v>
      </c>
      <c r="H2126" s="116"/>
      <c r="I2126" s="116"/>
      <c r="L2126" s="170">
        <v>45134</v>
      </c>
      <c r="M2126" s="116">
        <v>1211.875</v>
      </c>
      <c r="N2126" s="116">
        <v>1233.5</v>
      </c>
      <c r="O2126" s="116">
        <v>1207.5</v>
      </c>
      <c r="P2126" s="116">
        <v>1231.3499999999999</v>
      </c>
      <c r="Q2126" s="116">
        <v>2423.75</v>
      </c>
      <c r="R2126">
        <v>21957</v>
      </c>
    </row>
    <row r="2127" spans="1:18" x14ac:dyDescent="0.25">
      <c r="A2127" s="170">
        <v>45135</v>
      </c>
      <c r="B2127" s="116">
        <v>1225.325</v>
      </c>
      <c r="C2127" s="116">
        <v>1206.8499999999999</v>
      </c>
      <c r="D2127" s="116">
        <v>1185</v>
      </c>
      <c r="E2127" s="116">
        <v>1221.2</v>
      </c>
      <c r="F2127" s="116">
        <v>2413.6999999999998</v>
      </c>
      <c r="G2127">
        <v>4307</v>
      </c>
      <c r="H2127" s="116"/>
      <c r="I2127" s="116"/>
      <c r="L2127" s="170">
        <v>45135</v>
      </c>
      <c r="M2127" s="116">
        <v>1207.95</v>
      </c>
      <c r="N2127" s="116">
        <v>1222.5</v>
      </c>
      <c r="O2127" s="116">
        <v>1183.8</v>
      </c>
      <c r="P2127" s="116">
        <v>1222.5</v>
      </c>
      <c r="Q2127" s="116">
        <v>2415.9</v>
      </c>
      <c r="R2127">
        <v>27333</v>
      </c>
    </row>
    <row r="2128" spans="1:18" x14ac:dyDescent="0.25">
      <c r="A2128" s="170">
        <v>45138</v>
      </c>
      <c r="B2128" s="116">
        <v>1257.8499999999999</v>
      </c>
      <c r="C2128" s="116">
        <v>1248.2750000000001</v>
      </c>
      <c r="D2128" s="116">
        <v>1203.8</v>
      </c>
      <c r="E2128" s="116">
        <v>1214.9749999999999</v>
      </c>
      <c r="F2128" s="116">
        <v>2496.5500000000002</v>
      </c>
      <c r="G2128">
        <v>1169</v>
      </c>
      <c r="H2128" s="116"/>
      <c r="I2128" s="116"/>
      <c r="L2128" s="170">
        <v>45138</v>
      </c>
      <c r="M2128" s="116">
        <v>1250.55</v>
      </c>
      <c r="N2128" s="116">
        <v>1258.5</v>
      </c>
      <c r="O2128" s="116">
        <v>1196.9749999999999</v>
      </c>
      <c r="P2128" s="116">
        <v>1206.55</v>
      </c>
      <c r="Q2128" s="116">
        <v>2501.1</v>
      </c>
      <c r="R2128">
        <v>57025</v>
      </c>
    </row>
    <row r="2129" spans="1:18" x14ac:dyDescent="0.25">
      <c r="A2129" s="170">
        <v>45139</v>
      </c>
      <c r="B2129" s="116">
        <v>1302.5</v>
      </c>
      <c r="C2129" s="116">
        <v>1286.875</v>
      </c>
      <c r="D2129" s="116">
        <v>1237.5250000000001</v>
      </c>
      <c r="E2129" s="116">
        <v>1237.5250000000001</v>
      </c>
      <c r="F2129" s="116">
        <v>2573.75</v>
      </c>
      <c r="G2129">
        <v>2867</v>
      </c>
      <c r="H2129" s="116"/>
      <c r="I2129" s="116"/>
      <c r="L2129" s="170">
        <v>45139</v>
      </c>
      <c r="M2129" s="116">
        <v>1287.675</v>
      </c>
      <c r="N2129" s="116">
        <v>1303.9000000000001</v>
      </c>
      <c r="O2129" s="116">
        <v>1241.075</v>
      </c>
      <c r="P2129" s="116">
        <v>1258.5</v>
      </c>
      <c r="Q2129" s="116">
        <v>2575.35</v>
      </c>
      <c r="R2129">
        <v>89054</v>
      </c>
    </row>
    <row r="2130" spans="1:18" x14ac:dyDescent="0.25">
      <c r="A2130" s="170">
        <v>45140</v>
      </c>
      <c r="B2130" s="116">
        <v>1287.5</v>
      </c>
      <c r="C2130" s="116">
        <v>1283.325</v>
      </c>
      <c r="D2130" s="116">
        <v>1256.0999999999999</v>
      </c>
      <c r="E2130" s="116">
        <v>1277.5250000000001</v>
      </c>
      <c r="F2130" s="116">
        <v>2566.65</v>
      </c>
      <c r="G2130">
        <v>2725</v>
      </c>
      <c r="H2130" s="116"/>
      <c r="I2130" s="116"/>
      <c r="L2130" s="170">
        <v>45140</v>
      </c>
      <c r="M2130" s="116">
        <v>1282.6500000000001</v>
      </c>
      <c r="N2130" s="116">
        <v>1287.5</v>
      </c>
      <c r="O2130" s="116">
        <v>1255.3</v>
      </c>
      <c r="P2130" s="116">
        <v>1287</v>
      </c>
      <c r="Q2130" s="116">
        <v>2565.3000000000002</v>
      </c>
      <c r="R2130">
        <v>50240</v>
      </c>
    </row>
    <row r="2131" spans="1:18" x14ac:dyDescent="0.25">
      <c r="A2131" s="170">
        <v>45141</v>
      </c>
      <c r="B2131" s="116">
        <v>1299</v>
      </c>
      <c r="C2131" s="116">
        <v>1284.75</v>
      </c>
      <c r="D2131" s="116">
        <v>1232.425</v>
      </c>
      <c r="E2131" s="116">
        <v>1273.125</v>
      </c>
      <c r="F2131" s="116">
        <v>2569.5</v>
      </c>
      <c r="G2131">
        <v>3451</v>
      </c>
      <c r="H2131" s="116"/>
      <c r="I2131" s="116"/>
      <c r="L2131" s="170">
        <v>45141</v>
      </c>
      <c r="M2131" s="116">
        <v>1279.825</v>
      </c>
      <c r="N2131" s="116">
        <v>1300</v>
      </c>
      <c r="O2131" s="116">
        <v>1232.1500000000001</v>
      </c>
      <c r="P2131" s="116">
        <v>1286.4000000000001</v>
      </c>
      <c r="Q2131" s="116">
        <v>2559.65</v>
      </c>
      <c r="R2131">
        <v>76673</v>
      </c>
    </row>
    <row r="2132" spans="1:18" x14ac:dyDescent="0.25">
      <c r="A2132" s="170">
        <v>45142</v>
      </c>
      <c r="B2132" s="116">
        <v>1324.95</v>
      </c>
      <c r="C2132" s="116">
        <v>1321.1</v>
      </c>
      <c r="D2132" s="116">
        <v>1276.8</v>
      </c>
      <c r="E2132" s="116">
        <v>1285.7</v>
      </c>
      <c r="F2132" s="116">
        <v>2642.2</v>
      </c>
      <c r="G2132">
        <v>3753</v>
      </c>
      <c r="H2132" s="116"/>
      <c r="I2132" s="116"/>
      <c r="L2132" s="170">
        <v>45142</v>
      </c>
      <c r="M2132" s="116">
        <v>1322.45</v>
      </c>
      <c r="N2132" s="116">
        <v>1324.95</v>
      </c>
      <c r="O2132" s="116">
        <v>1277.0250000000001</v>
      </c>
      <c r="P2132" s="116">
        <v>1283.575</v>
      </c>
      <c r="Q2132" s="116">
        <v>2644.9</v>
      </c>
      <c r="R2132">
        <v>53137</v>
      </c>
    </row>
    <row r="2133" spans="1:18" x14ac:dyDescent="0.25">
      <c r="A2133" s="170">
        <v>45145</v>
      </c>
      <c r="B2133" s="116">
        <v>1352.7</v>
      </c>
      <c r="C2133" s="116">
        <v>1285.5</v>
      </c>
      <c r="D2133" s="116">
        <v>1276.5250000000001</v>
      </c>
      <c r="E2133" s="116">
        <v>1324.925</v>
      </c>
      <c r="F2133" s="116">
        <v>2571</v>
      </c>
      <c r="G2133">
        <v>1679</v>
      </c>
      <c r="H2133" s="116"/>
      <c r="I2133" s="116"/>
      <c r="L2133" s="170">
        <v>45145</v>
      </c>
      <c r="M2133" s="116">
        <v>1283.5999999999999</v>
      </c>
      <c r="N2133" s="116">
        <v>1334.65</v>
      </c>
      <c r="O2133" s="116">
        <v>1275</v>
      </c>
      <c r="P2133" s="116">
        <v>1328.9749999999999</v>
      </c>
      <c r="Q2133" s="116">
        <v>2567.1999999999998</v>
      </c>
      <c r="R2133">
        <v>45067</v>
      </c>
    </row>
    <row r="2134" spans="1:18" x14ac:dyDescent="0.25">
      <c r="A2134" s="170">
        <v>45146</v>
      </c>
      <c r="B2134" s="116">
        <v>1348.9749999999999</v>
      </c>
      <c r="C2134" s="116">
        <v>1273.95</v>
      </c>
      <c r="D2134" s="116">
        <v>1245.5</v>
      </c>
      <c r="E2134" s="116">
        <v>1348.9749999999999</v>
      </c>
      <c r="F2134" s="116">
        <v>2547.9</v>
      </c>
      <c r="G2134">
        <v>2891</v>
      </c>
      <c r="H2134" s="116"/>
      <c r="I2134" s="116"/>
      <c r="L2134" s="170">
        <v>45146</v>
      </c>
      <c r="M2134" s="116">
        <v>1274.0250000000001</v>
      </c>
      <c r="N2134" s="116">
        <v>1290.0250000000001</v>
      </c>
      <c r="O2134" s="116">
        <v>1245.5250000000001</v>
      </c>
      <c r="P2134" s="116">
        <v>1290</v>
      </c>
      <c r="Q2134" s="116">
        <v>2548.0500000000002</v>
      </c>
      <c r="R2134">
        <v>58039</v>
      </c>
    </row>
    <row r="2135" spans="1:18" x14ac:dyDescent="0.25">
      <c r="A2135" s="170">
        <v>45147</v>
      </c>
      <c r="B2135" s="116">
        <v>1362</v>
      </c>
      <c r="C2135" s="116">
        <v>1355.9749999999999</v>
      </c>
      <c r="D2135" s="116">
        <v>1273.7249999999999</v>
      </c>
      <c r="E2135" s="116">
        <v>1285.4000000000001</v>
      </c>
      <c r="F2135" s="116">
        <v>2711.95</v>
      </c>
      <c r="G2135">
        <v>11549</v>
      </c>
      <c r="H2135" s="116"/>
      <c r="I2135" s="116"/>
      <c r="L2135" s="170">
        <v>45147</v>
      </c>
      <c r="M2135" s="116">
        <v>1355.575</v>
      </c>
      <c r="N2135" s="116">
        <v>1362.5</v>
      </c>
      <c r="O2135" s="116">
        <v>1271.7750000000001</v>
      </c>
      <c r="P2135" s="116">
        <v>1275.075</v>
      </c>
      <c r="Q2135" s="116">
        <v>2711.15</v>
      </c>
      <c r="R2135">
        <v>308497</v>
      </c>
    </row>
    <row r="2136" spans="1:18" x14ac:dyDescent="0.25">
      <c r="A2136" s="170">
        <v>45148</v>
      </c>
      <c r="B2136" s="116">
        <v>1419</v>
      </c>
      <c r="C2136" s="116">
        <v>1354.8</v>
      </c>
      <c r="D2136" s="116">
        <v>1350</v>
      </c>
      <c r="E2136" s="116">
        <v>1374.95</v>
      </c>
      <c r="F2136" s="116">
        <v>2709.6</v>
      </c>
      <c r="G2136">
        <v>12884</v>
      </c>
      <c r="H2136" s="116"/>
      <c r="I2136" s="116"/>
      <c r="L2136" s="170">
        <v>45148</v>
      </c>
      <c r="M2136" s="116">
        <v>1355.45</v>
      </c>
      <c r="N2136" s="116">
        <v>1422.2750000000001</v>
      </c>
      <c r="O2136" s="116">
        <v>1350</v>
      </c>
      <c r="P2136" s="116">
        <v>1382</v>
      </c>
      <c r="Q2136" s="116">
        <v>2710.9</v>
      </c>
      <c r="R2136">
        <v>239819</v>
      </c>
    </row>
    <row r="2137" spans="1:18" x14ac:dyDescent="0.25">
      <c r="A2137" s="170">
        <v>45149</v>
      </c>
      <c r="B2137" s="116">
        <v>1376.45</v>
      </c>
      <c r="C2137" s="116">
        <v>1339.4</v>
      </c>
      <c r="D2137" s="116">
        <v>1331.85</v>
      </c>
      <c r="E2137" s="116">
        <v>1363.15</v>
      </c>
      <c r="F2137" s="116">
        <v>2678.8</v>
      </c>
      <c r="G2137">
        <v>3027</v>
      </c>
      <c r="H2137" s="116"/>
      <c r="I2137" s="116"/>
      <c r="L2137" s="170">
        <v>45149</v>
      </c>
      <c r="M2137" s="116">
        <v>1339.9749999999999</v>
      </c>
      <c r="N2137" s="116">
        <v>1376.5</v>
      </c>
      <c r="O2137" s="116">
        <v>1331.05</v>
      </c>
      <c r="P2137" s="116">
        <v>1370</v>
      </c>
      <c r="Q2137" s="116">
        <v>2679.95</v>
      </c>
      <c r="R2137">
        <v>76653</v>
      </c>
    </row>
    <row r="2138" spans="1:18" x14ac:dyDescent="0.25">
      <c r="A2138" s="170">
        <v>45152</v>
      </c>
      <c r="B2138" s="116">
        <v>1362</v>
      </c>
      <c r="C2138" s="116">
        <v>1338.825</v>
      </c>
      <c r="D2138" s="116">
        <v>1316.7249999999999</v>
      </c>
      <c r="E2138" s="116">
        <v>1322</v>
      </c>
      <c r="F2138" s="116">
        <v>2677.65</v>
      </c>
      <c r="G2138">
        <v>4620</v>
      </c>
      <c r="H2138" s="116"/>
      <c r="I2138" s="116"/>
      <c r="L2138" s="170">
        <v>45152</v>
      </c>
      <c r="M2138" s="116">
        <v>1337.65</v>
      </c>
      <c r="N2138" s="116">
        <v>1362.5</v>
      </c>
      <c r="O2138" s="116">
        <v>1316</v>
      </c>
      <c r="P2138" s="116">
        <v>1316.175</v>
      </c>
      <c r="Q2138" s="116">
        <v>2675.3</v>
      </c>
      <c r="R2138">
        <v>87281</v>
      </c>
    </row>
    <row r="2139" spans="1:18" x14ac:dyDescent="0.25">
      <c r="A2139" s="170">
        <v>45154</v>
      </c>
      <c r="B2139" s="116">
        <v>1355</v>
      </c>
      <c r="C2139" s="116">
        <v>1315.075</v>
      </c>
      <c r="D2139" s="116">
        <v>1301.2249999999999</v>
      </c>
      <c r="E2139" s="116">
        <v>1301.2249999999999</v>
      </c>
      <c r="F2139" s="116">
        <v>2630.15</v>
      </c>
      <c r="G2139">
        <v>4557</v>
      </c>
      <c r="H2139" s="116"/>
      <c r="I2139" s="116"/>
      <c r="L2139" s="170">
        <v>45154</v>
      </c>
      <c r="M2139" s="116">
        <v>1313.175</v>
      </c>
      <c r="N2139" s="116">
        <v>1356.575</v>
      </c>
      <c r="O2139" s="116">
        <v>1300</v>
      </c>
      <c r="P2139" s="116">
        <v>1344.75</v>
      </c>
      <c r="Q2139" s="116">
        <v>2626.35</v>
      </c>
      <c r="R2139">
        <v>56573</v>
      </c>
    </row>
    <row r="2140" spans="1:18" x14ac:dyDescent="0.25">
      <c r="A2140" s="170">
        <v>45155</v>
      </c>
      <c r="B2140" s="116">
        <v>1315.075</v>
      </c>
      <c r="C2140" s="116">
        <v>1297.75</v>
      </c>
      <c r="D2140" s="116">
        <v>1291.7249999999999</v>
      </c>
      <c r="E2140" s="116">
        <v>1315.075</v>
      </c>
      <c r="F2140" s="116">
        <v>2595.5</v>
      </c>
      <c r="G2140">
        <v>2820</v>
      </c>
      <c r="H2140" s="116"/>
      <c r="I2140" s="116"/>
      <c r="L2140" s="170">
        <v>45155</v>
      </c>
      <c r="M2140" s="116">
        <v>1297.4000000000001</v>
      </c>
      <c r="N2140" s="116">
        <v>1313.175</v>
      </c>
      <c r="O2140" s="116">
        <v>1291.05</v>
      </c>
      <c r="P2140" s="116">
        <v>1313.175</v>
      </c>
      <c r="Q2140" s="116">
        <v>2594.8000000000002</v>
      </c>
      <c r="R2140">
        <v>31963</v>
      </c>
    </row>
    <row r="2141" spans="1:18" x14ac:dyDescent="0.25">
      <c r="A2141" s="170">
        <v>45156</v>
      </c>
      <c r="B2141" s="116">
        <v>1341</v>
      </c>
      <c r="C2141" s="116">
        <v>1335.4</v>
      </c>
      <c r="D2141" s="116">
        <v>1278.2249999999999</v>
      </c>
      <c r="E2141" s="116">
        <v>1296.5999999999999</v>
      </c>
      <c r="F2141" s="116">
        <v>2670.8</v>
      </c>
      <c r="G2141">
        <v>4902</v>
      </c>
      <c r="H2141" s="116"/>
      <c r="I2141" s="116"/>
      <c r="L2141" s="170">
        <v>45156</v>
      </c>
      <c r="M2141" s="116">
        <v>1334.075</v>
      </c>
      <c r="N2141" s="116">
        <v>1344</v>
      </c>
      <c r="O2141" s="116">
        <v>1277.5</v>
      </c>
      <c r="P2141" s="116">
        <v>1304</v>
      </c>
      <c r="Q2141" s="116">
        <v>2668.15</v>
      </c>
      <c r="R2141">
        <v>83391</v>
      </c>
    </row>
    <row r="2142" spans="1:18" x14ac:dyDescent="0.25">
      <c r="A2142" s="170">
        <v>45159</v>
      </c>
      <c r="B2142" s="116">
        <v>1344.625</v>
      </c>
      <c r="C2142" s="116">
        <v>1330.95</v>
      </c>
      <c r="D2142" s="116">
        <v>1315</v>
      </c>
      <c r="E2142" s="116">
        <v>1330.0250000000001</v>
      </c>
      <c r="F2142" s="116">
        <v>2661.9</v>
      </c>
      <c r="G2142">
        <v>4401</v>
      </c>
      <c r="H2142" s="116"/>
      <c r="I2142" s="116"/>
      <c r="L2142" s="170">
        <v>45159</v>
      </c>
      <c r="M2142" s="116">
        <v>1332.825</v>
      </c>
      <c r="N2142" s="116">
        <v>1344</v>
      </c>
      <c r="O2142" s="116">
        <v>1315</v>
      </c>
      <c r="P2142" s="116">
        <v>1334.9749999999999</v>
      </c>
      <c r="Q2142" s="116">
        <v>2665.65</v>
      </c>
      <c r="R2142">
        <v>29100</v>
      </c>
    </row>
    <row r="2143" spans="1:18" x14ac:dyDescent="0.25">
      <c r="A2143" s="170">
        <v>45160</v>
      </c>
      <c r="B2143" s="116">
        <v>1332.5</v>
      </c>
      <c r="C2143" s="116">
        <v>1326.2249999999999</v>
      </c>
      <c r="D2143" s="116">
        <v>1321.2249999999999</v>
      </c>
      <c r="E2143" s="116">
        <v>1332.1</v>
      </c>
      <c r="F2143" s="116">
        <v>2652.45</v>
      </c>
      <c r="G2143">
        <v>823</v>
      </c>
      <c r="H2143" s="116"/>
      <c r="I2143" s="116"/>
      <c r="L2143" s="170">
        <v>45160</v>
      </c>
      <c r="M2143" s="116">
        <v>1325.125</v>
      </c>
      <c r="N2143" s="116">
        <v>1338.325</v>
      </c>
      <c r="O2143" s="116">
        <v>1319.15</v>
      </c>
      <c r="P2143" s="116">
        <v>1338.325</v>
      </c>
      <c r="Q2143" s="116">
        <v>2650.25</v>
      </c>
      <c r="R2143">
        <v>214355</v>
      </c>
    </row>
    <row r="2144" spans="1:18" x14ac:dyDescent="0.25">
      <c r="A2144" s="170">
        <v>45161</v>
      </c>
      <c r="B2144" s="116">
        <v>1435.5</v>
      </c>
      <c r="C2144" s="116">
        <v>1406.95</v>
      </c>
      <c r="D2144" s="116">
        <v>1338.55</v>
      </c>
      <c r="E2144" s="116">
        <v>1348.9749999999999</v>
      </c>
      <c r="F2144" s="116">
        <v>2813.9</v>
      </c>
      <c r="G2144">
        <v>17232</v>
      </c>
      <c r="H2144" s="116"/>
      <c r="I2144" s="116"/>
      <c r="L2144" s="170">
        <v>45161</v>
      </c>
      <c r="M2144" s="116">
        <v>1407</v>
      </c>
      <c r="N2144" s="116">
        <v>1437.5</v>
      </c>
      <c r="O2144" s="116">
        <v>1332.1</v>
      </c>
      <c r="P2144" s="116">
        <v>1332.1</v>
      </c>
      <c r="Q2144" s="116">
        <v>2814</v>
      </c>
      <c r="R2144">
        <v>391247</v>
      </c>
    </row>
    <row r="2145" spans="1:18" x14ac:dyDescent="0.25">
      <c r="A2145" s="170">
        <v>45162</v>
      </c>
      <c r="B2145" s="116">
        <v>1404.95</v>
      </c>
      <c r="C2145" s="116">
        <v>1382.7</v>
      </c>
      <c r="D2145" s="116">
        <v>1376.5</v>
      </c>
      <c r="E2145" s="116">
        <v>1404.95</v>
      </c>
      <c r="F2145" s="116">
        <v>2765.4</v>
      </c>
      <c r="G2145">
        <v>4055</v>
      </c>
      <c r="H2145" s="116"/>
      <c r="I2145" s="116"/>
      <c r="L2145" s="170">
        <v>45162</v>
      </c>
      <c r="M2145" s="116">
        <v>1382.2249999999999</v>
      </c>
      <c r="N2145" s="116">
        <v>1399.0250000000001</v>
      </c>
      <c r="O2145" s="116">
        <v>1375.8</v>
      </c>
      <c r="P2145" s="116">
        <v>1399.0250000000001</v>
      </c>
      <c r="Q2145" s="116">
        <v>2764.45</v>
      </c>
      <c r="R2145">
        <v>65458</v>
      </c>
    </row>
    <row r="2146" spans="1:18" x14ac:dyDescent="0.25">
      <c r="A2146" s="170">
        <v>45163</v>
      </c>
      <c r="B2146" s="116">
        <v>1427.85</v>
      </c>
      <c r="C2146" s="116">
        <v>1419.825</v>
      </c>
      <c r="D2146" s="116">
        <v>1361</v>
      </c>
      <c r="E2146" s="116">
        <v>1387.5</v>
      </c>
      <c r="F2146" s="116">
        <v>2839.65</v>
      </c>
      <c r="G2146">
        <v>7603</v>
      </c>
      <c r="H2146" s="116"/>
      <c r="I2146" s="116"/>
      <c r="L2146" s="170">
        <v>45163</v>
      </c>
      <c r="M2146" s="116">
        <v>1420.95</v>
      </c>
      <c r="N2146" s="116">
        <v>1430</v>
      </c>
      <c r="O2146" s="116">
        <v>1365</v>
      </c>
      <c r="P2146" s="116">
        <v>1387.825</v>
      </c>
      <c r="Q2146" s="116">
        <v>2841.9</v>
      </c>
      <c r="R2146">
        <v>97336</v>
      </c>
    </row>
    <row r="2147" spans="1:18" x14ac:dyDescent="0.25">
      <c r="A2147" s="170">
        <v>45166</v>
      </c>
      <c r="B2147" s="116">
        <v>1467.5</v>
      </c>
      <c r="C2147" s="116">
        <v>1459.825</v>
      </c>
      <c r="D2147" s="116">
        <v>1402.5250000000001</v>
      </c>
      <c r="E2147" s="116">
        <v>1402.5250000000001</v>
      </c>
      <c r="F2147" s="116">
        <v>2919.65</v>
      </c>
      <c r="G2147">
        <v>6316</v>
      </c>
      <c r="H2147" s="116"/>
      <c r="I2147" s="116"/>
      <c r="L2147" s="170">
        <v>45166</v>
      </c>
      <c r="M2147" s="116">
        <v>1460.5</v>
      </c>
      <c r="N2147" s="116">
        <v>1468.5</v>
      </c>
      <c r="O2147" s="116">
        <v>1410.0250000000001</v>
      </c>
      <c r="P2147" s="116">
        <v>1416.9749999999999</v>
      </c>
      <c r="Q2147" s="116">
        <v>2921</v>
      </c>
      <c r="R2147">
        <v>168592</v>
      </c>
    </row>
    <row r="2148" spans="1:18" x14ac:dyDescent="0.25">
      <c r="A2148" s="170">
        <v>45167</v>
      </c>
      <c r="B2148" s="116">
        <v>1465</v>
      </c>
      <c r="C2148" s="116">
        <v>1425.625</v>
      </c>
      <c r="D2148" s="116">
        <v>1414.7750000000001</v>
      </c>
      <c r="E2148" s="116">
        <v>1450.0250000000001</v>
      </c>
      <c r="F2148" s="116">
        <v>2851.25</v>
      </c>
      <c r="G2148">
        <v>2553</v>
      </c>
      <c r="H2148" s="116"/>
      <c r="I2148" s="116"/>
      <c r="L2148" s="170">
        <v>45167</v>
      </c>
      <c r="M2148" s="116">
        <v>1425.05</v>
      </c>
      <c r="N2148" s="116">
        <v>1467.825</v>
      </c>
      <c r="O2148" s="116">
        <v>1412.625</v>
      </c>
      <c r="P2148" s="116">
        <v>1460</v>
      </c>
      <c r="Q2148" s="116">
        <v>2850.1</v>
      </c>
      <c r="R2148">
        <v>215009</v>
      </c>
    </row>
    <row r="2149" spans="1:18" x14ac:dyDescent="0.25">
      <c r="A2149" s="170">
        <v>45168</v>
      </c>
      <c r="B2149" s="116">
        <v>1449.9</v>
      </c>
      <c r="C2149" s="116">
        <v>1372.25</v>
      </c>
      <c r="D2149" s="116">
        <v>1363.5</v>
      </c>
      <c r="E2149" s="116">
        <v>1442.075</v>
      </c>
      <c r="F2149" s="116">
        <v>2744.5</v>
      </c>
      <c r="G2149">
        <v>7216</v>
      </c>
      <c r="H2149" s="116"/>
      <c r="I2149" s="116"/>
      <c r="L2149" s="170">
        <v>45168</v>
      </c>
      <c r="M2149" s="116">
        <v>1373.1</v>
      </c>
      <c r="N2149" s="116">
        <v>1454.925</v>
      </c>
      <c r="O2149" s="116">
        <v>1360</v>
      </c>
      <c r="P2149" s="116">
        <v>1452.6</v>
      </c>
      <c r="Q2149" s="116">
        <v>2746.2</v>
      </c>
      <c r="R2149">
        <v>191947</v>
      </c>
    </row>
    <row r="2150" spans="1:18" x14ac:dyDescent="0.25">
      <c r="A2150" s="170">
        <v>45169</v>
      </c>
      <c r="B2150" s="116">
        <v>1399.4749999999999</v>
      </c>
      <c r="C2150" s="116">
        <v>1382.65</v>
      </c>
      <c r="D2150" s="116">
        <v>1372.7249999999999</v>
      </c>
      <c r="E2150" s="116">
        <v>1399.4749999999999</v>
      </c>
      <c r="F2150" s="116">
        <v>2765.3</v>
      </c>
      <c r="G2150">
        <v>1396</v>
      </c>
      <c r="H2150" s="116"/>
      <c r="I2150" s="116"/>
      <c r="L2150" s="170">
        <v>45169</v>
      </c>
      <c r="M2150" s="116">
        <v>1384.25</v>
      </c>
      <c r="N2150" s="116">
        <v>1394.9</v>
      </c>
      <c r="O2150" s="116">
        <v>1372.625</v>
      </c>
      <c r="P2150" s="116">
        <v>1387.175</v>
      </c>
      <c r="Q2150" s="116">
        <v>2768.5</v>
      </c>
      <c r="R2150">
        <v>54171</v>
      </c>
    </row>
    <row r="2151" spans="1:18" x14ac:dyDescent="0.25">
      <c r="A2151" s="170">
        <v>45170</v>
      </c>
      <c r="B2151" s="116">
        <v>1409</v>
      </c>
      <c r="C2151" s="116">
        <v>1398.2750000000001</v>
      </c>
      <c r="D2151" s="116">
        <v>1390.9749999999999</v>
      </c>
      <c r="E2151" s="116">
        <v>1394.9749999999999</v>
      </c>
      <c r="F2151" s="116">
        <v>2796.55</v>
      </c>
      <c r="G2151">
        <v>1535</v>
      </c>
      <c r="H2151" s="116"/>
      <c r="I2151" s="116"/>
      <c r="L2151" s="170">
        <v>45170</v>
      </c>
      <c r="M2151" s="116">
        <v>1398.075</v>
      </c>
      <c r="N2151" s="116">
        <v>1410</v>
      </c>
      <c r="O2151" s="116">
        <v>1389.45</v>
      </c>
      <c r="P2151" s="116">
        <v>1394.5</v>
      </c>
      <c r="Q2151" s="116">
        <v>2796.15</v>
      </c>
      <c r="R2151">
        <v>64040</v>
      </c>
    </row>
    <row r="2152" spans="1:18" x14ac:dyDescent="0.25">
      <c r="A2152" s="170">
        <v>45173</v>
      </c>
      <c r="B2152" s="116">
        <v>1405.2750000000001</v>
      </c>
      <c r="C2152" s="116">
        <v>1390.95</v>
      </c>
      <c r="D2152" s="116">
        <v>1377.7249999999999</v>
      </c>
      <c r="E2152" s="116">
        <v>1401.5</v>
      </c>
      <c r="F2152" s="116">
        <v>2781.9</v>
      </c>
      <c r="G2152">
        <v>2291</v>
      </c>
      <c r="H2152" s="116"/>
      <c r="I2152" s="116"/>
      <c r="L2152" s="170">
        <v>45173</v>
      </c>
      <c r="M2152" s="116">
        <v>1390.45</v>
      </c>
      <c r="N2152" s="116">
        <v>1408.9749999999999</v>
      </c>
      <c r="O2152" s="116">
        <v>1379.3</v>
      </c>
      <c r="P2152" s="116">
        <v>1408.9749999999999</v>
      </c>
      <c r="Q2152" s="116">
        <v>2780.9</v>
      </c>
      <c r="R2152">
        <v>34794</v>
      </c>
    </row>
    <row r="2153" spans="1:18" x14ac:dyDescent="0.25">
      <c r="A2153" s="170">
        <v>45174</v>
      </c>
      <c r="B2153" s="116">
        <v>1418.2249999999999</v>
      </c>
      <c r="C2153" s="116">
        <v>1404.825</v>
      </c>
      <c r="D2153" s="116">
        <v>1389.0250000000001</v>
      </c>
      <c r="E2153" s="116">
        <v>1389.0250000000001</v>
      </c>
      <c r="F2153" s="116">
        <v>2809.65</v>
      </c>
      <c r="G2153">
        <v>2885</v>
      </c>
      <c r="H2153" s="116"/>
      <c r="I2153" s="116"/>
      <c r="L2153" s="170">
        <v>45174</v>
      </c>
      <c r="M2153" s="116">
        <v>1404.425</v>
      </c>
      <c r="N2153" s="116">
        <v>1418.925</v>
      </c>
      <c r="O2153" s="116">
        <v>1391.925</v>
      </c>
      <c r="P2153" s="116">
        <v>1397.75</v>
      </c>
      <c r="Q2153" s="116">
        <v>2808.85</v>
      </c>
      <c r="R2153">
        <v>106697</v>
      </c>
    </row>
    <row r="2154" spans="1:18" x14ac:dyDescent="0.25">
      <c r="A2154" s="170">
        <v>45175</v>
      </c>
      <c r="B2154" s="116">
        <v>1444.375</v>
      </c>
      <c r="C2154" s="116">
        <v>1418.925</v>
      </c>
      <c r="D2154" s="116">
        <v>1380.05</v>
      </c>
      <c r="E2154" s="116">
        <v>1380.05</v>
      </c>
      <c r="F2154" s="116">
        <v>2837.85</v>
      </c>
      <c r="G2154">
        <v>5582</v>
      </c>
      <c r="H2154" s="116"/>
      <c r="I2154" s="116"/>
      <c r="L2154" s="170">
        <v>45175</v>
      </c>
      <c r="M2154" s="116">
        <v>1419.45</v>
      </c>
      <c r="N2154" s="116">
        <v>1444.125</v>
      </c>
      <c r="O2154" s="116">
        <v>1404.0250000000001</v>
      </c>
      <c r="P2154" s="116">
        <v>1412.45</v>
      </c>
      <c r="Q2154" s="116">
        <v>2838.9</v>
      </c>
      <c r="R2154">
        <v>78501</v>
      </c>
    </row>
    <row r="2155" spans="1:18" x14ac:dyDescent="0.25">
      <c r="A2155" s="170">
        <v>45176</v>
      </c>
      <c r="B2155" s="116">
        <v>1428.0250000000001</v>
      </c>
      <c r="C2155" s="116">
        <v>1397.125</v>
      </c>
      <c r="D2155" s="116">
        <v>1390.5</v>
      </c>
      <c r="E2155" s="116">
        <v>1425</v>
      </c>
      <c r="F2155" s="116">
        <v>2794.25</v>
      </c>
      <c r="G2155">
        <v>1964</v>
      </c>
      <c r="H2155" s="116"/>
      <c r="I2155" s="116"/>
      <c r="L2155" s="170">
        <v>45176</v>
      </c>
      <c r="M2155" s="116">
        <v>1395.25</v>
      </c>
      <c r="N2155" s="116">
        <v>1431.925</v>
      </c>
      <c r="O2155" s="116">
        <v>1390.5</v>
      </c>
      <c r="P2155" s="116">
        <v>1424</v>
      </c>
      <c r="Q2155" s="116">
        <v>2790.5</v>
      </c>
      <c r="R2155">
        <v>35933</v>
      </c>
    </row>
    <row r="2156" spans="1:18" x14ac:dyDescent="0.25">
      <c r="A2156" s="170">
        <v>45177</v>
      </c>
      <c r="B2156" s="116">
        <v>1399.2</v>
      </c>
      <c r="C2156" s="116">
        <v>1389.2</v>
      </c>
      <c r="D2156" s="116">
        <v>1383</v>
      </c>
      <c r="E2156" s="116">
        <v>1387.0250000000001</v>
      </c>
      <c r="F2156" s="116">
        <v>2778.4</v>
      </c>
      <c r="G2156">
        <v>4361</v>
      </c>
      <c r="H2156" s="116"/>
      <c r="I2156" s="116"/>
      <c r="L2156" s="170">
        <v>45177</v>
      </c>
      <c r="M2156" s="116">
        <v>1391.4749999999999</v>
      </c>
      <c r="N2156" s="116">
        <v>1399.925</v>
      </c>
      <c r="O2156" s="116">
        <v>1382.55</v>
      </c>
      <c r="P2156" s="116">
        <v>1395.25</v>
      </c>
      <c r="Q2156" s="116">
        <v>2782.95</v>
      </c>
      <c r="R2156">
        <v>97476</v>
      </c>
    </row>
    <row r="2157" spans="1:18" x14ac:dyDescent="0.25">
      <c r="A2157" s="170">
        <v>45180</v>
      </c>
      <c r="B2157" s="116">
        <v>1426.9</v>
      </c>
      <c r="C2157" s="116">
        <v>1421.175</v>
      </c>
      <c r="D2157" s="116">
        <v>1377.5250000000001</v>
      </c>
      <c r="E2157" s="116">
        <v>1377.5250000000001</v>
      </c>
      <c r="F2157" s="116">
        <v>2842.35</v>
      </c>
      <c r="G2157">
        <v>2743</v>
      </c>
      <c r="H2157" s="116"/>
      <c r="I2157" s="116"/>
      <c r="L2157" s="170">
        <v>45180</v>
      </c>
      <c r="M2157" s="116">
        <v>1421.7750000000001</v>
      </c>
      <c r="N2157" s="116">
        <v>1427.5</v>
      </c>
      <c r="O2157" s="116">
        <v>1392.7750000000001</v>
      </c>
      <c r="P2157" s="116">
        <v>1392.7750000000001</v>
      </c>
      <c r="Q2157" s="116">
        <v>2843.55</v>
      </c>
      <c r="R2157">
        <v>96615</v>
      </c>
    </row>
    <row r="2158" spans="1:18" x14ac:dyDescent="0.25">
      <c r="A2158" s="170">
        <v>45181</v>
      </c>
      <c r="B2158" s="116">
        <v>1518.85</v>
      </c>
      <c r="C2158" s="116">
        <v>1463.4</v>
      </c>
      <c r="D2158" s="116">
        <v>1425.9749999999999</v>
      </c>
      <c r="E2158" s="116">
        <v>1432.7</v>
      </c>
      <c r="F2158" s="116">
        <v>2926.8</v>
      </c>
      <c r="G2158">
        <v>14043</v>
      </c>
      <c r="H2158" s="116"/>
      <c r="I2158" s="116"/>
      <c r="L2158" s="170">
        <v>45181</v>
      </c>
      <c r="M2158" s="116">
        <v>1462.05</v>
      </c>
      <c r="N2158" s="116">
        <v>1520</v>
      </c>
      <c r="O2158" s="116">
        <v>1426.5250000000001</v>
      </c>
      <c r="P2158" s="116">
        <v>1429.25</v>
      </c>
      <c r="Q2158" s="116">
        <v>2924.1</v>
      </c>
      <c r="R2158">
        <v>637194</v>
      </c>
    </row>
    <row r="2159" spans="1:18" x14ac:dyDescent="0.25">
      <c r="A2159" s="170">
        <v>45182</v>
      </c>
      <c r="B2159" s="116">
        <v>1524.575</v>
      </c>
      <c r="C2159" s="116">
        <v>1470.4749999999999</v>
      </c>
      <c r="D2159" s="116">
        <v>1443.7750000000001</v>
      </c>
      <c r="E2159" s="116">
        <v>1471.925</v>
      </c>
      <c r="F2159" s="116">
        <v>2940.95</v>
      </c>
      <c r="G2159">
        <v>10346</v>
      </c>
      <c r="H2159" s="116"/>
      <c r="I2159" s="116"/>
      <c r="L2159" s="170">
        <v>45182</v>
      </c>
      <c r="M2159" s="116">
        <v>1470.5</v>
      </c>
      <c r="N2159" s="116">
        <v>1524.5</v>
      </c>
      <c r="O2159" s="116">
        <v>1452.6</v>
      </c>
      <c r="P2159" s="116">
        <v>1462</v>
      </c>
      <c r="Q2159" s="116">
        <v>2941</v>
      </c>
      <c r="R2159">
        <v>232885</v>
      </c>
    </row>
    <row r="2160" spans="1:18" x14ac:dyDescent="0.25">
      <c r="A2160" s="170">
        <v>45183</v>
      </c>
      <c r="B2160" s="116">
        <v>1512.9749999999999</v>
      </c>
      <c r="C2160" s="116">
        <v>1486.925</v>
      </c>
      <c r="D2160" s="116">
        <v>1474.825</v>
      </c>
      <c r="E2160" s="116">
        <v>1494.9749999999999</v>
      </c>
      <c r="F2160" s="116">
        <v>2973.85</v>
      </c>
      <c r="G2160">
        <v>4374</v>
      </c>
      <c r="H2160" s="116"/>
      <c r="I2160" s="116"/>
      <c r="L2160" s="170">
        <v>45183</v>
      </c>
      <c r="M2160" s="116">
        <v>1487.75</v>
      </c>
      <c r="N2160" s="116">
        <v>1517.5</v>
      </c>
      <c r="O2160" s="116">
        <v>1474.5250000000001</v>
      </c>
      <c r="P2160" s="116">
        <v>1477.875</v>
      </c>
      <c r="Q2160" s="116">
        <v>2975.5</v>
      </c>
      <c r="R2160">
        <v>130461</v>
      </c>
    </row>
    <row r="2161" spans="1:18" x14ac:dyDescent="0.25">
      <c r="A2161" s="170">
        <v>45184</v>
      </c>
      <c r="B2161" s="116">
        <v>1514.9749999999999</v>
      </c>
      <c r="C2161" s="116">
        <v>1477.9</v>
      </c>
      <c r="D2161" s="116">
        <v>1467.5</v>
      </c>
      <c r="E2161" s="116">
        <v>1514.2750000000001</v>
      </c>
      <c r="F2161" s="116">
        <v>2955.8</v>
      </c>
      <c r="G2161">
        <v>2294</v>
      </c>
      <c r="H2161" s="116"/>
      <c r="I2161" s="116"/>
      <c r="L2161" s="170">
        <v>45184</v>
      </c>
      <c r="M2161" s="116">
        <v>1478.4749999999999</v>
      </c>
      <c r="N2161" s="116">
        <v>1517.5</v>
      </c>
      <c r="O2161" s="116">
        <v>1464.9749999999999</v>
      </c>
      <c r="P2161" s="116">
        <v>1499.85</v>
      </c>
      <c r="Q2161" s="116">
        <v>2956.95</v>
      </c>
      <c r="R2161">
        <v>93492</v>
      </c>
    </row>
    <row r="2162" spans="1:18" x14ac:dyDescent="0.25">
      <c r="A2162" s="170">
        <v>45187</v>
      </c>
      <c r="B2162" s="116">
        <v>1504.65</v>
      </c>
      <c r="C2162" s="116">
        <v>1483.05</v>
      </c>
      <c r="D2162" s="116">
        <v>1478.2</v>
      </c>
      <c r="E2162" s="116">
        <v>1484</v>
      </c>
      <c r="F2162" s="116">
        <v>1483.05</v>
      </c>
      <c r="G2162">
        <v>3961</v>
      </c>
      <c r="H2162" s="116"/>
      <c r="I2162" s="116"/>
      <c r="L2162" s="170">
        <v>45187</v>
      </c>
      <c r="M2162" s="116">
        <v>1484.7</v>
      </c>
      <c r="N2162" s="116">
        <v>1503.85</v>
      </c>
      <c r="O2162" s="116">
        <v>1477.8</v>
      </c>
      <c r="P2162" s="116">
        <v>1478</v>
      </c>
      <c r="Q2162" s="116">
        <v>1484.7</v>
      </c>
      <c r="R2162">
        <v>161359</v>
      </c>
    </row>
    <row r="2163" spans="1:18" x14ac:dyDescent="0.25">
      <c r="A2163" s="170">
        <v>45189</v>
      </c>
      <c r="B2163" s="116">
        <v>1511.2</v>
      </c>
      <c r="C2163" s="116">
        <v>1481.55</v>
      </c>
      <c r="D2163" s="116">
        <v>1472.7</v>
      </c>
      <c r="E2163" s="116">
        <v>1509.4</v>
      </c>
      <c r="F2163" s="116">
        <v>1481.55</v>
      </c>
      <c r="G2163">
        <v>2474</v>
      </c>
      <c r="H2163" s="116"/>
      <c r="I2163" s="116"/>
      <c r="L2163" s="170">
        <v>45189</v>
      </c>
      <c r="M2163" s="116">
        <v>1478.65</v>
      </c>
      <c r="N2163" s="116">
        <v>1513.25</v>
      </c>
      <c r="O2163" s="116">
        <v>1472.45</v>
      </c>
      <c r="P2163" s="116">
        <v>1500.7</v>
      </c>
      <c r="Q2163" s="116">
        <v>1478.65</v>
      </c>
      <c r="R2163">
        <v>108715</v>
      </c>
    </row>
    <row r="2164" spans="1:18" x14ac:dyDescent="0.25">
      <c r="A2164" s="170">
        <v>45190</v>
      </c>
      <c r="B2164" s="116">
        <v>1474.55</v>
      </c>
      <c r="C2164" s="116">
        <v>1436.2</v>
      </c>
      <c r="D2164" s="116">
        <v>1401</v>
      </c>
      <c r="E2164" s="116">
        <v>1474.55</v>
      </c>
      <c r="F2164" s="116">
        <v>1436.2</v>
      </c>
      <c r="G2164">
        <v>9015</v>
      </c>
      <c r="H2164" s="116"/>
      <c r="I2164" s="116"/>
      <c r="L2164" s="170">
        <v>45190</v>
      </c>
      <c r="M2164" s="116">
        <v>1442.15</v>
      </c>
      <c r="N2164" s="116">
        <v>1477.85</v>
      </c>
      <c r="O2164" s="116">
        <v>1400.05</v>
      </c>
      <c r="P2164" s="116">
        <v>1470</v>
      </c>
      <c r="Q2164" s="116">
        <v>1442.15</v>
      </c>
      <c r="R2164">
        <v>280853</v>
      </c>
    </row>
    <row r="2165" spans="1:18" x14ac:dyDescent="0.25">
      <c r="A2165" s="170">
        <v>45191</v>
      </c>
      <c r="B2165" s="116">
        <v>1430</v>
      </c>
      <c r="C2165" s="116">
        <v>1377.75</v>
      </c>
      <c r="D2165" s="116">
        <v>1371.05</v>
      </c>
      <c r="E2165" s="116">
        <v>1430</v>
      </c>
      <c r="F2165" s="116">
        <v>1377.75</v>
      </c>
      <c r="G2165">
        <v>6788</v>
      </c>
      <c r="H2165" s="116"/>
      <c r="I2165" s="116"/>
      <c r="L2165" s="170">
        <v>45191</v>
      </c>
      <c r="M2165" s="116">
        <v>1377.7</v>
      </c>
      <c r="N2165" s="116">
        <v>1429.75</v>
      </c>
      <c r="O2165" s="116">
        <v>1371.1</v>
      </c>
      <c r="P2165" s="116">
        <v>1425</v>
      </c>
      <c r="Q2165" s="116">
        <v>1377.7</v>
      </c>
      <c r="R2165">
        <v>208543</v>
      </c>
    </row>
    <row r="2166" spans="1:18" x14ac:dyDescent="0.25">
      <c r="A2166" s="170">
        <v>45194</v>
      </c>
      <c r="B2166" s="116">
        <v>1450</v>
      </c>
      <c r="C2166" s="116">
        <v>1431.9</v>
      </c>
      <c r="D2166" s="116">
        <v>1375.05</v>
      </c>
      <c r="E2166" s="116">
        <v>1375.05</v>
      </c>
      <c r="F2166" s="116">
        <v>1431.9</v>
      </c>
      <c r="G2166">
        <v>11228</v>
      </c>
      <c r="H2166" s="116"/>
      <c r="I2166" s="116"/>
      <c r="L2166" s="170">
        <v>45194</v>
      </c>
      <c r="M2166" s="116">
        <v>1433</v>
      </c>
      <c r="N2166" s="116">
        <v>1453.5</v>
      </c>
      <c r="O2166" s="116">
        <v>1377.3</v>
      </c>
      <c r="P2166" s="116">
        <v>1377.7</v>
      </c>
      <c r="Q2166" s="116">
        <v>1433</v>
      </c>
      <c r="R2166">
        <v>230279</v>
      </c>
    </row>
    <row r="2167" spans="1:18" x14ac:dyDescent="0.25">
      <c r="A2167" s="170">
        <v>45195</v>
      </c>
      <c r="B2167" s="116">
        <v>1449.95</v>
      </c>
      <c r="C2167" s="116">
        <v>1408.65</v>
      </c>
      <c r="D2167" s="116">
        <v>1403.15</v>
      </c>
      <c r="E2167" s="116">
        <v>1449.95</v>
      </c>
      <c r="F2167" s="116">
        <v>1408.65</v>
      </c>
      <c r="G2167">
        <v>3807</v>
      </c>
      <c r="H2167" s="116"/>
      <c r="I2167" s="116"/>
      <c r="L2167" s="170">
        <v>45195</v>
      </c>
      <c r="M2167" s="116">
        <v>1407.15</v>
      </c>
      <c r="N2167" s="116">
        <v>1444.05</v>
      </c>
      <c r="O2167" s="116">
        <v>1402.2</v>
      </c>
      <c r="P2167" s="116">
        <v>1428.1</v>
      </c>
      <c r="Q2167" s="116">
        <v>1407.15</v>
      </c>
      <c r="R2167">
        <v>75416</v>
      </c>
    </row>
    <row r="2168" spans="1:18" x14ac:dyDescent="0.25">
      <c r="A2168" s="170">
        <v>45196</v>
      </c>
      <c r="B2168" s="116">
        <v>1431.65</v>
      </c>
      <c r="C2168" s="116">
        <v>1412.2</v>
      </c>
      <c r="D2168" s="116">
        <v>1395</v>
      </c>
      <c r="E2168" s="116">
        <v>1431.65</v>
      </c>
      <c r="F2168" s="116">
        <v>1412.2</v>
      </c>
      <c r="G2168">
        <v>3612</v>
      </c>
      <c r="H2168" s="116"/>
      <c r="I2168" s="116"/>
      <c r="L2168" s="170">
        <v>45196</v>
      </c>
      <c r="M2168" s="116">
        <v>1411.3</v>
      </c>
      <c r="N2168" s="116">
        <v>1421.6</v>
      </c>
      <c r="O2168" s="116">
        <v>1394.45</v>
      </c>
      <c r="P2168" s="116">
        <v>1411</v>
      </c>
      <c r="Q2168" s="116">
        <v>1411.3</v>
      </c>
      <c r="R2168">
        <v>68407</v>
      </c>
    </row>
    <row r="2169" spans="1:18" x14ac:dyDescent="0.25">
      <c r="A2169" s="170">
        <v>45197</v>
      </c>
      <c r="B2169" s="116">
        <v>1425</v>
      </c>
      <c r="C2169" s="116">
        <v>1402.45</v>
      </c>
      <c r="D2169" s="116">
        <v>1390.1</v>
      </c>
      <c r="E2169" s="116">
        <v>1424.95</v>
      </c>
      <c r="F2169" s="116">
        <v>1402.45</v>
      </c>
      <c r="G2169">
        <v>3722</v>
      </c>
      <c r="H2169" s="116"/>
      <c r="I2169" s="116"/>
      <c r="L2169" s="170">
        <v>45197</v>
      </c>
      <c r="M2169" s="116">
        <v>1408.95</v>
      </c>
      <c r="N2169" s="116">
        <v>1421.95</v>
      </c>
      <c r="O2169" s="116">
        <v>1401</v>
      </c>
      <c r="P2169" s="116">
        <v>1418.4</v>
      </c>
      <c r="Q2169" s="116">
        <v>1408.95</v>
      </c>
      <c r="R2169">
        <v>100314</v>
      </c>
    </row>
    <row r="2170" spans="1:18" x14ac:dyDescent="0.25">
      <c r="A2170" s="170">
        <v>45198</v>
      </c>
      <c r="B2170" s="116">
        <v>1489.6</v>
      </c>
      <c r="C2170" s="116">
        <v>1483.65</v>
      </c>
      <c r="D2170" s="116">
        <v>1412</v>
      </c>
      <c r="E2170" s="116">
        <v>1419.95</v>
      </c>
      <c r="F2170" s="116">
        <v>1483.65</v>
      </c>
      <c r="G2170">
        <v>4755</v>
      </c>
      <c r="H2170" s="116"/>
      <c r="I2170" s="116"/>
      <c r="L2170" s="170">
        <v>45198</v>
      </c>
      <c r="M2170" s="116">
        <v>1482.1</v>
      </c>
      <c r="N2170" s="116">
        <v>1489.5</v>
      </c>
      <c r="O2170" s="116">
        <v>1406.75</v>
      </c>
      <c r="P2170" s="116">
        <v>1416</v>
      </c>
      <c r="Q2170" s="116">
        <v>1482.1</v>
      </c>
      <c r="R2170">
        <v>180320</v>
      </c>
    </row>
    <row r="2171" spans="1:18" x14ac:dyDescent="0.25">
      <c r="A2171" s="170">
        <v>45202</v>
      </c>
      <c r="B2171" s="116">
        <v>1506.95</v>
      </c>
      <c r="C2171" s="116">
        <v>1501.7</v>
      </c>
      <c r="D2171" s="116">
        <v>1454</v>
      </c>
      <c r="E2171" s="116">
        <v>1454</v>
      </c>
      <c r="F2171" s="116">
        <v>1501.7</v>
      </c>
      <c r="G2171">
        <v>9813</v>
      </c>
      <c r="H2171" s="116"/>
      <c r="I2171" s="116"/>
      <c r="L2171" s="170">
        <v>45202</v>
      </c>
      <c r="M2171" s="116">
        <v>1502.15</v>
      </c>
      <c r="N2171" s="116">
        <v>1508</v>
      </c>
      <c r="O2171" s="116">
        <v>1459.55</v>
      </c>
      <c r="P2171" s="116">
        <v>1477.95</v>
      </c>
      <c r="Q2171" s="116">
        <v>1502.15</v>
      </c>
      <c r="R2171">
        <v>321522</v>
      </c>
    </row>
    <row r="2172" spans="1:18" x14ac:dyDescent="0.25">
      <c r="A2172" s="170">
        <v>45203</v>
      </c>
      <c r="B2172" s="116">
        <v>1514.75</v>
      </c>
      <c r="C2172" s="116">
        <v>1489.65</v>
      </c>
      <c r="D2172" s="116">
        <v>1480</v>
      </c>
      <c r="E2172" s="116">
        <v>1502.15</v>
      </c>
      <c r="F2172" s="116">
        <v>1489.65</v>
      </c>
      <c r="G2172">
        <v>5567</v>
      </c>
      <c r="H2172" s="116"/>
      <c r="I2172" s="116"/>
      <c r="L2172" s="170">
        <v>45203</v>
      </c>
      <c r="M2172" s="116">
        <v>1494.35</v>
      </c>
      <c r="N2172" s="116">
        <v>1514</v>
      </c>
      <c r="O2172" s="116">
        <v>1480.05</v>
      </c>
      <c r="P2172" s="116">
        <v>1506.95</v>
      </c>
      <c r="Q2172" s="116">
        <v>1494.35</v>
      </c>
      <c r="R2172">
        <v>394987</v>
      </c>
    </row>
    <row r="2173" spans="1:18" x14ac:dyDescent="0.25">
      <c r="A2173" s="170">
        <v>45204</v>
      </c>
      <c r="B2173" s="116">
        <v>1507.6</v>
      </c>
      <c r="C2173" s="116">
        <v>1498.25</v>
      </c>
      <c r="D2173" s="116">
        <v>1465</v>
      </c>
      <c r="E2173" s="116">
        <v>1504</v>
      </c>
      <c r="F2173" s="116">
        <v>1498.25</v>
      </c>
      <c r="G2173">
        <v>4658</v>
      </c>
      <c r="H2173" s="116"/>
      <c r="I2173" s="116"/>
      <c r="L2173" s="170">
        <v>45204</v>
      </c>
      <c r="M2173" s="116">
        <v>1494.9</v>
      </c>
      <c r="N2173" s="116">
        <v>1510.5</v>
      </c>
      <c r="O2173" s="116">
        <v>1465</v>
      </c>
      <c r="P2173" s="116">
        <v>1510.5</v>
      </c>
      <c r="Q2173" s="116">
        <v>1494.9</v>
      </c>
      <c r="R2173">
        <v>143680</v>
      </c>
    </row>
    <row r="2174" spans="1:18" x14ac:dyDescent="0.25">
      <c r="A2174" s="170">
        <v>45205</v>
      </c>
      <c r="B2174" s="116">
        <v>1520</v>
      </c>
      <c r="C2174" s="116">
        <v>1496.55</v>
      </c>
      <c r="D2174" s="116">
        <v>1461.1</v>
      </c>
      <c r="E2174" s="116">
        <v>1498.25</v>
      </c>
      <c r="F2174" s="116">
        <v>1496.55</v>
      </c>
      <c r="G2174">
        <v>9954</v>
      </c>
      <c r="H2174" s="116"/>
      <c r="I2174" s="116"/>
      <c r="L2174" s="170">
        <v>45205</v>
      </c>
      <c r="M2174" s="116">
        <v>1490.25</v>
      </c>
      <c r="N2174" s="116">
        <v>1519.7</v>
      </c>
      <c r="O2174" s="116">
        <v>1477</v>
      </c>
      <c r="P2174" s="116">
        <v>1500.45</v>
      </c>
      <c r="Q2174" s="116">
        <v>1490.25</v>
      </c>
      <c r="R2174">
        <v>207884</v>
      </c>
    </row>
    <row r="2175" spans="1:18" x14ac:dyDescent="0.25">
      <c r="A2175" s="170">
        <v>45208</v>
      </c>
      <c r="B2175" s="116">
        <v>1519.8</v>
      </c>
      <c r="C2175" s="116">
        <v>1474.4</v>
      </c>
      <c r="D2175" s="116">
        <v>1456.05</v>
      </c>
      <c r="E2175" s="116">
        <v>1470.05</v>
      </c>
      <c r="F2175" s="116">
        <v>1474.4</v>
      </c>
      <c r="G2175">
        <v>8836</v>
      </c>
      <c r="H2175" s="116"/>
      <c r="I2175" s="116"/>
      <c r="L2175" s="170">
        <v>45208</v>
      </c>
      <c r="M2175" s="116">
        <v>1474.45</v>
      </c>
      <c r="N2175" s="116">
        <v>1518.7</v>
      </c>
      <c r="O2175" s="116">
        <v>1455.9</v>
      </c>
      <c r="P2175" s="116">
        <v>1479.05</v>
      </c>
      <c r="Q2175" s="116">
        <v>1474.45</v>
      </c>
      <c r="R2175">
        <v>158423</v>
      </c>
    </row>
    <row r="2176" spans="1:18" x14ac:dyDescent="0.25">
      <c r="A2176" s="170">
        <v>45209</v>
      </c>
      <c r="B2176" s="116">
        <v>1497.05</v>
      </c>
      <c r="C2176" s="116">
        <v>1473.75</v>
      </c>
      <c r="D2176" s="116">
        <v>1467.95</v>
      </c>
      <c r="E2176" s="116">
        <v>1483</v>
      </c>
      <c r="F2176" s="116">
        <v>1473.75</v>
      </c>
      <c r="G2176">
        <v>2794</v>
      </c>
      <c r="H2176" s="116"/>
      <c r="I2176" s="116"/>
      <c r="L2176" s="170">
        <v>45209</v>
      </c>
      <c r="M2176" s="116">
        <v>1474</v>
      </c>
      <c r="N2176" s="116">
        <v>1499.25</v>
      </c>
      <c r="O2176" s="116">
        <v>1466.55</v>
      </c>
      <c r="P2176" s="116">
        <v>1476.05</v>
      </c>
      <c r="Q2176" s="116">
        <v>1474</v>
      </c>
      <c r="R2176">
        <v>74564</v>
      </c>
    </row>
    <row r="2177" spans="1:18" x14ac:dyDescent="0.25">
      <c r="A2177" s="170">
        <v>45210</v>
      </c>
      <c r="B2177" s="116">
        <v>1505.5</v>
      </c>
      <c r="C2177" s="116">
        <v>1496.25</v>
      </c>
      <c r="D2177" s="116">
        <v>1479.5</v>
      </c>
      <c r="E2177" s="116">
        <v>1494.95</v>
      </c>
      <c r="F2177" s="116">
        <v>1496.25</v>
      </c>
      <c r="G2177">
        <v>2751</v>
      </c>
      <c r="H2177" s="116"/>
      <c r="I2177" s="116"/>
      <c r="L2177" s="170">
        <v>45210</v>
      </c>
      <c r="M2177" s="116">
        <v>1497.5</v>
      </c>
      <c r="N2177" s="116">
        <v>1505</v>
      </c>
      <c r="O2177" s="116">
        <v>1474</v>
      </c>
      <c r="P2177" s="116">
        <v>1487.45</v>
      </c>
      <c r="Q2177" s="116">
        <v>1497.5</v>
      </c>
      <c r="R2177">
        <v>68233</v>
      </c>
    </row>
    <row r="2178" spans="1:18" x14ac:dyDescent="0.25">
      <c r="A2178" s="170">
        <v>45211</v>
      </c>
      <c r="B2178" s="116">
        <v>1501.4</v>
      </c>
      <c r="C2178" s="116">
        <v>1470.8</v>
      </c>
      <c r="D2178" s="116">
        <v>1460</v>
      </c>
      <c r="E2178" s="116">
        <v>1485.05</v>
      </c>
      <c r="F2178" s="116">
        <v>1470.8</v>
      </c>
      <c r="G2178">
        <v>4531</v>
      </c>
      <c r="H2178" s="116"/>
      <c r="I2178" s="116"/>
      <c r="L2178" s="170">
        <v>45211</v>
      </c>
      <c r="M2178" s="116">
        <v>1473.95</v>
      </c>
      <c r="N2178" s="116">
        <v>1500</v>
      </c>
      <c r="O2178" s="116">
        <v>1457.05</v>
      </c>
      <c r="P2178" s="116">
        <v>1500</v>
      </c>
      <c r="Q2178" s="116">
        <v>1473.95</v>
      </c>
      <c r="R2178">
        <v>186585</v>
      </c>
    </row>
    <row r="2179" spans="1:18" x14ac:dyDescent="0.25">
      <c r="A2179" s="170">
        <v>45212</v>
      </c>
      <c r="B2179" s="116">
        <v>1484.3</v>
      </c>
      <c r="C2179" s="116">
        <v>1453.3</v>
      </c>
      <c r="D2179" s="116">
        <v>1445.6</v>
      </c>
      <c r="E2179" s="116">
        <v>1459.1</v>
      </c>
      <c r="F2179" s="116">
        <v>1453.3</v>
      </c>
      <c r="G2179">
        <v>1965</v>
      </c>
      <c r="H2179" s="116"/>
      <c r="I2179" s="116"/>
      <c r="L2179" s="170">
        <v>45212</v>
      </c>
      <c r="M2179" s="116">
        <v>1456</v>
      </c>
      <c r="N2179" s="116">
        <v>1484.15</v>
      </c>
      <c r="O2179" s="116">
        <v>1446</v>
      </c>
      <c r="P2179" s="116">
        <v>1475.95</v>
      </c>
      <c r="Q2179" s="116">
        <v>1456</v>
      </c>
      <c r="R2179">
        <v>95711</v>
      </c>
    </row>
    <row r="2180" spans="1:18" x14ac:dyDescent="0.25">
      <c r="A2180" s="170">
        <v>45215</v>
      </c>
      <c r="B2180" s="116">
        <v>1479.85</v>
      </c>
      <c r="C2180" s="116">
        <v>1404.95</v>
      </c>
      <c r="D2180" s="116">
        <v>1398.6</v>
      </c>
      <c r="E2180" s="116">
        <v>1479.85</v>
      </c>
      <c r="F2180" s="116">
        <v>1404.95</v>
      </c>
      <c r="G2180">
        <v>7894</v>
      </c>
      <c r="H2180" s="116"/>
      <c r="I2180" s="116"/>
      <c r="L2180" s="170">
        <v>45215</v>
      </c>
      <c r="M2180" s="116">
        <v>1405.95</v>
      </c>
      <c r="N2180" s="116">
        <v>1459.45</v>
      </c>
      <c r="O2180" s="116">
        <v>1400.05</v>
      </c>
      <c r="P2180" s="116">
        <v>1455.05</v>
      </c>
      <c r="Q2180" s="116">
        <v>1405.95</v>
      </c>
      <c r="R2180">
        <v>169616</v>
      </c>
    </row>
    <row r="2181" spans="1:18" x14ac:dyDescent="0.25">
      <c r="A2181" s="170">
        <v>45216</v>
      </c>
      <c r="B2181" s="116">
        <v>1429.9</v>
      </c>
      <c r="C2181" s="116">
        <v>1409.3</v>
      </c>
      <c r="D2181" s="116">
        <v>1402</v>
      </c>
      <c r="E2181" s="116">
        <v>1429.9</v>
      </c>
      <c r="F2181" s="116">
        <v>1409.3</v>
      </c>
      <c r="G2181">
        <v>1815</v>
      </c>
      <c r="H2181" s="116"/>
      <c r="I2181" s="116"/>
      <c r="L2181" s="170">
        <v>45216</v>
      </c>
      <c r="M2181" s="116">
        <v>1409.45</v>
      </c>
      <c r="N2181" s="116">
        <v>1422.25</v>
      </c>
      <c r="O2181" s="116">
        <v>1402.7</v>
      </c>
      <c r="P2181" s="116">
        <v>1419.5</v>
      </c>
      <c r="Q2181" s="116">
        <v>1409.45</v>
      </c>
      <c r="R2181">
        <v>72084</v>
      </c>
    </row>
    <row r="2182" spans="1:18" x14ac:dyDescent="0.25">
      <c r="A2182" s="170">
        <v>45217</v>
      </c>
      <c r="B2182" s="116">
        <v>1420.95</v>
      </c>
      <c r="C2182" s="116">
        <v>1391.3</v>
      </c>
      <c r="D2182" s="116">
        <v>1341</v>
      </c>
      <c r="E2182" s="116">
        <v>1420.95</v>
      </c>
      <c r="F2182" s="116">
        <v>1391.3</v>
      </c>
      <c r="G2182">
        <v>5915</v>
      </c>
      <c r="H2182" s="116"/>
      <c r="I2182" s="116"/>
      <c r="L2182" s="170">
        <v>45217</v>
      </c>
      <c r="M2182" s="116">
        <v>1390</v>
      </c>
      <c r="N2182" s="116">
        <v>1411</v>
      </c>
      <c r="O2182" s="116">
        <v>1340.2</v>
      </c>
      <c r="P2182" s="116">
        <v>1411</v>
      </c>
      <c r="Q2182" s="116">
        <v>1390</v>
      </c>
      <c r="R2182">
        <v>321269</v>
      </c>
    </row>
    <row r="2183" spans="1:18" x14ac:dyDescent="0.25">
      <c r="A2183" s="170">
        <v>45218</v>
      </c>
      <c r="B2183" s="116">
        <v>1378.75</v>
      </c>
      <c r="C2183" s="116">
        <v>1339.05</v>
      </c>
      <c r="D2183" s="116">
        <v>1333.2</v>
      </c>
      <c r="E2183" s="116">
        <v>1370.05</v>
      </c>
      <c r="F2183" s="116">
        <v>1339.05</v>
      </c>
      <c r="G2183">
        <v>11225</v>
      </c>
      <c r="H2183" s="116"/>
      <c r="I2183" s="116"/>
      <c r="L2183" s="170">
        <v>45218</v>
      </c>
      <c r="M2183" s="116">
        <v>1338.15</v>
      </c>
      <c r="N2183" s="116">
        <v>1387.05</v>
      </c>
      <c r="O2183" s="116">
        <v>1335</v>
      </c>
      <c r="P2183" s="116">
        <v>1380.1</v>
      </c>
      <c r="Q2183" s="116">
        <v>1338.15</v>
      </c>
      <c r="R2183">
        <v>163900</v>
      </c>
    </row>
    <row r="2184" spans="1:18" x14ac:dyDescent="0.25">
      <c r="A2184" s="170">
        <v>45219</v>
      </c>
      <c r="B2184" s="116">
        <v>1352.9</v>
      </c>
      <c r="C2184" s="116">
        <v>1344.5</v>
      </c>
      <c r="D2184" s="116">
        <v>1319.3</v>
      </c>
      <c r="E2184" s="116">
        <v>1342.25</v>
      </c>
      <c r="F2184" s="116">
        <v>1344.5</v>
      </c>
      <c r="G2184">
        <v>6553</v>
      </c>
      <c r="H2184" s="116"/>
      <c r="I2184" s="116"/>
      <c r="L2184" s="170">
        <v>45219</v>
      </c>
      <c r="M2184" s="116">
        <v>1345.6</v>
      </c>
      <c r="N2184" s="116">
        <v>1353.6</v>
      </c>
      <c r="O2184" s="116">
        <v>1317.2</v>
      </c>
      <c r="P2184" s="116">
        <v>1340</v>
      </c>
      <c r="Q2184" s="116">
        <v>1345.6</v>
      </c>
      <c r="R2184">
        <v>140193</v>
      </c>
    </row>
    <row r="2185" spans="1:18" x14ac:dyDescent="0.25">
      <c r="A2185" s="170">
        <v>45222</v>
      </c>
      <c r="B2185" s="116">
        <v>1358.75</v>
      </c>
      <c r="C2185" s="116">
        <v>1287.7</v>
      </c>
      <c r="D2185" s="116">
        <v>1280</v>
      </c>
      <c r="E2185" s="116">
        <v>1345.65</v>
      </c>
      <c r="F2185" s="116">
        <v>1287.7</v>
      </c>
      <c r="G2185">
        <v>3623</v>
      </c>
      <c r="H2185" s="116"/>
      <c r="I2185" s="116"/>
      <c r="L2185" s="170">
        <v>45222</v>
      </c>
      <c r="M2185" s="116">
        <v>1287.3499999999999</v>
      </c>
      <c r="N2185" s="116">
        <v>1359.95</v>
      </c>
      <c r="O2185" s="116">
        <v>1275</v>
      </c>
      <c r="P2185" s="116">
        <v>1352</v>
      </c>
      <c r="Q2185" s="116">
        <v>1287.3499999999999</v>
      </c>
      <c r="R2185">
        <v>95544</v>
      </c>
    </row>
    <row r="2186" spans="1:18" x14ac:dyDescent="0.25">
      <c r="A2186" s="170">
        <v>45224</v>
      </c>
      <c r="B2186" s="116">
        <v>1307.0999999999999</v>
      </c>
      <c r="C2186" s="116">
        <v>1291.25</v>
      </c>
      <c r="D2186" s="116">
        <v>1271.0999999999999</v>
      </c>
      <c r="E2186" s="116">
        <v>1287.7</v>
      </c>
      <c r="F2186" s="116">
        <v>1291.25</v>
      </c>
      <c r="G2186">
        <v>11365</v>
      </c>
      <c r="H2186" s="116"/>
      <c r="I2186" s="116"/>
      <c r="L2186" s="170">
        <v>45224</v>
      </c>
      <c r="M2186" s="116">
        <v>1297.45</v>
      </c>
      <c r="N2186" s="116">
        <v>1309.95</v>
      </c>
      <c r="O2186" s="116">
        <v>1260</v>
      </c>
      <c r="P2186" s="116">
        <v>1287.3499999999999</v>
      </c>
      <c r="Q2186" s="116">
        <v>1297.45</v>
      </c>
      <c r="R2186">
        <v>102679</v>
      </c>
    </row>
    <row r="2187" spans="1:18" x14ac:dyDescent="0.25">
      <c r="A2187" s="170">
        <v>45225</v>
      </c>
      <c r="B2187" s="116">
        <v>1315.35</v>
      </c>
      <c r="C2187" s="116">
        <v>1311.85</v>
      </c>
      <c r="D2187" s="116">
        <v>1246.05</v>
      </c>
      <c r="E2187" s="116">
        <v>1291.3</v>
      </c>
      <c r="F2187" s="116">
        <v>1311.85</v>
      </c>
      <c r="G2187">
        <v>5482</v>
      </c>
      <c r="H2187" s="116"/>
      <c r="I2187" s="116"/>
      <c r="L2187" s="170">
        <v>45225</v>
      </c>
      <c r="M2187" s="116">
        <v>1309.3499999999999</v>
      </c>
      <c r="N2187" s="116">
        <v>1316.3</v>
      </c>
      <c r="O2187" s="116">
        <v>1244.45</v>
      </c>
      <c r="P2187" s="116">
        <v>1297.45</v>
      </c>
      <c r="Q2187" s="116">
        <v>1309.3499999999999</v>
      </c>
      <c r="R2187">
        <v>146348</v>
      </c>
    </row>
    <row r="2188" spans="1:18" x14ac:dyDescent="0.25">
      <c r="A2188" s="170">
        <v>45226</v>
      </c>
      <c r="B2188" s="116">
        <v>1364.95</v>
      </c>
      <c r="C2188" s="116">
        <v>1359.7</v>
      </c>
      <c r="D2188" s="116">
        <v>1300.05</v>
      </c>
      <c r="E2188" s="116">
        <v>1311.85</v>
      </c>
      <c r="F2188" s="116">
        <v>1359.7</v>
      </c>
      <c r="G2188">
        <v>5206</v>
      </c>
      <c r="H2188" s="116"/>
      <c r="I2188" s="116"/>
      <c r="L2188" s="170">
        <v>45226</v>
      </c>
      <c r="M2188" s="116">
        <v>1361.1</v>
      </c>
      <c r="N2188" s="116">
        <v>1364.7</v>
      </c>
      <c r="O2188" s="116">
        <v>1302.1500000000001</v>
      </c>
      <c r="P2188" s="116">
        <v>1315.9</v>
      </c>
      <c r="Q2188" s="116">
        <v>1361.1</v>
      </c>
      <c r="R2188">
        <v>58695</v>
      </c>
    </row>
    <row r="2189" spans="1:18" x14ac:dyDescent="0.25">
      <c r="A2189" s="170">
        <v>45229</v>
      </c>
      <c r="B2189" s="116">
        <v>1394.35</v>
      </c>
      <c r="C2189" s="116">
        <v>1391.25</v>
      </c>
      <c r="D2189" s="116">
        <v>1364.05</v>
      </c>
      <c r="E2189" s="116">
        <v>1375</v>
      </c>
      <c r="F2189" s="116">
        <v>1391.25</v>
      </c>
      <c r="G2189">
        <v>1447</v>
      </c>
      <c r="H2189" s="116"/>
      <c r="I2189" s="116"/>
      <c r="L2189" s="170">
        <v>45229</v>
      </c>
      <c r="M2189" s="116">
        <v>1391.9</v>
      </c>
      <c r="N2189" s="116">
        <v>1394.75</v>
      </c>
      <c r="O2189" s="116">
        <v>1363.05</v>
      </c>
      <c r="P2189" s="116">
        <v>1374</v>
      </c>
      <c r="Q2189" s="116">
        <v>1391.9</v>
      </c>
      <c r="R2189">
        <v>108119</v>
      </c>
    </row>
    <row r="2190" spans="1:18" x14ac:dyDescent="0.25">
      <c r="A2190" s="170">
        <v>45230</v>
      </c>
      <c r="B2190" s="116">
        <v>1418.95</v>
      </c>
      <c r="C2190" s="116">
        <v>1398.65</v>
      </c>
      <c r="D2190" s="116">
        <v>1387</v>
      </c>
      <c r="E2190" s="116">
        <v>1418.95</v>
      </c>
      <c r="F2190" s="116">
        <v>1398.65</v>
      </c>
      <c r="G2190">
        <v>2166</v>
      </c>
      <c r="H2190" s="116"/>
      <c r="I2190" s="116"/>
      <c r="L2190" s="170">
        <v>45230</v>
      </c>
      <c r="M2190" s="116">
        <v>1398.25</v>
      </c>
      <c r="N2190" s="116">
        <v>1416</v>
      </c>
      <c r="O2190" s="116">
        <v>1376.05</v>
      </c>
      <c r="P2190" s="116">
        <v>1398.9</v>
      </c>
      <c r="Q2190" s="116">
        <v>1398.25</v>
      </c>
      <c r="R2190">
        <v>98141</v>
      </c>
    </row>
    <row r="2191" spans="1:18" x14ac:dyDescent="0.25">
      <c r="A2191" s="170">
        <v>45231</v>
      </c>
      <c r="B2191" s="116">
        <v>1416</v>
      </c>
      <c r="C2191" s="116">
        <v>1400.55</v>
      </c>
      <c r="D2191" s="116">
        <v>1396.75</v>
      </c>
      <c r="E2191" s="116">
        <v>1412.7</v>
      </c>
      <c r="F2191" s="116">
        <v>1400.55</v>
      </c>
      <c r="G2191">
        <v>5667</v>
      </c>
      <c r="H2191" s="116"/>
      <c r="I2191" s="116"/>
      <c r="L2191" s="170">
        <v>45231</v>
      </c>
      <c r="M2191" s="116">
        <v>1400.15</v>
      </c>
      <c r="N2191" s="116">
        <v>1417.95</v>
      </c>
      <c r="O2191" s="116">
        <v>1396.8</v>
      </c>
      <c r="P2191" s="116">
        <v>1398</v>
      </c>
      <c r="Q2191" s="116">
        <v>1400.15</v>
      </c>
      <c r="R2191">
        <v>45010</v>
      </c>
    </row>
    <row r="2192" spans="1:18" x14ac:dyDescent="0.25">
      <c r="A2192" s="170">
        <v>45232</v>
      </c>
      <c r="B2192" s="116">
        <v>1410</v>
      </c>
      <c r="C2192" s="116">
        <v>1401.2</v>
      </c>
      <c r="D2192" s="116">
        <v>1396.65</v>
      </c>
      <c r="E2192" s="116">
        <v>1405.35</v>
      </c>
      <c r="F2192" s="116">
        <v>1401.2</v>
      </c>
      <c r="G2192">
        <v>3798</v>
      </c>
      <c r="H2192" s="116"/>
      <c r="I2192" s="116"/>
      <c r="L2192" s="170">
        <v>45232</v>
      </c>
      <c r="M2192" s="116">
        <v>1400.2</v>
      </c>
      <c r="N2192" s="116">
        <v>1412.1</v>
      </c>
      <c r="O2192" s="116">
        <v>1395</v>
      </c>
      <c r="P2192" s="116">
        <v>1396</v>
      </c>
      <c r="Q2192" s="116">
        <v>1400.2</v>
      </c>
      <c r="R2192">
        <v>74432</v>
      </c>
    </row>
    <row r="2193" spans="1:18" x14ac:dyDescent="0.25">
      <c r="A2193" s="170">
        <v>45233</v>
      </c>
      <c r="B2193" s="116">
        <v>1416</v>
      </c>
      <c r="C2193" s="116">
        <v>1399.05</v>
      </c>
      <c r="D2193" s="116">
        <v>1391</v>
      </c>
      <c r="E2193" s="116">
        <v>1405.05</v>
      </c>
      <c r="F2193" s="116">
        <v>1399.05</v>
      </c>
      <c r="G2193">
        <v>4109</v>
      </c>
      <c r="H2193" s="116"/>
      <c r="I2193" s="116"/>
      <c r="L2193" s="170">
        <v>45233</v>
      </c>
      <c r="M2193" s="116">
        <v>1402.7</v>
      </c>
      <c r="N2193" s="116">
        <v>1417</v>
      </c>
      <c r="O2193" s="116">
        <v>1385.05</v>
      </c>
      <c r="P2193" s="116">
        <v>1407.2</v>
      </c>
      <c r="Q2193" s="116">
        <v>1402.7</v>
      </c>
      <c r="R2193">
        <v>42132</v>
      </c>
    </row>
    <row r="2194" spans="1:18" x14ac:dyDescent="0.25">
      <c r="A2194" s="170">
        <v>45236</v>
      </c>
      <c r="B2194" s="116">
        <v>1430</v>
      </c>
      <c r="C2194" s="116">
        <v>1410.9</v>
      </c>
      <c r="D2194" s="116">
        <v>1381.05</v>
      </c>
      <c r="E2194" s="116">
        <v>1381.05</v>
      </c>
      <c r="F2194" s="116">
        <v>1410.9</v>
      </c>
      <c r="G2194">
        <v>2631</v>
      </c>
      <c r="H2194" s="116"/>
      <c r="I2194" s="116"/>
      <c r="L2194" s="170">
        <v>45236</v>
      </c>
      <c r="M2194" s="116">
        <v>1413.6</v>
      </c>
      <c r="N2194" s="116">
        <v>1430</v>
      </c>
      <c r="O2194" s="116">
        <v>1397.45</v>
      </c>
      <c r="P2194" s="116">
        <v>1405.7</v>
      </c>
      <c r="Q2194" s="116">
        <v>1413.6</v>
      </c>
      <c r="R2194">
        <v>128267</v>
      </c>
    </row>
    <row r="2195" spans="1:18" x14ac:dyDescent="0.25">
      <c r="A2195" s="170">
        <v>45237</v>
      </c>
      <c r="B2195" s="116">
        <v>1470</v>
      </c>
      <c r="C2195" s="116">
        <v>1454</v>
      </c>
      <c r="D2195" s="116">
        <v>1410.7</v>
      </c>
      <c r="E2195" s="116">
        <v>1443.95</v>
      </c>
      <c r="F2195" s="116">
        <v>1454</v>
      </c>
      <c r="G2195">
        <v>3846</v>
      </c>
      <c r="H2195" s="116"/>
      <c r="I2195" s="116"/>
      <c r="L2195" s="170">
        <v>45237</v>
      </c>
      <c r="M2195" s="116">
        <v>1452.75</v>
      </c>
      <c r="N2195" s="116">
        <v>1470.65</v>
      </c>
      <c r="O2195" s="116">
        <v>1407.05</v>
      </c>
      <c r="P2195" s="116">
        <v>1412.75</v>
      </c>
      <c r="Q2195" s="116">
        <v>1452.75</v>
      </c>
      <c r="R2195">
        <v>105723</v>
      </c>
    </row>
    <row r="2196" spans="1:18" x14ac:dyDescent="0.25">
      <c r="A2196" s="170">
        <v>45238</v>
      </c>
      <c r="B2196" s="116">
        <v>1496.65</v>
      </c>
      <c r="C2196" s="116">
        <v>1461.95</v>
      </c>
      <c r="D2196" s="116">
        <v>1437</v>
      </c>
      <c r="E2196" s="116">
        <v>1473.75</v>
      </c>
      <c r="F2196" s="116">
        <v>1461.95</v>
      </c>
      <c r="G2196">
        <v>9141</v>
      </c>
      <c r="H2196" s="116"/>
      <c r="I2196" s="116"/>
      <c r="L2196" s="170">
        <v>45238</v>
      </c>
      <c r="M2196" s="116">
        <v>1462.2</v>
      </c>
      <c r="N2196" s="116">
        <v>1497.8</v>
      </c>
      <c r="O2196" s="116">
        <v>1436.25</v>
      </c>
      <c r="P2196" s="116">
        <v>1456</v>
      </c>
      <c r="Q2196" s="116">
        <v>1462.2</v>
      </c>
      <c r="R2196">
        <v>169088</v>
      </c>
    </row>
    <row r="2197" spans="1:18" x14ac:dyDescent="0.25">
      <c r="A2197" s="170">
        <v>45239</v>
      </c>
      <c r="B2197" s="116">
        <v>1536.5</v>
      </c>
      <c r="C2197" s="116">
        <v>1503.75</v>
      </c>
      <c r="D2197" s="116">
        <v>1470.1</v>
      </c>
      <c r="E2197" s="116">
        <v>1470.1</v>
      </c>
      <c r="F2197" s="116">
        <v>1503.75</v>
      </c>
      <c r="G2197">
        <v>9951</v>
      </c>
      <c r="H2197" s="116"/>
      <c r="I2197" s="116"/>
      <c r="L2197" s="170">
        <v>45239</v>
      </c>
      <c r="M2197" s="116">
        <v>1503.3</v>
      </c>
      <c r="N2197" s="116">
        <v>1536.25</v>
      </c>
      <c r="O2197" s="116">
        <v>1481.3</v>
      </c>
      <c r="P2197" s="116">
        <v>1490</v>
      </c>
      <c r="Q2197" s="116">
        <v>1503.3</v>
      </c>
      <c r="R2197">
        <v>430291</v>
      </c>
    </row>
    <row r="2198" spans="1:18" x14ac:dyDescent="0.25">
      <c r="A2198" s="170">
        <v>45240</v>
      </c>
      <c r="B2198" s="116">
        <v>1509.9</v>
      </c>
      <c r="C2198" s="116">
        <v>1500.3</v>
      </c>
      <c r="D2198" s="116">
        <v>1486.05</v>
      </c>
      <c r="E2198" s="116">
        <v>1486.05</v>
      </c>
      <c r="F2198" s="116">
        <v>1500.3</v>
      </c>
      <c r="G2198">
        <v>7386</v>
      </c>
      <c r="H2198" s="116"/>
      <c r="I2198" s="116"/>
      <c r="L2198" s="170">
        <v>45240</v>
      </c>
      <c r="M2198" s="116">
        <v>1502.45</v>
      </c>
      <c r="N2198" s="116">
        <v>1510</v>
      </c>
      <c r="O2198" s="116">
        <v>1486</v>
      </c>
      <c r="P2198" s="116">
        <v>1502</v>
      </c>
      <c r="Q2198" s="116">
        <v>1502.45</v>
      </c>
      <c r="R2198">
        <v>70067</v>
      </c>
    </row>
    <row r="2199" spans="1:18" x14ac:dyDescent="0.25">
      <c r="A2199" s="170">
        <v>45242</v>
      </c>
      <c r="B2199" s="116">
        <v>1522</v>
      </c>
      <c r="C2199" s="116">
        <v>1502.95</v>
      </c>
      <c r="D2199" s="116">
        <v>1492.9</v>
      </c>
      <c r="E2199" s="116">
        <v>1505.95</v>
      </c>
      <c r="F2199" s="116">
        <v>1502.95</v>
      </c>
      <c r="G2199">
        <v>1203</v>
      </c>
      <c r="H2199" s="116"/>
      <c r="I2199" s="116"/>
      <c r="L2199" s="170">
        <v>45242</v>
      </c>
      <c r="M2199" s="116">
        <v>1499.75</v>
      </c>
      <c r="N2199" s="116">
        <v>1521</v>
      </c>
      <c r="O2199" s="116">
        <v>1494</v>
      </c>
      <c r="P2199" s="116">
        <v>1510</v>
      </c>
      <c r="Q2199" s="116">
        <v>1499.75</v>
      </c>
      <c r="R2199">
        <v>14545</v>
      </c>
    </row>
    <row r="2200" spans="1:18" x14ac:dyDescent="0.25">
      <c r="A2200" s="170">
        <v>45243</v>
      </c>
      <c r="B2200" s="116">
        <v>1539.9</v>
      </c>
      <c r="C2200" s="116">
        <v>1500.2</v>
      </c>
      <c r="D2200" s="116">
        <v>1495.15</v>
      </c>
      <c r="E2200" s="116">
        <v>1519.95</v>
      </c>
      <c r="F2200" s="116">
        <v>1500.2</v>
      </c>
      <c r="G2200">
        <v>6161</v>
      </c>
      <c r="H2200" s="116"/>
      <c r="I2200" s="116"/>
      <c r="L2200" s="170">
        <v>45243</v>
      </c>
      <c r="M2200" s="116">
        <v>1499.8</v>
      </c>
      <c r="N2200" s="116">
        <v>1540</v>
      </c>
      <c r="O2200" s="116">
        <v>1494.25</v>
      </c>
      <c r="P2200" s="116">
        <v>1507.25</v>
      </c>
      <c r="Q2200" s="116">
        <v>1499.8</v>
      </c>
      <c r="R2200">
        <v>170152</v>
      </c>
    </row>
    <row r="2201" spans="1:18" x14ac:dyDescent="0.25">
      <c r="A2201" s="170">
        <v>45245</v>
      </c>
      <c r="B2201" s="116">
        <v>1534</v>
      </c>
      <c r="C2201" s="116">
        <v>1515</v>
      </c>
      <c r="D2201" s="116">
        <v>1491.15</v>
      </c>
      <c r="E2201" s="116">
        <v>1500.25</v>
      </c>
      <c r="F2201" s="116">
        <v>1515</v>
      </c>
      <c r="G2201">
        <v>5351</v>
      </c>
      <c r="H2201" s="116"/>
      <c r="I2201" s="116"/>
      <c r="L2201" s="170">
        <v>45245</v>
      </c>
      <c r="M2201" s="116">
        <v>1513.95</v>
      </c>
      <c r="N2201" s="116">
        <v>1535.95</v>
      </c>
      <c r="O2201" s="116">
        <v>1491.2</v>
      </c>
      <c r="P2201" s="116">
        <v>1515</v>
      </c>
      <c r="Q2201" s="116">
        <v>1513.95</v>
      </c>
      <c r="R2201">
        <v>177937</v>
      </c>
    </row>
    <row r="2202" spans="1:18" x14ac:dyDescent="0.25">
      <c r="A2202" s="170">
        <v>45246</v>
      </c>
      <c r="B2202" s="116">
        <v>1528</v>
      </c>
      <c r="C2202" s="116">
        <v>1503.05</v>
      </c>
      <c r="D2202" s="116">
        <v>1495.05</v>
      </c>
      <c r="E2202" s="116">
        <v>1495.05</v>
      </c>
      <c r="F2202" s="116">
        <v>1503.05</v>
      </c>
      <c r="G2202">
        <v>5597</v>
      </c>
      <c r="H2202" s="116"/>
      <c r="I2202" s="116"/>
      <c r="L2202" s="170">
        <v>45246</v>
      </c>
      <c r="M2202" s="116">
        <v>1502.55</v>
      </c>
      <c r="N2202" s="116">
        <v>1528.1</v>
      </c>
      <c r="O2202" s="116">
        <v>1498</v>
      </c>
      <c r="P2202" s="116">
        <v>1523.85</v>
      </c>
      <c r="Q2202" s="116">
        <v>1502.55</v>
      </c>
      <c r="R2202">
        <v>56819</v>
      </c>
    </row>
    <row r="2203" spans="1:18" x14ac:dyDescent="0.25">
      <c r="A2203" s="170">
        <v>45247</v>
      </c>
      <c r="B2203" s="116">
        <v>1520</v>
      </c>
      <c r="C2203" s="116">
        <v>1514.3</v>
      </c>
      <c r="D2203" s="116">
        <v>1486</v>
      </c>
      <c r="E2203" s="116">
        <v>1488.1</v>
      </c>
      <c r="F2203" s="116">
        <v>1514.3</v>
      </c>
      <c r="G2203">
        <v>7638</v>
      </c>
      <c r="H2203" s="116"/>
      <c r="I2203" s="116"/>
      <c r="L2203" s="170">
        <v>45247</v>
      </c>
      <c r="M2203" s="116">
        <v>1516.35</v>
      </c>
      <c r="N2203" s="116">
        <v>1523</v>
      </c>
      <c r="O2203" s="116">
        <v>1485.65</v>
      </c>
      <c r="P2203" s="116">
        <v>1503.05</v>
      </c>
      <c r="Q2203" s="116">
        <v>1516.35</v>
      </c>
      <c r="R2203">
        <v>68817</v>
      </c>
    </row>
    <row r="2204" spans="1:18" x14ac:dyDescent="0.25">
      <c r="A2204" s="170">
        <v>45250</v>
      </c>
      <c r="B2204" s="116">
        <v>1524.95</v>
      </c>
      <c r="C2204" s="116">
        <v>1511.9</v>
      </c>
      <c r="D2204" s="116">
        <v>1501.6</v>
      </c>
      <c r="E2204" s="116">
        <v>1514.3</v>
      </c>
      <c r="F2204" s="116">
        <v>1511.9</v>
      </c>
      <c r="G2204">
        <v>3677</v>
      </c>
      <c r="H2204" s="116"/>
      <c r="I2204" s="116"/>
      <c r="L2204" s="170">
        <v>45250</v>
      </c>
      <c r="M2204" s="116">
        <v>1511.35</v>
      </c>
      <c r="N2204" s="116">
        <v>1525</v>
      </c>
      <c r="O2204" s="116">
        <v>1502</v>
      </c>
      <c r="P2204" s="116">
        <v>1510</v>
      </c>
      <c r="Q2204" s="116">
        <v>1511.35</v>
      </c>
      <c r="R2204">
        <v>48460</v>
      </c>
    </row>
    <row r="2205" spans="1:18" x14ac:dyDescent="0.25">
      <c r="A2205" s="170">
        <v>45251</v>
      </c>
      <c r="B2205" s="116">
        <v>1524.95</v>
      </c>
      <c r="C2205" s="116">
        <v>1492.5</v>
      </c>
      <c r="D2205" s="116">
        <v>1480.8</v>
      </c>
      <c r="E2205" s="116">
        <v>1524.95</v>
      </c>
      <c r="F2205" s="116">
        <v>1492.5</v>
      </c>
      <c r="G2205">
        <v>8575</v>
      </c>
      <c r="H2205" s="116"/>
      <c r="I2205" s="116"/>
      <c r="L2205" s="170">
        <v>45251</v>
      </c>
      <c r="M2205" s="116">
        <v>1497.3</v>
      </c>
      <c r="N2205" s="116">
        <v>1525</v>
      </c>
      <c r="O2205" s="116">
        <v>1488</v>
      </c>
      <c r="P2205" s="116">
        <v>1520</v>
      </c>
      <c r="Q2205" s="116">
        <v>1497.3</v>
      </c>
      <c r="R2205">
        <v>51145</v>
      </c>
    </row>
    <row r="2206" spans="1:18" x14ac:dyDescent="0.25">
      <c r="A2206" s="170">
        <v>45252</v>
      </c>
      <c r="B2206" s="116">
        <v>1512.1</v>
      </c>
      <c r="C2206" s="116">
        <v>1502.95</v>
      </c>
      <c r="D2206" s="116">
        <v>1492.1</v>
      </c>
      <c r="E2206" s="116">
        <v>1492.1</v>
      </c>
      <c r="F2206" s="116">
        <v>1502.95</v>
      </c>
      <c r="G2206">
        <v>2406</v>
      </c>
      <c r="H2206" s="116"/>
      <c r="I2206" s="116"/>
      <c r="L2206" s="170">
        <v>45252</v>
      </c>
      <c r="M2206" s="116">
        <v>1501.45</v>
      </c>
      <c r="N2206" s="116">
        <v>1512.05</v>
      </c>
      <c r="O2206" s="116">
        <v>1494.05</v>
      </c>
      <c r="P2206" s="116">
        <v>1504.65</v>
      </c>
      <c r="Q2206" s="116">
        <v>1501.45</v>
      </c>
      <c r="R2206">
        <v>45437</v>
      </c>
    </row>
    <row r="2207" spans="1:18" x14ac:dyDescent="0.25">
      <c r="A2207" s="170">
        <v>45253</v>
      </c>
      <c r="B2207" s="116">
        <v>1504.5</v>
      </c>
      <c r="C2207" s="116">
        <v>1439.45</v>
      </c>
      <c r="D2207" s="116">
        <v>1430.05</v>
      </c>
      <c r="E2207" s="116">
        <v>1491.05</v>
      </c>
      <c r="F2207" s="116">
        <v>1439.45</v>
      </c>
      <c r="G2207">
        <v>7744</v>
      </c>
      <c r="H2207" s="116"/>
      <c r="I2207" s="116"/>
      <c r="L2207" s="170">
        <v>45253</v>
      </c>
      <c r="M2207" s="116">
        <v>1438.95</v>
      </c>
      <c r="N2207" s="116">
        <v>1508.95</v>
      </c>
      <c r="O2207" s="116">
        <v>1430</v>
      </c>
      <c r="P2207" s="116">
        <v>1501.95</v>
      </c>
      <c r="Q2207" s="116">
        <v>1438.95</v>
      </c>
      <c r="R2207">
        <v>135797</v>
      </c>
    </row>
    <row r="2208" spans="1:18" x14ac:dyDescent="0.25">
      <c r="A2208" s="170">
        <v>45254</v>
      </c>
      <c r="B2208" s="116">
        <v>1463.3</v>
      </c>
      <c r="C2208" s="116">
        <v>1420.65</v>
      </c>
      <c r="D2208" s="116">
        <v>1416.25</v>
      </c>
      <c r="E2208" s="116">
        <v>1459.95</v>
      </c>
      <c r="F2208" s="116">
        <v>1420.65</v>
      </c>
      <c r="G2208">
        <v>5478</v>
      </c>
      <c r="H2208" s="116"/>
      <c r="I2208" s="116"/>
      <c r="L2208" s="170">
        <v>45254</v>
      </c>
      <c r="M2208" s="116">
        <v>1420.2</v>
      </c>
      <c r="N2208" s="116">
        <v>1464</v>
      </c>
      <c r="O2208" s="116">
        <v>1417</v>
      </c>
      <c r="P2208" s="116">
        <v>1450</v>
      </c>
      <c r="Q2208" s="116">
        <v>1420.2</v>
      </c>
      <c r="R2208">
        <v>116226</v>
      </c>
    </row>
    <row r="2209" spans="1:18" x14ac:dyDescent="0.25">
      <c r="A2209" s="170">
        <v>45258</v>
      </c>
      <c r="B2209" s="116">
        <v>1424.7</v>
      </c>
      <c r="C2209" s="116">
        <v>1390.25</v>
      </c>
      <c r="D2209" s="116">
        <v>1376.95</v>
      </c>
      <c r="E2209" s="116">
        <v>1421.15</v>
      </c>
      <c r="F2209" s="116">
        <v>1390.25</v>
      </c>
      <c r="G2209">
        <v>11921</v>
      </c>
      <c r="H2209" s="116"/>
      <c r="I2209" s="116"/>
      <c r="L2209" s="170">
        <v>45258</v>
      </c>
      <c r="M2209" s="116">
        <v>1392.8</v>
      </c>
      <c r="N2209" s="116">
        <v>1425.25</v>
      </c>
      <c r="O2209" s="116">
        <v>1371</v>
      </c>
      <c r="P2209" s="116">
        <v>1420</v>
      </c>
      <c r="Q2209" s="116">
        <v>1392.8</v>
      </c>
      <c r="R2209">
        <v>112979</v>
      </c>
    </row>
    <row r="2210" spans="1:18" x14ac:dyDescent="0.25">
      <c r="A2210" s="170">
        <v>45259</v>
      </c>
      <c r="B2210" s="116">
        <v>1420.95</v>
      </c>
      <c r="C2210" s="116">
        <v>1409.95</v>
      </c>
      <c r="D2210" s="116">
        <v>1391.9</v>
      </c>
      <c r="E2210" s="116">
        <v>1391.9</v>
      </c>
      <c r="F2210" s="116">
        <v>1409.95</v>
      </c>
      <c r="G2210">
        <v>4844</v>
      </c>
      <c r="H2210" s="116"/>
      <c r="I2210" s="116"/>
      <c r="L2210" s="170">
        <v>45259</v>
      </c>
      <c r="M2210" s="116">
        <v>1410.35</v>
      </c>
      <c r="N2210" s="116">
        <v>1422.35</v>
      </c>
      <c r="O2210" s="116">
        <v>1393</v>
      </c>
      <c r="P2210" s="116">
        <v>1393</v>
      </c>
      <c r="Q2210" s="116">
        <v>1410.35</v>
      </c>
      <c r="R2210">
        <v>225949</v>
      </c>
    </row>
    <row r="2211" spans="1:18" x14ac:dyDescent="0.25">
      <c r="A2211" s="170">
        <v>45260</v>
      </c>
      <c r="B2211" s="116">
        <v>1494</v>
      </c>
      <c r="C2211" s="116">
        <v>1456.35</v>
      </c>
      <c r="D2211" s="116">
        <v>1415.35</v>
      </c>
      <c r="E2211" s="116">
        <v>1433.65</v>
      </c>
      <c r="F2211" s="116">
        <v>1456.35</v>
      </c>
      <c r="G2211">
        <v>5162</v>
      </c>
      <c r="H2211" s="116"/>
      <c r="I2211" s="116"/>
      <c r="L2211" s="170">
        <v>45260</v>
      </c>
      <c r="M2211" s="116">
        <v>1450.9</v>
      </c>
      <c r="N2211" s="116">
        <v>1495</v>
      </c>
      <c r="O2211" s="116">
        <v>1412</v>
      </c>
      <c r="P2211" s="116">
        <v>1415</v>
      </c>
      <c r="Q2211" s="116">
        <v>1450.9</v>
      </c>
      <c r="R2211">
        <v>355908</v>
      </c>
    </row>
    <row r="2212" spans="1:18" x14ac:dyDescent="0.25">
      <c r="A2212" s="170">
        <v>45261</v>
      </c>
      <c r="B2212" s="116">
        <v>1497.25</v>
      </c>
      <c r="C2212" s="116">
        <v>1459.2</v>
      </c>
      <c r="D2212" s="116">
        <v>1451.55</v>
      </c>
      <c r="E2212" s="116">
        <v>1489.9</v>
      </c>
      <c r="F2212" s="116">
        <v>1459.2</v>
      </c>
      <c r="G2212">
        <v>7780</v>
      </c>
      <c r="H2212" s="116"/>
      <c r="I2212" s="116"/>
      <c r="L2212" s="170">
        <v>45261</v>
      </c>
      <c r="M2212" s="116">
        <v>1460.45</v>
      </c>
      <c r="N2212" s="116">
        <v>1498.8</v>
      </c>
      <c r="O2212" s="116">
        <v>1452.8</v>
      </c>
      <c r="P2212" s="116">
        <v>1469.75</v>
      </c>
      <c r="Q2212" s="116">
        <v>1460.45</v>
      </c>
      <c r="R2212">
        <v>88621</v>
      </c>
    </row>
    <row r="2213" spans="1:18" x14ac:dyDescent="0.25">
      <c r="A2213" s="170">
        <v>45264</v>
      </c>
      <c r="B2213" s="116">
        <v>1493.65</v>
      </c>
      <c r="C2213" s="116">
        <v>1467.65</v>
      </c>
      <c r="D2213" s="116">
        <v>1432.7</v>
      </c>
      <c r="E2213" s="116">
        <v>1493.65</v>
      </c>
      <c r="F2213" s="116">
        <v>1467.65</v>
      </c>
      <c r="G2213">
        <v>4177</v>
      </c>
      <c r="H2213" s="116"/>
      <c r="I2213" s="116"/>
      <c r="L2213" s="170">
        <v>45264</v>
      </c>
      <c r="M2213" s="116">
        <v>1471.4</v>
      </c>
      <c r="N2213" s="116">
        <v>1483.9</v>
      </c>
      <c r="O2213" s="116">
        <v>1432.05</v>
      </c>
      <c r="P2213" s="116">
        <v>1474</v>
      </c>
      <c r="Q2213" s="116">
        <v>1471.4</v>
      </c>
      <c r="R2213">
        <v>226470</v>
      </c>
    </row>
    <row r="2214" spans="1:18" x14ac:dyDescent="0.25">
      <c r="A2214" s="170">
        <v>45265</v>
      </c>
      <c r="B2214" s="116">
        <v>1489.3</v>
      </c>
      <c r="C2214" s="116">
        <v>1461.1</v>
      </c>
      <c r="D2214" s="116">
        <v>1446.55</v>
      </c>
      <c r="E2214" s="116">
        <v>1457.1</v>
      </c>
      <c r="F2214" s="116">
        <v>1461.1</v>
      </c>
      <c r="G2214">
        <v>2654</v>
      </c>
      <c r="H2214" s="116"/>
      <c r="I2214" s="116"/>
      <c r="L2214" s="170">
        <v>45265</v>
      </c>
      <c r="M2214" s="116">
        <v>1476</v>
      </c>
      <c r="N2214" s="116">
        <v>1489.9</v>
      </c>
      <c r="O2214" s="116">
        <v>1447.4</v>
      </c>
      <c r="P2214" s="116">
        <v>1474.95</v>
      </c>
      <c r="Q2214" s="116">
        <v>1476</v>
      </c>
      <c r="R2214">
        <v>101897</v>
      </c>
    </row>
    <row r="2215" spans="1:18" x14ac:dyDescent="0.25">
      <c r="A2215" s="170">
        <v>45266</v>
      </c>
      <c r="B2215" s="116">
        <v>1497.65</v>
      </c>
      <c r="C2215" s="116">
        <v>1494.6</v>
      </c>
      <c r="D2215" s="116">
        <v>1467</v>
      </c>
      <c r="E2215" s="116">
        <v>1467</v>
      </c>
      <c r="F2215" s="116">
        <v>1494.6</v>
      </c>
      <c r="G2215">
        <v>2647</v>
      </c>
      <c r="H2215" s="116"/>
      <c r="I2215" s="116"/>
      <c r="L2215" s="170">
        <v>45266</v>
      </c>
      <c r="M2215" s="116">
        <v>1491.2</v>
      </c>
      <c r="N2215" s="116">
        <v>1497.7</v>
      </c>
      <c r="O2215" s="116">
        <v>1469.95</v>
      </c>
      <c r="P2215" s="116">
        <v>1474.95</v>
      </c>
      <c r="Q2215" s="116">
        <v>1491.2</v>
      </c>
      <c r="R2215">
        <v>102647</v>
      </c>
    </row>
    <row r="2216" spans="1:18" x14ac:dyDescent="0.25">
      <c r="A2216" s="170">
        <v>45267</v>
      </c>
      <c r="B2216" s="116">
        <v>1554.8</v>
      </c>
      <c r="C2216" s="116">
        <v>1498.4</v>
      </c>
      <c r="D2216" s="116">
        <v>1480</v>
      </c>
      <c r="E2216" s="116">
        <v>1508.9</v>
      </c>
      <c r="F2216" s="116">
        <v>1498.4</v>
      </c>
      <c r="G2216">
        <v>9061</v>
      </c>
      <c r="H2216" s="116"/>
      <c r="I2216" s="116"/>
      <c r="L2216" s="170">
        <v>45267</v>
      </c>
      <c r="M2216" s="116">
        <v>1498.4</v>
      </c>
      <c r="N2216" s="116">
        <v>1556.5</v>
      </c>
      <c r="O2216" s="116">
        <v>1479.95</v>
      </c>
      <c r="P2216" s="116">
        <v>1498.95</v>
      </c>
      <c r="Q2216" s="116">
        <v>1498.4</v>
      </c>
      <c r="R2216">
        <v>182265</v>
      </c>
    </row>
    <row r="2217" spans="1:18" x14ac:dyDescent="0.25">
      <c r="A2217" s="170">
        <v>45268</v>
      </c>
      <c r="B2217" s="116">
        <v>1516.5</v>
      </c>
      <c r="C2217" s="116">
        <v>1454.75</v>
      </c>
      <c r="D2217" s="116">
        <v>1439.95</v>
      </c>
      <c r="E2217" s="116">
        <v>1515</v>
      </c>
      <c r="F2217" s="116">
        <v>1454.75</v>
      </c>
      <c r="G2217">
        <v>12054</v>
      </c>
      <c r="H2217" s="116"/>
      <c r="I2217" s="116"/>
      <c r="L2217" s="170">
        <v>45268</v>
      </c>
      <c r="M2217" s="116">
        <v>1452.8</v>
      </c>
      <c r="N2217" s="116">
        <v>1516.05</v>
      </c>
      <c r="O2217" s="116">
        <v>1441</v>
      </c>
      <c r="P2217" s="116">
        <v>1506.05</v>
      </c>
      <c r="Q2217" s="116">
        <v>1452.8</v>
      </c>
      <c r="R2217">
        <v>105318</v>
      </c>
    </row>
    <row r="2218" spans="1:18" x14ac:dyDescent="0.25">
      <c r="A2218" s="170">
        <v>45271</v>
      </c>
      <c r="B2218" s="116">
        <v>1479.95</v>
      </c>
      <c r="C2218" s="116">
        <v>1459.5</v>
      </c>
      <c r="D2218" s="116">
        <v>1435.35</v>
      </c>
      <c r="E2218" s="116">
        <v>1479.95</v>
      </c>
      <c r="F2218" s="116">
        <v>1459.5</v>
      </c>
      <c r="G2218">
        <v>7324</v>
      </c>
      <c r="H2218" s="116"/>
      <c r="I2218" s="116"/>
      <c r="L2218" s="170">
        <v>45271</v>
      </c>
      <c r="M2218" s="116">
        <v>1460</v>
      </c>
      <c r="N2218" s="116">
        <v>1470</v>
      </c>
      <c r="O2218" s="116">
        <v>1436</v>
      </c>
      <c r="P2218" s="116">
        <v>1469.7</v>
      </c>
      <c r="Q2218" s="116">
        <v>1460</v>
      </c>
      <c r="R2218">
        <v>192648</v>
      </c>
    </row>
    <row r="2219" spans="1:18" x14ac:dyDescent="0.25">
      <c r="A2219" s="170">
        <v>45272</v>
      </c>
      <c r="B2219" s="116">
        <v>1479.65</v>
      </c>
      <c r="C2219" s="116">
        <v>1458.2</v>
      </c>
      <c r="D2219" s="116">
        <v>1436.55</v>
      </c>
      <c r="E2219" s="116">
        <v>1470.15</v>
      </c>
      <c r="F2219" s="116">
        <v>1458.2</v>
      </c>
      <c r="G2219">
        <v>3900</v>
      </c>
      <c r="H2219" s="116"/>
      <c r="I2219" s="116"/>
      <c r="L2219" s="170">
        <v>45272</v>
      </c>
      <c r="M2219" s="116">
        <v>1457.8</v>
      </c>
      <c r="N2219" s="116">
        <v>1480.5</v>
      </c>
      <c r="O2219" s="116">
        <v>1437</v>
      </c>
      <c r="P2219" s="116">
        <v>1471.7</v>
      </c>
      <c r="Q2219" s="116">
        <v>1457.8</v>
      </c>
      <c r="R2219">
        <v>203660</v>
      </c>
    </row>
    <row r="2220" spans="1:18" x14ac:dyDescent="0.25">
      <c r="A2220" s="170">
        <v>45273</v>
      </c>
      <c r="B2220" s="116">
        <v>1466.55</v>
      </c>
      <c r="C2220" s="116">
        <v>1451.4</v>
      </c>
      <c r="D2220" s="116">
        <v>1436.2</v>
      </c>
      <c r="E2220" s="116">
        <v>1466.5</v>
      </c>
      <c r="F2220" s="116">
        <v>1451.4</v>
      </c>
      <c r="G2220">
        <v>4585</v>
      </c>
      <c r="H2220" s="116"/>
      <c r="I2220" s="116"/>
      <c r="L2220" s="170">
        <v>45273</v>
      </c>
      <c r="M2220" s="116">
        <v>1451.9</v>
      </c>
      <c r="N2220" s="116">
        <v>1465.1</v>
      </c>
      <c r="O2220" s="116">
        <v>1436</v>
      </c>
      <c r="P2220" s="116">
        <v>1458</v>
      </c>
      <c r="Q2220" s="116">
        <v>1451.9</v>
      </c>
      <c r="R2220">
        <v>127008</v>
      </c>
    </row>
    <row r="2221" spans="1:18" x14ac:dyDescent="0.25">
      <c r="A2221" s="170">
        <v>45274</v>
      </c>
      <c r="B2221" s="116">
        <v>1459.9</v>
      </c>
      <c r="C2221" s="116">
        <v>1419.85</v>
      </c>
      <c r="D2221" s="116">
        <v>1417</v>
      </c>
      <c r="E2221" s="116">
        <v>1459.9</v>
      </c>
      <c r="F2221" s="116">
        <v>1419.85</v>
      </c>
      <c r="G2221">
        <v>4689</v>
      </c>
      <c r="H2221" s="116"/>
      <c r="I2221" s="116"/>
      <c r="L2221" s="170">
        <v>45274</v>
      </c>
      <c r="M2221" s="116">
        <v>1419.15</v>
      </c>
      <c r="N2221" s="116">
        <v>1459.2</v>
      </c>
      <c r="O2221" s="116">
        <v>1415</v>
      </c>
      <c r="P2221" s="116">
        <v>1452</v>
      </c>
      <c r="Q2221" s="116">
        <v>1419.15</v>
      </c>
      <c r="R2221">
        <v>95779</v>
      </c>
    </row>
    <row r="2222" spans="1:18" x14ac:dyDescent="0.25">
      <c r="A2222" s="170">
        <v>45275</v>
      </c>
      <c r="B2222" s="116">
        <v>1447.05</v>
      </c>
      <c r="C2222" s="116">
        <v>1419.4</v>
      </c>
      <c r="D2222" s="116">
        <v>1399.95</v>
      </c>
      <c r="E2222" s="116">
        <v>1438.8</v>
      </c>
      <c r="F2222" s="116">
        <v>1419.4</v>
      </c>
      <c r="G2222">
        <v>9899</v>
      </c>
      <c r="H2222" s="116"/>
      <c r="I2222" s="116"/>
      <c r="L2222" s="170">
        <v>45275</v>
      </c>
      <c r="M2222" s="116">
        <v>1419.85</v>
      </c>
      <c r="N2222" s="116">
        <v>1447.45</v>
      </c>
      <c r="O2222" s="116">
        <v>1412.55</v>
      </c>
      <c r="P2222" s="116">
        <v>1435</v>
      </c>
      <c r="Q2222" s="116">
        <v>1419.85</v>
      </c>
      <c r="R2222">
        <v>114051</v>
      </c>
    </row>
    <row r="2223" spans="1:18" x14ac:dyDescent="0.25">
      <c r="A2223" s="170">
        <v>45278</v>
      </c>
      <c r="B2223" s="116">
        <v>1480</v>
      </c>
      <c r="C2223" s="116">
        <v>1472</v>
      </c>
      <c r="D2223" s="116">
        <v>1414.1</v>
      </c>
      <c r="E2223" s="116">
        <v>1439.95</v>
      </c>
      <c r="F2223" s="116">
        <v>1472</v>
      </c>
      <c r="G2223">
        <v>4036</v>
      </c>
      <c r="H2223" s="116"/>
      <c r="I2223" s="116"/>
      <c r="L2223" s="170">
        <v>45278</v>
      </c>
      <c r="M2223" s="116">
        <v>1471.8</v>
      </c>
      <c r="N2223" s="116">
        <v>1481</v>
      </c>
      <c r="O2223" s="116">
        <v>1413</v>
      </c>
      <c r="P2223" s="116">
        <v>1419.85</v>
      </c>
      <c r="Q2223" s="116">
        <v>1471.8</v>
      </c>
      <c r="R2223">
        <v>449526</v>
      </c>
    </row>
    <row r="2224" spans="1:18" x14ac:dyDescent="0.25">
      <c r="A2224" s="170">
        <v>45279</v>
      </c>
      <c r="B2224" s="116">
        <v>1510.5</v>
      </c>
      <c r="C2224" s="116">
        <v>1466.1</v>
      </c>
      <c r="D2224" s="116">
        <v>1461.55</v>
      </c>
      <c r="E2224" s="116">
        <v>1487.25</v>
      </c>
      <c r="F2224" s="116">
        <v>1466.1</v>
      </c>
      <c r="G2224">
        <v>13580</v>
      </c>
      <c r="H2224" s="116"/>
      <c r="I2224" s="116"/>
      <c r="L2224" s="170">
        <v>45279</v>
      </c>
      <c r="M2224" s="116">
        <v>1468.2</v>
      </c>
      <c r="N2224" s="116">
        <v>1512</v>
      </c>
      <c r="O2224" s="116">
        <v>1461</v>
      </c>
      <c r="P2224" s="116">
        <v>1493.85</v>
      </c>
      <c r="Q2224" s="116">
        <v>1468.2</v>
      </c>
      <c r="R2224">
        <v>281468</v>
      </c>
    </row>
    <row r="2225" spans="1:18" x14ac:dyDescent="0.25">
      <c r="A2225" s="170">
        <v>45280</v>
      </c>
      <c r="B2225" s="116">
        <v>1498.95</v>
      </c>
      <c r="C2225" s="116">
        <v>1458.25</v>
      </c>
      <c r="D2225" s="116">
        <v>1444.15</v>
      </c>
      <c r="E2225" s="116">
        <v>1492.85</v>
      </c>
      <c r="F2225" s="116">
        <v>1458.25</v>
      </c>
      <c r="G2225">
        <v>5346</v>
      </c>
      <c r="H2225" s="116"/>
      <c r="I2225" s="116"/>
      <c r="L2225" s="170">
        <v>45280</v>
      </c>
      <c r="M2225" s="116">
        <v>1459.95</v>
      </c>
      <c r="N2225" s="116">
        <v>1498.7</v>
      </c>
      <c r="O2225" s="116">
        <v>1443.05</v>
      </c>
      <c r="P2225" s="116">
        <v>1478</v>
      </c>
      <c r="Q2225" s="116">
        <v>1459.95</v>
      </c>
      <c r="R2225">
        <v>116914</v>
      </c>
    </row>
    <row r="2226" spans="1:18" x14ac:dyDescent="0.25">
      <c r="A2226" s="170">
        <v>45281</v>
      </c>
      <c r="B2226" s="116">
        <v>1492.9</v>
      </c>
      <c r="C2226" s="116">
        <v>1486.55</v>
      </c>
      <c r="D2226" s="116">
        <v>1434.5</v>
      </c>
      <c r="E2226" s="116">
        <v>1440.05</v>
      </c>
      <c r="F2226" s="116">
        <v>1486.55</v>
      </c>
      <c r="G2226">
        <v>4709</v>
      </c>
      <c r="H2226" s="116"/>
      <c r="I2226" s="116"/>
      <c r="L2226" s="170">
        <v>45281</v>
      </c>
      <c r="M2226" s="116">
        <v>1487</v>
      </c>
      <c r="N2226" s="116">
        <v>1492</v>
      </c>
      <c r="O2226" s="116">
        <v>1435</v>
      </c>
      <c r="P2226" s="116">
        <v>1452.1</v>
      </c>
      <c r="Q2226" s="116">
        <v>1487</v>
      </c>
      <c r="R2226">
        <v>110023</v>
      </c>
    </row>
    <row r="2227" spans="1:18" x14ac:dyDescent="0.25">
      <c r="A2227" s="170">
        <v>45282</v>
      </c>
      <c r="B2227" s="116">
        <v>1631.2</v>
      </c>
      <c r="C2227" s="116">
        <v>1620.5</v>
      </c>
      <c r="D2227" s="116">
        <v>1496.5</v>
      </c>
      <c r="E2227" s="116">
        <v>1498.6</v>
      </c>
      <c r="F2227" s="116">
        <v>1620.5</v>
      </c>
      <c r="G2227">
        <v>63219</v>
      </c>
      <c r="H2227" s="116"/>
      <c r="I2227" s="116"/>
      <c r="L2227" s="170">
        <v>45282</v>
      </c>
      <c r="M2227" s="116">
        <v>1618.85</v>
      </c>
      <c r="N2227" s="116">
        <v>1631</v>
      </c>
      <c r="O2227" s="116">
        <v>1492</v>
      </c>
      <c r="P2227" s="116">
        <v>1494</v>
      </c>
      <c r="Q2227" s="116">
        <v>1618.85</v>
      </c>
      <c r="R2227">
        <v>1959915</v>
      </c>
    </row>
    <row r="2228" spans="1:18" x14ac:dyDescent="0.25">
      <c r="A2228" s="170">
        <v>45286</v>
      </c>
      <c r="B2228" s="116">
        <v>1639.8</v>
      </c>
      <c r="C2228" s="116">
        <v>1622.55</v>
      </c>
      <c r="D2228" s="116">
        <v>1589.15</v>
      </c>
      <c r="E2228" s="116">
        <v>1628.15</v>
      </c>
      <c r="F2228" s="116">
        <v>1622.55</v>
      </c>
      <c r="G2228">
        <v>30713</v>
      </c>
      <c r="H2228" s="116"/>
      <c r="I2228" s="116"/>
      <c r="L2228" s="170">
        <v>45286</v>
      </c>
      <c r="M2228" s="116">
        <v>1618.55</v>
      </c>
      <c r="N2228" s="116">
        <v>1639.85</v>
      </c>
      <c r="O2228" s="116">
        <v>1589.6</v>
      </c>
      <c r="P2228" s="116">
        <v>1630</v>
      </c>
      <c r="Q2228" s="116">
        <v>1618.55</v>
      </c>
      <c r="R2228">
        <v>355920</v>
      </c>
    </row>
    <row r="2229" spans="1:18" x14ac:dyDescent="0.25">
      <c r="A2229" s="170">
        <v>45287</v>
      </c>
      <c r="B2229" s="116">
        <v>1635</v>
      </c>
      <c r="C2229" s="116">
        <v>1623.6</v>
      </c>
      <c r="D2229" s="116">
        <v>1615.35</v>
      </c>
      <c r="E2229" s="116">
        <v>1623.65</v>
      </c>
      <c r="F2229" s="116">
        <v>1623.6</v>
      </c>
      <c r="G2229">
        <v>16057</v>
      </c>
      <c r="H2229" s="116"/>
      <c r="I2229" s="116"/>
      <c r="L2229" s="170">
        <v>45287</v>
      </c>
      <c r="M2229" s="116">
        <v>1624.65</v>
      </c>
      <c r="N2229" s="116">
        <v>1636.1</v>
      </c>
      <c r="O2229" s="116">
        <v>1615.55</v>
      </c>
      <c r="P2229" s="116">
        <v>1622</v>
      </c>
      <c r="Q2229" s="116">
        <v>1624.65</v>
      </c>
      <c r="R2229">
        <v>208041</v>
      </c>
    </row>
    <row r="2230" spans="1:18" x14ac:dyDescent="0.25">
      <c r="A2230" s="170">
        <v>45288</v>
      </c>
      <c r="B2230" s="116">
        <v>1636.65</v>
      </c>
      <c r="C2230" s="116">
        <v>1600.4</v>
      </c>
      <c r="D2230" s="116">
        <v>1595.75</v>
      </c>
      <c r="E2230" s="116">
        <v>1634.8</v>
      </c>
      <c r="F2230" s="116">
        <v>1600.4</v>
      </c>
      <c r="G2230">
        <v>6102</v>
      </c>
      <c r="H2230" s="116"/>
      <c r="I2230" s="116"/>
      <c r="L2230" s="170">
        <v>45288</v>
      </c>
      <c r="M2230" s="116">
        <v>1600.6</v>
      </c>
      <c r="N2230" s="116">
        <v>1639</v>
      </c>
      <c r="O2230" s="116">
        <v>1591.55</v>
      </c>
      <c r="P2230" s="116">
        <v>1630</v>
      </c>
      <c r="Q2230" s="116">
        <v>1600.6</v>
      </c>
      <c r="R2230">
        <v>111176</v>
      </c>
    </row>
    <row r="2231" spans="1:18" x14ac:dyDescent="0.25">
      <c r="A2231" s="170">
        <v>45289</v>
      </c>
      <c r="B2231" s="116">
        <v>1631.75</v>
      </c>
      <c r="C2231" s="116">
        <v>1624.4</v>
      </c>
      <c r="D2231" s="116">
        <v>1592.45</v>
      </c>
      <c r="E2231" s="116">
        <v>1631.75</v>
      </c>
      <c r="F2231" s="116">
        <v>1624.4</v>
      </c>
      <c r="G2231">
        <v>7544</v>
      </c>
      <c r="H2231" s="116"/>
      <c r="I2231" s="116"/>
      <c r="L2231" s="170">
        <v>45289</v>
      </c>
      <c r="M2231" s="116">
        <v>1624.65</v>
      </c>
      <c r="N2231" s="116">
        <v>1630</v>
      </c>
      <c r="O2231" s="116">
        <v>1591.75</v>
      </c>
      <c r="P2231" s="116">
        <v>1610</v>
      </c>
      <c r="Q2231" s="116">
        <v>1624.65</v>
      </c>
      <c r="R2231">
        <v>133763</v>
      </c>
    </row>
    <row r="2232" spans="1:18" x14ac:dyDescent="0.25">
      <c r="A2232" s="170">
        <v>45292</v>
      </c>
      <c r="B2232" s="116">
        <v>1643.45</v>
      </c>
      <c r="C2232" s="116">
        <v>1612.75</v>
      </c>
      <c r="D2232" s="116">
        <v>1606.2</v>
      </c>
      <c r="E2232" s="116">
        <v>1643.45</v>
      </c>
      <c r="F2232" s="116">
        <v>1612.75</v>
      </c>
      <c r="G2232">
        <v>4398</v>
      </c>
      <c r="H2232" s="116"/>
      <c r="I2232" s="116"/>
      <c r="L2232" s="170">
        <v>45292</v>
      </c>
      <c r="M2232" s="116">
        <v>1615.6</v>
      </c>
      <c r="N2232" s="116">
        <v>1632</v>
      </c>
      <c r="O2232" s="116">
        <v>1605</v>
      </c>
      <c r="P2232" s="116">
        <v>1625</v>
      </c>
      <c r="Q2232" s="116">
        <v>1615.6</v>
      </c>
      <c r="R2232">
        <v>126077</v>
      </c>
    </row>
    <row r="2233" spans="1:18" x14ac:dyDescent="0.25">
      <c r="A2233" s="170">
        <v>45293</v>
      </c>
      <c r="B2233" s="116">
        <v>1676.35</v>
      </c>
      <c r="C2233" s="116">
        <v>1636.9</v>
      </c>
      <c r="D2233" s="116">
        <v>1613.15</v>
      </c>
      <c r="E2233" s="116">
        <v>1633.85</v>
      </c>
      <c r="F2233" s="116">
        <v>1636.9</v>
      </c>
      <c r="G2233">
        <v>8856</v>
      </c>
      <c r="H2233" s="116"/>
      <c r="I2233" s="116"/>
      <c r="L2233" s="170">
        <v>45293</v>
      </c>
      <c r="M2233" s="116">
        <v>1640.7</v>
      </c>
      <c r="N2233" s="116">
        <v>1678.8</v>
      </c>
      <c r="O2233" s="116">
        <v>1611.85</v>
      </c>
      <c r="P2233" s="116">
        <v>1620</v>
      </c>
      <c r="Q2233" s="116">
        <v>1640.7</v>
      </c>
      <c r="R2233">
        <v>246969</v>
      </c>
    </row>
    <row r="2234" spans="1:18" x14ac:dyDescent="0.25">
      <c r="A2234" s="170">
        <v>45294</v>
      </c>
      <c r="B2234" s="116">
        <v>1710.7</v>
      </c>
      <c r="C2234" s="116">
        <v>1698.7</v>
      </c>
      <c r="D2234" s="116">
        <v>1630.75</v>
      </c>
      <c r="E2234" s="116">
        <v>1640.7</v>
      </c>
      <c r="F2234" s="116">
        <v>1698.7</v>
      </c>
      <c r="G2234">
        <v>12728</v>
      </c>
      <c r="H2234" s="116"/>
      <c r="I2234" s="116"/>
      <c r="L2234" s="170">
        <v>45294</v>
      </c>
      <c r="M2234" s="116">
        <v>1700.3</v>
      </c>
      <c r="N2234" s="116">
        <v>1712</v>
      </c>
      <c r="O2234" s="116">
        <v>1630</v>
      </c>
      <c r="P2234" s="116">
        <v>1640</v>
      </c>
      <c r="Q2234" s="116">
        <v>1700.3</v>
      </c>
      <c r="R2234">
        <v>382894</v>
      </c>
    </row>
    <row r="2235" spans="1:18" x14ac:dyDescent="0.25">
      <c r="A2235" s="170">
        <v>45295</v>
      </c>
      <c r="B2235" s="116">
        <v>1734.45</v>
      </c>
      <c r="C2235" s="116">
        <v>1644.5</v>
      </c>
      <c r="D2235" s="116">
        <v>1613.2</v>
      </c>
      <c r="E2235" s="116">
        <v>1718.75</v>
      </c>
      <c r="F2235" s="116">
        <v>1644.5</v>
      </c>
      <c r="G2235">
        <v>13610</v>
      </c>
      <c r="H2235" s="116"/>
      <c r="I2235" s="116"/>
      <c r="L2235" s="170">
        <v>45295</v>
      </c>
      <c r="M2235" s="116">
        <v>1658.8</v>
      </c>
      <c r="N2235" s="116">
        <v>1733.4</v>
      </c>
      <c r="O2235" s="116">
        <v>1591.6</v>
      </c>
      <c r="P2235" s="116">
        <v>1710</v>
      </c>
      <c r="Q2235" s="116">
        <v>1658.8</v>
      </c>
      <c r="R2235">
        <v>291371</v>
      </c>
    </row>
    <row r="2236" spans="1:18" x14ac:dyDescent="0.25">
      <c r="A2236" s="170">
        <v>45296</v>
      </c>
      <c r="B2236" s="116">
        <v>1700</v>
      </c>
      <c r="C2236" s="116">
        <v>1690.2</v>
      </c>
      <c r="D2236" s="116">
        <v>1640.1</v>
      </c>
      <c r="E2236" s="116">
        <v>1654</v>
      </c>
      <c r="F2236" s="116">
        <v>1690.2</v>
      </c>
      <c r="G2236">
        <v>5469</v>
      </c>
      <c r="H2236" s="116"/>
      <c r="I2236" s="116"/>
      <c r="L2236" s="170">
        <v>45296</v>
      </c>
      <c r="M2236" s="116">
        <v>1691.45</v>
      </c>
      <c r="N2236" s="116">
        <v>1699.9</v>
      </c>
      <c r="O2236" s="116">
        <v>1638.85</v>
      </c>
      <c r="P2236" s="116">
        <v>1649.8</v>
      </c>
      <c r="Q2236" s="116">
        <v>1691.45</v>
      </c>
      <c r="R2236">
        <v>98406</v>
      </c>
    </row>
    <row r="2237" spans="1:18" x14ac:dyDescent="0.25">
      <c r="A2237" s="170">
        <v>45299</v>
      </c>
      <c r="B2237" s="116">
        <v>1688.2</v>
      </c>
      <c r="C2237" s="116">
        <v>1664.6</v>
      </c>
      <c r="D2237" s="116">
        <v>1651</v>
      </c>
      <c r="E2237" s="116">
        <v>1687.95</v>
      </c>
      <c r="F2237" s="116">
        <v>1664.6</v>
      </c>
      <c r="G2237">
        <v>6860</v>
      </c>
      <c r="H2237" s="116"/>
      <c r="I2237" s="116"/>
      <c r="L2237" s="170">
        <v>45299</v>
      </c>
      <c r="M2237" s="116">
        <v>1665.15</v>
      </c>
      <c r="N2237" s="116">
        <v>1689.4</v>
      </c>
      <c r="O2237" s="116">
        <v>1650.1</v>
      </c>
      <c r="P2237" s="116">
        <v>1678.75</v>
      </c>
      <c r="Q2237" s="116">
        <v>1665.15</v>
      </c>
      <c r="R2237">
        <v>58963</v>
      </c>
    </row>
    <row r="2238" spans="1:18" x14ac:dyDescent="0.25">
      <c r="A2238" s="170">
        <v>45300</v>
      </c>
      <c r="B2238" s="116">
        <v>1691.9</v>
      </c>
      <c r="C2238" s="116">
        <v>1682.95</v>
      </c>
      <c r="D2238" s="116">
        <v>1643.25</v>
      </c>
      <c r="E2238" s="116">
        <v>1670</v>
      </c>
      <c r="F2238" s="116">
        <v>1682.95</v>
      </c>
      <c r="G2238">
        <v>4507</v>
      </c>
      <c r="H2238" s="116"/>
      <c r="I2238" s="116"/>
      <c r="L2238" s="170">
        <v>45300</v>
      </c>
      <c r="M2238" s="116">
        <v>1686.1</v>
      </c>
      <c r="N2238" s="116">
        <v>1692.05</v>
      </c>
      <c r="O2238" s="116">
        <v>1642.05</v>
      </c>
      <c r="P2238" s="116">
        <v>1670</v>
      </c>
      <c r="Q2238" s="116">
        <v>1686.1</v>
      </c>
      <c r="R2238">
        <v>117351</v>
      </c>
    </row>
    <row r="2239" spans="1:18" x14ac:dyDescent="0.25">
      <c r="A2239" s="170">
        <v>45301</v>
      </c>
      <c r="B2239" s="116">
        <v>1716.65</v>
      </c>
      <c r="C2239" s="116">
        <v>1678.95</v>
      </c>
      <c r="D2239" s="116">
        <v>1670.2</v>
      </c>
      <c r="E2239" s="116">
        <v>1716.65</v>
      </c>
      <c r="F2239" s="116">
        <v>1678.95</v>
      </c>
      <c r="G2239">
        <v>3060</v>
      </c>
      <c r="H2239" s="116"/>
      <c r="I2239" s="116"/>
      <c r="L2239" s="170">
        <v>45301</v>
      </c>
      <c r="M2239" s="116">
        <v>1679.7</v>
      </c>
      <c r="N2239" s="116">
        <v>1710</v>
      </c>
      <c r="O2239" s="116">
        <v>1670</v>
      </c>
      <c r="P2239" s="116">
        <v>1705</v>
      </c>
      <c r="Q2239" s="116">
        <v>1679.7</v>
      </c>
      <c r="R2239">
        <v>92824</v>
      </c>
    </row>
    <row r="2240" spans="1:18" x14ac:dyDescent="0.25">
      <c r="A2240" s="170">
        <v>45302</v>
      </c>
      <c r="B2240" s="116">
        <v>1710.65</v>
      </c>
      <c r="C2240" s="116">
        <v>1660.4</v>
      </c>
      <c r="D2240" s="116">
        <v>1647.1</v>
      </c>
      <c r="E2240" s="116">
        <v>1710.65</v>
      </c>
      <c r="F2240" s="116">
        <v>1660.4</v>
      </c>
      <c r="G2240">
        <v>28932</v>
      </c>
      <c r="H2240" s="116"/>
      <c r="I2240" s="116"/>
      <c r="L2240" s="170">
        <v>45302</v>
      </c>
      <c r="M2240" s="116">
        <v>1660.1</v>
      </c>
      <c r="N2240" s="116">
        <v>1692.75</v>
      </c>
      <c r="O2240" s="116">
        <v>1648</v>
      </c>
      <c r="P2240" s="116">
        <v>1680</v>
      </c>
      <c r="Q2240" s="116">
        <v>1660.1</v>
      </c>
      <c r="R2240">
        <v>45734</v>
      </c>
    </row>
    <row r="2241" spans="1:18" x14ac:dyDescent="0.25">
      <c r="A2241" s="170">
        <v>45303</v>
      </c>
      <c r="B2241" s="116">
        <v>1700</v>
      </c>
      <c r="C2241" s="116">
        <v>1681.95</v>
      </c>
      <c r="D2241" s="116">
        <v>1651.75</v>
      </c>
      <c r="E2241" s="116">
        <v>1651.75</v>
      </c>
      <c r="F2241" s="116">
        <v>1681.95</v>
      </c>
      <c r="G2241">
        <v>6050</v>
      </c>
      <c r="H2241" s="116"/>
      <c r="I2241" s="116"/>
      <c r="L2241" s="170">
        <v>45303</v>
      </c>
      <c r="M2241" s="116">
        <v>1684.65</v>
      </c>
      <c r="N2241" s="116">
        <v>1700.05</v>
      </c>
      <c r="O2241" s="116">
        <v>1660.05</v>
      </c>
      <c r="P2241" s="116">
        <v>1675.75</v>
      </c>
      <c r="Q2241" s="116">
        <v>1684.65</v>
      </c>
      <c r="R2241">
        <v>74770</v>
      </c>
    </row>
    <row r="2242" spans="1:18" x14ac:dyDescent="0.25">
      <c r="A2242" s="170">
        <v>45306</v>
      </c>
      <c r="B2242" s="116">
        <v>1715.55</v>
      </c>
      <c r="C2242" s="116">
        <v>1656.75</v>
      </c>
      <c r="D2242" s="116">
        <v>1652.1</v>
      </c>
      <c r="E2242" s="116">
        <v>1715.55</v>
      </c>
      <c r="F2242" s="116">
        <v>1656.75</v>
      </c>
      <c r="G2242">
        <v>6538</v>
      </c>
      <c r="H2242" s="116"/>
      <c r="I2242" s="116"/>
      <c r="L2242" s="170">
        <v>45306</v>
      </c>
      <c r="M2242" s="116">
        <v>1657.95</v>
      </c>
      <c r="N2242" s="116">
        <v>1705</v>
      </c>
      <c r="O2242" s="116">
        <v>1652.05</v>
      </c>
      <c r="P2242" s="116">
        <v>1700</v>
      </c>
      <c r="Q2242" s="116">
        <v>1657.95</v>
      </c>
      <c r="R2242">
        <v>322607</v>
      </c>
    </row>
    <row r="2243" spans="1:18" x14ac:dyDescent="0.25">
      <c r="A2243" s="170">
        <v>45307</v>
      </c>
      <c r="B2243" s="116">
        <v>1688.8</v>
      </c>
      <c r="C2243" s="116">
        <v>1659.25</v>
      </c>
      <c r="D2243" s="116">
        <v>1635</v>
      </c>
      <c r="E2243" s="116">
        <v>1688.8</v>
      </c>
      <c r="F2243" s="116">
        <v>1659.25</v>
      </c>
      <c r="G2243">
        <v>4753</v>
      </c>
      <c r="H2243" s="116"/>
      <c r="I2243" s="116"/>
      <c r="L2243" s="170">
        <v>45307</v>
      </c>
      <c r="M2243" s="116">
        <v>1658.9</v>
      </c>
      <c r="N2243" s="116">
        <v>1673.85</v>
      </c>
      <c r="O2243" s="116">
        <v>1633.5</v>
      </c>
      <c r="P2243" s="116">
        <v>1670</v>
      </c>
      <c r="Q2243" s="116">
        <v>1658.9</v>
      </c>
      <c r="R2243">
        <v>99833</v>
      </c>
    </row>
    <row r="2244" spans="1:18" x14ac:dyDescent="0.25">
      <c r="A2244" s="170">
        <v>45308</v>
      </c>
      <c r="B2244" s="116">
        <v>1659.55</v>
      </c>
      <c r="C2244" s="116">
        <v>1641.85</v>
      </c>
      <c r="D2244" s="116">
        <v>1632.7</v>
      </c>
      <c r="E2244" s="116">
        <v>1632.7</v>
      </c>
      <c r="F2244" s="116">
        <v>1641.85</v>
      </c>
      <c r="G2244">
        <v>6891</v>
      </c>
      <c r="H2244" s="116"/>
      <c r="I2244" s="116"/>
      <c r="L2244" s="170">
        <v>45308</v>
      </c>
      <c r="M2244" s="116">
        <v>1643.8</v>
      </c>
      <c r="N2244" s="116">
        <v>1660.4</v>
      </c>
      <c r="O2244" s="116">
        <v>1631.55</v>
      </c>
      <c r="P2244" s="116">
        <v>1648.5</v>
      </c>
      <c r="Q2244" s="116">
        <v>1643.8</v>
      </c>
      <c r="R2244">
        <v>91568</v>
      </c>
    </row>
    <row r="2245" spans="1:18" x14ac:dyDescent="0.25">
      <c r="A2245" s="170">
        <v>45309</v>
      </c>
      <c r="B2245" s="116">
        <v>1661.25</v>
      </c>
      <c r="C2245" s="116">
        <v>1588.6</v>
      </c>
      <c r="D2245" s="116">
        <v>1555.25</v>
      </c>
      <c r="E2245" s="116">
        <v>1645.8</v>
      </c>
      <c r="F2245" s="116">
        <v>1588.6</v>
      </c>
      <c r="G2245">
        <v>12720</v>
      </c>
      <c r="H2245" s="116"/>
      <c r="I2245" s="116"/>
      <c r="L2245" s="170">
        <v>45309</v>
      </c>
      <c r="M2245" s="116">
        <v>1595</v>
      </c>
      <c r="N2245" s="116">
        <v>1661.75</v>
      </c>
      <c r="O2245" s="116">
        <v>1551.3</v>
      </c>
      <c r="P2245" s="116">
        <v>1657.7</v>
      </c>
      <c r="Q2245" s="116">
        <v>1595</v>
      </c>
      <c r="R2245">
        <v>124953</v>
      </c>
    </row>
    <row r="2246" spans="1:18" x14ac:dyDescent="0.25">
      <c r="A2246" s="170">
        <v>45310</v>
      </c>
      <c r="B2246" s="116">
        <v>1643.15</v>
      </c>
      <c r="C2246" s="116">
        <v>1613.75</v>
      </c>
      <c r="D2246" s="116">
        <v>1605</v>
      </c>
      <c r="E2246" s="116">
        <v>1606.45</v>
      </c>
      <c r="F2246" s="116">
        <v>1613.75</v>
      </c>
      <c r="G2246">
        <v>6762</v>
      </c>
      <c r="H2246" s="116"/>
      <c r="I2246" s="116"/>
      <c r="L2246" s="170">
        <v>45310</v>
      </c>
      <c r="M2246" s="116">
        <v>1617.15</v>
      </c>
      <c r="N2246" s="116">
        <v>1647.1</v>
      </c>
      <c r="O2246" s="116">
        <v>1602.9</v>
      </c>
      <c r="P2246" s="116">
        <v>1604.4</v>
      </c>
      <c r="Q2246" s="116">
        <v>1617.15</v>
      </c>
      <c r="R2246">
        <v>75105</v>
      </c>
    </row>
    <row r="2247" spans="1:18" x14ac:dyDescent="0.25">
      <c r="A2247" s="170">
        <v>45311</v>
      </c>
      <c r="B2247" s="116">
        <v>1701.2</v>
      </c>
      <c r="C2247" s="116">
        <v>1617.75</v>
      </c>
      <c r="D2247" s="116">
        <v>1603.9</v>
      </c>
      <c r="E2247" s="116">
        <v>1605.3</v>
      </c>
      <c r="F2247" s="116">
        <v>1617.75</v>
      </c>
      <c r="G2247">
        <v>5325</v>
      </c>
      <c r="H2247" s="116"/>
      <c r="I2247" s="116"/>
      <c r="L2247" s="170">
        <v>45311</v>
      </c>
      <c r="M2247" s="116">
        <v>1616.15</v>
      </c>
      <c r="N2247" s="116">
        <v>1640</v>
      </c>
      <c r="O2247" s="116">
        <v>1600.05</v>
      </c>
      <c r="P2247" s="116">
        <v>1627.4</v>
      </c>
      <c r="Q2247" s="116">
        <v>1616.15</v>
      </c>
      <c r="R2247">
        <v>40367</v>
      </c>
    </row>
    <row r="2248" spans="1:18" x14ac:dyDescent="0.25">
      <c r="A2248" s="170">
        <v>45314</v>
      </c>
      <c r="B2248" s="116">
        <v>1667</v>
      </c>
      <c r="C2248" s="116">
        <v>1656.4</v>
      </c>
      <c r="D2248" s="116">
        <v>1615.15</v>
      </c>
      <c r="E2248" s="116">
        <v>1615.2</v>
      </c>
      <c r="F2248" s="116">
        <v>1656.4</v>
      </c>
      <c r="G2248">
        <v>10827</v>
      </c>
      <c r="H2248" s="116"/>
      <c r="I2248" s="116"/>
      <c r="L2248" s="170">
        <v>45314</v>
      </c>
      <c r="M2248" s="116">
        <v>1658.2</v>
      </c>
      <c r="N2248" s="116">
        <v>1669</v>
      </c>
      <c r="O2248" s="116">
        <v>1616.2</v>
      </c>
      <c r="P2248" s="116">
        <v>1617.2</v>
      </c>
      <c r="Q2248" s="116">
        <v>1658.2</v>
      </c>
      <c r="R2248">
        <v>133259</v>
      </c>
    </row>
    <row r="2249" spans="1:18" x14ac:dyDescent="0.25">
      <c r="A2249" s="170">
        <v>45315</v>
      </c>
      <c r="B2249" s="116">
        <v>1704</v>
      </c>
      <c r="C2249" s="116">
        <v>1689.75</v>
      </c>
      <c r="D2249" s="116">
        <v>1660</v>
      </c>
      <c r="E2249" s="116">
        <v>1683.85</v>
      </c>
      <c r="F2249" s="116">
        <v>1689.75</v>
      </c>
      <c r="G2249">
        <v>38155</v>
      </c>
      <c r="H2249" s="116"/>
      <c r="I2249" s="116"/>
      <c r="L2249" s="170">
        <v>45315</v>
      </c>
      <c r="M2249" s="116">
        <v>1693.8</v>
      </c>
      <c r="N2249" s="116">
        <v>1705</v>
      </c>
      <c r="O2249" s="116">
        <v>1658.25</v>
      </c>
      <c r="P2249" s="116">
        <v>1666.4</v>
      </c>
      <c r="Q2249" s="116">
        <v>1693.8</v>
      </c>
      <c r="R2249">
        <v>174394</v>
      </c>
    </row>
    <row r="2250" spans="1:18" x14ac:dyDescent="0.25">
      <c r="A2250" s="170">
        <v>45316</v>
      </c>
      <c r="B2250" s="116">
        <v>1702.95</v>
      </c>
      <c r="C2250" s="116">
        <v>1689.35</v>
      </c>
      <c r="D2250" s="116">
        <v>1659</v>
      </c>
      <c r="E2250" s="116">
        <v>1693.8</v>
      </c>
      <c r="F2250" s="116">
        <v>1689.35</v>
      </c>
      <c r="G2250">
        <v>107487</v>
      </c>
      <c r="H2250" s="116"/>
      <c r="I2250" s="116"/>
      <c r="L2250" s="170">
        <v>45316</v>
      </c>
      <c r="M2250" s="116">
        <v>1695.5</v>
      </c>
      <c r="N2250" s="116">
        <v>1702.3</v>
      </c>
      <c r="O2250" s="116">
        <v>1660</v>
      </c>
      <c r="P2250" s="116">
        <v>1694.35</v>
      </c>
      <c r="Q2250" s="116">
        <v>1695.5</v>
      </c>
      <c r="R2250">
        <v>97074</v>
      </c>
    </row>
    <row r="2251" spans="1:18" x14ac:dyDescent="0.25">
      <c r="A2251" s="170">
        <v>45320</v>
      </c>
      <c r="B2251" s="116">
        <v>1737.65</v>
      </c>
      <c r="C2251" s="116">
        <v>1694.75</v>
      </c>
      <c r="D2251" s="116">
        <v>1679.9</v>
      </c>
      <c r="E2251" s="116">
        <v>1685.15</v>
      </c>
      <c r="F2251" s="116">
        <v>1694.75</v>
      </c>
      <c r="G2251">
        <v>5735</v>
      </c>
      <c r="H2251" s="116"/>
      <c r="I2251" s="116"/>
      <c r="L2251" s="170">
        <v>45320</v>
      </c>
      <c r="M2251" s="116">
        <v>1694.9</v>
      </c>
      <c r="N2251" s="116">
        <v>1741.55</v>
      </c>
      <c r="O2251" s="116">
        <v>1673</v>
      </c>
      <c r="P2251" s="116">
        <v>1703.95</v>
      </c>
      <c r="Q2251" s="116">
        <v>1694.9</v>
      </c>
      <c r="R2251">
        <v>204542</v>
      </c>
    </row>
    <row r="2252" spans="1:18" x14ac:dyDescent="0.25">
      <c r="A2252" s="170">
        <v>45321</v>
      </c>
      <c r="B2252" s="116">
        <v>1699</v>
      </c>
      <c r="C2252" s="116">
        <v>1651.25</v>
      </c>
      <c r="D2252" s="116">
        <v>1631.25</v>
      </c>
      <c r="E2252" s="116">
        <v>1687.35</v>
      </c>
      <c r="F2252" s="116">
        <v>1651.25</v>
      </c>
      <c r="G2252">
        <v>5074</v>
      </c>
      <c r="H2252" s="116"/>
      <c r="I2252" s="116"/>
      <c r="L2252" s="170">
        <v>45321</v>
      </c>
      <c r="M2252" s="116">
        <v>1651.1</v>
      </c>
      <c r="N2252" s="116">
        <v>1700.75</v>
      </c>
      <c r="O2252" s="116">
        <v>1635</v>
      </c>
      <c r="P2252" s="116">
        <v>1694</v>
      </c>
      <c r="Q2252" s="116">
        <v>1651.1</v>
      </c>
      <c r="R2252">
        <v>58827</v>
      </c>
    </row>
    <row r="2253" spans="1:18" x14ac:dyDescent="0.25">
      <c r="A2253" s="170">
        <v>45322</v>
      </c>
      <c r="B2253" s="116">
        <v>1695</v>
      </c>
      <c r="C2253" s="116">
        <v>1680.55</v>
      </c>
      <c r="D2253" s="116">
        <v>1631.3</v>
      </c>
      <c r="E2253" s="116">
        <v>1653.1</v>
      </c>
      <c r="F2253" s="116">
        <v>1680.55</v>
      </c>
      <c r="G2253">
        <v>5598</v>
      </c>
      <c r="H2253" s="116"/>
      <c r="I2253" s="116"/>
      <c r="L2253" s="170">
        <v>45322</v>
      </c>
      <c r="M2253" s="116">
        <v>1683.95</v>
      </c>
      <c r="N2253" s="116">
        <v>1695.3</v>
      </c>
      <c r="O2253" s="116">
        <v>1631.1</v>
      </c>
      <c r="P2253" s="116">
        <v>1651.1</v>
      </c>
      <c r="Q2253" s="116">
        <v>1683.95</v>
      </c>
      <c r="R2253">
        <v>70895</v>
      </c>
    </row>
    <row r="2254" spans="1:18" x14ac:dyDescent="0.25">
      <c r="A2254" s="170">
        <v>45323</v>
      </c>
      <c r="B2254" s="116">
        <v>1694.4</v>
      </c>
      <c r="C2254" s="116">
        <v>1683.35</v>
      </c>
      <c r="D2254" s="116">
        <v>1658.1</v>
      </c>
      <c r="E2254" s="116">
        <v>1658.1</v>
      </c>
      <c r="F2254" s="116">
        <v>1683.35</v>
      </c>
      <c r="G2254">
        <v>2426</v>
      </c>
      <c r="H2254" s="116"/>
      <c r="I2254" s="116"/>
      <c r="L2254" s="170">
        <v>45323</v>
      </c>
      <c r="M2254" s="116">
        <v>1685.35</v>
      </c>
      <c r="N2254" s="116">
        <v>1694.95</v>
      </c>
      <c r="O2254" s="116">
        <v>1663.05</v>
      </c>
      <c r="P2254" s="116">
        <v>1663.05</v>
      </c>
      <c r="Q2254" s="116">
        <v>1685.35</v>
      </c>
      <c r="R2254">
        <v>27674</v>
      </c>
    </row>
    <row r="2255" spans="1:18" x14ac:dyDescent="0.25">
      <c r="A2255" s="170">
        <v>45324</v>
      </c>
      <c r="B2255" s="116">
        <v>1697.2</v>
      </c>
      <c r="C2255" s="116">
        <v>1687.95</v>
      </c>
      <c r="D2255" s="116">
        <v>1664.1</v>
      </c>
      <c r="E2255" s="116">
        <v>1687.05</v>
      </c>
      <c r="F2255" s="116">
        <v>1687.95</v>
      </c>
      <c r="G2255">
        <v>3641</v>
      </c>
      <c r="H2255" s="116"/>
      <c r="I2255" s="116"/>
      <c r="L2255" s="170">
        <v>45324</v>
      </c>
      <c r="M2255" s="116">
        <v>1688.35</v>
      </c>
      <c r="N2255" s="116">
        <v>1698.95</v>
      </c>
      <c r="O2255" s="116">
        <v>1659.35</v>
      </c>
      <c r="P2255" s="116">
        <v>1684.95</v>
      </c>
      <c r="Q2255" s="116">
        <v>1688.35</v>
      </c>
      <c r="R2255">
        <v>65040</v>
      </c>
    </row>
    <row r="2256" spans="1:18" x14ac:dyDescent="0.25">
      <c r="A2256" s="170">
        <v>45327</v>
      </c>
      <c r="B2256" s="116">
        <v>1714</v>
      </c>
      <c r="C2256" s="116">
        <v>1703.95</v>
      </c>
      <c r="D2256" s="116">
        <v>1690</v>
      </c>
      <c r="E2256" s="116">
        <v>1699.75</v>
      </c>
      <c r="F2256" s="116">
        <v>1703.95</v>
      </c>
      <c r="G2256">
        <v>2600</v>
      </c>
      <c r="H2256" s="116"/>
      <c r="I2256" s="116"/>
      <c r="L2256" s="170">
        <v>45327</v>
      </c>
      <c r="M2256" s="116">
        <v>1708.4</v>
      </c>
      <c r="N2256" s="116">
        <v>1715.95</v>
      </c>
      <c r="O2256" s="116">
        <v>1687.05</v>
      </c>
      <c r="P2256" s="116">
        <v>1687.05</v>
      </c>
      <c r="Q2256" s="116">
        <v>1708.4</v>
      </c>
      <c r="R2256">
        <v>117851</v>
      </c>
    </row>
    <row r="2257" spans="1:18" x14ac:dyDescent="0.25">
      <c r="A2257" s="170">
        <v>45328</v>
      </c>
      <c r="B2257" s="116">
        <v>1741.75</v>
      </c>
      <c r="C2257" s="116">
        <v>1724</v>
      </c>
      <c r="D2257" s="116">
        <v>1689.85</v>
      </c>
      <c r="E2257" s="116">
        <v>1716.75</v>
      </c>
      <c r="F2257" s="116">
        <v>1724</v>
      </c>
      <c r="G2257">
        <v>20306</v>
      </c>
      <c r="H2257" s="116"/>
      <c r="I2257" s="116"/>
      <c r="L2257" s="170">
        <v>45328</v>
      </c>
      <c r="M2257" s="116">
        <v>1725.25</v>
      </c>
      <c r="N2257" s="116">
        <v>1741.8</v>
      </c>
      <c r="O2257" s="116">
        <v>1692.55</v>
      </c>
      <c r="P2257" s="116">
        <v>1718.9</v>
      </c>
      <c r="Q2257" s="116">
        <v>1725.25</v>
      </c>
      <c r="R2257">
        <v>163384</v>
      </c>
    </row>
    <row r="2258" spans="1:18" x14ac:dyDescent="0.25">
      <c r="A2258" s="170">
        <v>45329</v>
      </c>
      <c r="B2258" s="116">
        <v>1935</v>
      </c>
      <c r="C2258" s="116">
        <v>1786.5</v>
      </c>
      <c r="D2258" s="116">
        <v>1744.35</v>
      </c>
      <c r="E2258" s="116">
        <v>1759.75</v>
      </c>
      <c r="F2258" s="116">
        <v>1786.5</v>
      </c>
      <c r="G2258">
        <v>92869</v>
      </c>
      <c r="H2258" s="116"/>
      <c r="I2258" s="116"/>
      <c r="L2258" s="170">
        <v>45329</v>
      </c>
      <c r="M2258" s="116">
        <v>1799.95</v>
      </c>
      <c r="N2258" s="116">
        <v>1940</v>
      </c>
      <c r="O2258" s="116">
        <v>1712</v>
      </c>
      <c r="P2258" s="116">
        <v>1747</v>
      </c>
      <c r="Q2258" s="116">
        <v>1799.95</v>
      </c>
      <c r="R2258">
        <v>2167286</v>
      </c>
    </row>
    <row r="2259" spans="1:18" x14ac:dyDescent="0.25">
      <c r="A2259" s="170">
        <v>45330</v>
      </c>
      <c r="B2259" s="116">
        <v>1797.85</v>
      </c>
      <c r="C2259" s="116">
        <v>1761.35</v>
      </c>
      <c r="D2259" s="116">
        <v>1745.55</v>
      </c>
      <c r="E2259" s="116">
        <v>1783.8</v>
      </c>
      <c r="F2259" s="116">
        <v>1761.35</v>
      </c>
      <c r="G2259">
        <v>5509</v>
      </c>
      <c r="H2259" s="116"/>
      <c r="I2259" s="116"/>
      <c r="L2259" s="170">
        <v>45330</v>
      </c>
      <c r="M2259" s="116">
        <v>1765.2</v>
      </c>
      <c r="N2259" s="116">
        <v>1797.75</v>
      </c>
      <c r="O2259" s="116">
        <v>1748</v>
      </c>
      <c r="P2259" s="116">
        <v>1780</v>
      </c>
      <c r="Q2259" s="116">
        <v>1765.2</v>
      </c>
      <c r="R2259">
        <v>191133</v>
      </c>
    </row>
    <row r="2260" spans="1:18" x14ac:dyDescent="0.25">
      <c r="A2260" s="170">
        <v>45331</v>
      </c>
      <c r="B2260" s="116">
        <v>1770.8</v>
      </c>
      <c r="C2260" s="116">
        <v>1724.15</v>
      </c>
      <c r="D2260" s="116">
        <v>1696.9</v>
      </c>
      <c r="E2260" s="116">
        <v>1770.8</v>
      </c>
      <c r="F2260" s="116">
        <v>1724.15</v>
      </c>
      <c r="G2260">
        <v>10047</v>
      </c>
      <c r="H2260" s="116"/>
      <c r="I2260" s="116"/>
      <c r="L2260" s="170">
        <v>45331</v>
      </c>
      <c r="M2260" s="116">
        <v>1725.75</v>
      </c>
      <c r="N2260" s="116">
        <v>1754.05</v>
      </c>
      <c r="O2260" s="116">
        <v>1695.05</v>
      </c>
      <c r="P2260" s="116">
        <v>1754.05</v>
      </c>
      <c r="Q2260" s="116">
        <v>1725.75</v>
      </c>
      <c r="R2260">
        <v>153180</v>
      </c>
    </row>
    <row r="2261" spans="1:18" x14ac:dyDescent="0.25">
      <c r="A2261" s="170">
        <v>45334</v>
      </c>
      <c r="B2261" s="116">
        <v>1734.55</v>
      </c>
      <c r="C2261" s="116">
        <v>1679.4</v>
      </c>
      <c r="D2261" s="116">
        <v>1674.9</v>
      </c>
      <c r="E2261" s="116">
        <v>1725</v>
      </c>
      <c r="F2261" s="116">
        <v>1679.4</v>
      </c>
      <c r="G2261">
        <v>3627</v>
      </c>
      <c r="H2261" s="116"/>
      <c r="I2261" s="116"/>
      <c r="L2261" s="170">
        <v>45334</v>
      </c>
      <c r="M2261" s="116">
        <v>1680.65</v>
      </c>
      <c r="N2261" s="116">
        <v>1729.9</v>
      </c>
      <c r="O2261" s="116">
        <v>1672</v>
      </c>
      <c r="P2261" s="116">
        <v>1725.75</v>
      </c>
      <c r="Q2261" s="116">
        <v>1680.65</v>
      </c>
      <c r="R2261">
        <v>90320</v>
      </c>
    </row>
    <row r="2262" spans="1:18" x14ac:dyDescent="0.25">
      <c r="A2262" s="170">
        <v>45335</v>
      </c>
      <c r="B2262" s="116">
        <v>1687.15</v>
      </c>
      <c r="C2262" s="116">
        <v>1658</v>
      </c>
      <c r="D2262" s="116">
        <v>1642.1</v>
      </c>
      <c r="E2262" s="116">
        <v>1680.15</v>
      </c>
      <c r="F2262" s="116">
        <v>1658</v>
      </c>
      <c r="G2262">
        <v>7564</v>
      </c>
      <c r="H2262" s="116"/>
      <c r="I2262" s="116"/>
      <c r="L2262" s="170">
        <v>45335</v>
      </c>
      <c r="M2262" s="116">
        <v>1664.6</v>
      </c>
      <c r="N2262" s="116">
        <v>1696</v>
      </c>
      <c r="O2262" s="116">
        <v>1651.55</v>
      </c>
      <c r="P2262" s="116">
        <v>1696</v>
      </c>
      <c r="Q2262" s="116">
        <v>1664.6</v>
      </c>
      <c r="R2262">
        <v>124610</v>
      </c>
    </row>
    <row r="2263" spans="1:18" x14ac:dyDescent="0.25">
      <c r="A2263" s="170">
        <v>45336</v>
      </c>
      <c r="B2263" s="116">
        <v>1701.55</v>
      </c>
      <c r="C2263" s="116">
        <v>1675.75</v>
      </c>
      <c r="D2263" s="116">
        <v>1654.95</v>
      </c>
      <c r="E2263" s="116">
        <v>1664</v>
      </c>
      <c r="F2263" s="116">
        <v>1675.75</v>
      </c>
      <c r="G2263">
        <v>3284</v>
      </c>
      <c r="H2263" s="116"/>
      <c r="I2263" s="116"/>
      <c r="L2263" s="170">
        <v>45336</v>
      </c>
      <c r="M2263" s="116">
        <v>1676</v>
      </c>
      <c r="N2263" s="116">
        <v>1701</v>
      </c>
      <c r="O2263" s="116">
        <v>1655</v>
      </c>
      <c r="P2263" s="116">
        <v>1665</v>
      </c>
      <c r="Q2263" s="116">
        <v>1676</v>
      </c>
      <c r="R2263">
        <v>65058</v>
      </c>
    </row>
    <row r="2264" spans="1:18" x14ac:dyDescent="0.25">
      <c r="A2264" s="170">
        <v>45337</v>
      </c>
      <c r="B2264" s="116">
        <v>1691.9</v>
      </c>
      <c r="C2264" s="116">
        <v>1661.15</v>
      </c>
      <c r="D2264" s="116">
        <v>1653.7</v>
      </c>
      <c r="E2264" s="116">
        <v>1686.65</v>
      </c>
      <c r="F2264" s="116">
        <v>1661.15</v>
      </c>
      <c r="G2264">
        <v>2366</v>
      </c>
      <c r="H2264" s="116"/>
      <c r="I2264" s="116"/>
      <c r="L2264" s="170">
        <v>45337</v>
      </c>
      <c r="M2264" s="116">
        <v>1664.3</v>
      </c>
      <c r="N2264" s="116">
        <v>1691.25</v>
      </c>
      <c r="O2264" s="116">
        <v>1654</v>
      </c>
      <c r="P2264" s="116">
        <v>1680</v>
      </c>
      <c r="Q2264" s="116">
        <v>1664.3</v>
      </c>
      <c r="R2264">
        <v>45132</v>
      </c>
    </row>
    <row r="2265" spans="1:18" x14ac:dyDescent="0.25">
      <c r="A2265" s="170">
        <v>45338</v>
      </c>
      <c r="B2265" s="116">
        <v>1698</v>
      </c>
      <c r="C2265" s="116">
        <v>1651.8</v>
      </c>
      <c r="D2265" s="116">
        <v>1636.55</v>
      </c>
      <c r="E2265" s="116">
        <v>1662.95</v>
      </c>
      <c r="F2265" s="116">
        <v>1651.8</v>
      </c>
      <c r="G2265">
        <v>2747</v>
      </c>
      <c r="H2265" s="116"/>
      <c r="I2265" s="116"/>
      <c r="L2265" s="170">
        <v>45338</v>
      </c>
      <c r="M2265" s="116">
        <v>1655.15</v>
      </c>
      <c r="N2265" s="116">
        <v>1700</v>
      </c>
      <c r="O2265" s="116">
        <v>1632.6</v>
      </c>
      <c r="P2265" s="116">
        <v>1664.95</v>
      </c>
      <c r="Q2265" s="116">
        <v>1655.15</v>
      </c>
      <c r="R2265">
        <v>159345</v>
      </c>
    </row>
    <row r="2266" spans="1:18" x14ac:dyDescent="0.25">
      <c r="A2266" s="170">
        <v>45341</v>
      </c>
      <c r="B2266" s="116">
        <v>1670.3</v>
      </c>
      <c r="C2266" s="116">
        <v>1653.75</v>
      </c>
      <c r="D2266" s="116">
        <v>1645.65</v>
      </c>
      <c r="E2266" s="116">
        <v>1658.35</v>
      </c>
      <c r="F2266" s="116">
        <v>1653.75</v>
      </c>
      <c r="G2266">
        <v>1434</v>
      </c>
      <c r="H2266" s="116"/>
      <c r="I2266" s="116"/>
      <c r="L2266" s="170">
        <v>45341</v>
      </c>
      <c r="M2266" s="116">
        <v>1653.75</v>
      </c>
      <c r="N2266" s="116">
        <v>1672.45</v>
      </c>
      <c r="O2266" s="116">
        <v>1643.35</v>
      </c>
      <c r="P2266" s="116">
        <v>1656</v>
      </c>
      <c r="Q2266" s="116">
        <v>1653.75</v>
      </c>
      <c r="R2266">
        <v>100626</v>
      </c>
    </row>
    <row r="2267" spans="1:18" x14ac:dyDescent="0.25">
      <c r="A2267" s="170">
        <v>45342</v>
      </c>
      <c r="B2267" s="116">
        <v>1660</v>
      </c>
      <c r="C2267" s="116">
        <v>1649.6</v>
      </c>
      <c r="D2267" s="116">
        <v>1627.55</v>
      </c>
      <c r="E2267" s="116">
        <v>1645.7</v>
      </c>
      <c r="F2267" s="116">
        <v>1649.6</v>
      </c>
      <c r="G2267">
        <v>5476</v>
      </c>
      <c r="H2267" s="116"/>
      <c r="I2267" s="116"/>
      <c r="L2267" s="170">
        <v>45342</v>
      </c>
      <c r="M2267" s="116">
        <v>1648.95</v>
      </c>
      <c r="N2267" s="116">
        <v>1662</v>
      </c>
      <c r="O2267" s="116">
        <v>1629.95</v>
      </c>
      <c r="P2267" s="116">
        <v>1654.95</v>
      </c>
      <c r="Q2267" s="116">
        <v>1648.95</v>
      </c>
      <c r="R2267">
        <v>123190</v>
      </c>
    </row>
    <row r="2268" spans="1:18" x14ac:dyDescent="0.25">
      <c r="A2268" s="170">
        <v>45343</v>
      </c>
      <c r="B2268" s="116">
        <v>1675</v>
      </c>
      <c r="C2268" s="116">
        <v>1672.65</v>
      </c>
      <c r="D2268" s="116">
        <v>1650.05</v>
      </c>
      <c r="E2268" s="116">
        <v>1650.05</v>
      </c>
      <c r="F2268" s="116">
        <v>1672.65</v>
      </c>
      <c r="G2268">
        <v>5196</v>
      </c>
      <c r="H2268" s="116"/>
      <c r="I2268" s="116"/>
      <c r="L2268" s="170">
        <v>45343</v>
      </c>
      <c r="M2268" s="116">
        <v>1673.25</v>
      </c>
      <c r="N2268" s="116">
        <v>1675</v>
      </c>
      <c r="O2268" s="116">
        <v>1658.1</v>
      </c>
      <c r="P2268" s="116">
        <v>1664.65</v>
      </c>
      <c r="Q2268" s="116">
        <v>1673.25</v>
      </c>
      <c r="R2268">
        <v>141062</v>
      </c>
    </row>
    <row r="2269" spans="1:18" x14ac:dyDescent="0.25">
      <c r="A2269" s="170">
        <v>45344</v>
      </c>
      <c r="B2269" s="116">
        <v>1698.95</v>
      </c>
      <c r="C2269" s="116">
        <v>1660.15</v>
      </c>
      <c r="D2269" s="116">
        <v>1650</v>
      </c>
      <c r="E2269" s="116">
        <v>1694.45</v>
      </c>
      <c r="F2269" s="116">
        <v>1660.15</v>
      </c>
      <c r="G2269">
        <v>2421</v>
      </c>
      <c r="H2269" s="116"/>
      <c r="I2269" s="116"/>
      <c r="L2269" s="170">
        <v>45344</v>
      </c>
      <c r="M2269" s="116">
        <v>1656.85</v>
      </c>
      <c r="N2269" s="116">
        <v>1699</v>
      </c>
      <c r="O2269" s="116">
        <v>1647</v>
      </c>
      <c r="P2269" s="116">
        <v>1680</v>
      </c>
      <c r="Q2269" s="116">
        <v>1656.85</v>
      </c>
      <c r="R2269">
        <v>60171</v>
      </c>
    </row>
    <row r="2270" spans="1:18" x14ac:dyDescent="0.25">
      <c r="A2270" s="170">
        <v>45345</v>
      </c>
      <c r="B2270" s="116">
        <v>1674.65</v>
      </c>
      <c r="C2270" s="116">
        <v>1643.8</v>
      </c>
      <c r="D2270" s="116">
        <v>1627.7</v>
      </c>
      <c r="E2270" s="116">
        <v>1660.6</v>
      </c>
      <c r="F2270" s="116">
        <v>1643.8</v>
      </c>
      <c r="G2270">
        <v>4430</v>
      </c>
      <c r="H2270" s="116"/>
      <c r="I2270" s="116"/>
      <c r="L2270" s="170">
        <v>45345</v>
      </c>
      <c r="M2270" s="116">
        <v>1646.25</v>
      </c>
      <c r="N2270" s="116">
        <v>1674.95</v>
      </c>
      <c r="O2270" s="116">
        <v>1626.55</v>
      </c>
      <c r="P2270" s="116">
        <v>1656.85</v>
      </c>
      <c r="Q2270" s="116">
        <v>1646.25</v>
      </c>
      <c r="R2270">
        <v>89909</v>
      </c>
    </row>
    <row r="2271" spans="1:18" x14ac:dyDescent="0.25">
      <c r="A2271" s="170">
        <v>45348</v>
      </c>
      <c r="B2271" s="116">
        <v>1653</v>
      </c>
      <c r="C2271" s="116">
        <v>1647.65</v>
      </c>
      <c r="D2271" s="116">
        <v>1608</v>
      </c>
      <c r="E2271" s="116">
        <v>1622.05</v>
      </c>
      <c r="F2271" s="116">
        <v>1647.65</v>
      </c>
      <c r="G2271">
        <v>3815</v>
      </c>
      <c r="H2271" s="116"/>
      <c r="I2271" s="116"/>
      <c r="L2271" s="170">
        <v>45348</v>
      </c>
      <c r="M2271" s="116">
        <v>1647.3</v>
      </c>
      <c r="N2271" s="116">
        <v>1653.95</v>
      </c>
      <c r="O2271" s="116">
        <v>1608.6</v>
      </c>
      <c r="P2271" s="116">
        <v>1631</v>
      </c>
      <c r="Q2271" s="116">
        <v>1647.3</v>
      </c>
      <c r="R2271">
        <v>92616</v>
      </c>
    </row>
    <row r="2272" spans="1:18" x14ac:dyDescent="0.25">
      <c r="A2272" s="170">
        <v>45349</v>
      </c>
      <c r="B2272" s="116">
        <v>1676.75</v>
      </c>
      <c r="C2272" s="116">
        <v>1644.2</v>
      </c>
      <c r="D2272" s="116">
        <v>1633</v>
      </c>
      <c r="E2272" s="116">
        <v>1650</v>
      </c>
      <c r="F2272" s="116">
        <v>1644.2</v>
      </c>
      <c r="G2272">
        <v>3620</v>
      </c>
      <c r="H2272" s="116"/>
      <c r="I2272" s="116"/>
      <c r="L2272" s="170">
        <v>45349</v>
      </c>
      <c r="M2272" s="116">
        <v>1643.8</v>
      </c>
      <c r="N2272" s="116">
        <v>1676.95</v>
      </c>
      <c r="O2272" s="116">
        <v>1635</v>
      </c>
      <c r="P2272" s="116">
        <v>1650</v>
      </c>
      <c r="Q2272" s="116">
        <v>1643.8</v>
      </c>
      <c r="R2272">
        <v>57405</v>
      </c>
    </row>
    <row r="2273" spans="1:18" x14ac:dyDescent="0.25">
      <c r="A2273" s="170">
        <v>45350</v>
      </c>
      <c r="B2273" s="116">
        <v>1650.3</v>
      </c>
      <c r="C2273" s="116">
        <v>1604.15</v>
      </c>
      <c r="D2273" s="116">
        <v>1585.05</v>
      </c>
      <c r="E2273" s="116">
        <v>1650.3</v>
      </c>
      <c r="F2273" s="116">
        <v>1604.15</v>
      </c>
      <c r="G2273">
        <v>4090</v>
      </c>
      <c r="H2273" s="116"/>
      <c r="I2273" s="116"/>
      <c r="L2273" s="170">
        <v>45350</v>
      </c>
      <c r="M2273" s="116">
        <v>1600.2</v>
      </c>
      <c r="N2273" s="116">
        <v>1648.95</v>
      </c>
      <c r="O2273" s="116">
        <v>1584</v>
      </c>
      <c r="P2273" s="116">
        <v>1643.8</v>
      </c>
      <c r="Q2273" s="116">
        <v>1600.2</v>
      </c>
      <c r="R2273">
        <v>188054</v>
      </c>
    </row>
    <row r="2274" spans="1:18" x14ac:dyDescent="0.25">
      <c r="A2274" s="170">
        <v>45351</v>
      </c>
      <c r="B2274" s="116">
        <v>1600.95</v>
      </c>
      <c r="C2274" s="116">
        <v>1556.65</v>
      </c>
      <c r="D2274" s="116">
        <v>1473.95</v>
      </c>
      <c r="E2274" s="116">
        <v>1600.95</v>
      </c>
      <c r="F2274" s="116">
        <v>1556.65</v>
      </c>
      <c r="G2274">
        <v>30011</v>
      </c>
      <c r="H2274" s="116"/>
      <c r="I2274" s="116"/>
      <c r="L2274" s="170">
        <v>45351</v>
      </c>
      <c r="M2274" s="116">
        <v>1561.85</v>
      </c>
      <c r="N2274" s="116">
        <v>1595</v>
      </c>
      <c r="O2274" s="116">
        <v>1480</v>
      </c>
      <c r="P2274" s="116">
        <v>1595</v>
      </c>
      <c r="Q2274" s="116">
        <v>1561.85</v>
      </c>
      <c r="R2274">
        <v>923411</v>
      </c>
    </row>
    <row r="2275" spans="1:18" x14ac:dyDescent="0.25">
      <c r="A2275" s="170">
        <v>45352</v>
      </c>
      <c r="B2275" s="116">
        <v>1588.8</v>
      </c>
      <c r="C2275" s="116">
        <v>1532.75</v>
      </c>
      <c r="D2275" s="116">
        <v>1515</v>
      </c>
      <c r="E2275" s="116">
        <v>1550</v>
      </c>
      <c r="F2275" s="116">
        <v>1532.75</v>
      </c>
      <c r="G2275">
        <v>4445</v>
      </c>
      <c r="H2275" s="116"/>
      <c r="I2275" s="116"/>
      <c r="L2275" s="170">
        <v>45352</v>
      </c>
      <c r="M2275" s="116">
        <v>1531.4</v>
      </c>
      <c r="N2275" s="116">
        <v>1591.85</v>
      </c>
      <c r="O2275" s="116">
        <v>1515</v>
      </c>
      <c r="P2275" s="116">
        <v>1548</v>
      </c>
      <c r="Q2275" s="116">
        <v>1531.4</v>
      </c>
      <c r="R2275">
        <v>112417</v>
      </c>
    </row>
    <row r="2276" spans="1:18" x14ac:dyDescent="0.25">
      <c r="A2276" s="170">
        <v>45353</v>
      </c>
      <c r="B2276" s="116">
        <v>1555.75</v>
      </c>
      <c r="C2276" s="116">
        <v>1535.85</v>
      </c>
      <c r="D2276" s="116">
        <v>1509</v>
      </c>
      <c r="E2276" s="116">
        <v>1545</v>
      </c>
      <c r="F2276" s="116">
        <v>1535.85</v>
      </c>
      <c r="G2276">
        <v>942</v>
      </c>
      <c r="H2276" s="116"/>
      <c r="I2276" s="116"/>
      <c r="L2276" s="170">
        <v>45353</v>
      </c>
      <c r="M2276" s="116">
        <v>1539.9</v>
      </c>
      <c r="N2276" s="116">
        <v>1559</v>
      </c>
      <c r="O2276" s="116">
        <v>1514.9</v>
      </c>
      <c r="P2276" s="116">
        <v>1540.25</v>
      </c>
      <c r="Q2276" s="116">
        <v>1539.9</v>
      </c>
      <c r="R2276">
        <v>7654</v>
      </c>
    </row>
    <row r="2277" spans="1:18" x14ac:dyDescent="0.25">
      <c r="A2277" s="170">
        <v>45355</v>
      </c>
      <c r="B2277" s="116">
        <v>1579.95</v>
      </c>
      <c r="C2277" s="116">
        <v>1564.8</v>
      </c>
      <c r="D2277" s="116">
        <v>1510</v>
      </c>
      <c r="E2277" s="116">
        <v>1573.9</v>
      </c>
      <c r="F2277" s="116">
        <v>1564.8</v>
      </c>
      <c r="G2277">
        <v>3808</v>
      </c>
      <c r="H2277" s="116"/>
      <c r="I2277" s="116"/>
      <c r="L2277" s="170">
        <v>45355</v>
      </c>
      <c r="M2277" s="116">
        <v>1567.45</v>
      </c>
      <c r="N2277" s="116">
        <v>1579.45</v>
      </c>
      <c r="O2277" s="116">
        <v>1509.05</v>
      </c>
      <c r="P2277" s="116">
        <v>1520</v>
      </c>
      <c r="Q2277" s="116">
        <v>1567.45</v>
      </c>
      <c r="R2277">
        <v>134257</v>
      </c>
    </row>
    <row r="2278" spans="1:18" x14ac:dyDescent="0.25">
      <c r="A2278" s="170">
        <v>45356</v>
      </c>
      <c r="B2278" s="116">
        <v>1577.3</v>
      </c>
      <c r="C2278" s="116">
        <v>1570.7</v>
      </c>
      <c r="D2278" s="116">
        <v>1549.9</v>
      </c>
      <c r="E2278" s="116">
        <v>1566</v>
      </c>
      <c r="F2278" s="116">
        <v>1570.7</v>
      </c>
      <c r="G2278">
        <v>1841</v>
      </c>
      <c r="H2278" s="116"/>
      <c r="I2278" s="116"/>
      <c r="L2278" s="170">
        <v>45356</v>
      </c>
      <c r="M2278" s="116">
        <v>1568.75</v>
      </c>
      <c r="N2278" s="116">
        <v>1580</v>
      </c>
      <c r="O2278" s="116">
        <v>1549.95</v>
      </c>
      <c r="P2278" s="116">
        <v>1567</v>
      </c>
      <c r="Q2278" s="116">
        <v>1568.75</v>
      </c>
      <c r="R2278">
        <v>83176</v>
      </c>
    </row>
    <row r="2279" spans="1:18" x14ac:dyDescent="0.25">
      <c r="A2279" s="170">
        <v>45357</v>
      </c>
      <c r="B2279" s="116">
        <v>1598</v>
      </c>
      <c r="C2279" s="116">
        <v>1586.6</v>
      </c>
      <c r="D2279" s="116">
        <v>1566.65</v>
      </c>
      <c r="E2279" s="116">
        <v>1566.65</v>
      </c>
      <c r="F2279" s="116">
        <v>1586.6</v>
      </c>
      <c r="G2279">
        <v>4383</v>
      </c>
      <c r="H2279" s="116"/>
      <c r="I2279" s="116"/>
      <c r="L2279" s="170">
        <v>45357</v>
      </c>
      <c r="M2279" s="116">
        <v>1587.15</v>
      </c>
      <c r="N2279" s="116">
        <v>1598.9</v>
      </c>
      <c r="O2279" s="116">
        <v>1567</v>
      </c>
      <c r="P2279" s="116">
        <v>1570.45</v>
      </c>
      <c r="Q2279" s="116">
        <v>1587.15</v>
      </c>
      <c r="R2279">
        <v>183733</v>
      </c>
    </row>
    <row r="2280" spans="1:18" x14ac:dyDescent="0.25">
      <c r="A2280" s="170">
        <v>45358</v>
      </c>
      <c r="B2280" s="116">
        <v>1597.3</v>
      </c>
      <c r="C2280" s="116">
        <v>1588.2</v>
      </c>
      <c r="D2280" s="116">
        <v>1565.5</v>
      </c>
      <c r="E2280" s="116">
        <v>1595.95</v>
      </c>
      <c r="F2280" s="116">
        <v>1588.2</v>
      </c>
      <c r="G2280">
        <v>876</v>
      </c>
      <c r="H2280" s="116"/>
      <c r="I2280" s="116"/>
      <c r="L2280" s="170">
        <v>45358</v>
      </c>
      <c r="M2280" s="116">
        <v>1588</v>
      </c>
      <c r="N2280" s="116">
        <v>1598.95</v>
      </c>
      <c r="O2280" s="116">
        <v>1565.05</v>
      </c>
      <c r="P2280" s="116">
        <v>1585.05</v>
      </c>
      <c r="Q2280" s="116">
        <v>1588</v>
      </c>
      <c r="R2280">
        <v>43586</v>
      </c>
    </row>
    <row r="2281" spans="1:18" x14ac:dyDescent="0.25">
      <c r="A2281" s="170">
        <v>45362</v>
      </c>
      <c r="B2281" s="116">
        <v>1590.95</v>
      </c>
      <c r="C2281" s="116">
        <v>1569.9</v>
      </c>
      <c r="D2281" s="116">
        <v>1564.4</v>
      </c>
      <c r="E2281" s="116">
        <v>1588.8</v>
      </c>
      <c r="F2281" s="116">
        <v>1569.9</v>
      </c>
      <c r="G2281">
        <v>4970</v>
      </c>
      <c r="H2281" s="116"/>
      <c r="I2281" s="116"/>
      <c r="L2281" s="170">
        <v>45362</v>
      </c>
      <c r="M2281" s="116">
        <v>1574.4</v>
      </c>
      <c r="N2281" s="116">
        <v>1598.85</v>
      </c>
      <c r="O2281" s="116">
        <v>1568.7</v>
      </c>
      <c r="P2281" s="116">
        <v>1598.85</v>
      </c>
      <c r="Q2281" s="116">
        <v>1574.4</v>
      </c>
      <c r="R2281">
        <v>66409</v>
      </c>
    </row>
    <row r="2282" spans="1:18" x14ac:dyDescent="0.25">
      <c r="A2282" s="170">
        <v>45363</v>
      </c>
      <c r="B2282" s="116">
        <v>1588.1</v>
      </c>
      <c r="C2282" s="116">
        <v>1584.3</v>
      </c>
      <c r="D2282" s="116">
        <v>1541</v>
      </c>
      <c r="E2282" s="116">
        <v>1574.4</v>
      </c>
      <c r="F2282" s="116">
        <v>1584.3</v>
      </c>
      <c r="G2282">
        <v>2143</v>
      </c>
      <c r="H2282" s="116"/>
      <c r="I2282" s="116"/>
      <c r="L2282" s="170">
        <v>45363</v>
      </c>
      <c r="M2282" s="116">
        <v>1583.3</v>
      </c>
      <c r="N2282" s="116">
        <v>1588.95</v>
      </c>
      <c r="O2282" s="116">
        <v>1538.2</v>
      </c>
      <c r="P2282" s="116">
        <v>1579</v>
      </c>
      <c r="Q2282" s="116">
        <v>1583.3</v>
      </c>
      <c r="R2282">
        <v>301624</v>
      </c>
    </row>
    <row r="2283" spans="1:18" x14ac:dyDescent="0.25">
      <c r="A2283" s="170">
        <v>45364</v>
      </c>
      <c r="B2283" s="116">
        <v>1597.75</v>
      </c>
      <c r="C2283" s="116">
        <v>1552.55</v>
      </c>
      <c r="D2283" s="116">
        <v>1549</v>
      </c>
      <c r="E2283" s="116">
        <v>1597.75</v>
      </c>
      <c r="F2283" s="116">
        <v>1552.55</v>
      </c>
      <c r="G2283">
        <v>7864</v>
      </c>
      <c r="H2283" s="116"/>
      <c r="I2283" s="116"/>
      <c r="L2283" s="170">
        <v>45364</v>
      </c>
      <c r="M2283" s="116">
        <v>1551.55</v>
      </c>
      <c r="N2283" s="116">
        <v>1586.85</v>
      </c>
      <c r="O2283" s="116">
        <v>1548</v>
      </c>
      <c r="P2283" s="116">
        <v>1581.6</v>
      </c>
      <c r="Q2283" s="116">
        <v>1551.55</v>
      </c>
      <c r="R2283">
        <v>160222</v>
      </c>
    </row>
    <row r="2284" spans="1:18" x14ac:dyDescent="0.25">
      <c r="A2284" s="170">
        <v>45365</v>
      </c>
      <c r="B2284" s="116">
        <v>1553.95</v>
      </c>
      <c r="C2284" s="116">
        <v>1549.25</v>
      </c>
      <c r="D2284" s="116">
        <v>1515.8</v>
      </c>
      <c r="E2284" s="116">
        <v>1517.05</v>
      </c>
      <c r="F2284" s="116">
        <v>1549.25</v>
      </c>
      <c r="G2284">
        <v>8475</v>
      </c>
      <c r="H2284" s="116"/>
      <c r="I2284" s="116"/>
      <c r="L2284" s="170">
        <v>45365</v>
      </c>
      <c r="M2284" s="116">
        <v>1549.3</v>
      </c>
      <c r="N2284" s="116">
        <v>1555</v>
      </c>
      <c r="O2284" s="116">
        <v>1513.8</v>
      </c>
      <c r="P2284" s="116">
        <v>1550.95</v>
      </c>
      <c r="Q2284" s="116">
        <v>1549.3</v>
      </c>
      <c r="R2284">
        <v>82299</v>
      </c>
    </row>
    <row r="2285" spans="1:18" x14ac:dyDescent="0.25">
      <c r="A2285" s="170">
        <v>45366</v>
      </c>
      <c r="B2285" s="116">
        <v>1583.95</v>
      </c>
      <c r="C2285" s="116">
        <v>1550.75</v>
      </c>
      <c r="D2285" s="116">
        <v>1546.9</v>
      </c>
      <c r="E2285" s="116">
        <v>1583.95</v>
      </c>
      <c r="F2285" s="116">
        <v>1550.75</v>
      </c>
      <c r="G2285">
        <v>2244</v>
      </c>
      <c r="H2285" s="116"/>
      <c r="I2285" s="116"/>
      <c r="L2285" s="170">
        <v>45366</v>
      </c>
      <c r="M2285" s="116">
        <v>1550.05</v>
      </c>
      <c r="N2285" s="116">
        <v>1567.9</v>
      </c>
      <c r="O2285" s="116">
        <v>1543.05</v>
      </c>
      <c r="P2285" s="116">
        <v>1549.3</v>
      </c>
      <c r="Q2285" s="116">
        <v>1550.05</v>
      </c>
      <c r="R2285">
        <v>74312</v>
      </c>
    </row>
    <row r="2286" spans="1:18" x14ac:dyDescent="0.25">
      <c r="A2286" s="170">
        <v>45369</v>
      </c>
      <c r="B2286" s="116">
        <v>1626.2</v>
      </c>
      <c r="C2286" s="116">
        <v>1609.45</v>
      </c>
      <c r="D2286" s="116">
        <v>1550.05</v>
      </c>
      <c r="E2286" s="116">
        <v>1550.4</v>
      </c>
      <c r="F2286" s="116">
        <v>1609.45</v>
      </c>
      <c r="G2286">
        <v>11280</v>
      </c>
      <c r="H2286" s="116"/>
      <c r="I2286" s="116"/>
      <c r="L2286" s="170">
        <v>45369</v>
      </c>
      <c r="M2286" s="116">
        <v>1611</v>
      </c>
      <c r="N2286" s="116">
        <v>1625</v>
      </c>
      <c r="O2286" s="116">
        <v>1532</v>
      </c>
      <c r="P2286" s="116">
        <v>1564.25</v>
      </c>
      <c r="Q2286" s="116">
        <v>1611</v>
      </c>
      <c r="R2286">
        <v>148866</v>
      </c>
    </row>
    <row r="2287" spans="1:18" x14ac:dyDescent="0.25">
      <c r="A2287" s="170">
        <v>45370</v>
      </c>
      <c r="B2287" s="116">
        <v>1613.5</v>
      </c>
      <c r="C2287" s="116">
        <v>1582.75</v>
      </c>
      <c r="D2287" s="116">
        <v>1576.6</v>
      </c>
      <c r="E2287" s="116">
        <v>1612.65</v>
      </c>
      <c r="F2287" s="116">
        <v>1582.75</v>
      </c>
      <c r="G2287">
        <v>1834</v>
      </c>
      <c r="H2287" s="116"/>
      <c r="I2287" s="116"/>
      <c r="L2287" s="170">
        <v>45370</v>
      </c>
      <c r="M2287" s="116">
        <v>1584.9</v>
      </c>
      <c r="N2287" s="116">
        <v>1625.7</v>
      </c>
      <c r="O2287" s="116">
        <v>1575.85</v>
      </c>
      <c r="P2287" s="116">
        <v>1625.7</v>
      </c>
      <c r="Q2287" s="116">
        <v>1584.9</v>
      </c>
      <c r="R2287">
        <v>191737</v>
      </c>
    </row>
    <row r="2288" spans="1:18" x14ac:dyDescent="0.25">
      <c r="A2288" s="170">
        <v>45371</v>
      </c>
      <c r="B2288" s="116">
        <v>1590.5</v>
      </c>
      <c r="C2288" s="116">
        <v>1587.15</v>
      </c>
      <c r="D2288" s="116">
        <v>1550</v>
      </c>
      <c r="E2288" s="116">
        <v>1588.6</v>
      </c>
      <c r="F2288" s="116">
        <v>1587.15</v>
      </c>
      <c r="G2288">
        <v>1983</v>
      </c>
      <c r="H2288" s="116"/>
      <c r="I2288" s="116"/>
      <c r="L2288" s="170">
        <v>45371</v>
      </c>
      <c r="M2288" s="116">
        <v>1587.1</v>
      </c>
      <c r="N2288" s="116">
        <v>1591.9</v>
      </c>
      <c r="O2288" s="116">
        <v>1550.1</v>
      </c>
      <c r="P2288" s="116">
        <v>1591.9</v>
      </c>
      <c r="Q2288" s="116">
        <v>1587.1</v>
      </c>
      <c r="R2288">
        <v>180707</v>
      </c>
    </row>
    <row r="2289" spans="1:18" x14ac:dyDescent="0.25">
      <c r="A2289" s="170">
        <v>45372</v>
      </c>
      <c r="B2289" s="116">
        <v>1623.9</v>
      </c>
      <c r="C2289" s="116">
        <v>1618</v>
      </c>
      <c r="D2289" s="116">
        <v>1579.35</v>
      </c>
      <c r="E2289" s="116">
        <v>1598.35</v>
      </c>
      <c r="F2289" s="116">
        <v>1618</v>
      </c>
      <c r="G2289">
        <v>2141</v>
      </c>
      <c r="H2289" s="116"/>
      <c r="I2289" s="116"/>
      <c r="L2289" s="170">
        <v>45372</v>
      </c>
      <c r="M2289" s="116">
        <v>1619.2</v>
      </c>
      <c r="N2289" s="116">
        <v>1625</v>
      </c>
      <c r="O2289" s="116">
        <v>1576.6</v>
      </c>
      <c r="P2289" s="116">
        <v>1595.05</v>
      </c>
      <c r="Q2289" s="116">
        <v>1619.2</v>
      </c>
      <c r="R2289">
        <v>169047</v>
      </c>
    </row>
    <row r="2290" spans="1:18" x14ac:dyDescent="0.25">
      <c r="A2290" s="170">
        <v>45373</v>
      </c>
      <c r="B2290" s="116">
        <v>1647.2</v>
      </c>
      <c r="C2290" s="116">
        <v>1610</v>
      </c>
      <c r="D2290" s="116">
        <v>1594.95</v>
      </c>
      <c r="E2290" s="116">
        <v>1647.2</v>
      </c>
      <c r="F2290" s="116">
        <v>1610</v>
      </c>
      <c r="G2290">
        <v>4791</v>
      </c>
      <c r="H2290" s="116"/>
      <c r="I2290" s="116"/>
      <c r="L2290" s="170">
        <v>45373</v>
      </c>
      <c r="M2290" s="116">
        <v>1624.7</v>
      </c>
      <c r="N2290" s="116">
        <v>1636</v>
      </c>
      <c r="O2290" s="116">
        <v>1588.2</v>
      </c>
      <c r="P2290" s="116">
        <v>1627</v>
      </c>
      <c r="Q2290" s="116">
        <v>1624.7</v>
      </c>
      <c r="R2290">
        <v>75585</v>
      </c>
    </row>
    <row r="2291" spans="1:18" x14ac:dyDescent="0.25">
      <c r="A2291" s="170">
        <v>45377</v>
      </c>
      <c r="B2291" s="116">
        <v>1636</v>
      </c>
      <c r="C2291" s="116">
        <v>1613</v>
      </c>
      <c r="D2291" s="116">
        <v>1578.1</v>
      </c>
      <c r="E2291" s="116">
        <v>1620</v>
      </c>
      <c r="F2291" s="116">
        <v>1613</v>
      </c>
      <c r="G2291">
        <v>7097</v>
      </c>
      <c r="H2291" s="116"/>
      <c r="I2291" s="116"/>
      <c r="L2291" s="170">
        <v>45377</v>
      </c>
      <c r="M2291" s="116">
        <v>1616</v>
      </c>
      <c r="N2291" s="116">
        <v>1640</v>
      </c>
      <c r="O2291" s="116">
        <v>1557.05</v>
      </c>
      <c r="P2291" s="116">
        <v>1624.7</v>
      </c>
      <c r="Q2291" s="116">
        <v>1616</v>
      </c>
      <c r="R2291">
        <v>165067</v>
      </c>
    </row>
    <row r="2292" spans="1:18" x14ac:dyDescent="0.25">
      <c r="A2292" s="170">
        <v>45378</v>
      </c>
      <c r="B2292" s="116">
        <v>1659</v>
      </c>
      <c r="C2292" s="116">
        <v>1646</v>
      </c>
      <c r="D2292" s="116">
        <v>1610</v>
      </c>
      <c r="E2292" s="116">
        <v>1636</v>
      </c>
      <c r="F2292" s="116">
        <v>1646</v>
      </c>
      <c r="G2292">
        <v>3600</v>
      </c>
      <c r="H2292" s="116"/>
      <c r="I2292" s="116"/>
      <c r="L2292" s="170">
        <v>45378</v>
      </c>
      <c r="M2292" s="116">
        <v>1642.9</v>
      </c>
      <c r="N2292" s="116">
        <v>1660</v>
      </c>
      <c r="O2292" s="116">
        <v>1611</v>
      </c>
      <c r="P2292" s="116">
        <v>1631</v>
      </c>
      <c r="Q2292" s="116">
        <v>1642.9</v>
      </c>
      <c r="R2292">
        <v>239628</v>
      </c>
    </row>
    <row r="2293" spans="1:18" x14ac:dyDescent="0.25">
      <c r="A2293" s="170">
        <v>45379</v>
      </c>
      <c r="B2293" s="116">
        <v>1690</v>
      </c>
      <c r="C2293" s="116">
        <v>1649.45</v>
      </c>
      <c r="D2293" s="116">
        <v>1622.05</v>
      </c>
      <c r="E2293" s="116">
        <v>1622.05</v>
      </c>
      <c r="F2293" s="116">
        <v>1649.45</v>
      </c>
      <c r="G2293">
        <v>4997</v>
      </c>
      <c r="H2293" s="116"/>
      <c r="I2293" s="116"/>
      <c r="L2293" s="170">
        <v>45379</v>
      </c>
      <c r="M2293" s="116">
        <v>1650.4</v>
      </c>
      <c r="N2293" s="116">
        <v>1694.7</v>
      </c>
      <c r="O2293" s="116">
        <v>1643.45</v>
      </c>
      <c r="P2293" s="116">
        <v>1651.15</v>
      </c>
      <c r="Q2293" s="116">
        <v>1650.4</v>
      </c>
      <c r="R2293">
        <v>147335</v>
      </c>
    </row>
    <row r="2294" spans="1:18" x14ac:dyDescent="0.25">
      <c r="A2294" s="170">
        <v>45383</v>
      </c>
      <c r="B2294" s="116">
        <v>1709.55</v>
      </c>
      <c r="C2294" s="116">
        <v>1687.3</v>
      </c>
      <c r="D2294" s="116">
        <v>1652.55</v>
      </c>
      <c r="E2294" s="116">
        <v>1654.3</v>
      </c>
      <c r="F2294" s="116">
        <v>1687.3</v>
      </c>
      <c r="G2294">
        <v>4466</v>
      </c>
      <c r="H2294" s="116"/>
      <c r="I2294" s="116"/>
      <c r="L2294" s="170">
        <v>45383</v>
      </c>
      <c r="M2294" s="116">
        <v>1695.55</v>
      </c>
      <c r="N2294" s="116">
        <v>1714</v>
      </c>
      <c r="O2294" s="116">
        <v>1651.15</v>
      </c>
      <c r="P2294" s="116">
        <v>1656</v>
      </c>
      <c r="Q2294" s="116">
        <v>1695.55</v>
      </c>
      <c r="R2294">
        <v>95372</v>
      </c>
    </row>
    <row r="2295" spans="1:18" x14ac:dyDescent="0.25">
      <c r="A2295" s="170">
        <v>45384</v>
      </c>
      <c r="B2295" s="116">
        <v>1701.55</v>
      </c>
      <c r="C2295" s="116">
        <v>1677.2</v>
      </c>
      <c r="D2295" s="116">
        <v>1660.35</v>
      </c>
      <c r="E2295" s="116">
        <v>1688.15</v>
      </c>
      <c r="F2295" s="116">
        <v>1677.2</v>
      </c>
      <c r="G2295">
        <v>2336</v>
      </c>
      <c r="H2295" s="116"/>
      <c r="I2295" s="116"/>
      <c r="L2295" s="170">
        <v>45384</v>
      </c>
      <c r="M2295" s="116">
        <v>1674.7</v>
      </c>
      <c r="N2295" s="116">
        <v>1703</v>
      </c>
      <c r="O2295" s="116">
        <v>1661</v>
      </c>
      <c r="P2295" s="116">
        <v>1689.95</v>
      </c>
      <c r="Q2295" s="116">
        <v>1674.7</v>
      </c>
      <c r="R2295">
        <v>70428</v>
      </c>
    </row>
    <row r="2296" spans="1:18" x14ac:dyDescent="0.25">
      <c r="A2296" s="170">
        <v>45385</v>
      </c>
      <c r="B2296" s="116">
        <v>1690</v>
      </c>
      <c r="C2296" s="116">
        <v>1684.2</v>
      </c>
      <c r="D2296" s="116">
        <v>1661.55</v>
      </c>
      <c r="E2296" s="116">
        <v>1661.55</v>
      </c>
      <c r="F2296" s="116">
        <v>1684.2</v>
      </c>
      <c r="G2296">
        <v>2245</v>
      </c>
      <c r="H2296" s="116"/>
      <c r="I2296" s="116"/>
      <c r="L2296" s="170">
        <v>45385</v>
      </c>
      <c r="M2296" s="116">
        <v>1684.3</v>
      </c>
      <c r="N2296" s="116">
        <v>1690.1</v>
      </c>
      <c r="O2296" s="116">
        <v>1659.05</v>
      </c>
      <c r="P2296" s="116">
        <v>1669.85</v>
      </c>
      <c r="Q2296" s="116">
        <v>1684.3</v>
      </c>
      <c r="R2296">
        <v>42891</v>
      </c>
    </row>
    <row r="2297" spans="1:18" x14ac:dyDescent="0.25">
      <c r="A2297" s="170">
        <v>45386</v>
      </c>
      <c r="B2297" s="116">
        <v>1703.95</v>
      </c>
      <c r="C2297" s="116">
        <v>1701.2</v>
      </c>
      <c r="D2297" s="116">
        <v>1676.25</v>
      </c>
      <c r="E2297" s="116">
        <v>1680.05</v>
      </c>
      <c r="F2297" s="116">
        <v>1701.2</v>
      </c>
      <c r="G2297">
        <v>3636</v>
      </c>
      <c r="H2297" s="116"/>
      <c r="I2297" s="116"/>
      <c r="L2297" s="170">
        <v>45386</v>
      </c>
      <c r="M2297" s="116">
        <v>1703.05</v>
      </c>
      <c r="N2297" s="116">
        <v>1705</v>
      </c>
      <c r="O2297" s="116">
        <v>1675</v>
      </c>
      <c r="P2297" s="116">
        <v>1684.25</v>
      </c>
      <c r="Q2297" s="116">
        <v>1703.05</v>
      </c>
      <c r="R2297">
        <v>99335</v>
      </c>
    </row>
    <row r="2298" spans="1:18" x14ac:dyDescent="0.25">
      <c r="A2298" s="170">
        <v>45387</v>
      </c>
      <c r="B2298" s="116">
        <v>1724.75</v>
      </c>
      <c r="C2298" s="116">
        <v>1717.1</v>
      </c>
      <c r="D2298" s="116">
        <v>1699.5</v>
      </c>
      <c r="E2298" s="116">
        <v>1701.6</v>
      </c>
      <c r="F2298" s="116">
        <v>1717.1</v>
      </c>
      <c r="G2298">
        <v>2221</v>
      </c>
      <c r="H2298" s="116"/>
      <c r="I2298" s="116"/>
      <c r="L2298" s="170">
        <v>45387</v>
      </c>
      <c r="M2298" s="116">
        <v>1716.3</v>
      </c>
      <c r="N2298" s="116">
        <v>1726</v>
      </c>
      <c r="O2298" s="116">
        <v>1698.95</v>
      </c>
      <c r="P2298" s="116">
        <v>1700</v>
      </c>
      <c r="Q2298" s="116">
        <v>1716.3</v>
      </c>
      <c r="R2298">
        <v>151310</v>
      </c>
    </row>
    <row r="2299" spans="1:18" x14ac:dyDescent="0.25">
      <c r="A2299" s="170">
        <v>45390</v>
      </c>
      <c r="B2299" s="116">
        <v>1720</v>
      </c>
      <c r="C2299" s="116">
        <v>1712.4</v>
      </c>
      <c r="D2299" s="116">
        <v>1699</v>
      </c>
      <c r="E2299" s="116">
        <v>1719.95</v>
      </c>
      <c r="F2299" s="116">
        <v>1712.4</v>
      </c>
      <c r="G2299">
        <v>2900</v>
      </c>
      <c r="H2299" s="116"/>
      <c r="I2299" s="116"/>
      <c r="L2299" s="170">
        <v>45390</v>
      </c>
      <c r="M2299" s="116">
        <v>1709.35</v>
      </c>
      <c r="N2299" s="116">
        <v>1724.9</v>
      </c>
      <c r="O2299" s="116">
        <v>1695.6</v>
      </c>
      <c r="P2299" s="116">
        <v>1716.35</v>
      </c>
      <c r="Q2299" s="116">
        <v>1709.35</v>
      </c>
      <c r="R2299">
        <v>56961</v>
      </c>
    </row>
    <row r="2300" spans="1:18" x14ac:dyDescent="0.25">
      <c r="A2300" s="170">
        <v>45391</v>
      </c>
      <c r="B2300" s="116">
        <v>1776</v>
      </c>
      <c r="C2300" s="116">
        <v>1728.45</v>
      </c>
      <c r="D2300" s="116">
        <v>1705</v>
      </c>
      <c r="E2300" s="116">
        <v>1724</v>
      </c>
      <c r="F2300" s="116">
        <v>1728.45</v>
      </c>
      <c r="G2300">
        <v>7717</v>
      </c>
      <c r="H2300" s="116"/>
      <c r="I2300" s="116"/>
      <c r="L2300" s="170">
        <v>45391</v>
      </c>
      <c r="M2300" s="116">
        <v>1729.6</v>
      </c>
      <c r="N2300" s="116">
        <v>1740</v>
      </c>
      <c r="O2300" s="116">
        <v>1705.45</v>
      </c>
      <c r="P2300" s="116">
        <v>1718</v>
      </c>
      <c r="Q2300" s="116">
        <v>1729.6</v>
      </c>
      <c r="R2300">
        <v>439986</v>
      </c>
    </row>
    <row r="2301" spans="1:18" x14ac:dyDescent="0.25">
      <c r="A2301" s="170">
        <v>45392</v>
      </c>
      <c r="B2301" s="116">
        <v>1765</v>
      </c>
      <c r="C2301" s="116">
        <v>1758.75</v>
      </c>
      <c r="D2301" s="116">
        <v>1732.05</v>
      </c>
      <c r="E2301" s="116">
        <v>1732.05</v>
      </c>
      <c r="F2301" s="116">
        <v>1758.75</v>
      </c>
      <c r="G2301">
        <v>4891</v>
      </c>
      <c r="H2301" s="116"/>
      <c r="I2301" s="116"/>
      <c r="L2301" s="170">
        <v>45392</v>
      </c>
      <c r="M2301" s="116">
        <v>1758.3</v>
      </c>
      <c r="N2301" s="116">
        <v>1769.9</v>
      </c>
      <c r="O2301" s="116">
        <v>1730</v>
      </c>
      <c r="P2301" s="116">
        <v>1730</v>
      </c>
      <c r="Q2301" s="116">
        <v>1758.3</v>
      </c>
      <c r="R2301">
        <v>240629</v>
      </c>
    </row>
    <row r="2302" spans="1:18" x14ac:dyDescent="0.25">
      <c r="A2302" s="170">
        <v>45394</v>
      </c>
      <c r="B2302" s="116">
        <v>1810.35</v>
      </c>
      <c r="C2302" s="116">
        <v>1800.5</v>
      </c>
      <c r="D2302" s="116">
        <v>1733.85</v>
      </c>
      <c r="E2302" s="116">
        <v>1735.65</v>
      </c>
      <c r="F2302" s="116">
        <v>1800.5</v>
      </c>
      <c r="G2302">
        <v>12688</v>
      </c>
      <c r="H2302" s="116"/>
      <c r="I2302" s="116"/>
      <c r="L2302" s="170">
        <v>45394</v>
      </c>
      <c r="M2302" s="116">
        <v>1799.8</v>
      </c>
      <c r="N2302" s="116">
        <v>1810</v>
      </c>
      <c r="O2302" s="116">
        <v>1736</v>
      </c>
      <c r="P2302" s="116">
        <v>1759.95</v>
      </c>
      <c r="Q2302" s="116">
        <v>1799.8</v>
      </c>
      <c r="R2302">
        <v>461812</v>
      </c>
    </row>
    <row r="2303" spans="1:18" x14ac:dyDescent="0.25">
      <c r="A2303" s="170">
        <v>45397</v>
      </c>
      <c r="B2303" s="116">
        <v>1838</v>
      </c>
      <c r="C2303" s="116">
        <v>1792.9</v>
      </c>
      <c r="D2303" s="116">
        <v>1765.05</v>
      </c>
      <c r="E2303" s="116">
        <v>1765.05</v>
      </c>
      <c r="F2303" s="116">
        <v>1792.9</v>
      </c>
      <c r="G2303">
        <v>13502</v>
      </c>
      <c r="H2303" s="116"/>
      <c r="I2303" s="116"/>
      <c r="L2303" s="170">
        <v>45397</v>
      </c>
      <c r="M2303" s="116">
        <v>1802.4</v>
      </c>
      <c r="N2303" s="116">
        <v>1840</v>
      </c>
      <c r="O2303" s="116">
        <v>1777.2</v>
      </c>
      <c r="P2303" s="116">
        <v>1798</v>
      </c>
      <c r="Q2303" s="116">
        <v>1802.4</v>
      </c>
      <c r="R2303">
        <v>378533</v>
      </c>
    </row>
    <row r="2304" spans="1:18" x14ac:dyDescent="0.25">
      <c r="A2304" s="170">
        <v>45398</v>
      </c>
      <c r="B2304" s="116">
        <v>1812.1</v>
      </c>
      <c r="C2304" s="116">
        <v>1795.3</v>
      </c>
      <c r="D2304" s="116">
        <v>1785</v>
      </c>
      <c r="E2304" s="116">
        <v>1791.15</v>
      </c>
      <c r="F2304" s="116">
        <v>1795.3</v>
      </c>
      <c r="G2304">
        <v>1862</v>
      </c>
      <c r="H2304" s="116"/>
      <c r="I2304" s="116"/>
      <c r="L2304" s="170">
        <v>45398</v>
      </c>
      <c r="M2304" s="116">
        <v>1794.8</v>
      </c>
      <c r="N2304" s="116">
        <v>1816.05</v>
      </c>
      <c r="O2304" s="116">
        <v>1785</v>
      </c>
      <c r="P2304" s="116">
        <v>1795</v>
      </c>
      <c r="Q2304" s="116">
        <v>1794.8</v>
      </c>
      <c r="R2304">
        <v>73678</v>
      </c>
    </row>
    <row r="2305" spans="1:18" x14ac:dyDescent="0.25">
      <c r="A2305" s="170">
        <v>45400</v>
      </c>
      <c r="B2305" s="116">
        <v>1809.55</v>
      </c>
      <c r="C2305" s="116">
        <v>1795</v>
      </c>
      <c r="D2305" s="116">
        <v>1768.6</v>
      </c>
      <c r="E2305" s="116">
        <v>1809.55</v>
      </c>
      <c r="F2305" s="116">
        <v>1795</v>
      </c>
      <c r="G2305">
        <v>19935</v>
      </c>
      <c r="H2305" s="116"/>
      <c r="I2305" s="116"/>
      <c r="L2305" s="170">
        <v>45400</v>
      </c>
      <c r="M2305" s="116">
        <v>1797.8</v>
      </c>
      <c r="N2305" s="116">
        <v>1804</v>
      </c>
      <c r="O2305" s="116">
        <v>1770</v>
      </c>
      <c r="P2305" s="116">
        <v>1790</v>
      </c>
      <c r="Q2305" s="116">
        <v>1797.8</v>
      </c>
      <c r="R2305">
        <v>374875</v>
      </c>
    </row>
    <row r="2306" spans="1:18" x14ac:dyDescent="0.25">
      <c r="A2306" s="170">
        <v>45401</v>
      </c>
      <c r="B2306" s="116">
        <v>1799.2</v>
      </c>
      <c r="C2306" s="116">
        <v>1778.45</v>
      </c>
      <c r="D2306" s="116">
        <v>1752.05</v>
      </c>
      <c r="E2306" s="116">
        <v>1752.05</v>
      </c>
      <c r="F2306" s="116">
        <v>1778.45</v>
      </c>
      <c r="G2306">
        <v>2477</v>
      </c>
      <c r="H2306" s="116"/>
      <c r="I2306" s="116"/>
      <c r="L2306" s="170">
        <v>45401</v>
      </c>
      <c r="M2306" s="116">
        <v>1779.6</v>
      </c>
      <c r="N2306" s="116">
        <v>1798</v>
      </c>
      <c r="O2306" s="116">
        <v>1770.35</v>
      </c>
      <c r="P2306" s="116">
        <v>1795</v>
      </c>
      <c r="Q2306" s="116">
        <v>1779.6</v>
      </c>
      <c r="R2306">
        <v>202911</v>
      </c>
    </row>
    <row r="2307" spans="1:18" x14ac:dyDescent="0.25">
      <c r="A2307" s="170">
        <v>45404</v>
      </c>
      <c r="B2307" s="116">
        <v>1809</v>
      </c>
      <c r="C2307" s="116">
        <v>1786.2</v>
      </c>
      <c r="D2307" s="116">
        <v>1779.15</v>
      </c>
      <c r="E2307" s="116">
        <v>1808.95</v>
      </c>
      <c r="F2307" s="116">
        <v>1786.2</v>
      </c>
      <c r="G2307">
        <v>2693</v>
      </c>
      <c r="H2307" s="116"/>
      <c r="I2307" s="116"/>
      <c r="L2307" s="170">
        <v>45404</v>
      </c>
      <c r="M2307" s="116">
        <v>1787.95</v>
      </c>
      <c r="N2307" s="116">
        <v>1810.3</v>
      </c>
      <c r="O2307" s="116">
        <v>1778</v>
      </c>
      <c r="P2307" s="116">
        <v>1780</v>
      </c>
      <c r="Q2307" s="116">
        <v>1787.95</v>
      </c>
      <c r="R2307">
        <v>212672</v>
      </c>
    </row>
    <row r="2308" spans="1:18" x14ac:dyDescent="0.25">
      <c r="A2308" s="170">
        <v>45405</v>
      </c>
      <c r="B2308" s="116">
        <v>1820</v>
      </c>
      <c r="C2308" s="116">
        <v>1783.4</v>
      </c>
      <c r="D2308" s="116">
        <v>1768.45</v>
      </c>
      <c r="E2308" s="116">
        <v>1773.1</v>
      </c>
      <c r="F2308" s="116">
        <v>1783.4</v>
      </c>
      <c r="G2308">
        <v>4204</v>
      </c>
      <c r="H2308" s="116"/>
      <c r="I2308" s="116"/>
      <c r="L2308" s="170">
        <v>45405</v>
      </c>
      <c r="M2308" s="116">
        <v>1784.2</v>
      </c>
      <c r="N2308" s="116">
        <v>1820</v>
      </c>
      <c r="O2308" s="116">
        <v>1768.25</v>
      </c>
      <c r="P2308" s="116">
        <v>1787.95</v>
      </c>
      <c r="Q2308" s="116">
        <v>1784.2</v>
      </c>
      <c r="R2308">
        <v>113740</v>
      </c>
    </row>
    <row r="2309" spans="1:18" x14ac:dyDescent="0.25">
      <c r="A2309" s="170">
        <v>45406</v>
      </c>
      <c r="B2309" s="116">
        <v>1830</v>
      </c>
      <c r="C2309" s="116">
        <v>1824.45</v>
      </c>
      <c r="D2309" s="116">
        <v>1779.4</v>
      </c>
      <c r="E2309" s="116">
        <v>1781.35</v>
      </c>
      <c r="F2309" s="116">
        <v>1824.45</v>
      </c>
      <c r="G2309">
        <v>4047</v>
      </c>
      <c r="H2309" s="116"/>
      <c r="I2309" s="116"/>
      <c r="L2309" s="170">
        <v>45406</v>
      </c>
      <c r="M2309" s="116">
        <v>1824.55</v>
      </c>
      <c r="N2309" s="116">
        <v>1832</v>
      </c>
      <c r="O2309" s="116">
        <v>1780</v>
      </c>
      <c r="P2309" s="116">
        <v>1784.9</v>
      </c>
      <c r="Q2309" s="116">
        <v>1824.55</v>
      </c>
      <c r="R2309">
        <v>133182</v>
      </c>
    </row>
    <row r="2310" spans="1:18" x14ac:dyDescent="0.25">
      <c r="A2310" s="170">
        <v>45407</v>
      </c>
      <c r="B2310" s="116">
        <v>1885</v>
      </c>
      <c r="C2310" s="116">
        <v>1855.2</v>
      </c>
      <c r="D2310" s="116">
        <v>1827.8</v>
      </c>
      <c r="E2310" s="116">
        <v>1843.15</v>
      </c>
      <c r="F2310" s="116">
        <v>1855.2</v>
      </c>
      <c r="G2310">
        <v>7046</v>
      </c>
      <c r="H2310" s="116"/>
      <c r="I2310" s="116"/>
      <c r="L2310" s="170">
        <v>45407</v>
      </c>
      <c r="M2310" s="116">
        <v>1862.8</v>
      </c>
      <c r="N2310" s="116">
        <v>1885</v>
      </c>
      <c r="O2310" s="116">
        <v>1813.3</v>
      </c>
      <c r="P2310" s="116">
        <v>1813.3</v>
      </c>
      <c r="Q2310" s="116">
        <v>1862.8</v>
      </c>
      <c r="R2310">
        <v>191404</v>
      </c>
    </row>
    <row r="2311" spans="1:18" x14ac:dyDescent="0.25">
      <c r="A2311" s="170">
        <v>45408</v>
      </c>
      <c r="B2311" s="116">
        <v>1887.45</v>
      </c>
      <c r="C2311" s="116">
        <v>1864.05</v>
      </c>
      <c r="D2311" s="116">
        <v>1848.7</v>
      </c>
      <c r="E2311" s="116">
        <v>1887.45</v>
      </c>
      <c r="F2311" s="116">
        <v>1864.05</v>
      </c>
      <c r="G2311">
        <v>973</v>
      </c>
      <c r="H2311" s="116"/>
      <c r="I2311" s="116"/>
      <c r="L2311" s="170">
        <v>45408</v>
      </c>
      <c r="M2311" s="116">
        <v>1865.05</v>
      </c>
      <c r="N2311" s="116">
        <v>1880.5</v>
      </c>
      <c r="O2311" s="116">
        <v>1848</v>
      </c>
      <c r="P2311" s="116">
        <v>1872.15</v>
      </c>
      <c r="Q2311" s="116">
        <v>1865.05</v>
      </c>
      <c r="R2311">
        <v>72657</v>
      </c>
    </row>
    <row r="2312" spans="1:18" x14ac:dyDescent="0.25">
      <c r="A2312" s="170">
        <v>45411</v>
      </c>
      <c r="B2312" s="116">
        <v>1910</v>
      </c>
      <c r="C2312" s="116">
        <v>1906.3</v>
      </c>
      <c r="D2312" s="116">
        <v>1865.05</v>
      </c>
      <c r="E2312" s="116">
        <v>1865.05</v>
      </c>
      <c r="F2312" s="116">
        <v>1906.3</v>
      </c>
      <c r="G2312">
        <v>2921</v>
      </c>
      <c r="H2312" s="116"/>
      <c r="I2312" s="116"/>
      <c r="L2312" s="170">
        <v>45411</v>
      </c>
      <c r="M2312" s="116">
        <v>1906.65</v>
      </c>
      <c r="N2312" s="116">
        <v>1915</v>
      </c>
      <c r="O2312" s="116">
        <v>1865</v>
      </c>
      <c r="P2312" s="116">
        <v>1889</v>
      </c>
      <c r="Q2312" s="116">
        <v>1906.65</v>
      </c>
      <c r="R2312">
        <v>79262</v>
      </c>
    </row>
    <row r="2313" spans="1:18" x14ac:dyDescent="0.25">
      <c r="A2313" s="170">
        <v>45412</v>
      </c>
      <c r="B2313" s="116">
        <v>1919.1</v>
      </c>
      <c r="C2313" s="116">
        <v>1904.1</v>
      </c>
      <c r="D2313" s="116">
        <v>1896</v>
      </c>
      <c r="E2313" s="116">
        <v>1910.2</v>
      </c>
      <c r="F2313" s="116">
        <v>1904.1</v>
      </c>
      <c r="G2313">
        <v>2161</v>
      </c>
      <c r="H2313" s="116"/>
      <c r="I2313" s="116"/>
      <c r="L2313" s="170">
        <v>45412</v>
      </c>
      <c r="M2313" s="116">
        <v>1905.25</v>
      </c>
      <c r="N2313" s="116">
        <v>1920</v>
      </c>
      <c r="O2313" s="116">
        <v>1895.15</v>
      </c>
      <c r="P2313" s="116">
        <v>1915</v>
      </c>
      <c r="Q2313" s="116">
        <v>1905.25</v>
      </c>
      <c r="R2313">
        <v>58281</v>
      </c>
    </row>
    <row r="2314" spans="1:18" x14ac:dyDescent="0.25">
      <c r="A2314" s="170">
        <v>45414</v>
      </c>
      <c r="B2314" s="116">
        <v>1910</v>
      </c>
      <c r="C2314" s="116">
        <v>1886.4</v>
      </c>
      <c r="D2314" s="116">
        <v>1876.25</v>
      </c>
      <c r="E2314" s="116">
        <v>1896.95</v>
      </c>
      <c r="F2314" s="116">
        <v>1886.4</v>
      </c>
      <c r="G2314">
        <v>1383</v>
      </c>
      <c r="H2314" s="116"/>
      <c r="I2314" s="116"/>
      <c r="L2314" s="170">
        <v>45414</v>
      </c>
      <c r="M2314" s="116">
        <v>1885.6</v>
      </c>
      <c r="N2314" s="116">
        <v>1911.3</v>
      </c>
      <c r="O2314" s="116">
        <v>1875</v>
      </c>
      <c r="P2314" s="116">
        <v>1895</v>
      </c>
      <c r="Q2314" s="116">
        <v>1885.6</v>
      </c>
      <c r="R2314">
        <v>180018</v>
      </c>
    </row>
    <row r="2315" spans="1:18" x14ac:dyDescent="0.25">
      <c r="A2315" s="170">
        <v>45415</v>
      </c>
      <c r="B2315" s="116">
        <v>1903</v>
      </c>
      <c r="C2315" s="116">
        <v>1888.75</v>
      </c>
      <c r="D2315" s="116">
        <v>1861.45</v>
      </c>
      <c r="E2315" s="116">
        <v>1897.2</v>
      </c>
      <c r="F2315" s="116">
        <v>1888.75</v>
      </c>
      <c r="G2315">
        <v>3376</v>
      </c>
      <c r="H2315" s="116"/>
      <c r="I2315" s="116"/>
      <c r="L2315" s="170">
        <v>45415</v>
      </c>
      <c r="M2315" s="116">
        <v>1889.9</v>
      </c>
      <c r="N2315" s="116">
        <v>1907.05</v>
      </c>
      <c r="O2315" s="116">
        <v>1861.2</v>
      </c>
      <c r="P2315" s="116">
        <v>1907.05</v>
      </c>
      <c r="Q2315" s="116">
        <v>1889.9</v>
      </c>
      <c r="R2315">
        <v>169658</v>
      </c>
    </row>
    <row r="2316" spans="1:18" x14ac:dyDescent="0.25">
      <c r="A2316" s="170">
        <v>45418</v>
      </c>
      <c r="B2316" s="116">
        <v>1888.05</v>
      </c>
      <c r="C2316" s="116">
        <v>1851.35</v>
      </c>
      <c r="D2316" s="116">
        <v>1842.85</v>
      </c>
      <c r="E2316" s="116">
        <v>1888.05</v>
      </c>
      <c r="F2316" s="116">
        <v>1851.35</v>
      </c>
      <c r="G2316">
        <v>2200</v>
      </c>
      <c r="H2316" s="116"/>
      <c r="I2316" s="116"/>
      <c r="L2316" s="170">
        <v>45418</v>
      </c>
      <c r="M2316" s="116">
        <v>1853.25</v>
      </c>
      <c r="N2316" s="116">
        <v>1891</v>
      </c>
      <c r="O2316" s="116">
        <v>1843.05</v>
      </c>
      <c r="P2316" s="116">
        <v>1891</v>
      </c>
      <c r="Q2316" s="116">
        <v>1853.25</v>
      </c>
      <c r="R2316">
        <v>25788</v>
      </c>
    </row>
    <row r="2317" spans="1:18" x14ac:dyDescent="0.25">
      <c r="A2317" s="170">
        <v>45419</v>
      </c>
      <c r="B2317" s="116">
        <v>1853.35</v>
      </c>
      <c r="C2317" s="116">
        <v>1802.5</v>
      </c>
      <c r="D2317" s="116">
        <v>1783.9</v>
      </c>
      <c r="E2317" s="116">
        <v>1853.35</v>
      </c>
      <c r="F2317" s="116">
        <v>1802.5</v>
      </c>
      <c r="G2317">
        <v>1956</v>
      </c>
      <c r="H2317" s="116"/>
      <c r="I2317" s="116"/>
      <c r="L2317" s="170">
        <v>45419</v>
      </c>
      <c r="M2317" s="116">
        <v>1802.6</v>
      </c>
      <c r="N2317" s="116">
        <v>1853.25</v>
      </c>
      <c r="O2317" s="116">
        <v>1784</v>
      </c>
      <c r="P2317" s="116">
        <v>1851.25</v>
      </c>
      <c r="Q2317" s="116">
        <v>1802.6</v>
      </c>
      <c r="R2317">
        <v>79145</v>
      </c>
    </row>
    <row r="2318" spans="1:18" x14ac:dyDescent="0.25">
      <c r="A2318" s="170">
        <v>45420</v>
      </c>
      <c r="B2318" s="116">
        <v>1844</v>
      </c>
      <c r="C2318" s="116">
        <v>1793.75</v>
      </c>
      <c r="D2318" s="116">
        <v>1780</v>
      </c>
      <c r="E2318" s="116">
        <v>1808.75</v>
      </c>
      <c r="F2318" s="116">
        <v>1793.75</v>
      </c>
      <c r="G2318">
        <v>3133</v>
      </c>
      <c r="H2318" s="116"/>
      <c r="I2318" s="116"/>
      <c r="L2318" s="170">
        <v>45420</v>
      </c>
      <c r="M2318" s="116">
        <v>1798.5</v>
      </c>
      <c r="N2318" s="116">
        <v>1848</v>
      </c>
      <c r="O2318" s="116">
        <v>1766.6</v>
      </c>
      <c r="P2318" s="116">
        <v>1772.35</v>
      </c>
      <c r="Q2318" s="116">
        <v>1798.5</v>
      </c>
      <c r="R2318">
        <v>465731</v>
      </c>
    </row>
    <row r="2319" spans="1:18" x14ac:dyDescent="0.25">
      <c r="A2319" s="170">
        <v>45421</v>
      </c>
      <c r="B2319" s="116">
        <v>1795.9</v>
      </c>
      <c r="C2319" s="116">
        <v>1765.25</v>
      </c>
      <c r="D2319" s="116">
        <v>1762.55</v>
      </c>
      <c r="E2319" s="116">
        <v>1790</v>
      </c>
      <c r="F2319" s="116">
        <v>1765.25</v>
      </c>
      <c r="G2319">
        <v>2293</v>
      </c>
      <c r="H2319" s="116"/>
      <c r="I2319" s="116"/>
      <c r="L2319" s="170">
        <v>45421</v>
      </c>
      <c r="M2319" s="116">
        <v>1765.45</v>
      </c>
      <c r="N2319" s="116">
        <v>1797.55</v>
      </c>
      <c r="O2319" s="116">
        <v>1761.8</v>
      </c>
      <c r="P2319" s="116">
        <v>1792</v>
      </c>
      <c r="Q2319" s="116">
        <v>1765.45</v>
      </c>
      <c r="R2319">
        <v>130731</v>
      </c>
    </row>
    <row r="2320" spans="1:18" x14ac:dyDescent="0.25">
      <c r="A2320" s="170">
        <v>45422</v>
      </c>
      <c r="B2320" s="116">
        <v>1829</v>
      </c>
      <c r="C2320" s="116">
        <v>1801.15</v>
      </c>
      <c r="D2320" s="116">
        <v>1726.6</v>
      </c>
      <c r="E2320" s="116">
        <v>1729.95</v>
      </c>
      <c r="F2320" s="116">
        <v>1801.15</v>
      </c>
      <c r="G2320">
        <v>2686</v>
      </c>
      <c r="H2320" s="116"/>
      <c r="I2320" s="116"/>
      <c r="L2320" s="170">
        <v>45422</v>
      </c>
      <c r="M2320" s="116">
        <v>1817.35</v>
      </c>
      <c r="N2320" s="116">
        <v>1831.05</v>
      </c>
      <c r="O2320" s="116">
        <v>1725.45</v>
      </c>
      <c r="P2320" s="116">
        <v>1751</v>
      </c>
      <c r="Q2320" s="116">
        <v>1817.35</v>
      </c>
      <c r="R2320">
        <v>140673</v>
      </c>
    </row>
    <row r="2321" spans="1:18" x14ac:dyDescent="0.25">
      <c r="A2321" s="170">
        <v>45425</v>
      </c>
      <c r="B2321" s="116">
        <v>1822.95</v>
      </c>
      <c r="C2321" s="116">
        <v>1796.85</v>
      </c>
      <c r="D2321" s="116">
        <v>1781.75</v>
      </c>
      <c r="E2321" s="116">
        <v>1822.95</v>
      </c>
      <c r="F2321" s="116">
        <v>1796.85</v>
      </c>
      <c r="G2321">
        <v>1734</v>
      </c>
      <c r="H2321" s="116"/>
      <c r="I2321" s="116"/>
      <c r="L2321" s="170">
        <v>45425</v>
      </c>
      <c r="M2321" s="116">
        <v>1793.2</v>
      </c>
      <c r="N2321" s="116">
        <v>1809.9</v>
      </c>
      <c r="O2321" s="116">
        <v>1774.65</v>
      </c>
      <c r="P2321" s="116">
        <v>1800.15</v>
      </c>
      <c r="Q2321" s="116">
        <v>1793.2</v>
      </c>
      <c r="R2321">
        <v>74619</v>
      </c>
    </row>
    <row r="2322" spans="1:18" x14ac:dyDescent="0.25">
      <c r="A2322" s="170">
        <v>45426</v>
      </c>
      <c r="B2322" s="116">
        <v>1823.95</v>
      </c>
      <c r="C2322" s="116">
        <v>1791.15</v>
      </c>
      <c r="D2322" s="116">
        <v>1785</v>
      </c>
      <c r="E2322" s="116">
        <v>1823.95</v>
      </c>
      <c r="F2322" s="116">
        <v>1791.15</v>
      </c>
      <c r="G2322">
        <v>2422</v>
      </c>
      <c r="H2322" s="116"/>
      <c r="I2322" s="116"/>
      <c r="L2322" s="170">
        <v>45426</v>
      </c>
      <c r="M2322" s="116">
        <v>1797.25</v>
      </c>
      <c r="N2322" s="116">
        <v>1806.2</v>
      </c>
      <c r="O2322" s="116">
        <v>1784.15</v>
      </c>
      <c r="P2322" s="116">
        <v>1791.95</v>
      </c>
      <c r="Q2322" s="116">
        <v>1797.25</v>
      </c>
      <c r="R2322">
        <v>33972</v>
      </c>
    </row>
    <row r="2323" spans="1:18" x14ac:dyDescent="0.25">
      <c r="A2323" s="170">
        <v>45427</v>
      </c>
      <c r="B2323" s="116">
        <v>1840.05</v>
      </c>
      <c r="C2323" s="116">
        <v>1813.7</v>
      </c>
      <c r="D2323" s="116">
        <v>1795.75</v>
      </c>
      <c r="E2323" s="116">
        <v>1798.7</v>
      </c>
      <c r="F2323" s="116">
        <v>1813.7</v>
      </c>
      <c r="G2323">
        <v>2342</v>
      </c>
      <c r="H2323" s="116"/>
      <c r="I2323" s="116"/>
      <c r="L2323" s="170">
        <v>45427</v>
      </c>
      <c r="M2323" s="116">
        <v>1805.4</v>
      </c>
      <c r="N2323" s="116">
        <v>1840.4</v>
      </c>
      <c r="O2323" s="116">
        <v>1792.1</v>
      </c>
      <c r="P2323" s="116">
        <v>1797.25</v>
      </c>
      <c r="Q2323" s="116">
        <v>1805.4</v>
      </c>
      <c r="R2323">
        <v>73130</v>
      </c>
    </row>
    <row r="2324" spans="1:18" x14ac:dyDescent="0.25">
      <c r="A2324" s="170">
        <v>45428</v>
      </c>
      <c r="B2324" s="116">
        <v>1835.5</v>
      </c>
      <c r="C2324" s="116">
        <v>1832.15</v>
      </c>
      <c r="D2324" s="116">
        <v>1787</v>
      </c>
      <c r="E2324" s="116">
        <v>1806.4</v>
      </c>
      <c r="F2324" s="116">
        <v>1832.15</v>
      </c>
      <c r="G2324">
        <v>22742</v>
      </c>
      <c r="H2324" s="116"/>
      <c r="I2324" s="116"/>
      <c r="L2324" s="170">
        <v>45428</v>
      </c>
      <c r="M2324" s="116">
        <v>1832.55</v>
      </c>
      <c r="N2324" s="116">
        <v>1839.95</v>
      </c>
      <c r="O2324" s="116">
        <v>1781.8</v>
      </c>
      <c r="P2324" s="116">
        <v>1810</v>
      </c>
      <c r="Q2324" s="116">
        <v>1832.55</v>
      </c>
      <c r="R2324">
        <v>117208</v>
      </c>
    </row>
    <row r="2325" spans="1:18" x14ac:dyDescent="0.25">
      <c r="A2325" s="170">
        <v>45429</v>
      </c>
      <c r="B2325" s="116">
        <v>1868.75</v>
      </c>
      <c r="C2325" s="116">
        <v>1823.85</v>
      </c>
      <c r="D2325" s="116">
        <v>1806.6</v>
      </c>
      <c r="E2325" s="116">
        <v>1868.75</v>
      </c>
      <c r="F2325" s="116">
        <v>1823.85</v>
      </c>
      <c r="G2325">
        <v>1398</v>
      </c>
      <c r="H2325" s="116"/>
      <c r="I2325" s="116"/>
      <c r="L2325" s="170">
        <v>45429</v>
      </c>
      <c r="M2325" s="116">
        <v>1825</v>
      </c>
      <c r="N2325" s="116">
        <v>1888</v>
      </c>
      <c r="O2325" s="116">
        <v>1804.05</v>
      </c>
      <c r="P2325" s="116">
        <v>1834</v>
      </c>
      <c r="Q2325" s="116">
        <v>1825</v>
      </c>
      <c r="R2325">
        <v>73052</v>
      </c>
    </row>
    <row r="2326" spans="1:18" x14ac:dyDescent="0.25">
      <c r="A2326" s="170">
        <v>45430</v>
      </c>
      <c r="B2326" s="116">
        <v>1909</v>
      </c>
      <c r="C2326" s="116">
        <v>1840.6</v>
      </c>
      <c r="D2326" s="116">
        <v>1835</v>
      </c>
      <c r="E2326" s="116">
        <v>1871.95</v>
      </c>
      <c r="F2326" s="116">
        <v>1840.6</v>
      </c>
      <c r="G2326">
        <v>1053</v>
      </c>
      <c r="H2326" s="116"/>
      <c r="I2326" s="116"/>
      <c r="L2326" s="170">
        <v>45430</v>
      </c>
      <c r="M2326" s="116">
        <v>1843</v>
      </c>
      <c r="N2326" s="116">
        <v>1915</v>
      </c>
      <c r="O2326" s="116">
        <v>1825</v>
      </c>
      <c r="P2326" s="116">
        <v>1841</v>
      </c>
      <c r="Q2326" s="116">
        <v>1843</v>
      </c>
      <c r="R2326">
        <v>38096</v>
      </c>
    </row>
    <row r="2327" spans="1:18" x14ac:dyDescent="0.25">
      <c r="A2327" s="170">
        <v>45433</v>
      </c>
      <c r="B2327" s="116">
        <v>1862.85</v>
      </c>
      <c r="C2327" s="116">
        <v>1777.15</v>
      </c>
      <c r="D2327" s="116">
        <v>1767.1</v>
      </c>
      <c r="E2327" s="116">
        <v>1834.45</v>
      </c>
      <c r="F2327" s="116">
        <v>1777.15</v>
      </c>
      <c r="G2327">
        <v>3253</v>
      </c>
      <c r="H2327" s="116"/>
      <c r="I2327" s="116"/>
      <c r="L2327" s="170">
        <v>45433</v>
      </c>
      <c r="M2327" s="116">
        <v>1773.6</v>
      </c>
      <c r="N2327" s="116">
        <v>1865</v>
      </c>
      <c r="O2327" s="116">
        <v>1765.65</v>
      </c>
      <c r="P2327" s="116">
        <v>1865</v>
      </c>
      <c r="Q2327" s="116">
        <v>1773.6</v>
      </c>
      <c r="R2327">
        <v>115755</v>
      </c>
    </row>
    <row r="2328" spans="1:18" x14ac:dyDescent="0.25">
      <c r="A2328" s="170">
        <v>45434</v>
      </c>
      <c r="B2328" s="116">
        <v>1823.35</v>
      </c>
      <c r="C2328" s="116">
        <v>1701.75</v>
      </c>
      <c r="D2328" s="116">
        <v>1688.15</v>
      </c>
      <c r="E2328" s="116">
        <v>1823.35</v>
      </c>
      <c r="F2328" s="116">
        <v>1701.75</v>
      </c>
      <c r="G2328">
        <v>8625</v>
      </c>
      <c r="H2328" s="116"/>
      <c r="I2328" s="116"/>
      <c r="L2328" s="170">
        <v>45434</v>
      </c>
      <c r="M2328" s="116">
        <v>1701.05</v>
      </c>
      <c r="N2328" s="116">
        <v>1770</v>
      </c>
      <c r="O2328" s="116">
        <v>1688.15</v>
      </c>
      <c r="P2328" s="116">
        <v>1770</v>
      </c>
      <c r="Q2328" s="116">
        <v>1701.05</v>
      </c>
      <c r="R2328">
        <v>752889</v>
      </c>
    </row>
    <row r="2329" spans="1:18" x14ac:dyDescent="0.25">
      <c r="A2329" s="170">
        <v>45435</v>
      </c>
      <c r="B2329" s="116">
        <v>1729.7</v>
      </c>
      <c r="C2329" s="116">
        <v>1678.7</v>
      </c>
      <c r="D2329" s="116">
        <v>1676.45</v>
      </c>
      <c r="E2329" s="116">
        <v>1710.75</v>
      </c>
      <c r="F2329" s="116">
        <v>1678.7</v>
      </c>
      <c r="G2329">
        <v>5100</v>
      </c>
      <c r="H2329" s="116"/>
      <c r="I2329" s="116"/>
      <c r="L2329" s="170">
        <v>45435</v>
      </c>
      <c r="M2329" s="116">
        <v>1678.65</v>
      </c>
      <c r="N2329" s="116">
        <v>1731.05</v>
      </c>
      <c r="O2329" s="116">
        <v>1675</v>
      </c>
      <c r="P2329" s="116">
        <v>1709</v>
      </c>
      <c r="Q2329" s="116">
        <v>1678.65</v>
      </c>
      <c r="R2329">
        <v>148395</v>
      </c>
    </row>
    <row r="2330" spans="1:18" x14ac:dyDescent="0.25">
      <c r="A2330" s="170">
        <v>45436</v>
      </c>
      <c r="B2330" s="116">
        <v>1683.15</v>
      </c>
      <c r="C2330" s="116">
        <v>1668.4</v>
      </c>
      <c r="D2330" s="116">
        <v>1646.8</v>
      </c>
      <c r="E2330" s="116">
        <v>1678.05</v>
      </c>
      <c r="F2330" s="116">
        <v>1668.4</v>
      </c>
      <c r="G2330">
        <v>5050</v>
      </c>
      <c r="H2330" s="116"/>
      <c r="I2330" s="116"/>
      <c r="L2330" s="170">
        <v>45436</v>
      </c>
      <c r="M2330" s="116">
        <v>1667.6</v>
      </c>
      <c r="N2330" s="116">
        <v>1689.5</v>
      </c>
      <c r="O2330" s="116">
        <v>1635.5</v>
      </c>
      <c r="P2330" s="116">
        <v>1689.5</v>
      </c>
      <c r="Q2330" s="116">
        <v>1667.6</v>
      </c>
      <c r="R2330">
        <v>139026</v>
      </c>
    </row>
    <row r="2331" spans="1:18" x14ac:dyDescent="0.25">
      <c r="A2331" s="170">
        <v>45439</v>
      </c>
      <c r="B2331" s="116">
        <v>1825.7</v>
      </c>
      <c r="C2331" s="116">
        <v>1781.7</v>
      </c>
      <c r="D2331" s="116">
        <v>1669.55</v>
      </c>
      <c r="E2331" s="116">
        <v>1679</v>
      </c>
      <c r="F2331" s="116">
        <v>1781.7</v>
      </c>
      <c r="G2331">
        <v>34631</v>
      </c>
      <c r="H2331" s="116"/>
      <c r="I2331" s="116"/>
      <c r="L2331" s="170">
        <v>45439</v>
      </c>
      <c r="M2331" s="116">
        <v>1782.05</v>
      </c>
      <c r="N2331" s="116">
        <v>1825</v>
      </c>
      <c r="O2331" s="116">
        <v>1665.85</v>
      </c>
      <c r="P2331" s="116">
        <v>1680.7</v>
      </c>
      <c r="Q2331" s="116">
        <v>1782.05</v>
      </c>
      <c r="R2331">
        <v>794240</v>
      </c>
    </row>
    <row r="2332" spans="1:18" x14ac:dyDescent="0.25">
      <c r="A2332" s="170">
        <v>45440</v>
      </c>
      <c r="B2332" s="116">
        <v>1817.35</v>
      </c>
      <c r="C2332" s="116">
        <v>1765.4</v>
      </c>
      <c r="D2332" s="116">
        <v>1759.9</v>
      </c>
      <c r="E2332" s="116">
        <v>1817.35</v>
      </c>
      <c r="F2332" s="116">
        <v>1765.4</v>
      </c>
      <c r="G2332">
        <v>3506</v>
      </c>
      <c r="H2332" s="116"/>
      <c r="I2332" s="116"/>
      <c r="L2332" s="170">
        <v>45440</v>
      </c>
      <c r="M2332" s="116">
        <v>1766.05</v>
      </c>
      <c r="N2332" s="116">
        <v>1796.5</v>
      </c>
      <c r="O2332" s="116">
        <v>1759.75</v>
      </c>
      <c r="P2332" s="116">
        <v>1796.5</v>
      </c>
      <c r="Q2332" s="116">
        <v>1766.05</v>
      </c>
      <c r="R2332">
        <v>100366</v>
      </c>
    </row>
    <row r="2333" spans="1:18" x14ac:dyDescent="0.25">
      <c r="A2333" s="170">
        <v>45441</v>
      </c>
      <c r="B2333" s="116">
        <v>1774.45</v>
      </c>
      <c r="C2333" s="116">
        <v>1768.65</v>
      </c>
      <c r="D2333" s="116">
        <v>1750</v>
      </c>
      <c r="E2333" s="116">
        <v>1760.05</v>
      </c>
      <c r="F2333" s="116">
        <v>1768.65</v>
      </c>
      <c r="G2333">
        <v>2272</v>
      </c>
      <c r="H2333" s="116"/>
      <c r="I2333" s="116"/>
      <c r="L2333" s="170">
        <v>45441</v>
      </c>
      <c r="M2333" s="116">
        <v>1768.35</v>
      </c>
      <c r="N2333" s="116">
        <v>1776.4</v>
      </c>
      <c r="O2333" s="116">
        <v>1740.15</v>
      </c>
      <c r="P2333" s="116">
        <v>1766.05</v>
      </c>
      <c r="Q2333" s="116">
        <v>1768.35</v>
      </c>
      <c r="R2333">
        <v>53663</v>
      </c>
    </row>
    <row r="2334" spans="1:18" x14ac:dyDescent="0.25">
      <c r="A2334" s="170">
        <v>45442</v>
      </c>
      <c r="B2334" s="116">
        <v>1768.4</v>
      </c>
      <c r="C2334" s="116">
        <v>1736.95</v>
      </c>
      <c r="D2334" s="116">
        <v>1692.45</v>
      </c>
      <c r="E2334" s="116">
        <v>1750</v>
      </c>
      <c r="F2334" s="116">
        <v>1736.95</v>
      </c>
      <c r="G2334">
        <v>7380</v>
      </c>
      <c r="H2334" s="116"/>
      <c r="I2334" s="116"/>
      <c r="L2334" s="170">
        <v>45442</v>
      </c>
      <c r="M2334" s="116">
        <v>1747.9</v>
      </c>
      <c r="N2334" s="116">
        <v>1773.05</v>
      </c>
      <c r="O2334" s="116">
        <v>1691.85</v>
      </c>
      <c r="P2334" s="116">
        <v>1768.95</v>
      </c>
      <c r="Q2334" s="116">
        <v>1747.9</v>
      </c>
      <c r="R2334">
        <v>241683</v>
      </c>
    </row>
    <row r="2335" spans="1:18" x14ac:dyDescent="0.25">
      <c r="A2335" s="170">
        <v>45443</v>
      </c>
      <c r="B2335" s="116">
        <v>1810</v>
      </c>
      <c r="C2335" s="116">
        <v>1764.25</v>
      </c>
      <c r="D2335" s="116">
        <v>1727.9</v>
      </c>
      <c r="E2335" s="116">
        <v>1730.05</v>
      </c>
      <c r="F2335" s="116">
        <v>1764.25</v>
      </c>
      <c r="G2335">
        <v>3799</v>
      </c>
      <c r="H2335" s="116"/>
      <c r="I2335" s="116"/>
      <c r="L2335" s="170">
        <v>45443</v>
      </c>
      <c r="M2335" s="116">
        <v>1771.9</v>
      </c>
      <c r="N2335" s="116">
        <v>1820</v>
      </c>
      <c r="O2335" s="116">
        <v>1724.15</v>
      </c>
      <c r="P2335" s="116">
        <v>1740</v>
      </c>
      <c r="Q2335" s="116">
        <v>1771.9</v>
      </c>
      <c r="R2335">
        <v>238527</v>
      </c>
    </row>
    <row r="2336" spans="1:18" x14ac:dyDescent="0.25">
      <c r="A2336" s="170">
        <v>45446</v>
      </c>
      <c r="B2336" s="116">
        <v>1821.4</v>
      </c>
      <c r="C2336" s="116">
        <v>1779.3</v>
      </c>
      <c r="D2336" s="116">
        <v>1743.05</v>
      </c>
      <c r="E2336" s="116">
        <v>1800</v>
      </c>
      <c r="F2336" s="116">
        <v>1779.3</v>
      </c>
      <c r="G2336">
        <v>3945</v>
      </c>
      <c r="H2336" s="116"/>
      <c r="I2336" s="116"/>
      <c r="L2336" s="170">
        <v>45446</v>
      </c>
      <c r="M2336" s="116">
        <v>1782.1</v>
      </c>
      <c r="N2336" s="116">
        <v>1825</v>
      </c>
      <c r="O2336" s="116">
        <v>1744</v>
      </c>
      <c r="P2336" s="116">
        <v>1782</v>
      </c>
      <c r="Q2336" s="116">
        <v>1782.1</v>
      </c>
      <c r="R2336">
        <v>124373</v>
      </c>
    </row>
    <row r="2337" spans="1:18" x14ac:dyDescent="0.25">
      <c r="A2337" s="170">
        <v>45447</v>
      </c>
      <c r="B2337" s="116">
        <v>1801.55</v>
      </c>
      <c r="C2337" s="116">
        <v>1742.45</v>
      </c>
      <c r="D2337" s="116">
        <v>1670.5</v>
      </c>
      <c r="E2337" s="116">
        <v>1782.1</v>
      </c>
      <c r="F2337" s="116">
        <v>1742.45</v>
      </c>
      <c r="G2337">
        <v>6323</v>
      </c>
      <c r="H2337" s="116"/>
      <c r="I2337" s="116"/>
      <c r="L2337" s="170">
        <v>45447</v>
      </c>
      <c r="M2337" s="116">
        <v>1746.25</v>
      </c>
      <c r="N2337" s="116">
        <v>1801.05</v>
      </c>
      <c r="O2337" s="116">
        <v>1667.05</v>
      </c>
      <c r="P2337" s="116">
        <v>1799.9</v>
      </c>
      <c r="Q2337" s="116">
        <v>1746.25</v>
      </c>
      <c r="R2337">
        <v>143462</v>
      </c>
    </row>
    <row r="2338" spans="1:18" x14ac:dyDescent="0.25">
      <c r="A2338" s="170">
        <v>45448</v>
      </c>
      <c r="B2338" s="116">
        <v>1784.95</v>
      </c>
      <c r="C2338" s="116">
        <v>1779.8</v>
      </c>
      <c r="D2338" s="116">
        <v>1702.05</v>
      </c>
      <c r="E2338" s="116">
        <v>1774</v>
      </c>
      <c r="F2338" s="116">
        <v>1779.8</v>
      </c>
      <c r="G2338">
        <v>4884</v>
      </c>
      <c r="H2338" s="116"/>
      <c r="I2338" s="116"/>
      <c r="L2338" s="170">
        <v>45448</v>
      </c>
      <c r="M2338" s="116">
        <v>1780.5</v>
      </c>
      <c r="N2338" s="116">
        <v>1785.95</v>
      </c>
      <c r="O2338" s="116">
        <v>1701.75</v>
      </c>
      <c r="P2338" s="116">
        <v>1736</v>
      </c>
      <c r="Q2338" s="116">
        <v>1780.5</v>
      </c>
      <c r="R2338">
        <v>210806</v>
      </c>
    </row>
    <row r="2339" spans="1:18" x14ac:dyDescent="0.25">
      <c r="A2339" s="170">
        <v>45449</v>
      </c>
      <c r="B2339" s="116">
        <v>1789</v>
      </c>
      <c r="C2339" s="116">
        <v>1767.45</v>
      </c>
      <c r="D2339" s="116">
        <v>1754.25</v>
      </c>
      <c r="E2339" s="116">
        <v>1789</v>
      </c>
      <c r="F2339" s="116">
        <v>1767.45</v>
      </c>
      <c r="G2339">
        <v>2874</v>
      </c>
      <c r="H2339" s="116"/>
      <c r="I2339" s="116"/>
      <c r="L2339" s="170">
        <v>45449</v>
      </c>
      <c r="M2339" s="116">
        <v>1771.1</v>
      </c>
      <c r="N2339" s="116">
        <v>1789.9</v>
      </c>
      <c r="O2339" s="116">
        <v>1752.05</v>
      </c>
      <c r="P2339" s="116">
        <v>1780.5</v>
      </c>
      <c r="Q2339" s="116">
        <v>1771.1</v>
      </c>
      <c r="R2339">
        <v>94494</v>
      </c>
    </row>
    <row r="2340" spans="1:18" x14ac:dyDescent="0.25">
      <c r="A2340" s="170">
        <v>45450</v>
      </c>
      <c r="B2340" s="116">
        <v>1823</v>
      </c>
      <c r="C2340" s="116">
        <v>1800.35</v>
      </c>
      <c r="D2340" s="116">
        <v>1773.15</v>
      </c>
      <c r="E2340" s="116">
        <v>1794</v>
      </c>
      <c r="F2340" s="116">
        <v>1800.35</v>
      </c>
      <c r="G2340">
        <v>2958</v>
      </c>
      <c r="H2340" s="116"/>
      <c r="I2340" s="116"/>
      <c r="L2340" s="170">
        <v>45450</v>
      </c>
      <c r="M2340" s="116">
        <v>1799.55</v>
      </c>
      <c r="N2340" s="116">
        <v>1823</v>
      </c>
      <c r="O2340" s="116">
        <v>1771.7</v>
      </c>
      <c r="P2340" s="116">
        <v>1788.1</v>
      </c>
      <c r="Q2340" s="116">
        <v>1799.55</v>
      </c>
      <c r="R2340">
        <v>349221</v>
      </c>
    </row>
    <row r="2341" spans="1:18" x14ac:dyDescent="0.25">
      <c r="A2341" s="170">
        <v>45453</v>
      </c>
      <c r="B2341" s="116">
        <v>1925</v>
      </c>
      <c r="C2341" s="116">
        <v>1881.1</v>
      </c>
      <c r="D2341" s="116">
        <v>1801.15</v>
      </c>
      <c r="E2341" s="116">
        <v>1801.15</v>
      </c>
      <c r="F2341" s="116">
        <v>1881.1</v>
      </c>
      <c r="G2341">
        <v>30488</v>
      </c>
      <c r="H2341" s="116"/>
      <c r="I2341" s="116"/>
      <c r="L2341" s="170">
        <v>45453</v>
      </c>
      <c r="M2341" s="116">
        <v>1881.3</v>
      </c>
      <c r="N2341" s="116">
        <v>1926.85</v>
      </c>
      <c r="O2341" s="116">
        <v>1808</v>
      </c>
      <c r="P2341" s="116">
        <v>1819.35</v>
      </c>
      <c r="Q2341" s="116">
        <v>1881.3</v>
      </c>
      <c r="R2341">
        <v>528007</v>
      </c>
    </row>
    <row r="2342" spans="1:18" x14ac:dyDescent="0.25">
      <c r="A2342" s="170">
        <v>45454</v>
      </c>
      <c r="B2342" s="116">
        <v>1914</v>
      </c>
      <c r="C2342" s="116">
        <v>1883.85</v>
      </c>
      <c r="D2342" s="116">
        <v>1876.95</v>
      </c>
      <c r="E2342" s="116">
        <v>1907.6</v>
      </c>
      <c r="F2342" s="116">
        <v>1883.85</v>
      </c>
      <c r="G2342">
        <v>77100</v>
      </c>
      <c r="H2342" s="116"/>
      <c r="I2342" s="116"/>
      <c r="L2342" s="170">
        <v>45454</v>
      </c>
      <c r="M2342" s="116">
        <v>1884.7</v>
      </c>
      <c r="N2342" s="116">
        <v>1918.5</v>
      </c>
      <c r="O2342" s="116">
        <v>1876.35</v>
      </c>
      <c r="P2342" s="116">
        <v>1895.05</v>
      </c>
      <c r="Q2342" s="116">
        <v>1884.7</v>
      </c>
      <c r="R2342">
        <v>119067</v>
      </c>
    </row>
    <row r="2343" spans="1:18" x14ac:dyDescent="0.25">
      <c r="A2343" s="170">
        <v>45455</v>
      </c>
      <c r="B2343" s="116">
        <v>1905.55</v>
      </c>
      <c r="C2343" s="116">
        <v>1889.35</v>
      </c>
      <c r="D2343" s="116">
        <v>1878.4</v>
      </c>
      <c r="E2343" s="116">
        <v>1893</v>
      </c>
      <c r="F2343" s="116">
        <v>1889.35</v>
      </c>
      <c r="G2343">
        <v>3224</v>
      </c>
      <c r="H2343" s="116"/>
      <c r="I2343" s="116"/>
      <c r="L2343" s="170">
        <v>45455</v>
      </c>
      <c r="M2343" s="116">
        <v>1893.45</v>
      </c>
      <c r="N2343" s="116">
        <v>1907.95</v>
      </c>
      <c r="O2343" s="116">
        <v>1877.2</v>
      </c>
      <c r="P2343" s="116">
        <v>1899.85</v>
      </c>
      <c r="Q2343" s="116">
        <v>1893.45</v>
      </c>
      <c r="R2343">
        <v>69561</v>
      </c>
    </row>
    <row r="2344" spans="1:18" x14ac:dyDescent="0.25">
      <c r="A2344" s="170">
        <v>45456</v>
      </c>
      <c r="B2344" s="116">
        <v>1916.05</v>
      </c>
      <c r="C2344" s="116">
        <v>1889.85</v>
      </c>
      <c r="D2344" s="116">
        <v>1880.05</v>
      </c>
      <c r="E2344" s="116">
        <v>1900</v>
      </c>
      <c r="F2344" s="116">
        <v>1889.85</v>
      </c>
      <c r="G2344">
        <v>2129</v>
      </c>
      <c r="H2344" s="116"/>
      <c r="I2344" s="116"/>
      <c r="L2344" s="170">
        <v>45456</v>
      </c>
      <c r="M2344" s="116">
        <v>1885.35</v>
      </c>
      <c r="N2344" s="116">
        <v>1917.55</v>
      </c>
      <c r="O2344" s="116">
        <v>1879.1</v>
      </c>
      <c r="P2344" s="116">
        <v>1894.5</v>
      </c>
      <c r="Q2344" s="116">
        <v>1885.35</v>
      </c>
      <c r="R2344">
        <v>152184</v>
      </c>
    </row>
    <row r="2345" spans="1:18" x14ac:dyDescent="0.25">
      <c r="A2345" s="170">
        <v>45457</v>
      </c>
      <c r="B2345" s="116">
        <v>1899</v>
      </c>
      <c r="C2345" s="116">
        <v>1854.3</v>
      </c>
      <c r="D2345" s="116">
        <v>1846.8</v>
      </c>
      <c r="E2345" s="116">
        <v>1883.5</v>
      </c>
      <c r="F2345" s="116">
        <v>1854.3</v>
      </c>
      <c r="G2345">
        <v>7973</v>
      </c>
      <c r="H2345" s="116"/>
      <c r="I2345" s="116"/>
      <c r="L2345" s="170">
        <v>45457</v>
      </c>
      <c r="M2345" s="116">
        <v>1854.3</v>
      </c>
      <c r="N2345" s="116">
        <v>1903.35</v>
      </c>
      <c r="O2345" s="116">
        <v>1846</v>
      </c>
      <c r="P2345" s="116">
        <v>1903.25</v>
      </c>
      <c r="Q2345" s="116">
        <v>1854.3</v>
      </c>
      <c r="R2345">
        <v>85383</v>
      </c>
    </row>
    <row r="2346" spans="1:18" x14ac:dyDescent="0.25">
      <c r="A2346" s="170">
        <v>45461</v>
      </c>
      <c r="B2346" s="116">
        <v>1874.7</v>
      </c>
      <c r="C2346" s="116">
        <v>1800.1</v>
      </c>
      <c r="D2346" s="116">
        <v>1792</v>
      </c>
      <c r="E2346" s="116">
        <v>1860</v>
      </c>
      <c r="F2346" s="116">
        <v>1800.1</v>
      </c>
      <c r="G2346">
        <v>7307</v>
      </c>
      <c r="H2346" s="116"/>
      <c r="I2346" s="116"/>
      <c r="L2346" s="170">
        <v>45461</v>
      </c>
      <c r="M2346" s="116">
        <v>1800.65</v>
      </c>
      <c r="N2346" s="116">
        <v>1878.95</v>
      </c>
      <c r="O2346" s="116">
        <v>1792</v>
      </c>
      <c r="P2346" s="116">
        <v>1871.75</v>
      </c>
      <c r="Q2346" s="116">
        <v>1800.65</v>
      </c>
      <c r="R2346">
        <v>204197</v>
      </c>
    </row>
    <row r="2347" spans="1:18" x14ac:dyDescent="0.25">
      <c r="A2347" s="170">
        <v>45462</v>
      </c>
      <c r="B2347" s="116">
        <v>1829.85</v>
      </c>
      <c r="C2347" s="116">
        <v>1812.2</v>
      </c>
      <c r="D2347" s="116">
        <v>1792.1</v>
      </c>
      <c r="E2347" s="116">
        <v>1816.25</v>
      </c>
      <c r="F2347" s="116">
        <v>1812.2</v>
      </c>
      <c r="G2347">
        <v>3688</v>
      </c>
      <c r="H2347" s="116"/>
      <c r="I2347" s="116"/>
      <c r="L2347" s="170">
        <v>45462</v>
      </c>
      <c r="M2347" s="116">
        <v>1810.45</v>
      </c>
      <c r="N2347" s="116">
        <v>1830.95</v>
      </c>
      <c r="O2347" s="116">
        <v>1782.65</v>
      </c>
      <c r="P2347" s="116">
        <v>1812</v>
      </c>
      <c r="Q2347" s="116">
        <v>1810.45</v>
      </c>
      <c r="R2347">
        <v>104163</v>
      </c>
    </row>
    <row r="2348" spans="1:18" x14ac:dyDescent="0.25">
      <c r="A2348" s="170">
        <v>45463</v>
      </c>
      <c r="B2348" s="116">
        <v>1848.05</v>
      </c>
      <c r="C2348" s="116">
        <v>1805.65</v>
      </c>
      <c r="D2348" s="116">
        <v>1780.05</v>
      </c>
      <c r="E2348" s="116">
        <v>1780.05</v>
      </c>
      <c r="F2348" s="116">
        <v>1805.65</v>
      </c>
      <c r="G2348">
        <v>5432</v>
      </c>
      <c r="H2348" s="116"/>
      <c r="I2348" s="116"/>
      <c r="L2348" s="170">
        <v>45463</v>
      </c>
      <c r="M2348" s="116">
        <v>1806.6</v>
      </c>
      <c r="N2348" s="116">
        <v>1846.4</v>
      </c>
      <c r="O2348" s="116">
        <v>1788.15</v>
      </c>
      <c r="P2348" s="116">
        <v>1811.85</v>
      </c>
      <c r="Q2348" s="116">
        <v>1806.6</v>
      </c>
      <c r="R2348">
        <v>80485</v>
      </c>
    </row>
    <row r="2349" spans="1:18" x14ac:dyDescent="0.25">
      <c r="A2349" s="170">
        <v>45464</v>
      </c>
      <c r="B2349" s="116">
        <v>1809.4</v>
      </c>
      <c r="C2349" s="116">
        <v>1759.75</v>
      </c>
      <c r="D2349" s="116">
        <v>1746</v>
      </c>
      <c r="E2349" s="116">
        <v>1807.15</v>
      </c>
      <c r="F2349" s="116">
        <v>1759.75</v>
      </c>
      <c r="G2349">
        <v>6697</v>
      </c>
      <c r="H2349" s="116"/>
      <c r="I2349" s="116"/>
      <c r="L2349" s="170">
        <v>45464</v>
      </c>
      <c r="M2349" s="116">
        <v>1754.8</v>
      </c>
      <c r="N2349" s="116">
        <v>1823</v>
      </c>
      <c r="O2349" s="116">
        <v>1744.45</v>
      </c>
      <c r="P2349" s="116">
        <v>1809.75</v>
      </c>
      <c r="Q2349" s="116">
        <v>1754.8</v>
      </c>
      <c r="R2349">
        <v>139162</v>
      </c>
    </row>
    <row r="2350" spans="1:18" x14ac:dyDescent="0.25">
      <c r="A2350" s="170">
        <v>45467</v>
      </c>
      <c r="B2350" s="116">
        <v>1777.2</v>
      </c>
      <c r="C2350" s="116">
        <v>1753.9</v>
      </c>
      <c r="D2350" s="116">
        <v>1741.9</v>
      </c>
      <c r="E2350" s="116">
        <v>1750.65</v>
      </c>
      <c r="F2350" s="116">
        <v>1753.9</v>
      </c>
      <c r="G2350">
        <v>4518</v>
      </c>
      <c r="H2350" s="116"/>
      <c r="I2350" s="116"/>
      <c r="L2350" s="170">
        <v>45467</v>
      </c>
      <c r="M2350" s="116">
        <v>1753.85</v>
      </c>
      <c r="N2350" s="116">
        <v>1766</v>
      </c>
      <c r="O2350" s="116">
        <v>1740.05</v>
      </c>
      <c r="P2350" s="116">
        <v>1754.95</v>
      </c>
      <c r="Q2350" s="116">
        <v>1753.85</v>
      </c>
      <c r="R2350">
        <v>107277</v>
      </c>
    </row>
    <row r="2351" spans="1:18" x14ac:dyDescent="0.25">
      <c r="A2351" s="170">
        <v>45468</v>
      </c>
      <c r="B2351" s="116">
        <v>1785.6</v>
      </c>
      <c r="C2351" s="116">
        <v>1743.5</v>
      </c>
      <c r="D2351" s="116">
        <v>1733.2</v>
      </c>
      <c r="E2351" s="116">
        <v>1764.75</v>
      </c>
      <c r="F2351" s="116">
        <v>1743.5</v>
      </c>
      <c r="G2351">
        <v>4902</v>
      </c>
      <c r="H2351" s="116"/>
      <c r="I2351" s="116"/>
      <c r="L2351" s="170">
        <v>45468</v>
      </c>
      <c r="M2351" s="116">
        <v>1744.4</v>
      </c>
      <c r="N2351" s="116">
        <v>1786.9</v>
      </c>
      <c r="O2351" s="116">
        <v>1731.95</v>
      </c>
      <c r="P2351" s="116">
        <v>1753.9</v>
      </c>
      <c r="Q2351" s="116">
        <v>1744.4</v>
      </c>
      <c r="R2351">
        <v>60261</v>
      </c>
    </row>
    <row r="2352" spans="1:18" x14ac:dyDescent="0.25">
      <c r="A2352" s="170">
        <v>45469</v>
      </c>
      <c r="B2352" s="116">
        <v>1787</v>
      </c>
      <c r="C2352" s="116">
        <v>1723.75</v>
      </c>
      <c r="D2352" s="116">
        <v>1718</v>
      </c>
      <c r="E2352" s="116">
        <v>1787</v>
      </c>
      <c r="F2352" s="116">
        <v>1723.75</v>
      </c>
      <c r="G2352">
        <v>3742</v>
      </c>
      <c r="H2352" s="116"/>
      <c r="I2352" s="116"/>
      <c r="L2352" s="170">
        <v>45469</v>
      </c>
      <c r="M2352" s="116">
        <v>1724.75</v>
      </c>
      <c r="N2352" s="116">
        <v>1760.5</v>
      </c>
      <c r="O2352" s="116">
        <v>1717.05</v>
      </c>
      <c r="P2352" s="116">
        <v>1760.25</v>
      </c>
      <c r="Q2352" s="116">
        <v>1724.75</v>
      </c>
      <c r="R2352">
        <v>186949</v>
      </c>
    </row>
    <row r="2353" spans="1:18" x14ac:dyDescent="0.25">
      <c r="A2353" s="170">
        <v>45470</v>
      </c>
      <c r="B2353" s="116">
        <v>1752.2</v>
      </c>
      <c r="C2353" s="116">
        <v>1679.3</v>
      </c>
      <c r="D2353" s="116">
        <v>1670</v>
      </c>
      <c r="E2353" s="116">
        <v>1730</v>
      </c>
      <c r="F2353" s="116">
        <v>1679.3</v>
      </c>
      <c r="G2353">
        <v>8291</v>
      </c>
      <c r="H2353" s="116"/>
      <c r="I2353" s="116"/>
      <c r="L2353" s="170">
        <v>45470</v>
      </c>
      <c r="M2353" s="116">
        <v>1681.7</v>
      </c>
      <c r="N2353" s="116">
        <v>1753</v>
      </c>
      <c r="O2353" s="116">
        <v>1668.7</v>
      </c>
      <c r="P2353" s="116">
        <v>1726</v>
      </c>
      <c r="Q2353" s="116">
        <v>1681.7</v>
      </c>
      <c r="R2353">
        <v>244507</v>
      </c>
    </row>
    <row r="2354" spans="1:18" x14ac:dyDescent="0.25">
      <c r="A2354" s="170">
        <v>45471</v>
      </c>
      <c r="B2354" s="116">
        <v>1786.85</v>
      </c>
      <c r="C2354" s="116">
        <v>1756.05</v>
      </c>
      <c r="D2354" s="116">
        <v>1701.5</v>
      </c>
      <c r="E2354" s="116">
        <v>1730</v>
      </c>
      <c r="F2354" s="116">
        <v>1756.05</v>
      </c>
      <c r="G2354">
        <v>10566</v>
      </c>
      <c r="H2354" s="116"/>
      <c r="I2354" s="116"/>
      <c r="L2354" s="170">
        <v>45471</v>
      </c>
      <c r="M2354" s="116">
        <v>1754.65</v>
      </c>
      <c r="N2354" s="116">
        <v>1788</v>
      </c>
      <c r="O2354" s="116">
        <v>1695.3</v>
      </c>
      <c r="P2354" s="116">
        <v>1700.85</v>
      </c>
      <c r="Q2354" s="116">
        <v>1754.65</v>
      </c>
      <c r="R2354">
        <v>384505</v>
      </c>
    </row>
    <row r="2355" spans="1:18" x14ac:dyDescent="0.25">
      <c r="A2355" s="170">
        <v>45474</v>
      </c>
      <c r="B2355" s="116">
        <v>1906.35</v>
      </c>
      <c r="C2355" s="116">
        <v>1791.3</v>
      </c>
      <c r="D2355" s="116">
        <v>1760</v>
      </c>
      <c r="E2355" s="116">
        <v>1791.25</v>
      </c>
      <c r="F2355" s="116">
        <v>1791.3</v>
      </c>
      <c r="G2355">
        <v>86164</v>
      </c>
      <c r="H2355" s="116"/>
      <c r="I2355" s="116"/>
      <c r="L2355" s="170">
        <v>45474</v>
      </c>
      <c r="M2355" s="116">
        <v>1792.8</v>
      </c>
      <c r="N2355" s="116">
        <v>1906</v>
      </c>
      <c r="O2355" s="116">
        <v>1757.7</v>
      </c>
      <c r="P2355" s="116">
        <v>1800.05</v>
      </c>
      <c r="Q2355" s="116">
        <v>1792.8</v>
      </c>
      <c r="R2355">
        <v>1404940</v>
      </c>
    </row>
    <row r="2356" spans="1:18" x14ac:dyDescent="0.25">
      <c r="A2356" s="170">
        <v>45475</v>
      </c>
      <c r="B2356" s="116">
        <v>1835.2</v>
      </c>
      <c r="C2356" s="116">
        <v>1785.2</v>
      </c>
      <c r="D2356" s="116">
        <v>1774.8</v>
      </c>
      <c r="E2356" s="116">
        <v>1813.85</v>
      </c>
      <c r="F2356" s="116">
        <v>1785.2</v>
      </c>
      <c r="G2356">
        <v>5661</v>
      </c>
      <c r="H2356" s="116"/>
      <c r="I2356" s="116"/>
      <c r="L2356" s="170">
        <v>45475</v>
      </c>
      <c r="M2356" s="116">
        <v>1788.8</v>
      </c>
      <c r="N2356" s="116">
        <v>1837</v>
      </c>
      <c r="O2356" s="116">
        <v>1763.4</v>
      </c>
      <c r="P2356" s="116">
        <v>1794.4</v>
      </c>
      <c r="Q2356" s="116">
        <v>1788.8</v>
      </c>
      <c r="R2356">
        <v>373395</v>
      </c>
    </row>
    <row r="2357" spans="1:18" x14ac:dyDescent="0.25">
      <c r="A2357" s="170">
        <v>45476</v>
      </c>
      <c r="B2357" s="116">
        <v>1814.5</v>
      </c>
      <c r="C2357" s="116">
        <v>1803.35</v>
      </c>
      <c r="D2357" s="116">
        <v>1776.8</v>
      </c>
      <c r="E2357" s="116">
        <v>1789.85</v>
      </c>
      <c r="F2357" s="116">
        <v>1803.35</v>
      </c>
      <c r="G2357">
        <v>4430</v>
      </c>
      <c r="H2357" s="116"/>
      <c r="I2357" s="116"/>
      <c r="L2357" s="170">
        <v>45476</v>
      </c>
      <c r="M2357" s="116">
        <v>1805.15</v>
      </c>
      <c r="N2357" s="116">
        <v>1818.2</v>
      </c>
      <c r="O2357" s="116">
        <v>1773.7</v>
      </c>
      <c r="P2357" s="116">
        <v>1801.1</v>
      </c>
      <c r="Q2357" s="116">
        <v>1805.15</v>
      </c>
      <c r="R2357">
        <v>76254</v>
      </c>
    </row>
    <row r="2358" spans="1:18" x14ac:dyDescent="0.25">
      <c r="A2358" s="170">
        <v>45477</v>
      </c>
      <c r="B2358" s="116">
        <v>1815</v>
      </c>
      <c r="C2358" s="116">
        <v>1786.3</v>
      </c>
      <c r="D2358" s="116">
        <v>1780</v>
      </c>
      <c r="E2358" s="116">
        <v>1815</v>
      </c>
      <c r="F2358" s="116">
        <v>1786.3</v>
      </c>
      <c r="G2358">
        <v>2459</v>
      </c>
      <c r="H2358" s="116"/>
      <c r="I2358" s="116"/>
      <c r="L2358" s="170">
        <v>45477</v>
      </c>
      <c r="M2358" s="116">
        <v>1785.6</v>
      </c>
      <c r="N2358" s="116">
        <v>1804</v>
      </c>
      <c r="O2358" s="116">
        <v>1780.1</v>
      </c>
      <c r="P2358" s="116">
        <v>1803.5</v>
      </c>
      <c r="Q2358" s="116">
        <v>1785.6</v>
      </c>
      <c r="R2358">
        <v>90788</v>
      </c>
    </row>
    <row r="2359" spans="1:18" x14ac:dyDescent="0.25">
      <c r="A2359" s="170">
        <v>45478</v>
      </c>
      <c r="B2359" s="116">
        <v>1802</v>
      </c>
      <c r="C2359" s="116">
        <v>1742.4</v>
      </c>
      <c r="D2359" s="116">
        <v>1735</v>
      </c>
      <c r="E2359" s="116">
        <v>1802</v>
      </c>
      <c r="F2359" s="116">
        <v>1742.4</v>
      </c>
      <c r="G2359">
        <v>14416</v>
      </c>
      <c r="H2359" s="116"/>
      <c r="I2359" s="116"/>
      <c r="L2359" s="170">
        <v>45478</v>
      </c>
      <c r="M2359" s="116">
        <v>1742.55</v>
      </c>
      <c r="N2359" s="116">
        <v>1799.4</v>
      </c>
      <c r="O2359" s="116">
        <v>1733.05</v>
      </c>
      <c r="P2359" s="116">
        <v>1792.9</v>
      </c>
      <c r="Q2359" s="116">
        <v>1742.55</v>
      </c>
      <c r="R2359">
        <v>160211</v>
      </c>
    </row>
    <row r="2360" spans="1:18" x14ac:dyDescent="0.25">
      <c r="A2360" s="170">
        <v>45481</v>
      </c>
      <c r="B2360" s="116">
        <v>1764.95</v>
      </c>
      <c r="C2360" s="116">
        <v>1736.2</v>
      </c>
      <c r="D2360" s="116">
        <v>1733</v>
      </c>
      <c r="E2360" s="116">
        <v>1764.95</v>
      </c>
      <c r="F2360" s="116">
        <v>1736.2</v>
      </c>
      <c r="G2360">
        <v>3190</v>
      </c>
      <c r="H2360" s="116"/>
      <c r="I2360" s="116"/>
      <c r="L2360" s="170">
        <v>45481</v>
      </c>
      <c r="M2360" s="116">
        <v>1737.65</v>
      </c>
      <c r="N2360" s="116">
        <v>1765</v>
      </c>
      <c r="O2360" s="116">
        <v>1734</v>
      </c>
      <c r="P2360" s="116">
        <v>1759</v>
      </c>
      <c r="Q2360" s="116">
        <v>1737.65</v>
      </c>
      <c r="R2360">
        <v>71258</v>
      </c>
    </row>
    <row r="2361" spans="1:18" x14ac:dyDescent="0.25">
      <c r="A2361" s="170">
        <v>45482</v>
      </c>
      <c r="B2361" s="116">
        <v>1755</v>
      </c>
      <c r="C2361" s="116">
        <v>1726.2</v>
      </c>
      <c r="D2361" s="116">
        <v>1719.15</v>
      </c>
      <c r="E2361" s="116">
        <v>1754.95</v>
      </c>
      <c r="F2361" s="116">
        <v>1726.2</v>
      </c>
      <c r="G2361">
        <v>1917</v>
      </c>
      <c r="H2361" s="116"/>
      <c r="I2361" s="116"/>
      <c r="L2361" s="170">
        <v>45482</v>
      </c>
      <c r="M2361" s="116">
        <v>1724.65</v>
      </c>
      <c r="N2361" s="116">
        <v>1749</v>
      </c>
      <c r="O2361" s="116">
        <v>1718.55</v>
      </c>
      <c r="P2361" s="116">
        <v>1748</v>
      </c>
      <c r="Q2361" s="116">
        <v>1724.65</v>
      </c>
      <c r="R2361">
        <v>87396</v>
      </c>
    </row>
    <row r="2362" spans="1:18" x14ac:dyDescent="0.25">
      <c r="A2362" s="170">
        <v>45483</v>
      </c>
      <c r="B2362" s="116">
        <v>1740</v>
      </c>
      <c r="C2362" s="116">
        <v>1727.2</v>
      </c>
      <c r="D2362" s="116">
        <v>1693.75</v>
      </c>
      <c r="E2362" s="116">
        <v>1734.95</v>
      </c>
      <c r="F2362" s="116">
        <v>1727.2</v>
      </c>
      <c r="G2362">
        <v>5365</v>
      </c>
      <c r="H2362" s="116"/>
      <c r="I2362" s="116"/>
      <c r="L2362" s="170">
        <v>45483</v>
      </c>
      <c r="M2362" s="116">
        <v>1725.95</v>
      </c>
      <c r="N2362" s="116">
        <v>1747</v>
      </c>
      <c r="O2362" s="116">
        <v>1690.1</v>
      </c>
      <c r="P2362" s="116">
        <v>1740</v>
      </c>
      <c r="Q2362" s="116">
        <v>1725.95</v>
      </c>
      <c r="R2362">
        <v>554802</v>
      </c>
    </row>
    <row r="2363" spans="1:18" x14ac:dyDescent="0.25">
      <c r="A2363" s="170">
        <v>45484</v>
      </c>
      <c r="B2363" s="116">
        <v>1735.15</v>
      </c>
      <c r="C2363" s="116">
        <v>1718.55</v>
      </c>
      <c r="D2363" s="116">
        <v>1700</v>
      </c>
      <c r="E2363" s="116">
        <v>1730</v>
      </c>
      <c r="F2363" s="116">
        <v>1718.55</v>
      </c>
      <c r="G2363">
        <v>4540</v>
      </c>
      <c r="H2363" s="116"/>
      <c r="I2363" s="116"/>
      <c r="L2363" s="170">
        <v>45484</v>
      </c>
      <c r="M2363" s="116">
        <v>1721.2</v>
      </c>
      <c r="N2363" s="116">
        <v>1734.45</v>
      </c>
      <c r="O2363" s="116">
        <v>1691</v>
      </c>
      <c r="P2363" s="116">
        <v>1691</v>
      </c>
      <c r="Q2363" s="116">
        <v>1721.2</v>
      </c>
      <c r="R2363">
        <v>352103</v>
      </c>
    </row>
    <row r="2364" spans="1:18" x14ac:dyDescent="0.25">
      <c r="A2364" s="170">
        <v>45485</v>
      </c>
      <c r="B2364" s="116">
        <v>1774</v>
      </c>
      <c r="C2364" s="116">
        <v>1748</v>
      </c>
      <c r="D2364" s="116">
        <v>1733</v>
      </c>
      <c r="E2364" s="116">
        <v>1749.25</v>
      </c>
      <c r="F2364" s="116">
        <v>1748</v>
      </c>
      <c r="G2364">
        <v>3669</v>
      </c>
      <c r="H2364" s="116"/>
      <c r="I2364" s="116"/>
      <c r="L2364" s="170">
        <v>45485</v>
      </c>
      <c r="M2364" s="116">
        <v>1749.6</v>
      </c>
      <c r="N2364" s="116">
        <v>1775</v>
      </c>
      <c r="O2364" s="116">
        <v>1730</v>
      </c>
      <c r="P2364" s="116">
        <v>1744.9</v>
      </c>
      <c r="Q2364" s="116">
        <v>1749.6</v>
      </c>
      <c r="R2364">
        <v>94076</v>
      </c>
    </row>
    <row r="2365" spans="1:18" x14ac:dyDescent="0.25">
      <c r="A2365" s="170">
        <v>45488</v>
      </c>
      <c r="B2365" s="116">
        <v>1793.95</v>
      </c>
      <c r="C2365" s="116">
        <v>1784.1</v>
      </c>
      <c r="D2365" s="116">
        <v>1727.05</v>
      </c>
      <c r="E2365" s="116">
        <v>1748</v>
      </c>
      <c r="F2365" s="116">
        <v>1784.1</v>
      </c>
      <c r="G2365">
        <v>5067</v>
      </c>
      <c r="H2365" s="116"/>
      <c r="I2365" s="116"/>
      <c r="L2365" s="170">
        <v>45488</v>
      </c>
      <c r="M2365" s="116">
        <v>1784.55</v>
      </c>
      <c r="N2365" s="116">
        <v>1793</v>
      </c>
      <c r="O2365" s="116">
        <v>1727.1</v>
      </c>
      <c r="P2365" s="116">
        <v>1749.6</v>
      </c>
      <c r="Q2365" s="116">
        <v>1784.55</v>
      </c>
      <c r="R2365">
        <v>115736</v>
      </c>
    </row>
    <row r="2366" spans="1:18" x14ac:dyDescent="0.25">
      <c r="A2366" s="170">
        <v>45489</v>
      </c>
      <c r="B2366" s="116">
        <v>1804.8</v>
      </c>
      <c r="C2366" s="116">
        <v>1799.35</v>
      </c>
      <c r="D2366" s="116">
        <v>1786.05</v>
      </c>
      <c r="E2366" s="116">
        <v>1794</v>
      </c>
      <c r="F2366" s="116">
        <v>1799.35</v>
      </c>
      <c r="G2366">
        <v>2874</v>
      </c>
      <c r="H2366" s="116"/>
      <c r="I2366" s="116"/>
      <c r="L2366" s="170">
        <v>45489</v>
      </c>
      <c r="M2366" s="116">
        <v>1800.15</v>
      </c>
      <c r="N2366" s="116">
        <v>1804.95</v>
      </c>
      <c r="O2366" s="116">
        <v>1787.75</v>
      </c>
      <c r="P2366" s="116">
        <v>1797.8</v>
      </c>
      <c r="Q2366" s="116">
        <v>1800.15</v>
      </c>
      <c r="R2366">
        <v>82608</v>
      </c>
    </row>
    <row r="2367" spans="1:18" x14ac:dyDescent="0.25">
      <c r="A2367" s="170">
        <v>45491</v>
      </c>
      <c r="B2367" s="116">
        <v>1813.35</v>
      </c>
      <c r="C2367" s="116">
        <v>1805.25</v>
      </c>
      <c r="D2367" s="116">
        <v>1771.05</v>
      </c>
      <c r="E2367" s="116">
        <v>1797.05</v>
      </c>
      <c r="F2367" s="116">
        <v>1805.25</v>
      </c>
      <c r="G2367">
        <v>2489</v>
      </c>
      <c r="H2367" s="116"/>
      <c r="I2367" s="116"/>
      <c r="L2367" s="170">
        <v>45491</v>
      </c>
      <c r="M2367" s="116">
        <v>1807.35</v>
      </c>
      <c r="N2367" s="116">
        <v>1815</v>
      </c>
      <c r="O2367" s="116">
        <v>1770</v>
      </c>
      <c r="P2367" s="116">
        <v>1800.1</v>
      </c>
      <c r="Q2367" s="116">
        <v>1807.35</v>
      </c>
      <c r="R2367">
        <v>256654</v>
      </c>
    </row>
    <row r="2368" spans="1:18" x14ac:dyDescent="0.25">
      <c r="A2368" s="170">
        <v>45492</v>
      </c>
      <c r="B2368" s="116">
        <v>1812.75</v>
      </c>
      <c r="C2368" s="116">
        <v>1789.8</v>
      </c>
      <c r="D2368" s="116">
        <v>1774.45</v>
      </c>
      <c r="E2368" s="116">
        <v>1805.4</v>
      </c>
      <c r="F2368" s="116">
        <v>1789.8</v>
      </c>
      <c r="G2368">
        <v>2616</v>
      </c>
      <c r="H2368" s="116"/>
      <c r="I2368" s="116"/>
      <c r="L2368" s="170">
        <v>45492</v>
      </c>
      <c r="M2368" s="116">
        <v>1790.5</v>
      </c>
      <c r="N2368" s="116">
        <v>1813.8</v>
      </c>
      <c r="O2368" s="116">
        <v>1772.2</v>
      </c>
      <c r="P2368" s="116">
        <v>1813.8</v>
      </c>
      <c r="Q2368" s="116">
        <v>1790.5</v>
      </c>
      <c r="R2368">
        <v>97033</v>
      </c>
    </row>
    <row r="2369" spans="1:18" x14ac:dyDescent="0.25">
      <c r="A2369" s="170">
        <v>45495</v>
      </c>
      <c r="B2369" s="116">
        <v>1818.55</v>
      </c>
      <c r="C2369" s="116">
        <v>1811.85</v>
      </c>
      <c r="D2369" s="116">
        <v>1791.8</v>
      </c>
      <c r="E2369" s="116">
        <v>1791.9</v>
      </c>
      <c r="F2369" s="116">
        <v>1811.85</v>
      </c>
      <c r="G2369">
        <v>1930</v>
      </c>
      <c r="H2369" s="116"/>
      <c r="I2369" s="116"/>
      <c r="L2369" s="170">
        <v>45495</v>
      </c>
      <c r="M2369" s="116">
        <v>1812.05</v>
      </c>
      <c r="N2369" s="116">
        <v>1819.5</v>
      </c>
      <c r="O2369" s="116">
        <v>1785.05</v>
      </c>
      <c r="P2369" s="116">
        <v>1790.5</v>
      </c>
      <c r="Q2369" s="116">
        <v>1812.05</v>
      </c>
      <c r="R2369">
        <v>76144</v>
      </c>
    </row>
    <row r="2370" spans="1:18" x14ac:dyDescent="0.25">
      <c r="A2370" s="170">
        <v>45496</v>
      </c>
      <c r="B2370" s="116">
        <v>1829</v>
      </c>
      <c r="C2370" s="116">
        <v>1826.85</v>
      </c>
      <c r="D2370" s="116">
        <v>1785</v>
      </c>
      <c r="E2370" s="116">
        <v>1829</v>
      </c>
      <c r="F2370" s="116">
        <v>1826.85</v>
      </c>
      <c r="G2370">
        <v>3207</v>
      </c>
      <c r="H2370" s="116"/>
      <c r="I2370" s="116"/>
      <c r="L2370" s="170">
        <v>45496</v>
      </c>
      <c r="M2370" s="116">
        <v>1825.2</v>
      </c>
      <c r="N2370" s="116">
        <v>1830</v>
      </c>
      <c r="O2370" s="116">
        <v>1782.55</v>
      </c>
      <c r="P2370" s="116">
        <v>1810</v>
      </c>
      <c r="Q2370" s="116">
        <v>1825.2</v>
      </c>
      <c r="R2370">
        <v>166735</v>
      </c>
    </row>
    <row r="2371" spans="1:18" x14ac:dyDescent="0.25">
      <c r="A2371" s="170">
        <v>45497</v>
      </c>
      <c r="B2371" s="116">
        <v>1867.9</v>
      </c>
      <c r="C2371" s="116">
        <v>1858.05</v>
      </c>
      <c r="D2371" s="116">
        <v>1818.05</v>
      </c>
      <c r="E2371" s="116">
        <v>1818.05</v>
      </c>
      <c r="F2371" s="116">
        <v>1858.05</v>
      </c>
      <c r="G2371">
        <v>11347</v>
      </c>
      <c r="H2371" s="116"/>
      <c r="I2371" s="116"/>
      <c r="L2371" s="170">
        <v>45497</v>
      </c>
      <c r="M2371" s="116">
        <v>1858.8</v>
      </c>
      <c r="N2371" s="116">
        <v>1869.75</v>
      </c>
      <c r="O2371" s="116">
        <v>1831</v>
      </c>
      <c r="P2371" s="116">
        <v>1838.9</v>
      </c>
      <c r="Q2371" s="116">
        <v>1858.8</v>
      </c>
      <c r="R2371">
        <v>105177</v>
      </c>
    </row>
    <row r="2372" spans="1:18" x14ac:dyDescent="0.25">
      <c r="A2372" s="170">
        <v>45498</v>
      </c>
      <c r="B2372" s="116">
        <v>1879</v>
      </c>
      <c r="C2372" s="116">
        <v>1858.7</v>
      </c>
      <c r="D2372" s="116">
        <v>1844.45</v>
      </c>
      <c r="E2372" s="116">
        <v>1869.45</v>
      </c>
      <c r="F2372" s="116">
        <v>1858.7</v>
      </c>
      <c r="G2372">
        <v>3740</v>
      </c>
      <c r="H2372" s="116"/>
      <c r="I2372" s="116"/>
      <c r="L2372" s="170">
        <v>45498</v>
      </c>
      <c r="M2372" s="116">
        <v>1862.75</v>
      </c>
      <c r="N2372" s="116">
        <v>1879.95</v>
      </c>
      <c r="O2372" s="116">
        <v>1838.05</v>
      </c>
      <c r="P2372" s="116">
        <v>1838.05</v>
      </c>
      <c r="Q2372" s="116">
        <v>1862.75</v>
      </c>
      <c r="R2372">
        <v>109536</v>
      </c>
    </row>
    <row r="2373" spans="1:18" x14ac:dyDescent="0.25">
      <c r="A2373" s="170">
        <v>45499</v>
      </c>
      <c r="B2373" s="116">
        <v>1898</v>
      </c>
      <c r="C2373" s="116">
        <v>1885.7</v>
      </c>
      <c r="D2373" s="116">
        <v>1868.3</v>
      </c>
      <c r="E2373" s="116">
        <v>1880</v>
      </c>
      <c r="F2373" s="116">
        <v>1885.7</v>
      </c>
      <c r="G2373">
        <v>3121</v>
      </c>
      <c r="H2373" s="116"/>
      <c r="I2373" s="116"/>
      <c r="L2373" s="170">
        <v>45499</v>
      </c>
      <c r="M2373" s="116">
        <v>1884.7</v>
      </c>
      <c r="N2373" s="116">
        <v>1898.7</v>
      </c>
      <c r="O2373" s="116">
        <v>1862.75</v>
      </c>
      <c r="P2373" s="116">
        <v>1862.75</v>
      </c>
      <c r="Q2373" s="116">
        <v>1884.7</v>
      </c>
      <c r="R2373">
        <v>95123</v>
      </c>
    </row>
    <row r="2374" spans="1:18" x14ac:dyDescent="0.25">
      <c r="A2374" s="170">
        <v>45502</v>
      </c>
      <c r="B2374" s="116">
        <v>1958</v>
      </c>
      <c r="C2374" s="116">
        <v>1912</v>
      </c>
      <c r="D2374" s="116">
        <v>1882.15</v>
      </c>
      <c r="E2374" s="116">
        <v>1893</v>
      </c>
      <c r="F2374" s="116">
        <v>1912</v>
      </c>
      <c r="G2374">
        <v>25937</v>
      </c>
      <c r="H2374" s="116"/>
      <c r="I2374" s="116"/>
      <c r="L2374" s="170">
        <v>45502</v>
      </c>
      <c r="M2374" s="116">
        <v>1912</v>
      </c>
      <c r="N2374" s="116">
        <v>1958</v>
      </c>
      <c r="O2374" s="116">
        <v>1880.05</v>
      </c>
      <c r="P2374" s="116">
        <v>1896.65</v>
      </c>
      <c r="Q2374" s="116">
        <v>1912</v>
      </c>
      <c r="R2374">
        <v>278009</v>
      </c>
    </row>
    <row r="2375" spans="1:18" x14ac:dyDescent="0.25">
      <c r="A2375" s="170">
        <v>45503</v>
      </c>
      <c r="B2375" s="116">
        <v>1963.8</v>
      </c>
      <c r="C2375" s="116">
        <v>1941.45</v>
      </c>
      <c r="D2375" s="116">
        <v>1921.8</v>
      </c>
      <c r="E2375" s="116">
        <v>1932</v>
      </c>
      <c r="F2375" s="116">
        <v>1941.45</v>
      </c>
      <c r="G2375">
        <v>15946</v>
      </c>
      <c r="H2375" s="116"/>
      <c r="I2375" s="116"/>
      <c r="L2375" s="170">
        <v>45503</v>
      </c>
      <c r="M2375" s="116">
        <v>1943.4</v>
      </c>
      <c r="N2375" s="116">
        <v>1963.2</v>
      </c>
      <c r="O2375" s="116">
        <v>1922.2</v>
      </c>
      <c r="P2375" s="116">
        <v>1935</v>
      </c>
      <c r="Q2375" s="116">
        <v>1943.4</v>
      </c>
      <c r="R2375">
        <v>192157</v>
      </c>
    </row>
    <row r="2376" spans="1:18" x14ac:dyDescent="0.25">
      <c r="A2376" s="170">
        <v>45504</v>
      </c>
      <c r="B2376" s="116">
        <v>1950.3</v>
      </c>
      <c r="C2376" s="116">
        <v>1924.95</v>
      </c>
      <c r="D2376" s="116">
        <v>1889.6</v>
      </c>
      <c r="E2376" s="116">
        <v>1938.15</v>
      </c>
      <c r="F2376" s="116">
        <v>1924.95</v>
      </c>
      <c r="G2376">
        <v>9132</v>
      </c>
      <c r="H2376" s="116"/>
      <c r="I2376" s="116"/>
      <c r="L2376" s="170">
        <v>45504</v>
      </c>
      <c r="M2376" s="116">
        <v>1924.6</v>
      </c>
      <c r="N2376" s="116">
        <v>1950</v>
      </c>
      <c r="O2376" s="116">
        <v>1889.15</v>
      </c>
      <c r="P2376" s="116">
        <v>1950</v>
      </c>
      <c r="Q2376" s="116">
        <v>1924.6</v>
      </c>
      <c r="R2376">
        <v>92296</v>
      </c>
    </row>
    <row r="2377" spans="1:18" x14ac:dyDescent="0.25">
      <c r="A2377" s="170">
        <v>45505</v>
      </c>
      <c r="B2377" s="116">
        <v>1958.35</v>
      </c>
      <c r="C2377" s="116">
        <v>1913.45</v>
      </c>
      <c r="D2377" s="116">
        <v>1899.2</v>
      </c>
      <c r="E2377" s="116">
        <v>1929.4</v>
      </c>
      <c r="F2377" s="116">
        <v>1913.45</v>
      </c>
      <c r="G2377">
        <v>6639</v>
      </c>
      <c r="H2377" s="116"/>
      <c r="I2377" s="116"/>
      <c r="L2377" s="170">
        <v>45505</v>
      </c>
      <c r="M2377" s="116">
        <v>1912.55</v>
      </c>
      <c r="N2377" s="116">
        <v>1960</v>
      </c>
      <c r="O2377" s="116">
        <v>1895.05</v>
      </c>
      <c r="P2377" s="116">
        <v>1920.05</v>
      </c>
      <c r="Q2377" s="116">
        <v>1912.55</v>
      </c>
      <c r="R2377">
        <v>88629</v>
      </c>
    </row>
    <row r="2378" spans="1:18" x14ac:dyDescent="0.25">
      <c r="A2378" s="170">
        <v>45506</v>
      </c>
      <c r="B2378" s="116">
        <v>1960</v>
      </c>
      <c r="C2378" s="116">
        <v>1925.55</v>
      </c>
      <c r="D2378" s="116">
        <v>1877</v>
      </c>
      <c r="E2378" s="116">
        <v>1877</v>
      </c>
      <c r="F2378" s="116">
        <v>1925.55</v>
      </c>
      <c r="G2378">
        <v>14364</v>
      </c>
      <c r="H2378" s="116"/>
      <c r="I2378" s="116"/>
      <c r="L2378" s="170">
        <v>45506</v>
      </c>
      <c r="M2378" s="116">
        <v>1927.35</v>
      </c>
      <c r="N2378" s="116">
        <v>1962</v>
      </c>
      <c r="O2378" s="116">
        <v>1894.25</v>
      </c>
      <c r="P2378" s="116">
        <v>1896</v>
      </c>
      <c r="Q2378" s="116">
        <v>1927.35</v>
      </c>
      <c r="R2378">
        <v>194311</v>
      </c>
    </row>
    <row r="2379" spans="1:18" x14ac:dyDescent="0.25">
      <c r="A2379" s="170">
        <v>45509</v>
      </c>
      <c r="B2379" s="116">
        <v>2008.65</v>
      </c>
      <c r="C2379" s="116">
        <v>1905.7</v>
      </c>
      <c r="D2379" s="116">
        <v>1812</v>
      </c>
      <c r="E2379" s="116">
        <v>1812</v>
      </c>
      <c r="F2379" s="116">
        <v>1905.7</v>
      </c>
      <c r="G2379">
        <v>13321</v>
      </c>
      <c r="H2379" s="116"/>
      <c r="I2379" s="116"/>
      <c r="L2379" s="170">
        <v>45509</v>
      </c>
      <c r="M2379" s="116">
        <v>1904.6</v>
      </c>
      <c r="N2379" s="116">
        <v>2010</v>
      </c>
      <c r="O2379" s="116">
        <v>1825</v>
      </c>
      <c r="P2379" s="116">
        <v>1825</v>
      </c>
      <c r="Q2379" s="116">
        <v>1904.6</v>
      </c>
      <c r="R2379">
        <v>638845</v>
      </c>
    </row>
    <row r="2380" spans="1:18" x14ac:dyDescent="0.25">
      <c r="A2380" s="170">
        <v>45510</v>
      </c>
      <c r="B2380" s="116">
        <v>1929.45</v>
      </c>
      <c r="C2380" s="116">
        <v>1887.1</v>
      </c>
      <c r="D2380" s="116">
        <v>1872</v>
      </c>
      <c r="E2380" s="116">
        <v>1922</v>
      </c>
      <c r="F2380" s="116">
        <v>1887.1</v>
      </c>
      <c r="G2380">
        <v>9972</v>
      </c>
      <c r="H2380" s="116"/>
      <c r="I2380" s="116"/>
      <c r="L2380" s="170">
        <v>45510</v>
      </c>
      <c r="M2380" s="116">
        <v>1888.15</v>
      </c>
      <c r="N2380" s="116">
        <v>1931.1</v>
      </c>
      <c r="O2380" s="116">
        <v>1873.2</v>
      </c>
      <c r="P2380" s="116">
        <v>1917.25</v>
      </c>
      <c r="Q2380" s="116">
        <v>1888.15</v>
      </c>
      <c r="R2380">
        <v>75366</v>
      </c>
    </row>
    <row r="2381" spans="1:18" x14ac:dyDescent="0.25">
      <c r="A2381" s="170">
        <v>45511</v>
      </c>
      <c r="B2381" s="116">
        <v>1931.3</v>
      </c>
      <c r="C2381" s="116">
        <v>1917.95</v>
      </c>
      <c r="D2381" s="116">
        <v>1894.75</v>
      </c>
      <c r="E2381" s="116">
        <v>1911.85</v>
      </c>
      <c r="F2381" s="116">
        <v>1917.95</v>
      </c>
      <c r="G2381">
        <v>1513</v>
      </c>
      <c r="H2381" s="116"/>
      <c r="I2381" s="116"/>
      <c r="L2381" s="170">
        <v>45511</v>
      </c>
      <c r="M2381" s="116">
        <v>1917.35</v>
      </c>
      <c r="N2381" s="116">
        <v>1933</v>
      </c>
      <c r="O2381" s="116">
        <v>1892.05</v>
      </c>
      <c r="P2381" s="116">
        <v>1906</v>
      </c>
      <c r="Q2381" s="116">
        <v>1917.35</v>
      </c>
      <c r="R2381">
        <v>44634</v>
      </c>
    </row>
    <row r="2382" spans="1:18" x14ac:dyDescent="0.25">
      <c r="A2382" s="170">
        <v>45512</v>
      </c>
      <c r="B2382" s="116">
        <v>1952</v>
      </c>
      <c r="C2382" s="116">
        <v>1947.3</v>
      </c>
      <c r="D2382" s="116">
        <v>1919.6</v>
      </c>
      <c r="E2382" s="116">
        <v>1947.05</v>
      </c>
      <c r="F2382" s="116">
        <v>1947.3</v>
      </c>
      <c r="G2382">
        <v>6836</v>
      </c>
      <c r="H2382" s="116"/>
      <c r="I2382" s="116"/>
      <c r="L2382" s="170">
        <v>45512</v>
      </c>
      <c r="M2382" s="116">
        <v>1947.55</v>
      </c>
      <c r="N2382" s="116">
        <v>1955</v>
      </c>
      <c r="O2382" s="116">
        <v>1918.6</v>
      </c>
      <c r="P2382" s="116">
        <v>1935.4</v>
      </c>
      <c r="Q2382" s="116">
        <v>1947.55</v>
      </c>
      <c r="R2382">
        <v>103120</v>
      </c>
    </row>
    <row r="2383" spans="1:18" x14ac:dyDescent="0.25">
      <c r="A2383" s="170">
        <v>45513</v>
      </c>
      <c r="B2383" s="116">
        <v>1998</v>
      </c>
      <c r="C2383" s="116">
        <v>1929.55</v>
      </c>
      <c r="D2383" s="116">
        <v>1920.7</v>
      </c>
      <c r="E2383" s="116">
        <v>1988</v>
      </c>
      <c r="F2383" s="116">
        <v>1929.55</v>
      </c>
      <c r="G2383">
        <v>6383</v>
      </c>
      <c r="H2383" s="116"/>
      <c r="I2383" s="116"/>
      <c r="L2383" s="170">
        <v>45513</v>
      </c>
      <c r="M2383" s="116">
        <v>1930.35</v>
      </c>
      <c r="N2383" s="116">
        <v>1999</v>
      </c>
      <c r="O2383" s="116">
        <v>1920.95</v>
      </c>
      <c r="P2383" s="116">
        <v>1998.8</v>
      </c>
      <c r="Q2383" s="116">
        <v>1930.35</v>
      </c>
      <c r="R2383">
        <v>172634</v>
      </c>
    </row>
    <row r="2384" spans="1:18" x14ac:dyDescent="0.25">
      <c r="A2384" s="170">
        <v>45516</v>
      </c>
      <c r="B2384" s="116">
        <v>1957.95</v>
      </c>
      <c r="C2384" s="116">
        <v>1942.15</v>
      </c>
      <c r="D2384" s="116">
        <v>1912.7</v>
      </c>
      <c r="E2384" s="116">
        <v>1940.2</v>
      </c>
      <c r="F2384" s="116">
        <v>1942.15</v>
      </c>
      <c r="G2384">
        <v>5505</v>
      </c>
      <c r="H2384" s="116"/>
      <c r="I2384" s="116"/>
      <c r="L2384" s="170">
        <v>45516</v>
      </c>
      <c r="M2384" s="116">
        <v>1945.45</v>
      </c>
      <c r="N2384" s="116">
        <v>1960</v>
      </c>
      <c r="O2384" s="116">
        <v>1907.2</v>
      </c>
      <c r="P2384" s="116">
        <v>1944.25</v>
      </c>
      <c r="Q2384" s="116">
        <v>1945.45</v>
      </c>
      <c r="R2384">
        <v>89770</v>
      </c>
    </row>
    <row r="2385" spans="1:18" x14ac:dyDescent="0.25">
      <c r="A2385" s="170">
        <v>45517</v>
      </c>
      <c r="B2385" s="116">
        <v>1980.55</v>
      </c>
      <c r="C2385" s="116">
        <v>1941.6</v>
      </c>
      <c r="D2385" s="116">
        <v>1921.7</v>
      </c>
      <c r="E2385" s="116">
        <v>1943.35</v>
      </c>
      <c r="F2385" s="116">
        <v>1941.6</v>
      </c>
      <c r="G2385">
        <v>4591</v>
      </c>
      <c r="H2385" s="116"/>
      <c r="I2385" s="116"/>
      <c r="L2385" s="170">
        <v>45517</v>
      </c>
      <c r="M2385" s="116">
        <v>1945.5</v>
      </c>
      <c r="N2385" s="116">
        <v>1980.7</v>
      </c>
      <c r="O2385" s="116">
        <v>1919.95</v>
      </c>
      <c r="P2385" s="116">
        <v>1960</v>
      </c>
      <c r="Q2385" s="116">
        <v>1945.5</v>
      </c>
      <c r="R2385">
        <v>167144</v>
      </c>
    </row>
    <row r="2386" spans="1:18" x14ac:dyDescent="0.25">
      <c r="A2386" s="170">
        <v>45518</v>
      </c>
      <c r="B2386" s="116">
        <v>1998</v>
      </c>
      <c r="C2386" s="116">
        <v>1968.95</v>
      </c>
      <c r="D2386" s="116">
        <v>1923.3</v>
      </c>
      <c r="E2386" s="116">
        <v>1966.7</v>
      </c>
      <c r="F2386" s="116">
        <v>1968.95</v>
      </c>
      <c r="G2386">
        <v>7011</v>
      </c>
      <c r="H2386" s="116"/>
      <c r="I2386" s="116"/>
      <c r="L2386" s="170">
        <v>45518</v>
      </c>
      <c r="M2386" s="116">
        <v>1968.7</v>
      </c>
      <c r="N2386" s="116">
        <v>1998.95</v>
      </c>
      <c r="O2386" s="116">
        <v>1920.2</v>
      </c>
      <c r="P2386" s="116">
        <v>1959.9</v>
      </c>
      <c r="Q2386" s="116">
        <v>1968.7</v>
      </c>
      <c r="R2386">
        <v>145391</v>
      </c>
    </row>
    <row r="2387" spans="1:18" x14ac:dyDescent="0.25">
      <c r="A2387" s="170">
        <v>45520</v>
      </c>
      <c r="B2387" s="116">
        <v>2029</v>
      </c>
      <c r="C2387" s="116">
        <v>1966</v>
      </c>
      <c r="D2387" s="116">
        <v>1955.15</v>
      </c>
      <c r="E2387" s="116">
        <v>1993.35</v>
      </c>
      <c r="F2387" s="116">
        <v>1966</v>
      </c>
      <c r="G2387">
        <v>24047</v>
      </c>
      <c r="H2387" s="116"/>
      <c r="I2387" s="116"/>
      <c r="L2387" s="170">
        <v>45520</v>
      </c>
      <c r="M2387" s="116">
        <v>1966.5</v>
      </c>
      <c r="N2387" s="116">
        <v>2030</v>
      </c>
      <c r="O2387" s="116">
        <v>1951.55</v>
      </c>
      <c r="P2387" s="116">
        <v>1968.7</v>
      </c>
      <c r="Q2387" s="116">
        <v>1966.5</v>
      </c>
      <c r="R2387">
        <v>543473</v>
      </c>
    </row>
    <row r="2388" spans="1:18" x14ac:dyDescent="0.25">
      <c r="A2388" s="170">
        <v>45523</v>
      </c>
      <c r="B2388" s="116">
        <v>1979.1</v>
      </c>
      <c r="C2388" s="116">
        <v>1945.7</v>
      </c>
      <c r="D2388" s="116">
        <v>1932.85</v>
      </c>
      <c r="E2388" s="116">
        <v>1966</v>
      </c>
      <c r="F2388" s="116">
        <v>1945.7</v>
      </c>
      <c r="G2388">
        <v>2625</v>
      </c>
      <c r="H2388" s="116"/>
      <c r="I2388" s="116"/>
      <c r="L2388" s="170">
        <v>45523</v>
      </c>
      <c r="M2388" s="116">
        <v>1943.95</v>
      </c>
      <c r="N2388" s="116">
        <v>1984.35</v>
      </c>
      <c r="O2388" s="116">
        <v>1930.1</v>
      </c>
      <c r="P2388" s="116">
        <v>1967</v>
      </c>
      <c r="Q2388" s="116">
        <v>1943.95</v>
      </c>
      <c r="R2388">
        <v>87701</v>
      </c>
    </row>
    <row r="2389" spans="1:18" x14ac:dyDescent="0.25">
      <c r="A2389" s="170">
        <v>45524</v>
      </c>
      <c r="B2389" s="116">
        <v>1956.75</v>
      </c>
      <c r="C2389" s="116">
        <v>1942.6</v>
      </c>
      <c r="D2389" s="116">
        <v>1925</v>
      </c>
      <c r="E2389" s="116">
        <v>1946.95</v>
      </c>
      <c r="F2389" s="116">
        <v>1942.6</v>
      </c>
      <c r="G2389">
        <v>6818</v>
      </c>
      <c r="H2389" s="116"/>
      <c r="I2389" s="116"/>
      <c r="L2389" s="170">
        <v>45524</v>
      </c>
      <c r="M2389" s="116">
        <v>1942.65</v>
      </c>
      <c r="N2389" s="116">
        <v>1959.6</v>
      </c>
      <c r="O2389" s="116">
        <v>1923.4</v>
      </c>
      <c r="P2389" s="116">
        <v>1957.95</v>
      </c>
      <c r="Q2389" s="116">
        <v>1942.65</v>
      </c>
      <c r="R2389">
        <v>118220</v>
      </c>
    </row>
    <row r="2390" spans="1:18" x14ac:dyDescent="0.25">
      <c r="A2390" s="170">
        <v>45525</v>
      </c>
      <c r="B2390" s="116">
        <v>1970.25</v>
      </c>
      <c r="C2390" s="116">
        <v>1924.35</v>
      </c>
      <c r="D2390" s="116">
        <v>1919.2</v>
      </c>
      <c r="E2390" s="116">
        <v>1919.2</v>
      </c>
      <c r="F2390" s="116">
        <v>1924.35</v>
      </c>
      <c r="G2390">
        <v>2235</v>
      </c>
      <c r="H2390" s="116"/>
      <c r="I2390" s="116"/>
      <c r="L2390" s="170">
        <v>45525</v>
      </c>
      <c r="M2390" s="116">
        <v>1925.2</v>
      </c>
      <c r="N2390" s="116">
        <v>1971</v>
      </c>
      <c r="O2390" s="116">
        <v>1922</v>
      </c>
      <c r="P2390" s="116">
        <v>1942.65</v>
      </c>
      <c r="Q2390" s="116">
        <v>1925.2</v>
      </c>
      <c r="R2390">
        <v>90417</v>
      </c>
    </row>
    <row r="2391" spans="1:18" x14ac:dyDescent="0.25">
      <c r="A2391" s="170">
        <v>45526</v>
      </c>
      <c r="B2391" s="116">
        <v>1960</v>
      </c>
      <c r="C2391" s="116">
        <v>1938.95</v>
      </c>
      <c r="D2391" s="116">
        <v>1930.85</v>
      </c>
      <c r="E2391" s="116">
        <v>1942.2</v>
      </c>
      <c r="F2391" s="116">
        <v>1938.95</v>
      </c>
      <c r="G2391">
        <v>1571</v>
      </c>
      <c r="H2391" s="116"/>
      <c r="I2391" s="116"/>
      <c r="L2391" s="170">
        <v>45526</v>
      </c>
      <c r="M2391" s="116">
        <v>1937.35</v>
      </c>
      <c r="N2391" s="116">
        <v>1961.15</v>
      </c>
      <c r="O2391" s="116">
        <v>1922</v>
      </c>
      <c r="P2391" s="116">
        <v>1934.85</v>
      </c>
      <c r="Q2391" s="116">
        <v>1937.35</v>
      </c>
      <c r="R2391">
        <v>80107</v>
      </c>
    </row>
    <row r="2392" spans="1:18" x14ac:dyDescent="0.25">
      <c r="A2392" s="170">
        <v>45527</v>
      </c>
      <c r="B2392" s="116">
        <v>1945.1</v>
      </c>
      <c r="C2392" s="116">
        <v>1884.2</v>
      </c>
      <c r="D2392" s="116">
        <v>1875.8</v>
      </c>
      <c r="E2392" s="116">
        <v>1928</v>
      </c>
      <c r="F2392" s="116">
        <v>1884.2</v>
      </c>
      <c r="G2392">
        <v>4904</v>
      </c>
      <c r="H2392" s="116"/>
      <c r="I2392" s="116"/>
      <c r="L2392" s="170">
        <v>45527</v>
      </c>
      <c r="M2392" s="116">
        <v>1885.8</v>
      </c>
      <c r="N2392" s="116">
        <v>1955.05</v>
      </c>
      <c r="O2392" s="116">
        <v>1875.2</v>
      </c>
      <c r="P2392" s="116">
        <v>1955</v>
      </c>
      <c r="Q2392" s="116">
        <v>1885.8</v>
      </c>
      <c r="R2392">
        <v>58532</v>
      </c>
    </row>
    <row r="2393" spans="1:18" x14ac:dyDescent="0.25">
      <c r="A2393" s="170">
        <v>45530</v>
      </c>
      <c r="B2393" s="116">
        <v>1948</v>
      </c>
      <c r="C2393" s="116">
        <v>1901.1</v>
      </c>
      <c r="D2393" s="116">
        <v>1875.45</v>
      </c>
      <c r="E2393" s="116">
        <v>1881.25</v>
      </c>
      <c r="F2393" s="116">
        <v>1901.1</v>
      </c>
      <c r="G2393">
        <v>4893</v>
      </c>
      <c r="H2393" s="116"/>
      <c r="I2393" s="116"/>
      <c r="L2393" s="170">
        <v>45530</v>
      </c>
      <c r="M2393" s="116">
        <v>1902.55</v>
      </c>
      <c r="N2393" s="116">
        <v>1949.1</v>
      </c>
      <c r="O2393" s="116">
        <v>1870.05</v>
      </c>
      <c r="P2393" s="116">
        <v>1885.95</v>
      </c>
      <c r="Q2393" s="116">
        <v>1902.55</v>
      </c>
      <c r="R2393">
        <v>142586</v>
      </c>
    </row>
    <row r="2394" spans="1:18" x14ac:dyDescent="0.25">
      <c r="A2394" s="170">
        <v>45531</v>
      </c>
      <c r="B2394" s="116">
        <v>1984.95</v>
      </c>
      <c r="C2394" s="116">
        <v>1960.6</v>
      </c>
      <c r="D2394" s="116">
        <v>1920.85</v>
      </c>
      <c r="E2394" s="116">
        <v>1920.85</v>
      </c>
      <c r="F2394" s="116">
        <v>1960.6</v>
      </c>
      <c r="G2394">
        <v>20287</v>
      </c>
      <c r="H2394" s="116"/>
      <c r="I2394" s="116"/>
      <c r="L2394" s="170">
        <v>45531</v>
      </c>
      <c r="M2394" s="116">
        <v>1958.1</v>
      </c>
      <c r="N2394" s="116">
        <v>1982.6</v>
      </c>
      <c r="O2394" s="116">
        <v>1898.55</v>
      </c>
      <c r="P2394" s="116">
        <v>1920.5</v>
      </c>
      <c r="Q2394" s="116">
        <v>1958.1</v>
      </c>
      <c r="R2394">
        <v>338497</v>
      </c>
    </row>
    <row r="2395" spans="1:18" x14ac:dyDescent="0.25">
      <c r="A2395" s="170">
        <v>45532</v>
      </c>
      <c r="B2395" s="116">
        <v>1990</v>
      </c>
      <c r="C2395" s="116">
        <v>1968.85</v>
      </c>
      <c r="D2395" s="116">
        <v>1951</v>
      </c>
      <c r="E2395" s="116">
        <v>1968.75</v>
      </c>
      <c r="F2395" s="116">
        <v>1968.85</v>
      </c>
      <c r="G2395">
        <v>4512</v>
      </c>
      <c r="H2395" s="116"/>
      <c r="I2395" s="116"/>
      <c r="L2395" s="170">
        <v>45532</v>
      </c>
      <c r="M2395" s="116">
        <v>1969.05</v>
      </c>
      <c r="N2395" s="116">
        <v>1991.95</v>
      </c>
      <c r="O2395" s="116">
        <v>1950.05</v>
      </c>
      <c r="P2395" s="116">
        <v>1984</v>
      </c>
      <c r="Q2395" s="116">
        <v>1969.05</v>
      </c>
      <c r="R2395">
        <v>272889</v>
      </c>
    </row>
    <row r="2396" spans="1:18" x14ac:dyDescent="0.25">
      <c r="A2396" s="170">
        <v>45533</v>
      </c>
      <c r="B2396" s="116">
        <v>1980.6</v>
      </c>
      <c r="C2396" s="116">
        <v>1960.1</v>
      </c>
      <c r="D2396" s="116">
        <v>1950.6</v>
      </c>
      <c r="E2396" s="116">
        <v>1968.85</v>
      </c>
      <c r="F2396" s="116">
        <v>1960.1</v>
      </c>
      <c r="G2396">
        <v>2182</v>
      </c>
      <c r="H2396" s="116"/>
      <c r="I2396" s="116"/>
      <c r="L2396" s="170">
        <v>45533</v>
      </c>
      <c r="M2396" s="116">
        <v>1961.15</v>
      </c>
      <c r="N2396" s="116">
        <v>1985</v>
      </c>
      <c r="O2396" s="116">
        <v>1949</v>
      </c>
      <c r="P2396" s="116">
        <v>1976</v>
      </c>
      <c r="Q2396" s="116">
        <v>1961.15</v>
      </c>
      <c r="R2396">
        <v>70835</v>
      </c>
    </row>
    <row r="2397" spans="1:18" x14ac:dyDescent="0.25">
      <c r="A2397" s="170">
        <v>45534</v>
      </c>
      <c r="B2397" s="116">
        <v>1959.15</v>
      </c>
      <c r="C2397" s="116">
        <v>1949.8</v>
      </c>
      <c r="D2397" s="116">
        <v>1921.65</v>
      </c>
      <c r="E2397" s="116">
        <v>1955.15</v>
      </c>
      <c r="F2397" s="116">
        <v>1949.8</v>
      </c>
      <c r="G2397">
        <v>2361</v>
      </c>
      <c r="H2397" s="116"/>
      <c r="I2397" s="116"/>
      <c r="L2397" s="170">
        <v>45534</v>
      </c>
      <c r="M2397" s="116">
        <v>1953.8</v>
      </c>
      <c r="N2397" s="116">
        <v>1965</v>
      </c>
      <c r="O2397" s="116">
        <v>1920</v>
      </c>
      <c r="P2397" s="116">
        <v>1961.15</v>
      </c>
      <c r="Q2397" s="116">
        <v>1953.8</v>
      </c>
      <c r="R2397">
        <v>74116</v>
      </c>
    </row>
    <row r="2398" spans="1:18" x14ac:dyDescent="0.25">
      <c r="A2398" s="170">
        <v>45537</v>
      </c>
      <c r="B2398" s="116">
        <v>1974</v>
      </c>
      <c r="C2398" s="116">
        <v>1969.1</v>
      </c>
      <c r="D2398" s="116">
        <v>1935</v>
      </c>
      <c r="E2398" s="116">
        <v>1935</v>
      </c>
      <c r="F2398" s="116">
        <v>1969.1</v>
      </c>
      <c r="G2398">
        <v>4324</v>
      </c>
      <c r="H2398" s="116"/>
      <c r="I2398" s="116"/>
      <c r="L2398" s="170">
        <v>45537</v>
      </c>
      <c r="M2398" s="116">
        <v>1970.6</v>
      </c>
      <c r="N2398" s="116">
        <v>1974.9</v>
      </c>
      <c r="O2398" s="116">
        <v>1934.05</v>
      </c>
      <c r="P2398" s="116">
        <v>1934.05</v>
      </c>
      <c r="Q2398" s="116">
        <v>1970.6</v>
      </c>
      <c r="R2398">
        <v>205733</v>
      </c>
    </row>
    <row r="2399" spans="1:18" x14ac:dyDescent="0.25">
      <c r="A2399" s="170">
        <v>45538</v>
      </c>
      <c r="B2399" s="116">
        <v>1989.95</v>
      </c>
      <c r="C2399" s="116">
        <v>1924.25</v>
      </c>
      <c r="D2399" s="116">
        <v>1911.05</v>
      </c>
      <c r="E2399" s="116">
        <v>1970.5</v>
      </c>
      <c r="F2399" s="116">
        <v>1924.25</v>
      </c>
      <c r="G2399">
        <v>5063</v>
      </c>
      <c r="H2399" s="116"/>
      <c r="I2399" s="116"/>
      <c r="L2399" s="170">
        <v>45538</v>
      </c>
      <c r="M2399" s="116">
        <v>1924.65</v>
      </c>
      <c r="N2399" s="116">
        <v>1991.35</v>
      </c>
      <c r="O2399" s="116">
        <v>1905</v>
      </c>
      <c r="P2399" s="116">
        <v>1986</v>
      </c>
      <c r="Q2399" s="116">
        <v>1924.65</v>
      </c>
      <c r="R2399">
        <v>223541</v>
      </c>
    </row>
    <row r="2400" spans="1:18" x14ac:dyDescent="0.25">
      <c r="A2400" s="170">
        <v>45539</v>
      </c>
      <c r="B2400" s="116">
        <v>1961.2</v>
      </c>
      <c r="C2400" s="116">
        <v>1925.95</v>
      </c>
      <c r="D2400" s="116">
        <v>1918.55</v>
      </c>
      <c r="E2400" s="116">
        <v>1961.2</v>
      </c>
      <c r="F2400" s="116">
        <v>1925.95</v>
      </c>
      <c r="G2400">
        <v>1753</v>
      </c>
      <c r="H2400" s="116"/>
      <c r="I2400" s="116"/>
      <c r="L2400" s="170">
        <v>45539</v>
      </c>
      <c r="M2400" s="116">
        <v>1924.65</v>
      </c>
      <c r="N2400" s="116">
        <v>1965</v>
      </c>
      <c r="O2400" s="116">
        <v>1917</v>
      </c>
      <c r="P2400" s="116">
        <v>1930.3</v>
      </c>
      <c r="Q2400" s="116">
        <v>1924.65</v>
      </c>
      <c r="R2400">
        <v>131096</v>
      </c>
    </row>
    <row r="2401" spans="1:18" x14ac:dyDescent="0.25">
      <c r="A2401" s="170">
        <v>45540</v>
      </c>
      <c r="B2401" s="116">
        <v>1989.5</v>
      </c>
      <c r="C2401" s="116">
        <v>1932.8</v>
      </c>
      <c r="D2401" s="116">
        <v>1927.5</v>
      </c>
      <c r="E2401" s="116">
        <v>1927.5</v>
      </c>
      <c r="F2401" s="116">
        <v>1932.8</v>
      </c>
      <c r="G2401">
        <v>3485</v>
      </c>
      <c r="H2401" s="116"/>
      <c r="I2401" s="116"/>
      <c r="L2401" s="170">
        <v>45540</v>
      </c>
      <c r="M2401" s="116">
        <v>1933.6</v>
      </c>
      <c r="N2401" s="116">
        <v>1990</v>
      </c>
      <c r="O2401" s="116">
        <v>1930</v>
      </c>
      <c r="P2401" s="116">
        <v>1937.15</v>
      </c>
      <c r="Q2401" s="116">
        <v>1933.6</v>
      </c>
      <c r="R2401">
        <v>148246</v>
      </c>
    </row>
    <row r="2402" spans="1:18" x14ac:dyDescent="0.25">
      <c r="A2402" s="170">
        <v>45541</v>
      </c>
      <c r="B2402" s="116">
        <v>1968.15</v>
      </c>
      <c r="C2402" s="116">
        <v>1930.3</v>
      </c>
      <c r="D2402" s="116">
        <v>1920.05</v>
      </c>
      <c r="E2402" s="116">
        <v>1920.05</v>
      </c>
      <c r="F2402" s="116">
        <v>1930.3</v>
      </c>
      <c r="G2402">
        <v>2942</v>
      </c>
      <c r="H2402" s="116"/>
      <c r="I2402" s="116"/>
      <c r="L2402" s="170">
        <v>45541</v>
      </c>
      <c r="M2402" s="116">
        <v>1928.4</v>
      </c>
      <c r="N2402" s="116">
        <v>1970</v>
      </c>
      <c r="O2402" s="116">
        <v>1920</v>
      </c>
      <c r="P2402" s="116">
        <v>1946.15</v>
      </c>
      <c r="Q2402" s="116">
        <v>1928.4</v>
      </c>
      <c r="R2402">
        <v>116512</v>
      </c>
    </row>
    <row r="2403" spans="1:18" x14ac:dyDescent="0.25">
      <c r="A2403" s="170">
        <v>45544</v>
      </c>
      <c r="B2403" s="116">
        <v>1946.95</v>
      </c>
      <c r="C2403" s="116">
        <v>1935.15</v>
      </c>
      <c r="D2403" s="116">
        <v>1900.1</v>
      </c>
      <c r="E2403" s="116">
        <v>1900.1</v>
      </c>
      <c r="F2403" s="116">
        <v>1935.15</v>
      </c>
      <c r="G2403">
        <v>2227</v>
      </c>
      <c r="H2403" s="116"/>
      <c r="I2403" s="116"/>
      <c r="L2403" s="170">
        <v>45544</v>
      </c>
      <c r="M2403" s="116">
        <v>1937.1</v>
      </c>
      <c r="N2403" s="116">
        <v>1945</v>
      </c>
      <c r="O2403" s="116">
        <v>1907.1</v>
      </c>
      <c r="P2403" s="116">
        <v>1934.95</v>
      </c>
      <c r="Q2403" s="116">
        <v>1937.1</v>
      </c>
      <c r="R2403">
        <v>101043</v>
      </c>
    </row>
    <row r="2404" spans="1:18" x14ac:dyDescent="0.25">
      <c r="A2404" s="170">
        <v>45545</v>
      </c>
      <c r="B2404" s="116">
        <v>1978</v>
      </c>
      <c r="C2404" s="116">
        <v>1913.35</v>
      </c>
      <c r="D2404" s="116">
        <v>1910</v>
      </c>
      <c r="E2404" s="116">
        <v>1915.65</v>
      </c>
      <c r="F2404" s="116">
        <v>1913.35</v>
      </c>
      <c r="G2404">
        <v>3093</v>
      </c>
      <c r="H2404" s="116"/>
      <c r="I2404" s="116"/>
      <c r="L2404" s="170">
        <v>45545</v>
      </c>
      <c r="M2404" s="116">
        <v>1912.15</v>
      </c>
      <c r="N2404" s="116">
        <v>1980</v>
      </c>
      <c r="O2404" s="116">
        <v>1910</v>
      </c>
      <c r="P2404" s="116">
        <v>1941.4</v>
      </c>
      <c r="Q2404" s="116">
        <v>1912.15</v>
      </c>
      <c r="R2404">
        <v>236896</v>
      </c>
    </row>
    <row r="2405" spans="1:18" x14ac:dyDescent="0.25">
      <c r="A2405" s="170">
        <v>45546</v>
      </c>
      <c r="B2405" s="116">
        <v>1970</v>
      </c>
      <c r="C2405" s="116">
        <v>1867.9</v>
      </c>
      <c r="D2405" s="116">
        <v>1853.7</v>
      </c>
      <c r="E2405" s="116">
        <v>1912.15</v>
      </c>
      <c r="F2405" s="116">
        <v>1867.9</v>
      </c>
      <c r="G2405">
        <v>8226</v>
      </c>
      <c r="H2405" s="116"/>
      <c r="I2405" s="116"/>
      <c r="L2405" s="170">
        <v>45546</v>
      </c>
      <c r="M2405" s="116">
        <v>1867.75</v>
      </c>
      <c r="N2405" s="116">
        <v>1970</v>
      </c>
      <c r="O2405" s="116">
        <v>1850</v>
      </c>
      <c r="P2405" s="116">
        <v>1924.6</v>
      </c>
      <c r="Q2405" s="116">
        <v>1867.75</v>
      </c>
      <c r="R2405">
        <v>287460</v>
      </c>
    </row>
    <row r="2406" spans="1:18" x14ac:dyDescent="0.25">
      <c r="A2406" s="170">
        <v>45547</v>
      </c>
      <c r="B2406" s="116">
        <v>1901.1</v>
      </c>
      <c r="C2406" s="116">
        <v>1879.8</v>
      </c>
      <c r="D2406" s="116">
        <v>1865</v>
      </c>
      <c r="E2406" s="116">
        <v>1868.6</v>
      </c>
      <c r="F2406" s="116">
        <v>1879.8</v>
      </c>
      <c r="G2406">
        <v>3076</v>
      </c>
      <c r="H2406" s="116"/>
      <c r="I2406" s="116"/>
      <c r="L2406" s="170">
        <v>45547</v>
      </c>
      <c r="M2406" s="116">
        <v>1883.35</v>
      </c>
      <c r="N2406" s="116">
        <v>1904.7</v>
      </c>
      <c r="O2406" s="116">
        <v>1864.3</v>
      </c>
      <c r="P2406" s="116">
        <v>1873.85</v>
      </c>
      <c r="Q2406" s="116">
        <v>1883.35</v>
      </c>
      <c r="R2406">
        <v>71269</v>
      </c>
    </row>
    <row r="2407" spans="1:18" x14ac:dyDescent="0.25">
      <c r="A2407" s="170">
        <v>45548</v>
      </c>
      <c r="B2407" s="116">
        <v>1929.55</v>
      </c>
      <c r="C2407" s="116">
        <v>1922.75</v>
      </c>
      <c r="D2407" s="116">
        <v>1890</v>
      </c>
      <c r="E2407" s="116">
        <v>1909.95</v>
      </c>
      <c r="F2407" s="116">
        <v>1922.75</v>
      </c>
      <c r="G2407">
        <v>5325</v>
      </c>
      <c r="H2407" s="116"/>
      <c r="I2407" s="116"/>
      <c r="L2407" s="170">
        <v>45548</v>
      </c>
      <c r="M2407" s="116">
        <v>1923.3</v>
      </c>
      <c r="N2407" s="116">
        <v>1930</v>
      </c>
      <c r="O2407" s="116">
        <v>1892.85</v>
      </c>
      <c r="P2407" s="116">
        <v>1899.7</v>
      </c>
      <c r="Q2407" s="116">
        <v>1923.3</v>
      </c>
      <c r="R2407">
        <v>207654</v>
      </c>
    </row>
    <row r="2408" spans="1:18" x14ac:dyDescent="0.25">
      <c r="A2408" s="170">
        <v>45551</v>
      </c>
      <c r="B2408" s="116">
        <v>1959.95</v>
      </c>
      <c r="C2408" s="116">
        <v>1902</v>
      </c>
      <c r="D2408" s="116">
        <v>1890.95</v>
      </c>
      <c r="E2408" s="116">
        <v>1939.95</v>
      </c>
      <c r="F2408" s="116">
        <v>1902</v>
      </c>
      <c r="G2408">
        <v>1357</v>
      </c>
      <c r="H2408" s="116"/>
      <c r="I2408" s="116"/>
      <c r="L2408" s="170">
        <v>45551</v>
      </c>
      <c r="M2408" s="116">
        <v>1900.95</v>
      </c>
      <c r="N2408" s="116">
        <v>1957.6</v>
      </c>
      <c r="O2408" s="116">
        <v>1891.05</v>
      </c>
      <c r="P2408" s="116">
        <v>1930</v>
      </c>
      <c r="Q2408" s="116">
        <v>1900.95</v>
      </c>
      <c r="R2408">
        <v>108645</v>
      </c>
    </row>
    <row r="2409" spans="1:18" x14ac:dyDescent="0.25">
      <c r="A2409" s="170">
        <v>45552</v>
      </c>
      <c r="B2409" s="116">
        <v>1905</v>
      </c>
      <c r="C2409" s="116">
        <v>1875.4</v>
      </c>
      <c r="D2409" s="116">
        <v>1865.5</v>
      </c>
      <c r="E2409" s="116">
        <v>1905</v>
      </c>
      <c r="F2409" s="116">
        <v>1875.4</v>
      </c>
      <c r="G2409">
        <v>2514</v>
      </c>
      <c r="H2409" s="116"/>
      <c r="I2409" s="116"/>
      <c r="L2409" s="170">
        <v>45552</v>
      </c>
      <c r="M2409" s="116">
        <v>1875.6</v>
      </c>
      <c r="N2409" s="116">
        <v>1913.3</v>
      </c>
      <c r="O2409" s="116">
        <v>1866.6</v>
      </c>
      <c r="P2409" s="116">
        <v>1913.3</v>
      </c>
      <c r="Q2409" s="116">
        <v>1875.6</v>
      </c>
      <c r="R2409">
        <v>56010</v>
      </c>
    </row>
    <row r="2410" spans="1:18" x14ac:dyDescent="0.25">
      <c r="A2410" s="170">
        <v>45553</v>
      </c>
      <c r="B2410" s="116">
        <v>1901.15</v>
      </c>
      <c r="C2410" s="116">
        <v>1860.3</v>
      </c>
      <c r="D2410" s="116">
        <v>1845.85</v>
      </c>
      <c r="E2410" s="116">
        <v>1875</v>
      </c>
      <c r="F2410" s="116">
        <v>1860.3</v>
      </c>
      <c r="G2410">
        <v>1317</v>
      </c>
      <c r="H2410" s="116"/>
      <c r="I2410" s="116"/>
      <c r="L2410" s="170">
        <v>45553</v>
      </c>
      <c r="M2410" s="116">
        <v>1857</v>
      </c>
      <c r="N2410" s="116">
        <v>1908.45</v>
      </c>
      <c r="O2410" s="116">
        <v>1847.55</v>
      </c>
      <c r="P2410" s="116">
        <v>1879.95</v>
      </c>
      <c r="Q2410" s="116">
        <v>1857</v>
      </c>
      <c r="R2410">
        <v>113071</v>
      </c>
    </row>
    <row r="2411" spans="1:18" x14ac:dyDescent="0.25">
      <c r="A2411" s="170">
        <v>45554</v>
      </c>
      <c r="B2411" s="116">
        <v>1899.15</v>
      </c>
      <c r="C2411" s="116">
        <v>1884.5</v>
      </c>
      <c r="D2411" s="116">
        <v>1835</v>
      </c>
      <c r="E2411" s="116">
        <v>1835</v>
      </c>
      <c r="F2411" s="116">
        <v>1884.5</v>
      </c>
      <c r="G2411">
        <v>3899</v>
      </c>
      <c r="H2411" s="116"/>
      <c r="I2411" s="116"/>
      <c r="L2411" s="170">
        <v>45554</v>
      </c>
      <c r="M2411" s="116">
        <v>1886.5</v>
      </c>
      <c r="N2411" s="116">
        <v>1900</v>
      </c>
      <c r="O2411" s="116">
        <v>1847</v>
      </c>
      <c r="P2411" s="116">
        <v>1857</v>
      </c>
      <c r="Q2411" s="116">
        <v>1886.5</v>
      </c>
      <c r="R2411">
        <v>252405</v>
      </c>
    </row>
    <row r="2412" spans="1:18" x14ac:dyDescent="0.25">
      <c r="A2412" s="170">
        <v>45555</v>
      </c>
      <c r="B2412" s="116">
        <v>1905.85</v>
      </c>
      <c r="C2412" s="116">
        <v>1898.4</v>
      </c>
      <c r="D2412" s="116">
        <v>1878.1</v>
      </c>
      <c r="E2412" s="116">
        <v>1884.55</v>
      </c>
      <c r="F2412" s="116">
        <v>1898.4</v>
      </c>
      <c r="G2412">
        <v>2345</v>
      </c>
      <c r="H2412" s="116"/>
      <c r="I2412" s="116"/>
      <c r="L2412" s="170">
        <v>45555</v>
      </c>
      <c r="M2412" s="116">
        <v>1897.25</v>
      </c>
      <c r="N2412" s="116">
        <v>1910</v>
      </c>
      <c r="O2412" s="116">
        <v>1876.1</v>
      </c>
      <c r="P2412" s="116">
        <v>1889.95</v>
      </c>
      <c r="Q2412" s="116">
        <v>1897.25</v>
      </c>
      <c r="R2412">
        <v>178811</v>
      </c>
    </row>
    <row r="2413" spans="1:18" x14ac:dyDescent="0.25">
      <c r="A2413" s="170">
        <v>45558</v>
      </c>
      <c r="B2413" s="116">
        <v>1959</v>
      </c>
      <c r="C2413" s="116">
        <v>1948.8</v>
      </c>
      <c r="D2413" s="116">
        <v>1894.95</v>
      </c>
      <c r="E2413" s="116">
        <v>1894.95</v>
      </c>
      <c r="F2413" s="116">
        <v>1948.8</v>
      </c>
      <c r="G2413">
        <v>10180</v>
      </c>
      <c r="H2413" s="116"/>
      <c r="I2413" s="116"/>
      <c r="L2413" s="170">
        <v>45558</v>
      </c>
      <c r="M2413" s="116">
        <v>1952</v>
      </c>
      <c r="N2413" s="116">
        <v>1960</v>
      </c>
      <c r="O2413" s="116">
        <v>1896.05</v>
      </c>
      <c r="P2413" s="116">
        <v>1914</v>
      </c>
      <c r="Q2413" s="116">
        <v>1952</v>
      </c>
      <c r="R2413">
        <v>344130</v>
      </c>
    </row>
    <row r="2414" spans="1:18" x14ac:dyDescent="0.25">
      <c r="A2414" s="170">
        <v>45559</v>
      </c>
      <c r="B2414" s="116">
        <v>1960.1</v>
      </c>
      <c r="C2414" s="116">
        <v>1940.55</v>
      </c>
      <c r="D2414" s="116">
        <v>1912</v>
      </c>
      <c r="E2414" s="116">
        <v>1912</v>
      </c>
      <c r="F2414" s="116">
        <v>1940.55</v>
      </c>
      <c r="G2414">
        <v>3040</v>
      </c>
      <c r="H2414" s="116"/>
      <c r="I2414" s="116"/>
      <c r="L2414" s="170">
        <v>45559</v>
      </c>
      <c r="M2414" s="116">
        <v>1944.35</v>
      </c>
      <c r="N2414" s="116">
        <v>1969.55</v>
      </c>
      <c r="O2414" s="116">
        <v>1920</v>
      </c>
      <c r="P2414" s="116">
        <v>1955</v>
      </c>
      <c r="Q2414" s="116">
        <v>1944.35</v>
      </c>
      <c r="R2414">
        <v>160629</v>
      </c>
    </row>
    <row r="2415" spans="1:18" x14ac:dyDescent="0.25">
      <c r="A2415" s="170">
        <v>45560</v>
      </c>
      <c r="B2415" s="116">
        <v>1939.95</v>
      </c>
      <c r="C2415" s="116">
        <v>1909.2</v>
      </c>
      <c r="D2415" s="116">
        <v>1857.35</v>
      </c>
      <c r="E2415" s="116">
        <v>1910</v>
      </c>
      <c r="F2415" s="116">
        <v>1909.2</v>
      </c>
      <c r="G2415">
        <v>5070</v>
      </c>
      <c r="H2415" s="116"/>
      <c r="I2415" s="116"/>
      <c r="L2415" s="170">
        <v>45560</v>
      </c>
      <c r="M2415" s="116">
        <v>1909.55</v>
      </c>
      <c r="N2415" s="116">
        <v>1948</v>
      </c>
      <c r="O2415" s="116">
        <v>1855</v>
      </c>
      <c r="P2415" s="116">
        <v>1948</v>
      </c>
      <c r="Q2415" s="116">
        <v>1909.55</v>
      </c>
      <c r="R2415">
        <v>446424</v>
      </c>
    </row>
    <row r="2416" spans="1:18" x14ac:dyDescent="0.25">
      <c r="A2416" s="170">
        <v>45561</v>
      </c>
      <c r="B2416" s="116">
        <v>1925.55</v>
      </c>
      <c r="C2416" s="116">
        <v>1887.15</v>
      </c>
      <c r="D2416" s="116">
        <v>1880</v>
      </c>
      <c r="E2416" s="116">
        <v>1915</v>
      </c>
      <c r="F2416" s="116">
        <v>1887.15</v>
      </c>
      <c r="G2416">
        <v>3150</v>
      </c>
      <c r="H2416" s="116"/>
      <c r="I2416" s="116"/>
      <c r="L2416" s="170">
        <v>45561</v>
      </c>
      <c r="M2416" s="116">
        <v>1888.55</v>
      </c>
      <c r="N2416" s="116">
        <v>1925</v>
      </c>
      <c r="O2416" s="116">
        <v>1880</v>
      </c>
      <c r="P2416" s="116">
        <v>1901.5</v>
      </c>
      <c r="Q2416" s="116">
        <v>1888.55</v>
      </c>
      <c r="R2416">
        <v>215601</v>
      </c>
    </row>
    <row r="2417" spans="1:18" x14ac:dyDescent="0.25">
      <c r="A2417" s="170">
        <v>45562</v>
      </c>
      <c r="B2417" s="116">
        <v>1898.55</v>
      </c>
      <c r="C2417" s="116">
        <v>1838.45</v>
      </c>
      <c r="D2417" s="116">
        <v>1826.3</v>
      </c>
      <c r="E2417" s="116">
        <v>1887</v>
      </c>
      <c r="F2417" s="116">
        <v>1838.45</v>
      </c>
      <c r="G2417">
        <v>2663</v>
      </c>
      <c r="H2417" s="116"/>
      <c r="I2417" s="116"/>
      <c r="L2417" s="170">
        <v>45562</v>
      </c>
      <c r="M2417" s="116">
        <v>1837.95</v>
      </c>
      <c r="N2417" s="116">
        <v>1905.95</v>
      </c>
      <c r="O2417" s="116">
        <v>1826.65</v>
      </c>
      <c r="P2417" s="116">
        <v>1890</v>
      </c>
      <c r="Q2417" s="116">
        <v>1837.95</v>
      </c>
      <c r="R2417">
        <v>214402</v>
      </c>
    </row>
    <row r="2418" spans="1:18" x14ac:dyDescent="0.25">
      <c r="A2418" s="170">
        <v>45565</v>
      </c>
      <c r="B2418" s="116">
        <v>1897</v>
      </c>
      <c r="C2418" s="116">
        <v>1875.45</v>
      </c>
      <c r="D2418" s="116">
        <v>1825.35</v>
      </c>
      <c r="E2418" s="116">
        <v>1825.35</v>
      </c>
      <c r="F2418" s="116">
        <v>1875.45</v>
      </c>
      <c r="G2418">
        <v>5489</v>
      </c>
      <c r="H2418" s="116"/>
      <c r="I2418" s="116"/>
      <c r="L2418" s="170">
        <v>45565</v>
      </c>
      <c r="M2418" s="116">
        <v>1875</v>
      </c>
      <c r="N2418" s="116">
        <v>1898.75</v>
      </c>
      <c r="O2418" s="116">
        <v>1849.4</v>
      </c>
      <c r="P2418" s="116">
        <v>1849.9</v>
      </c>
      <c r="Q2418" s="116">
        <v>1875</v>
      </c>
      <c r="R2418">
        <v>229244</v>
      </c>
    </row>
    <row r="2419" spans="1:18" x14ac:dyDescent="0.25">
      <c r="A2419" s="170">
        <v>45566</v>
      </c>
      <c r="B2419" s="116">
        <v>1895</v>
      </c>
      <c r="C2419" s="116">
        <v>1835.4</v>
      </c>
      <c r="D2419" s="116">
        <v>1831</v>
      </c>
      <c r="E2419" s="116">
        <v>1869</v>
      </c>
      <c r="F2419" s="116">
        <v>1835.4</v>
      </c>
      <c r="G2419">
        <v>9774</v>
      </c>
      <c r="H2419" s="116"/>
      <c r="I2419" s="116"/>
      <c r="L2419" s="170">
        <v>45566</v>
      </c>
      <c r="M2419" s="116">
        <v>1834.95</v>
      </c>
      <c r="N2419" s="116">
        <v>1894.9</v>
      </c>
      <c r="O2419" s="116">
        <v>1830</v>
      </c>
      <c r="P2419" s="116">
        <v>1878.5</v>
      </c>
      <c r="Q2419" s="116">
        <v>1834.95</v>
      </c>
      <c r="R2419">
        <v>140665</v>
      </c>
    </row>
    <row r="2420" spans="1:18" x14ac:dyDescent="0.25">
      <c r="A2420" s="170">
        <v>45568</v>
      </c>
      <c r="B2420" s="116">
        <v>1826.35</v>
      </c>
      <c r="C2420" s="116">
        <v>1743.5</v>
      </c>
      <c r="D2420" s="116">
        <v>1733.1</v>
      </c>
      <c r="E2420" s="116">
        <v>1825</v>
      </c>
      <c r="F2420" s="116">
        <v>1743.5</v>
      </c>
      <c r="G2420">
        <v>12024</v>
      </c>
      <c r="H2420" s="116"/>
      <c r="I2420" s="116"/>
      <c r="L2420" s="170">
        <v>45568</v>
      </c>
      <c r="M2420" s="116">
        <v>1741.7</v>
      </c>
      <c r="N2420" s="116">
        <v>1830.05</v>
      </c>
      <c r="O2420" s="116">
        <v>1732.05</v>
      </c>
      <c r="P2420" s="116">
        <v>1805</v>
      </c>
      <c r="Q2420" s="116">
        <v>1741.7</v>
      </c>
      <c r="R2420">
        <v>534365</v>
      </c>
    </row>
    <row r="2421" spans="1:18" x14ac:dyDescent="0.25">
      <c r="A2421" s="170">
        <v>45569</v>
      </c>
      <c r="B2421" s="116">
        <v>1760</v>
      </c>
      <c r="C2421" s="116">
        <v>1714.15</v>
      </c>
      <c r="D2421" s="116">
        <v>1670</v>
      </c>
      <c r="E2421" s="116">
        <v>1743.05</v>
      </c>
      <c r="F2421" s="116">
        <v>1714.15</v>
      </c>
      <c r="G2421">
        <v>6800</v>
      </c>
      <c r="H2421" s="116"/>
      <c r="I2421" s="116"/>
      <c r="L2421" s="170">
        <v>45569</v>
      </c>
      <c r="M2421" s="116">
        <v>1715.15</v>
      </c>
      <c r="N2421" s="116">
        <v>1764.2</v>
      </c>
      <c r="O2421" s="116">
        <v>1670</v>
      </c>
      <c r="P2421" s="116">
        <v>1755.25</v>
      </c>
      <c r="Q2421" s="116">
        <v>1715.15</v>
      </c>
      <c r="R2421">
        <v>630334</v>
      </c>
    </row>
    <row r="2422" spans="1:18" x14ac:dyDescent="0.25">
      <c r="A2422" s="170">
        <v>45572</v>
      </c>
      <c r="B2422" s="116">
        <v>1729</v>
      </c>
      <c r="C2422" s="116">
        <v>1701.35</v>
      </c>
      <c r="D2422" s="116">
        <v>1666.6</v>
      </c>
      <c r="E2422" s="116">
        <v>1714.2</v>
      </c>
      <c r="F2422" s="116">
        <v>1701.35</v>
      </c>
      <c r="G2422">
        <v>3312</v>
      </c>
      <c r="H2422" s="116"/>
      <c r="I2422" s="116"/>
      <c r="L2422" s="170">
        <v>45572</v>
      </c>
      <c r="M2422" s="116">
        <v>1702.2</v>
      </c>
      <c r="N2422" s="116">
        <v>1730.25</v>
      </c>
      <c r="O2422" s="116">
        <v>1666</v>
      </c>
      <c r="P2422" s="116">
        <v>1719.3</v>
      </c>
      <c r="Q2422" s="116">
        <v>1702.2</v>
      </c>
      <c r="R2422">
        <v>459960</v>
      </c>
    </row>
    <row r="2423" spans="1:18" x14ac:dyDescent="0.25">
      <c r="A2423" s="170">
        <v>45573</v>
      </c>
      <c r="B2423" s="116">
        <v>1764.8</v>
      </c>
      <c r="C2423" s="116">
        <v>1755.1</v>
      </c>
      <c r="D2423" s="116">
        <v>1685</v>
      </c>
      <c r="E2423" s="116">
        <v>1690</v>
      </c>
      <c r="F2423" s="116">
        <v>1755.1</v>
      </c>
      <c r="G2423">
        <v>5662</v>
      </c>
      <c r="H2423" s="116"/>
      <c r="I2423" s="116"/>
      <c r="L2423" s="170">
        <v>45573</v>
      </c>
      <c r="M2423" s="116">
        <v>1756</v>
      </c>
      <c r="N2423" s="116">
        <v>1765.85</v>
      </c>
      <c r="O2423" s="116">
        <v>1682.1</v>
      </c>
      <c r="P2423" s="116">
        <v>1699.9</v>
      </c>
      <c r="Q2423" s="116">
        <v>1756</v>
      </c>
      <c r="R2423">
        <v>218636</v>
      </c>
    </row>
    <row r="2424" spans="1:18" x14ac:dyDescent="0.25">
      <c r="A2424" s="170">
        <v>45574</v>
      </c>
      <c r="B2424" s="116">
        <v>1824.1</v>
      </c>
      <c r="C2424" s="116">
        <v>1790.9</v>
      </c>
      <c r="D2424" s="116">
        <v>1746.75</v>
      </c>
      <c r="E2424" s="116">
        <v>1755.15</v>
      </c>
      <c r="F2424" s="116">
        <v>1790.9</v>
      </c>
      <c r="G2424">
        <v>3215</v>
      </c>
      <c r="H2424" s="116"/>
      <c r="I2424" s="116"/>
      <c r="L2424" s="170">
        <v>45574</v>
      </c>
      <c r="M2424" s="116">
        <v>1789.7</v>
      </c>
      <c r="N2424" s="116">
        <v>1825</v>
      </c>
      <c r="O2424" s="116">
        <v>1742.85</v>
      </c>
      <c r="P2424" s="116">
        <v>1763.25</v>
      </c>
      <c r="Q2424" s="116">
        <v>1789.7</v>
      </c>
      <c r="R2424">
        <v>478231</v>
      </c>
    </row>
    <row r="2425" spans="1:18" x14ac:dyDescent="0.25">
      <c r="A2425" s="170">
        <v>45575</v>
      </c>
      <c r="B2425" s="116">
        <v>1844</v>
      </c>
      <c r="C2425" s="116">
        <v>1815.55</v>
      </c>
      <c r="D2425" s="116">
        <v>1790</v>
      </c>
      <c r="E2425" s="116">
        <v>1790</v>
      </c>
      <c r="F2425" s="116">
        <v>1815.55</v>
      </c>
      <c r="G2425">
        <v>6119</v>
      </c>
      <c r="H2425" s="116"/>
      <c r="I2425" s="116"/>
      <c r="L2425" s="170">
        <v>45575</v>
      </c>
      <c r="M2425" s="116">
        <v>1812.55</v>
      </c>
      <c r="N2425" s="116">
        <v>1845</v>
      </c>
      <c r="O2425" s="116">
        <v>1789.7</v>
      </c>
      <c r="P2425" s="116">
        <v>1794.8</v>
      </c>
      <c r="Q2425" s="116">
        <v>1812.55</v>
      </c>
      <c r="R2425">
        <v>504343</v>
      </c>
    </row>
    <row r="2426" spans="1:18" x14ac:dyDescent="0.25">
      <c r="A2426" s="170">
        <v>45576</v>
      </c>
      <c r="B2426" s="116">
        <v>1831.05</v>
      </c>
      <c r="C2426" s="116">
        <v>1809.45</v>
      </c>
      <c r="D2426" s="116">
        <v>1794.45</v>
      </c>
      <c r="E2426" s="116">
        <v>1801.7</v>
      </c>
      <c r="F2426" s="116">
        <v>1809.45</v>
      </c>
      <c r="G2426">
        <v>9774</v>
      </c>
      <c r="H2426" s="116"/>
      <c r="I2426" s="116"/>
      <c r="L2426" s="170">
        <v>45576</v>
      </c>
      <c r="M2426" s="116">
        <v>1806.3</v>
      </c>
      <c r="N2426" s="116">
        <v>1835.35</v>
      </c>
      <c r="O2426" s="116">
        <v>1798</v>
      </c>
      <c r="P2426" s="116">
        <v>1822</v>
      </c>
      <c r="Q2426" s="116">
        <v>1806.3</v>
      </c>
      <c r="R2426">
        <v>238070</v>
      </c>
    </row>
    <row r="2427" spans="1:18" x14ac:dyDescent="0.25">
      <c r="A2427" s="170">
        <v>45579</v>
      </c>
      <c r="B2427" s="116">
        <v>1844</v>
      </c>
      <c r="C2427" s="116">
        <v>1831.8</v>
      </c>
      <c r="D2427" s="116">
        <v>1798.45</v>
      </c>
      <c r="E2427" s="116">
        <v>1824</v>
      </c>
      <c r="F2427" s="116">
        <v>1831.8</v>
      </c>
      <c r="G2427">
        <v>5050</v>
      </c>
      <c r="H2427" s="116"/>
      <c r="I2427" s="116"/>
      <c r="L2427" s="170">
        <v>45579</v>
      </c>
      <c r="M2427" s="116">
        <v>1830.95</v>
      </c>
      <c r="N2427" s="116">
        <v>1844.85</v>
      </c>
      <c r="O2427" s="116">
        <v>1798</v>
      </c>
      <c r="P2427" s="116">
        <v>1815.35</v>
      </c>
      <c r="Q2427" s="116">
        <v>1830.95</v>
      </c>
      <c r="R2427">
        <v>160777</v>
      </c>
    </row>
    <row r="2428" spans="1:18" x14ac:dyDescent="0.25">
      <c r="A2428" s="170">
        <v>45580</v>
      </c>
      <c r="B2428" s="116">
        <v>1902.3</v>
      </c>
      <c r="C2428" s="116">
        <v>1884.1</v>
      </c>
      <c r="D2428" s="116">
        <v>1844.4</v>
      </c>
      <c r="E2428" s="116">
        <v>1845</v>
      </c>
      <c r="F2428" s="116">
        <v>1884.1</v>
      </c>
      <c r="G2428">
        <v>11904</v>
      </c>
      <c r="H2428" s="116"/>
      <c r="I2428" s="116"/>
      <c r="L2428" s="170">
        <v>45580</v>
      </c>
      <c r="M2428" s="116">
        <v>1885.6</v>
      </c>
      <c r="N2428" s="116">
        <v>1901.5</v>
      </c>
      <c r="O2428" s="116">
        <v>1831.1</v>
      </c>
      <c r="P2428" s="116">
        <v>1837.7</v>
      </c>
      <c r="Q2428" s="116">
        <v>1885.6</v>
      </c>
      <c r="R2428">
        <v>306034</v>
      </c>
    </row>
    <row r="2429" spans="1:18" x14ac:dyDescent="0.25">
      <c r="A2429" s="170">
        <v>45581</v>
      </c>
      <c r="B2429" s="116">
        <v>1925</v>
      </c>
      <c r="C2429" s="116">
        <v>1899.65</v>
      </c>
      <c r="D2429" s="116">
        <v>1854.2</v>
      </c>
      <c r="E2429" s="116">
        <v>1899.95</v>
      </c>
      <c r="F2429" s="116">
        <v>1899.65</v>
      </c>
      <c r="G2429">
        <v>3045</v>
      </c>
      <c r="H2429" s="116"/>
      <c r="I2429" s="116"/>
      <c r="L2429" s="170">
        <v>45581</v>
      </c>
      <c r="M2429" s="116">
        <v>1905.6</v>
      </c>
      <c r="N2429" s="116">
        <v>1924.85</v>
      </c>
      <c r="O2429" s="116">
        <v>1853.3</v>
      </c>
      <c r="P2429" s="116">
        <v>1893.85</v>
      </c>
      <c r="Q2429" s="116">
        <v>1905.6</v>
      </c>
      <c r="R2429">
        <v>188290</v>
      </c>
    </row>
    <row r="2430" spans="1:18" x14ac:dyDescent="0.25">
      <c r="A2430" s="170">
        <v>45582</v>
      </c>
      <c r="B2430" s="116">
        <v>1932</v>
      </c>
      <c r="C2430" s="116">
        <v>1883.4</v>
      </c>
      <c r="D2430" s="116">
        <v>1880.1</v>
      </c>
      <c r="E2430" s="116">
        <v>1890</v>
      </c>
      <c r="F2430" s="116">
        <v>1883.4</v>
      </c>
      <c r="G2430">
        <v>2331</v>
      </c>
      <c r="H2430" s="116"/>
      <c r="I2430" s="116"/>
      <c r="L2430" s="170">
        <v>45582</v>
      </c>
      <c r="M2430" s="116">
        <v>1884.45</v>
      </c>
      <c r="N2430" s="116">
        <v>1932.15</v>
      </c>
      <c r="O2430" s="116">
        <v>1873</v>
      </c>
      <c r="P2430" s="116">
        <v>1921.95</v>
      </c>
      <c r="Q2430" s="116">
        <v>1884.45</v>
      </c>
      <c r="R2430">
        <v>70293</v>
      </c>
    </row>
    <row r="2431" spans="1:18" x14ac:dyDescent="0.25">
      <c r="A2431" s="170">
        <v>45583</v>
      </c>
      <c r="B2431" s="116">
        <v>1905.95</v>
      </c>
      <c r="C2431" s="116">
        <v>1896.75</v>
      </c>
      <c r="D2431" s="116">
        <v>1860.05</v>
      </c>
      <c r="E2431" s="116">
        <v>1905</v>
      </c>
      <c r="F2431" s="116">
        <v>1896.75</v>
      </c>
      <c r="G2431">
        <v>1282</v>
      </c>
      <c r="H2431" s="116"/>
      <c r="I2431" s="116"/>
      <c r="L2431" s="170">
        <v>45583</v>
      </c>
      <c r="M2431" s="116">
        <v>1891.35</v>
      </c>
      <c r="N2431" s="116">
        <v>1905</v>
      </c>
      <c r="O2431" s="116">
        <v>1858.95</v>
      </c>
      <c r="P2431" s="116">
        <v>1884.45</v>
      </c>
      <c r="Q2431" s="116">
        <v>1891.35</v>
      </c>
      <c r="R2431">
        <v>150736</v>
      </c>
    </row>
    <row r="2432" spans="1:18" x14ac:dyDescent="0.25">
      <c r="A2432" s="170">
        <v>45586</v>
      </c>
      <c r="B2432" s="116">
        <v>1911</v>
      </c>
      <c r="C2432" s="116">
        <v>1905.15</v>
      </c>
      <c r="D2432" s="116">
        <v>1867.05</v>
      </c>
      <c r="E2432" s="116">
        <v>1867.05</v>
      </c>
      <c r="F2432" s="116">
        <v>1905.15</v>
      </c>
      <c r="G2432">
        <v>4048</v>
      </c>
      <c r="H2432" s="116"/>
      <c r="I2432" s="116"/>
      <c r="L2432" s="170">
        <v>45586</v>
      </c>
      <c r="M2432" s="116">
        <v>1906.05</v>
      </c>
      <c r="N2432" s="116">
        <v>1912.75</v>
      </c>
      <c r="O2432" s="116">
        <v>1881.1</v>
      </c>
      <c r="P2432" s="116">
        <v>1902</v>
      </c>
      <c r="Q2432" s="116">
        <v>1906.05</v>
      </c>
      <c r="R2432">
        <v>122152</v>
      </c>
    </row>
    <row r="2433" spans="1:18" x14ac:dyDescent="0.25">
      <c r="A2433" s="170">
        <v>45587</v>
      </c>
      <c r="B2433" s="116">
        <v>1926.9</v>
      </c>
      <c r="C2433" s="116">
        <v>1898.45</v>
      </c>
      <c r="D2433" s="116">
        <v>1872.85</v>
      </c>
      <c r="E2433" s="116">
        <v>1926.9</v>
      </c>
      <c r="F2433" s="116">
        <v>1898.45</v>
      </c>
      <c r="G2433">
        <v>2947</v>
      </c>
      <c r="H2433" s="116"/>
      <c r="I2433" s="116"/>
      <c r="L2433" s="170">
        <v>45587</v>
      </c>
      <c r="M2433" s="116">
        <v>1900.45</v>
      </c>
      <c r="N2433" s="116">
        <v>1926.95</v>
      </c>
      <c r="O2433" s="116">
        <v>1870.05</v>
      </c>
      <c r="P2433" s="116">
        <v>1911</v>
      </c>
      <c r="Q2433" s="116">
        <v>1900.45</v>
      </c>
      <c r="R2433">
        <v>139100</v>
      </c>
    </row>
    <row r="2434" spans="1:18" x14ac:dyDescent="0.25">
      <c r="A2434" s="170">
        <v>45588</v>
      </c>
      <c r="B2434" s="116">
        <v>1939.4</v>
      </c>
      <c r="C2434" s="116">
        <v>1917.05</v>
      </c>
      <c r="D2434" s="116">
        <v>1898.25</v>
      </c>
      <c r="E2434" s="116">
        <v>1903.25</v>
      </c>
      <c r="F2434" s="116">
        <v>1917.05</v>
      </c>
      <c r="G2434">
        <v>2417</v>
      </c>
      <c r="H2434" s="116"/>
      <c r="I2434" s="116"/>
      <c r="L2434" s="170">
        <v>45588</v>
      </c>
      <c r="M2434" s="116">
        <v>1918.55</v>
      </c>
      <c r="N2434" s="116">
        <v>1930</v>
      </c>
      <c r="O2434" s="116">
        <v>1900.45</v>
      </c>
      <c r="P2434" s="116">
        <v>1914.9</v>
      </c>
      <c r="Q2434" s="116">
        <v>1918.55</v>
      </c>
      <c r="R2434">
        <v>327742</v>
      </c>
    </row>
    <row r="2435" spans="1:18" x14ac:dyDescent="0.25">
      <c r="A2435" s="170">
        <v>45589</v>
      </c>
      <c r="B2435" s="116">
        <v>1934</v>
      </c>
      <c r="C2435" s="116">
        <v>1895.75</v>
      </c>
      <c r="D2435" s="116">
        <v>1885</v>
      </c>
      <c r="E2435" s="116">
        <v>1924.2</v>
      </c>
      <c r="F2435" s="116">
        <v>1895.75</v>
      </c>
      <c r="G2435">
        <v>1121</v>
      </c>
      <c r="H2435" s="116"/>
      <c r="I2435" s="116"/>
      <c r="L2435" s="170">
        <v>45589</v>
      </c>
      <c r="M2435" s="116">
        <v>1897.2</v>
      </c>
      <c r="N2435" s="116">
        <v>1935</v>
      </c>
      <c r="O2435" s="116">
        <v>1883.2</v>
      </c>
      <c r="P2435" s="116">
        <v>1920.55</v>
      </c>
      <c r="Q2435" s="116">
        <v>1897.2</v>
      </c>
      <c r="R2435">
        <v>95077</v>
      </c>
    </row>
    <row r="2436" spans="1:18" x14ac:dyDescent="0.25">
      <c r="A2436" s="170">
        <v>45590</v>
      </c>
      <c r="B2436" s="116">
        <v>1917.05</v>
      </c>
      <c r="C2436" s="116">
        <v>1892.3</v>
      </c>
      <c r="D2436" s="116">
        <v>1851.6</v>
      </c>
      <c r="E2436" s="116">
        <v>1872.6</v>
      </c>
      <c r="F2436" s="116">
        <v>1892.3</v>
      </c>
      <c r="G2436">
        <v>2296</v>
      </c>
      <c r="H2436" s="116"/>
      <c r="I2436" s="116"/>
      <c r="L2436" s="170">
        <v>45590</v>
      </c>
      <c r="M2436" s="116">
        <v>1891.9</v>
      </c>
      <c r="N2436" s="116">
        <v>1917.75</v>
      </c>
      <c r="O2436" s="116">
        <v>1852</v>
      </c>
      <c r="P2436" s="116">
        <v>1898</v>
      </c>
      <c r="Q2436" s="116">
        <v>1891.9</v>
      </c>
      <c r="R2436">
        <v>138312</v>
      </c>
    </row>
    <row r="2437" spans="1:18" x14ac:dyDescent="0.25">
      <c r="A2437" s="170">
        <v>45593</v>
      </c>
      <c r="B2437" s="116">
        <v>1918.75</v>
      </c>
      <c r="C2437" s="116">
        <v>1872.3</v>
      </c>
      <c r="D2437" s="116">
        <v>1860.05</v>
      </c>
      <c r="E2437" s="116">
        <v>1860.05</v>
      </c>
      <c r="F2437" s="116">
        <v>1872.3</v>
      </c>
      <c r="G2437">
        <v>3507</v>
      </c>
      <c r="H2437" s="116"/>
      <c r="I2437" s="116"/>
      <c r="L2437" s="170">
        <v>45593</v>
      </c>
      <c r="M2437" s="116">
        <v>1869.5</v>
      </c>
      <c r="N2437" s="116">
        <v>1920</v>
      </c>
      <c r="O2437" s="116">
        <v>1858.5</v>
      </c>
      <c r="P2437" s="116">
        <v>1866</v>
      </c>
      <c r="Q2437" s="116">
        <v>1869.5</v>
      </c>
      <c r="R2437">
        <v>56330</v>
      </c>
    </row>
    <row r="2438" spans="1:18" x14ac:dyDescent="0.25">
      <c r="A2438" s="170">
        <v>45594</v>
      </c>
      <c r="B2438" s="116">
        <v>1882.05</v>
      </c>
      <c r="C2438" s="116">
        <v>1853.95</v>
      </c>
      <c r="D2438" s="116">
        <v>1836.3</v>
      </c>
      <c r="E2438" s="116">
        <v>1861.1</v>
      </c>
      <c r="F2438" s="116">
        <v>1853.95</v>
      </c>
      <c r="G2438">
        <v>1931</v>
      </c>
      <c r="H2438" s="116"/>
      <c r="I2438" s="116"/>
      <c r="L2438" s="170">
        <v>45594</v>
      </c>
      <c r="M2438" s="116">
        <v>1854.05</v>
      </c>
      <c r="N2438" s="116">
        <v>1886.45</v>
      </c>
      <c r="O2438" s="116">
        <v>1835.8</v>
      </c>
      <c r="P2438" s="116">
        <v>1878.8</v>
      </c>
      <c r="Q2438" s="116">
        <v>1854.05</v>
      </c>
      <c r="R2438">
        <v>71678</v>
      </c>
    </row>
    <row r="2439" spans="1:18" x14ac:dyDescent="0.25">
      <c r="A2439" s="170">
        <v>45595</v>
      </c>
      <c r="B2439" s="116">
        <v>1904.95</v>
      </c>
      <c r="C2439" s="116">
        <v>1878.8</v>
      </c>
      <c r="D2439" s="116">
        <v>1858.15</v>
      </c>
      <c r="E2439" s="116">
        <v>1860</v>
      </c>
      <c r="F2439" s="116">
        <v>1878.8</v>
      </c>
      <c r="G2439">
        <v>2688</v>
      </c>
      <c r="H2439" s="116"/>
      <c r="I2439" s="116"/>
      <c r="L2439" s="170">
        <v>45595</v>
      </c>
      <c r="M2439" s="116">
        <v>1882.55</v>
      </c>
      <c r="N2439" s="116">
        <v>1910</v>
      </c>
      <c r="O2439" s="116">
        <v>1850.55</v>
      </c>
      <c r="P2439" s="116">
        <v>1850.55</v>
      </c>
      <c r="Q2439" s="116">
        <v>1882.55</v>
      </c>
      <c r="R2439">
        <v>147735</v>
      </c>
    </row>
    <row r="2440" spans="1:18" x14ac:dyDescent="0.25">
      <c r="A2440" s="170">
        <v>45596</v>
      </c>
      <c r="B2440" s="116">
        <v>1976</v>
      </c>
      <c r="C2440" s="116">
        <v>1956.75</v>
      </c>
      <c r="D2440" s="116">
        <v>1882.35</v>
      </c>
      <c r="E2440" s="116">
        <v>1882.55</v>
      </c>
      <c r="F2440" s="116">
        <v>1956.75</v>
      </c>
      <c r="G2440">
        <v>3495</v>
      </c>
      <c r="H2440" s="116"/>
      <c r="I2440" s="116"/>
      <c r="L2440" s="170">
        <v>45596</v>
      </c>
      <c r="M2440" s="116">
        <v>1961.05</v>
      </c>
      <c r="N2440" s="116">
        <v>1979</v>
      </c>
      <c r="O2440" s="116">
        <v>1865.6</v>
      </c>
      <c r="P2440" s="116">
        <v>1865.6</v>
      </c>
      <c r="Q2440" s="116">
        <v>1961.05</v>
      </c>
      <c r="R2440">
        <v>269031</v>
      </c>
    </row>
    <row r="2441" spans="1:18" x14ac:dyDescent="0.25">
      <c r="A2441" s="170">
        <v>45597</v>
      </c>
      <c r="B2441" s="116">
        <v>1998</v>
      </c>
      <c r="C2441" s="116">
        <v>1961.8</v>
      </c>
      <c r="D2441" s="116">
        <v>1936.55</v>
      </c>
      <c r="E2441" s="116">
        <v>1998</v>
      </c>
      <c r="F2441" s="116">
        <v>1961.8</v>
      </c>
      <c r="G2441">
        <v>607</v>
      </c>
      <c r="H2441" s="116"/>
      <c r="I2441" s="116"/>
      <c r="L2441" s="170">
        <v>45597</v>
      </c>
      <c r="M2441" s="116">
        <v>1960.3</v>
      </c>
      <c r="N2441" s="116">
        <v>1984</v>
      </c>
      <c r="O2441" s="116">
        <v>1938</v>
      </c>
      <c r="P2441" s="116">
        <v>1961.05</v>
      </c>
      <c r="Q2441" s="116">
        <v>1960.3</v>
      </c>
      <c r="R2441">
        <v>24802</v>
      </c>
    </row>
    <row r="2442" spans="1:18" x14ac:dyDescent="0.25">
      <c r="A2442" s="170">
        <v>45600</v>
      </c>
      <c r="B2442" s="116">
        <v>1954.95</v>
      </c>
      <c r="C2442" s="116">
        <v>1851.45</v>
      </c>
      <c r="D2442" s="116">
        <v>1846</v>
      </c>
      <c r="E2442" s="116">
        <v>1954.95</v>
      </c>
      <c r="F2442" s="116">
        <v>1851.45</v>
      </c>
      <c r="G2442">
        <v>7191</v>
      </c>
      <c r="H2442" s="116"/>
      <c r="I2442" s="116"/>
      <c r="L2442" s="170">
        <v>45600</v>
      </c>
      <c r="M2442" s="116">
        <v>1850.85</v>
      </c>
      <c r="N2442" s="116">
        <v>1945</v>
      </c>
      <c r="O2442" s="116">
        <v>1844.7</v>
      </c>
      <c r="P2442" s="116">
        <v>1945</v>
      </c>
      <c r="Q2442" s="116">
        <v>1850.85</v>
      </c>
      <c r="R2442">
        <v>138958</v>
      </c>
    </row>
    <row r="2443" spans="1:18" x14ac:dyDescent="0.25">
      <c r="A2443" s="170">
        <v>45601</v>
      </c>
      <c r="B2443" s="116">
        <v>1889</v>
      </c>
      <c r="C2443" s="116">
        <v>1852</v>
      </c>
      <c r="D2443" s="116">
        <v>1845</v>
      </c>
      <c r="E2443" s="116">
        <v>1850.85</v>
      </c>
      <c r="F2443" s="116">
        <v>1852</v>
      </c>
      <c r="G2443">
        <v>2770</v>
      </c>
      <c r="H2443" s="116"/>
      <c r="I2443" s="116"/>
      <c r="L2443" s="170">
        <v>45601</v>
      </c>
      <c r="M2443" s="116">
        <v>1852.9</v>
      </c>
      <c r="N2443" s="116">
        <v>1893.6</v>
      </c>
      <c r="O2443" s="116">
        <v>1840.4</v>
      </c>
      <c r="P2443" s="116">
        <v>1849</v>
      </c>
      <c r="Q2443" s="116">
        <v>1852.9</v>
      </c>
      <c r="R2443">
        <v>84003</v>
      </c>
    </row>
    <row r="2444" spans="1:18" x14ac:dyDescent="0.25">
      <c r="A2444" s="170">
        <v>45602</v>
      </c>
      <c r="B2444" s="116">
        <v>1890</v>
      </c>
      <c r="C2444" s="116">
        <v>1880.6</v>
      </c>
      <c r="D2444" s="116">
        <v>1832</v>
      </c>
      <c r="E2444" s="116">
        <v>1856</v>
      </c>
      <c r="F2444" s="116">
        <v>1880.6</v>
      </c>
      <c r="G2444">
        <v>3384</v>
      </c>
      <c r="H2444" s="116"/>
      <c r="I2444" s="116"/>
      <c r="L2444" s="170">
        <v>45602</v>
      </c>
      <c r="M2444" s="116">
        <v>1880.7</v>
      </c>
      <c r="N2444" s="116">
        <v>1890</v>
      </c>
      <c r="O2444" s="116">
        <v>1830</v>
      </c>
      <c r="P2444" s="116">
        <v>1845.5</v>
      </c>
      <c r="Q2444" s="116">
        <v>1880.7</v>
      </c>
      <c r="R2444">
        <v>94949</v>
      </c>
    </row>
    <row r="2445" spans="1:18" x14ac:dyDescent="0.25">
      <c r="A2445" s="170">
        <v>45603</v>
      </c>
      <c r="B2445" s="116">
        <v>1907.3</v>
      </c>
      <c r="C2445" s="116">
        <v>1857.7</v>
      </c>
      <c r="D2445" s="116">
        <v>1841</v>
      </c>
      <c r="E2445" s="116">
        <v>1899.95</v>
      </c>
      <c r="F2445" s="116">
        <v>1857.7</v>
      </c>
      <c r="G2445">
        <v>3114</v>
      </c>
      <c r="H2445" s="116"/>
      <c r="I2445" s="116"/>
      <c r="L2445" s="170">
        <v>45603</v>
      </c>
      <c r="M2445" s="116">
        <v>1859.75</v>
      </c>
      <c r="N2445" s="116">
        <v>1909</v>
      </c>
      <c r="O2445" s="116">
        <v>1839.45</v>
      </c>
      <c r="P2445" s="116">
        <v>1860.05</v>
      </c>
      <c r="Q2445" s="116">
        <v>1859.75</v>
      </c>
      <c r="R2445">
        <v>170891</v>
      </c>
    </row>
    <row r="2446" spans="1:18" x14ac:dyDescent="0.25">
      <c r="A2446" s="170">
        <v>45604</v>
      </c>
      <c r="B2446" s="116">
        <v>1890</v>
      </c>
      <c r="C2446" s="116">
        <v>1841.15</v>
      </c>
      <c r="D2446" s="116">
        <v>1829.75</v>
      </c>
      <c r="E2446" s="116">
        <v>1890</v>
      </c>
      <c r="F2446" s="116">
        <v>1841.15</v>
      </c>
      <c r="G2446">
        <v>1961</v>
      </c>
      <c r="H2446" s="116"/>
      <c r="I2446" s="116"/>
      <c r="L2446" s="170">
        <v>45604</v>
      </c>
      <c r="M2446" s="116">
        <v>1840.7</v>
      </c>
      <c r="N2446" s="116">
        <v>1870.2</v>
      </c>
      <c r="O2446" s="116">
        <v>1830</v>
      </c>
      <c r="P2446" s="116">
        <v>1862.75</v>
      </c>
      <c r="Q2446" s="116">
        <v>1840.7</v>
      </c>
      <c r="R2446">
        <v>122886</v>
      </c>
    </row>
    <row r="2447" spans="1:18" x14ac:dyDescent="0.25">
      <c r="A2447" s="170">
        <v>45607</v>
      </c>
      <c r="B2447" s="116">
        <v>1878</v>
      </c>
      <c r="C2447" s="116">
        <v>1786.35</v>
      </c>
      <c r="D2447" s="116">
        <v>1755.65</v>
      </c>
      <c r="E2447" s="116">
        <v>1878</v>
      </c>
      <c r="F2447" s="116">
        <v>1786.35</v>
      </c>
      <c r="G2447">
        <v>6813</v>
      </c>
      <c r="H2447" s="116"/>
      <c r="I2447" s="116"/>
      <c r="L2447" s="170">
        <v>45607</v>
      </c>
      <c r="M2447" s="116">
        <v>1779.85</v>
      </c>
      <c r="N2447" s="116">
        <v>1846.05</v>
      </c>
      <c r="O2447" s="116">
        <v>1755.9</v>
      </c>
      <c r="P2447" s="116">
        <v>1845</v>
      </c>
      <c r="Q2447" s="116">
        <v>1779.85</v>
      </c>
      <c r="R2447">
        <v>297290</v>
      </c>
    </row>
    <row r="2448" spans="1:18" x14ac:dyDescent="0.25">
      <c r="A2448" s="170">
        <v>45608</v>
      </c>
      <c r="B2448" s="116">
        <v>1798.45</v>
      </c>
      <c r="C2448" s="116">
        <v>1780.25</v>
      </c>
      <c r="D2448" s="116">
        <v>1764.45</v>
      </c>
      <c r="E2448" s="116">
        <v>1770</v>
      </c>
      <c r="F2448" s="116">
        <v>1780.25</v>
      </c>
      <c r="G2448">
        <v>1519</v>
      </c>
      <c r="H2448" s="116"/>
      <c r="I2448" s="116"/>
      <c r="L2448" s="170">
        <v>45608</v>
      </c>
      <c r="M2448" s="116">
        <v>1779.55</v>
      </c>
      <c r="N2448" s="116">
        <v>1799</v>
      </c>
      <c r="O2448" s="116">
        <v>1762.1</v>
      </c>
      <c r="P2448" s="116">
        <v>1775</v>
      </c>
      <c r="Q2448" s="116">
        <v>1779.55</v>
      </c>
      <c r="R2448">
        <v>74860</v>
      </c>
    </row>
    <row r="2449" spans="1:18" x14ac:dyDescent="0.25">
      <c r="A2449" s="170">
        <v>45609</v>
      </c>
      <c r="B2449" s="116">
        <v>1780</v>
      </c>
      <c r="C2449" s="116">
        <v>1713.85</v>
      </c>
      <c r="D2449" s="116">
        <v>1708.15</v>
      </c>
      <c r="E2449" s="116">
        <v>1780</v>
      </c>
      <c r="F2449" s="116">
        <v>1713.85</v>
      </c>
      <c r="G2449">
        <v>3602</v>
      </c>
      <c r="H2449" s="116"/>
      <c r="I2449" s="116"/>
      <c r="L2449" s="170">
        <v>45609</v>
      </c>
      <c r="M2449" s="116">
        <v>1715.45</v>
      </c>
      <c r="N2449" s="116">
        <v>1775</v>
      </c>
      <c r="O2449" s="116">
        <v>1706.85</v>
      </c>
      <c r="P2449" s="116">
        <v>1760</v>
      </c>
      <c r="Q2449" s="116">
        <v>1715.45</v>
      </c>
      <c r="R2449">
        <v>141857</v>
      </c>
    </row>
    <row r="2450" spans="1:18" x14ac:dyDescent="0.25">
      <c r="A2450" s="170">
        <v>45610</v>
      </c>
      <c r="B2450" s="116">
        <v>1710</v>
      </c>
      <c r="C2450" s="116">
        <v>1689.3</v>
      </c>
      <c r="D2450" s="116">
        <v>1661</v>
      </c>
      <c r="E2450" s="116">
        <v>1704</v>
      </c>
      <c r="F2450" s="116">
        <v>1689.3</v>
      </c>
      <c r="G2450">
        <v>3441</v>
      </c>
      <c r="H2450" s="116"/>
      <c r="I2450" s="116"/>
      <c r="L2450" s="170">
        <v>45610</v>
      </c>
      <c r="M2450" s="116">
        <v>1681.95</v>
      </c>
      <c r="N2450" s="116">
        <v>1718</v>
      </c>
      <c r="O2450" s="116">
        <v>1660</v>
      </c>
      <c r="P2450" s="116">
        <v>1700.05</v>
      </c>
      <c r="Q2450" s="116">
        <v>1681.95</v>
      </c>
      <c r="R2450">
        <v>135429</v>
      </c>
    </row>
    <row r="2451" spans="1:18" x14ac:dyDescent="0.25">
      <c r="A2451" s="170">
        <v>45614</v>
      </c>
      <c r="B2451" s="116">
        <v>1696.7</v>
      </c>
      <c r="C2451" s="116">
        <v>1679.15</v>
      </c>
      <c r="D2451" s="116">
        <v>1664</v>
      </c>
      <c r="E2451" s="116">
        <v>1695</v>
      </c>
      <c r="F2451" s="116">
        <v>1679.15</v>
      </c>
      <c r="G2451">
        <v>12230</v>
      </c>
      <c r="H2451" s="116"/>
      <c r="I2451" s="116"/>
      <c r="L2451" s="170">
        <v>45614</v>
      </c>
      <c r="M2451" s="116">
        <v>1679.4</v>
      </c>
      <c r="N2451" s="116">
        <v>1696.6</v>
      </c>
      <c r="O2451" s="116">
        <v>1666</v>
      </c>
      <c r="P2451" s="116">
        <v>1687.4</v>
      </c>
      <c r="Q2451" s="116">
        <v>1679.4</v>
      </c>
      <c r="R2451">
        <v>136382</v>
      </c>
    </row>
    <row r="2452" spans="1:18" x14ac:dyDescent="0.25">
      <c r="A2452" s="170">
        <v>45615</v>
      </c>
      <c r="B2452" s="116">
        <v>1698.25</v>
      </c>
      <c r="C2452" s="116">
        <v>1665.9</v>
      </c>
      <c r="D2452" s="116">
        <v>1660</v>
      </c>
      <c r="E2452" s="116">
        <v>1685</v>
      </c>
      <c r="F2452" s="116">
        <v>1665.9</v>
      </c>
      <c r="G2452">
        <v>1792</v>
      </c>
      <c r="H2452" s="116"/>
      <c r="I2452" s="116"/>
      <c r="L2452" s="170">
        <v>45615</v>
      </c>
      <c r="M2452" s="116">
        <v>1667.05</v>
      </c>
      <c r="N2452" s="116">
        <v>1705</v>
      </c>
      <c r="O2452" s="116">
        <v>1660</v>
      </c>
      <c r="P2452" s="116">
        <v>1681.05</v>
      </c>
      <c r="Q2452" s="116">
        <v>1667.05</v>
      </c>
      <c r="R2452">
        <v>107426</v>
      </c>
    </row>
    <row r="2453" spans="1:18" x14ac:dyDescent="0.25">
      <c r="A2453" s="170">
        <v>45617</v>
      </c>
      <c r="B2453" s="116">
        <v>1720</v>
      </c>
      <c r="C2453" s="116">
        <v>1715</v>
      </c>
      <c r="D2453" s="116">
        <v>1655.1</v>
      </c>
      <c r="E2453" s="116">
        <v>1667.1</v>
      </c>
      <c r="F2453" s="116">
        <v>1715</v>
      </c>
      <c r="G2453">
        <v>2604</v>
      </c>
      <c r="H2453" s="116"/>
      <c r="I2453" s="116"/>
      <c r="L2453" s="170">
        <v>45617</v>
      </c>
      <c r="M2453" s="116">
        <v>1702.05</v>
      </c>
      <c r="N2453" s="116">
        <v>1722</v>
      </c>
      <c r="O2453" s="116">
        <v>1655.25</v>
      </c>
      <c r="P2453" s="116">
        <v>1677.6</v>
      </c>
      <c r="Q2453" s="116">
        <v>1702.05</v>
      </c>
      <c r="R2453">
        <v>103716</v>
      </c>
    </row>
    <row r="2454" spans="1:18" x14ac:dyDescent="0.25">
      <c r="A2454" s="170">
        <v>45618</v>
      </c>
      <c r="B2454" s="116">
        <v>1751.15</v>
      </c>
      <c r="C2454" s="116">
        <v>1734.2</v>
      </c>
      <c r="D2454" s="116">
        <v>1692.4</v>
      </c>
      <c r="E2454" s="116">
        <v>1711</v>
      </c>
      <c r="F2454" s="116">
        <v>1734.2</v>
      </c>
      <c r="G2454">
        <v>6432</v>
      </c>
      <c r="H2454" s="116"/>
      <c r="I2454" s="116"/>
      <c r="L2454" s="170">
        <v>45618</v>
      </c>
      <c r="M2454" s="116">
        <v>1743.4</v>
      </c>
      <c r="N2454" s="116">
        <v>1753.95</v>
      </c>
      <c r="O2454" s="116">
        <v>1694.05</v>
      </c>
      <c r="P2454" s="116">
        <v>1702.05</v>
      </c>
      <c r="Q2454" s="116">
        <v>1743.4</v>
      </c>
      <c r="R2454">
        <v>158158</v>
      </c>
    </row>
    <row r="2455" spans="1:18" x14ac:dyDescent="0.25">
      <c r="A2455" s="170">
        <v>45621</v>
      </c>
      <c r="B2455" s="116">
        <v>1819</v>
      </c>
      <c r="C2455" s="116">
        <v>1752.2</v>
      </c>
      <c r="D2455" s="116">
        <v>1750</v>
      </c>
      <c r="E2455" s="116">
        <v>1781.6</v>
      </c>
      <c r="F2455" s="116">
        <v>1752.2</v>
      </c>
      <c r="G2455">
        <v>2358</v>
      </c>
      <c r="H2455" s="116"/>
      <c r="I2455" s="116"/>
      <c r="L2455" s="170">
        <v>45621</v>
      </c>
      <c r="M2455" s="116">
        <v>1754.5</v>
      </c>
      <c r="N2455" s="116">
        <v>1820</v>
      </c>
      <c r="O2455" s="116">
        <v>1748.8</v>
      </c>
      <c r="P2455" s="116">
        <v>1780</v>
      </c>
      <c r="Q2455" s="116">
        <v>1754.5</v>
      </c>
      <c r="R2455">
        <v>96926</v>
      </c>
    </row>
    <row r="2456" spans="1:18" x14ac:dyDescent="0.25">
      <c r="A2456" s="170">
        <v>45622</v>
      </c>
      <c r="B2456" s="116">
        <v>1768.25</v>
      </c>
      <c r="C2456" s="116">
        <v>1747.75</v>
      </c>
      <c r="D2456" s="116">
        <v>1743.25</v>
      </c>
      <c r="E2456" s="116">
        <v>1743.55</v>
      </c>
      <c r="F2456" s="116">
        <v>1747.75</v>
      </c>
      <c r="G2456">
        <v>1737</v>
      </c>
      <c r="H2456" s="116"/>
      <c r="I2456" s="116"/>
      <c r="L2456" s="170">
        <v>45622</v>
      </c>
      <c r="M2456" s="116">
        <v>1749.7</v>
      </c>
      <c r="N2456" s="116">
        <v>1775.8</v>
      </c>
      <c r="O2456" s="116">
        <v>1740</v>
      </c>
      <c r="P2456" s="116">
        <v>1754</v>
      </c>
      <c r="Q2456" s="116">
        <v>1749.7</v>
      </c>
      <c r="R2456">
        <v>45855</v>
      </c>
    </row>
    <row r="2457" spans="1:18" x14ac:dyDescent="0.25">
      <c r="A2457" s="170">
        <v>45623</v>
      </c>
      <c r="B2457" s="116">
        <v>1779.35</v>
      </c>
      <c r="C2457" s="116">
        <v>1753.95</v>
      </c>
      <c r="D2457" s="116">
        <v>1734.7</v>
      </c>
      <c r="E2457" s="116">
        <v>1779.35</v>
      </c>
      <c r="F2457" s="116">
        <v>1753.95</v>
      </c>
      <c r="G2457">
        <v>1044</v>
      </c>
      <c r="H2457" s="116"/>
      <c r="I2457" s="116"/>
      <c r="L2457" s="170">
        <v>45623</v>
      </c>
      <c r="M2457" s="116">
        <v>1752.35</v>
      </c>
      <c r="N2457" s="116">
        <v>1769.4</v>
      </c>
      <c r="O2457" s="116">
        <v>1734.05</v>
      </c>
      <c r="P2457" s="116">
        <v>1765.65</v>
      </c>
      <c r="Q2457" s="116">
        <v>1752.35</v>
      </c>
      <c r="R2457">
        <v>40601</v>
      </c>
    </row>
    <row r="2458" spans="1:18" x14ac:dyDescent="0.25">
      <c r="A2458" s="170">
        <v>45624</v>
      </c>
      <c r="B2458" s="116">
        <v>1761.15</v>
      </c>
      <c r="C2458" s="116">
        <v>1728.25</v>
      </c>
      <c r="D2458" s="116">
        <v>1716.7</v>
      </c>
      <c r="E2458" s="116">
        <v>1751</v>
      </c>
      <c r="F2458" s="116">
        <v>1728.25</v>
      </c>
      <c r="G2458">
        <v>2829</v>
      </c>
      <c r="H2458" s="116"/>
      <c r="I2458" s="116"/>
      <c r="L2458" s="170">
        <v>45624</v>
      </c>
      <c r="M2458" s="116">
        <v>1726.55</v>
      </c>
      <c r="N2458" s="116">
        <v>1765</v>
      </c>
      <c r="O2458" s="116">
        <v>1718.05</v>
      </c>
      <c r="P2458" s="116">
        <v>1740.05</v>
      </c>
      <c r="Q2458" s="116">
        <v>1726.55</v>
      </c>
      <c r="R2458">
        <v>316351</v>
      </c>
    </row>
    <row r="2459" spans="1:18" x14ac:dyDescent="0.25">
      <c r="A2459" s="170">
        <v>45625</v>
      </c>
      <c r="B2459" s="116">
        <v>1750</v>
      </c>
      <c r="C2459" s="116">
        <v>1735.15</v>
      </c>
      <c r="D2459" s="116">
        <v>1716.7</v>
      </c>
      <c r="E2459" s="116">
        <v>1750</v>
      </c>
      <c r="F2459" s="116">
        <v>1735.15</v>
      </c>
      <c r="G2459">
        <v>2350</v>
      </c>
      <c r="H2459" s="116"/>
      <c r="I2459" s="116"/>
      <c r="L2459" s="170">
        <v>45625</v>
      </c>
      <c r="M2459" s="116">
        <v>1735.3</v>
      </c>
      <c r="N2459" s="116">
        <v>1744.2</v>
      </c>
      <c r="O2459" s="116">
        <v>1716.55</v>
      </c>
      <c r="P2459" s="116">
        <v>1724</v>
      </c>
      <c r="Q2459" s="116">
        <v>1735.3</v>
      </c>
      <c r="R2459">
        <v>234473</v>
      </c>
    </row>
    <row r="2460" spans="1:18" x14ac:dyDescent="0.25">
      <c r="A2460" s="170">
        <v>45628</v>
      </c>
      <c r="B2460" s="116">
        <v>1768</v>
      </c>
      <c r="C2460" s="116">
        <v>1757.45</v>
      </c>
      <c r="D2460" s="116">
        <v>1725.05</v>
      </c>
      <c r="E2460" s="116">
        <v>1725.05</v>
      </c>
      <c r="F2460" s="116">
        <v>1757.45</v>
      </c>
      <c r="G2460">
        <v>1039</v>
      </c>
      <c r="H2460" s="116"/>
      <c r="I2460" s="116"/>
      <c r="L2460" s="170">
        <v>45628</v>
      </c>
      <c r="M2460" s="116">
        <v>1759.1</v>
      </c>
      <c r="N2460" s="116">
        <v>1769.7</v>
      </c>
      <c r="O2460" s="116">
        <v>1734</v>
      </c>
      <c r="P2460" s="116">
        <v>1736</v>
      </c>
      <c r="Q2460" s="116">
        <v>1759.1</v>
      </c>
      <c r="R2460">
        <v>161021</v>
      </c>
    </row>
    <row r="2461" spans="1:18" x14ac:dyDescent="0.25">
      <c r="A2461" s="170">
        <v>45629</v>
      </c>
      <c r="B2461" s="116">
        <v>1808.15</v>
      </c>
      <c r="C2461" s="116">
        <v>1797.7</v>
      </c>
      <c r="D2461" s="116">
        <v>1759</v>
      </c>
      <c r="E2461" s="116">
        <v>1767.95</v>
      </c>
      <c r="F2461" s="116">
        <v>1797.7</v>
      </c>
      <c r="G2461">
        <v>1524</v>
      </c>
      <c r="H2461" s="116"/>
      <c r="I2461" s="116"/>
      <c r="L2461" s="170">
        <v>45629</v>
      </c>
      <c r="M2461" s="116">
        <v>1796.3</v>
      </c>
      <c r="N2461" s="116">
        <v>1811.1</v>
      </c>
      <c r="O2461" s="116">
        <v>1757.05</v>
      </c>
      <c r="P2461" s="116">
        <v>1759.1</v>
      </c>
      <c r="Q2461" s="116">
        <v>1796.3</v>
      </c>
      <c r="R2461">
        <v>82148</v>
      </c>
    </row>
    <row r="2462" spans="1:18" x14ac:dyDescent="0.25">
      <c r="A2462" s="170">
        <v>45630</v>
      </c>
      <c r="B2462" s="116">
        <v>1825</v>
      </c>
      <c r="C2462" s="116">
        <v>1809.5</v>
      </c>
      <c r="D2462" s="116">
        <v>1787.55</v>
      </c>
      <c r="E2462" s="116">
        <v>1795.05</v>
      </c>
      <c r="F2462" s="116">
        <v>1809.5</v>
      </c>
      <c r="G2462">
        <v>2556</v>
      </c>
      <c r="H2462" s="116"/>
      <c r="I2462" s="116"/>
      <c r="L2462" s="170">
        <v>45630</v>
      </c>
      <c r="M2462" s="116">
        <v>1811.25</v>
      </c>
      <c r="N2462" s="116">
        <v>1827.45</v>
      </c>
      <c r="O2462" s="116">
        <v>1780</v>
      </c>
      <c r="P2462" s="116">
        <v>1801</v>
      </c>
      <c r="Q2462" s="116">
        <v>1811.25</v>
      </c>
      <c r="R2462">
        <v>153231</v>
      </c>
    </row>
    <row r="2463" spans="1:18" x14ac:dyDescent="0.25">
      <c r="A2463" s="170">
        <v>45631</v>
      </c>
      <c r="B2463" s="116">
        <v>1835.15</v>
      </c>
      <c r="C2463" s="116">
        <v>1780.5</v>
      </c>
      <c r="D2463" s="116">
        <v>1773.7</v>
      </c>
      <c r="E2463" s="116">
        <v>1813</v>
      </c>
      <c r="F2463" s="116">
        <v>1780.5</v>
      </c>
      <c r="G2463">
        <v>2066</v>
      </c>
      <c r="H2463" s="116"/>
      <c r="I2463" s="116"/>
      <c r="L2463" s="170">
        <v>45631</v>
      </c>
      <c r="M2463" s="116">
        <v>1778.75</v>
      </c>
      <c r="N2463" s="116">
        <v>1836.45</v>
      </c>
      <c r="O2463" s="116">
        <v>1770.5</v>
      </c>
      <c r="P2463" s="116">
        <v>1814</v>
      </c>
      <c r="Q2463" s="116">
        <v>1778.75</v>
      </c>
      <c r="R2463">
        <v>53132</v>
      </c>
    </row>
    <row r="2464" spans="1:18" x14ac:dyDescent="0.25">
      <c r="A2464" s="170">
        <v>45632</v>
      </c>
      <c r="B2464" s="116">
        <v>1790</v>
      </c>
      <c r="C2464" s="116">
        <v>1764.1</v>
      </c>
      <c r="D2464" s="116">
        <v>1747.75</v>
      </c>
      <c r="E2464" s="116">
        <v>1776.3</v>
      </c>
      <c r="F2464" s="116">
        <v>1764.1</v>
      </c>
      <c r="G2464">
        <v>1770</v>
      </c>
      <c r="H2464" s="116"/>
      <c r="I2464" s="116"/>
      <c r="L2464" s="170">
        <v>45632</v>
      </c>
      <c r="M2464" s="116">
        <v>1763.95</v>
      </c>
      <c r="N2464" s="116">
        <v>1788.65</v>
      </c>
      <c r="O2464" s="116">
        <v>1748.95</v>
      </c>
      <c r="P2464" s="116">
        <v>1767</v>
      </c>
      <c r="Q2464" s="116">
        <v>1763.95</v>
      </c>
      <c r="R2464">
        <v>117184</v>
      </c>
    </row>
    <row r="2465" spans="1:18" x14ac:dyDescent="0.25">
      <c r="A2465" s="170">
        <v>45635</v>
      </c>
      <c r="B2465" s="116">
        <v>1795</v>
      </c>
      <c r="C2465" s="116">
        <v>1783.3</v>
      </c>
      <c r="D2465" s="116">
        <v>1736.05</v>
      </c>
      <c r="E2465" s="116">
        <v>1760.05</v>
      </c>
      <c r="F2465" s="116">
        <v>1783.3</v>
      </c>
      <c r="G2465">
        <v>4783</v>
      </c>
      <c r="H2465" s="116"/>
      <c r="I2465" s="116"/>
      <c r="L2465" s="170">
        <v>45635</v>
      </c>
      <c r="M2465" s="116">
        <v>1782.65</v>
      </c>
      <c r="N2465" s="116">
        <v>1796.85</v>
      </c>
      <c r="O2465" s="116">
        <v>1736.55</v>
      </c>
      <c r="P2465" s="116">
        <v>1764</v>
      </c>
      <c r="Q2465" s="116">
        <v>1782.65</v>
      </c>
      <c r="R2465">
        <v>140822</v>
      </c>
    </row>
    <row r="2466" spans="1:18" x14ac:dyDescent="0.25">
      <c r="A2466" s="170">
        <v>45636</v>
      </c>
      <c r="B2466" s="116">
        <v>1807.25</v>
      </c>
      <c r="C2466" s="116">
        <v>1799.55</v>
      </c>
      <c r="D2466" s="116">
        <v>1769.95</v>
      </c>
      <c r="E2466" s="116">
        <v>1795</v>
      </c>
      <c r="F2466" s="116">
        <v>1799.55</v>
      </c>
      <c r="G2466">
        <v>2518</v>
      </c>
      <c r="H2466" s="116"/>
      <c r="I2466" s="116"/>
      <c r="L2466" s="170">
        <v>45636</v>
      </c>
      <c r="M2466" s="116">
        <v>1794.7</v>
      </c>
      <c r="N2466" s="116">
        <v>1807.15</v>
      </c>
      <c r="O2466" s="116">
        <v>1765.55</v>
      </c>
      <c r="P2466" s="116">
        <v>1798.85</v>
      </c>
      <c r="Q2466" s="116">
        <v>1794.7</v>
      </c>
      <c r="R2466">
        <v>279786</v>
      </c>
    </row>
    <row r="2467" spans="1:18" x14ac:dyDescent="0.25">
      <c r="A2467" s="170">
        <v>45637</v>
      </c>
      <c r="B2467" s="116">
        <v>1826.5</v>
      </c>
      <c r="C2467" s="116">
        <v>1813.35</v>
      </c>
      <c r="D2467" s="116">
        <v>1801</v>
      </c>
      <c r="E2467" s="116">
        <v>1818.9</v>
      </c>
      <c r="F2467" s="116">
        <v>1813.35</v>
      </c>
      <c r="G2467">
        <v>4767</v>
      </c>
      <c r="H2467" s="116"/>
      <c r="I2467" s="116"/>
      <c r="L2467" s="170">
        <v>45637</v>
      </c>
      <c r="M2467" s="116">
        <v>1814.7</v>
      </c>
      <c r="N2467" s="116">
        <v>1828.05</v>
      </c>
      <c r="O2467" s="116">
        <v>1800</v>
      </c>
      <c r="P2467" s="116">
        <v>1800</v>
      </c>
      <c r="Q2467" s="116">
        <v>1814.7</v>
      </c>
      <c r="R2467">
        <v>166487</v>
      </c>
    </row>
    <row r="2468" spans="1:18" x14ac:dyDescent="0.25">
      <c r="A2468" s="170">
        <v>45638</v>
      </c>
      <c r="B2468" s="116">
        <v>1845</v>
      </c>
      <c r="C2468" s="116">
        <v>1839.25</v>
      </c>
      <c r="D2468" s="116">
        <v>1808.8</v>
      </c>
      <c r="E2468" s="116">
        <v>1809.3</v>
      </c>
      <c r="F2468" s="116">
        <v>1839.25</v>
      </c>
      <c r="G2468">
        <v>1349</v>
      </c>
      <c r="H2468" s="116"/>
      <c r="I2468" s="116"/>
      <c r="L2468" s="170">
        <v>45638</v>
      </c>
      <c r="M2468" s="116">
        <v>1840.75</v>
      </c>
      <c r="N2468" s="116">
        <v>1845</v>
      </c>
      <c r="O2468" s="116">
        <v>1802.7</v>
      </c>
      <c r="P2468" s="116">
        <v>1832</v>
      </c>
      <c r="Q2468" s="116">
        <v>1840.75</v>
      </c>
      <c r="R2468">
        <v>780039</v>
      </c>
    </row>
    <row r="2469" spans="1:18" x14ac:dyDescent="0.25">
      <c r="A2469" s="170">
        <v>45639</v>
      </c>
      <c r="B2469" s="116">
        <v>1862.5</v>
      </c>
      <c r="C2469" s="116">
        <v>1840.85</v>
      </c>
      <c r="D2469" s="116">
        <v>1813</v>
      </c>
      <c r="E2469" s="116">
        <v>1858.95</v>
      </c>
      <c r="F2469" s="116">
        <v>1840.85</v>
      </c>
      <c r="G2469">
        <v>2678</v>
      </c>
      <c r="H2469" s="116"/>
      <c r="I2469" s="116"/>
      <c r="L2469" s="170">
        <v>45639</v>
      </c>
      <c r="M2469" s="116">
        <v>1841.35</v>
      </c>
      <c r="N2469" s="116">
        <v>1865.35</v>
      </c>
      <c r="O2469" s="116">
        <v>1809</v>
      </c>
      <c r="P2469" s="116">
        <v>1830</v>
      </c>
      <c r="Q2469" s="116">
        <v>1841.35</v>
      </c>
      <c r="R2469">
        <v>405684</v>
      </c>
    </row>
    <row r="2470" spans="1:18" x14ac:dyDescent="0.25">
      <c r="A2470" s="170">
        <v>45642</v>
      </c>
      <c r="B2470" s="116">
        <v>1859</v>
      </c>
      <c r="C2470" s="116">
        <v>1823.1</v>
      </c>
      <c r="D2470" s="116">
        <v>1820.15</v>
      </c>
      <c r="E2470" s="116">
        <v>1858.85</v>
      </c>
      <c r="F2470" s="116">
        <v>1823.1</v>
      </c>
      <c r="G2470">
        <v>1602</v>
      </c>
      <c r="H2470" s="116"/>
      <c r="I2470" s="116"/>
      <c r="L2470" s="170">
        <v>45642</v>
      </c>
      <c r="M2470" s="116">
        <v>1821.7</v>
      </c>
      <c r="N2470" s="116">
        <v>1864.15</v>
      </c>
      <c r="O2470" s="116">
        <v>1816.8</v>
      </c>
      <c r="P2470" s="116">
        <v>1848.55</v>
      </c>
      <c r="Q2470" s="116">
        <v>1821.7</v>
      </c>
      <c r="R2470">
        <v>331975</v>
      </c>
    </row>
    <row r="2471" spans="1:18" x14ac:dyDescent="0.25">
      <c r="A2471" s="170">
        <v>45643</v>
      </c>
      <c r="B2471" s="116">
        <v>1835.15</v>
      </c>
      <c r="C2471" s="116">
        <v>1827.9</v>
      </c>
      <c r="D2471" s="116">
        <v>1796.75</v>
      </c>
      <c r="E2471" s="116">
        <v>1821.5</v>
      </c>
      <c r="F2471" s="116">
        <v>1827.9</v>
      </c>
      <c r="G2471">
        <v>2443</v>
      </c>
      <c r="H2471" s="116"/>
      <c r="I2471" s="116"/>
      <c r="L2471" s="170">
        <v>45643</v>
      </c>
      <c r="M2471" s="116">
        <v>1829.25</v>
      </c>
      <c r="N2471" s="116">
        <v>1838.85</v>
      </c>
      <c r="O2471" s="116">
        <v>1796.75</v>
      </c>
      <c r="P2471" s="116">
        <v>1818.25</v>
      </c>
      <c r="Q2471" s="116">
        <v>1829.25</v>
      </c>
      <c r="R2471">
        <v>234433</v>
      </c>
    </row>
    <row r="2472" spans="1:18" x14ac:dyDescent="0.25">
      <c r="A2472" s="170">
        <v>45644</v>
      </c>
      <c r="B2472" s="116">
        <v>1863.85</v>
      </c>
      <c r="C2472" s="116">
        <v>1855.8</v>
      </c>
      <c r="D2472" s="116">
        <v>1820.05</v>
      </c>
      <c r="E2472" s="116">
        <v>1820.05</v>
      </c>
      <c r="F2472" s="116">
        <v>1855.8</v>
      </c>
      <c r="G2472">
        <v>3267</v>
      </c>
      <c r="H2472" s="116"/>
      <c r="I2472" s="116"/>
      <c r="L2472" s="170">
        <v>45644</v>
      </c>
      <c r="M2472" s="116">
        <v>1855.8</v>
      </c>
      <c r="N2472" s="116">
        <v>1865</v>
      </c>
      <c r="O2472" s="116">
        <v>1829.2</v>
      </c>
      <c r="P2472" s="116">
        <v>1829.2</v>
      </c>
      <c r="Q2472" s="116">
        <v>1855.8</v>
      </c>
      <c r="R2472">
        <v>254805</v>
      </c>
    </row>
    <row r="2473" spans="1:18" x14ac:dyDescent="0.25">
      <c r="A2473" s="170">
        <v>45645</v>
      </c>
      <c r="B2473" s="116">
        <v>1950.3</v>
      </c>
      <c r="C2473" s="116">
        <v>1912.95</v>
      </c>
      <c r="D2473" s="116">
        <v>1854.95</v>
      </c>
      <c r="E2473" s="116">
        <v>1868</v>
      </c>
      <c r="F2473" s="116">
        <v>1912.95</v>
      </c>
      <c r="G2473">
        <v>24089</v>
      </c>
      <c r="H2473" s="116"/>
      <c r="I2473" s="116"/>
      <c r="L2473" s="170">
        <v>45645</v>
      </c>
      <c r="M2473" s="116">
        <v>1913.25</v>
      </c>
      <c r="N2473" s="116">
        <v>1952</v>
      </c>
      <c r="O2473" s="116">
        <v>1844.7</v>
      </c>
      <c r="P2473" s="116">
        <v>1855.8</v>
      </c>
      <c r="Q2473" s="116">
        <v>1913.25</v>
      </c>
      <c r="R2473">
        <v>953840</v>
      </c>
    </row>
    <row r="2474" spans="1:18" x14ac:dyDescent="0.25">
      <c r="A2474" s="170">
        <v>45646</v>
      </c>
      <c r="B2474" s="116">
        <v>1930</v>
      </c>
      <c r="C2474" s="116">
        <v>1894.9</v>
      </c>
      <c r="D2474" s="116">
        <v>1863</v>
      </c>
      <c r="E2474" s="116">
        <v>1870.05</v>
      </c>
      <c r="F2474" s="116">
        <v>1894.9</v>
      </c>
      <c r="G2474">
        <v>3195</v>
      </c>
      <c r="H2474" s="116"/>
      <c r="I2474" s="116"/>
      <c r="L2474" s="170">
        <v>45646</v>
      </c>
      <c r="M2474" s="116">
        <v>1891.9</v>
      </c>
      <c r="N2474" s="116">
        <v>1935</v>
      </c>
      <c r="O2474" s="116">
        <v>1860.65</v>
      </c>
      <c r="P2474" s="116">
        <v>1916.5</v>
      </c>
      <c r="Q2474" s="116">
        <v>1891.9</v>
      </c>
      <c r="R2474">
        <v>205327</v>
      </c>
    </row>
    <row r="2475" spans="1:18" x14ac:dyDescent="0.25">
      <c r="A2475" s="170">
        <v>45649</v>
      </c>
      <c r="B2475" s="116">
        <v>1902.7</v>
      </c>
      <c r="C2475" s="116">
        <v>1858.1</v>
      </c>
      <c r="D2475" s="116">
        <v>1823.55</v>
      </c>
      <c r="E2475" s="116">
        <v>1854.1</v>
      </c>
      <c r="F2475" s="116">
        <v>1858.1</v>
      </c>
      <c r="G2475">
        <v>3016</v>
      </c>
      <c r="H2475" s="116"/>
      <c r="I2475" s="116"/>
      <c r="L2475" s="170">
        <v>45649</v>
      </c>
      <c r="M2475" s="116">
        <v>1859.7</v>
      </c>
      <c r="N2475" s="116">
        <v>1899.65</v>
      </c>
      <c r="O2475" s="116">
        <v>1822.4</v>
      </c>
      <c r="P2475" s="116">
        <v>1885.65</v>
      </c>
      <c r="Q2475" s="116">
        <v>1859.7</v>
      </c>
      <c r="R2475">
        <v>137141</v>
      </c>
    </row>
    <row r="2476" spans="1:18" x14ac:dyDescent="0.25">
      <c r="A2476" s="170">
        <v>45650</v>
      </c>
      <c r="B2476" s="116">
        <v>1873.3</v>
      </c>
      <c r="C2476" s="116">
        <v>1865.7</v>
      </c>
      <c r="D2476" s="116">
        <v>1820.95</v>
      </c>
      <c r="E2476" s="116">
        <v>1833.05</v>
      </c>
      <c r="F2476" s="116">
        <v>1865.7</v>
      </c>
      <c r="G2476">
        <v>1950</v>
      </c>
      <c r="H2476" s="116"/>
      <c r="I2476" s="116"/>
      <c r="L2476" s="170">
        <v>45650</v>
      </c>
      <c r="M2476" s="116">
        <v>1857.05</v>
      </c>
      <c r="N2476" s="116">
        <v>1878.3</v>
      </c>
      <c r="O2476" s="116">
        <v>1819.4</v>
      </c>
      <c r="P2476" s="116">
        <v>1867.05</v>
      </c>
      <c r="Q2476" s="116">
        <v>1857.05</v>
      </c>
      <c r="R2476">
        <v>98743</v>
      </c>
    </row>
    <row r="2477" spans="1:18" x14ac:dyDescent="0.25">
      <c r="A2477" s="170">
        <v>45652</v>
      </c>
      <c r="B2477" s="116">
        <v>1858</v>
      </c>
      <c r="C2477" s="116">
        <v>1807.85</v>
      </c>
      <c r="D2477" s="116">
        <v>1800.2</v>
      </c>
      <c r="E2477" s="116">
        <v>1835.05</v>
      </c>
      <c r="F2477" s="116">
        <v>1807.85</v>
      </c>
      <c r="G2477">
        <v>5229</v>
      </c>
      <c r="H2477" s="116"/>
      <c r="I2477" s="116"/>
      <c r="L2477" s="170">
        <v>45652</v>
      </c>
      <c r="M2477" s="116">
        <v>1808.75</v>
      </c>
      <c r="N2477" s="116">
        <v>1866.8</v>
      </c>
      <c r="O2477" s="116">
        <v>1797.65</v>
      </c>
      <c r="P2477" s="116">
        <v>1858.5</v>
      </c>
      <c r="Q2477" s="116">
        <v>1808.75</v>
      </c>
      <c r="R2477">
        <v>93189</v>
      </c>
    </row>
    <row r="2478" spans="1:18" x14ac:dyDescent="0.25">
      <c r="A2478" s="170">
        <v>45653</v>
      </c>
      <c r="B2478" s="116">
        <v>1845.75</v>
      </c>
      <c r="C2478" s="116">
        <v>1816.45</v>
      </c>
      <c r="D2478" s="116">
        <v>1791.95</v>
      </c>
      <c r="E2478" s="116">
        <v>1824.95</v>
      </c>
      <c r="F2478" s="116">
        <v>1816.45</v>
      </c>
      <c r="G2478">
        <v>4184</v>
      </c>
      <c r="H2478" s="116"/>
      <c r="I2478" s="116"/>
      <c r="L2478" s="170">
        <v>45653</v>
      </c>
      <c r="M2478" s="116">
        <v>1818.55</v>
      </c>
      <c r="N2478" s="116">
        <v>1848.95</v>
      </c>
      <c r="O2478" s="116">
        <v>1790</v>
      </c>
      <c r="P2478" s="116">
        <v>1805</v>
      </c>
      <c r="Q2478" s="116">
        <v>1818.55</v>
      </c>
      <c r="R2478">
        <v>210752</v>
      </c>
    </row>
    <row r="2479" spans="1:18" x14ac:dyDescent="0.25">
      <c r="A2479" s="170">
        <v>45656</v>
      </c>
      <c r="B2479" s="116">
        <v>1877</v>
      </c>
      <c r="C2479" s="116">
        <v>1863.3</v>
      </c>
      <c r="D2479" s="116">
        <v>1797.35</v>
      </c>
      <c r="E2479" s="116">
        <v>1805.85</v>
      </c>
      <c r="F2479" s="116">
        <v>1863.3</v>
      </c>
      <c r="G2479">
        <v>3710</v>
      </c>
      <c r="H2479" s="116"/>
      <c r="I2479" s="116"/>
      <c r="L2479" s="170">
        <v>45656</v>
      </c>
      <c r="M2479" s="116">
        <v>1857</v>
      </c>
      <c r="N2479" s="116">
        <v>1891.3</v>
      </c>
      <c r="O2479" s="116">
        <v>1791.25</v>
      </c>
      <c r="P2479" s="116">
        <v>1815</v>
      </c>
      <c r="Q2479" s="116">
        <v>1857</v>
      </c>
      <c r="R2479">
        <v>236943</v>
      </c>
    </row>
    <row r="2480" spans="1:18" x14ac:dyDescent="0.25">
      <c r="A2480" s="170">
        <v>45657</v>
      </c>
      <c r="B2480" s="116">
        <v>1884</v>
      </c>
      <c r="C2480" s="116">
        <v>1844.7</v>
      </c>
      <c r="D2480" s="116">
        <v>1829.9</v>
      </c>
      <c r="E2480" s="116">
        <v>1877.3</v>
      </c>
      <c r="F2480" s="116">
        <v>1844.7</v>
      </c>
      <c r="G2480">
        <v>4684</v>
      </c>
      <c r="H2480" s="116"/>
      <c r="I2480" s="116"/>
      <c r="L2480" s="170">
        <v>45657</v>
      </c>
      <c r="M2480" s="116">
        <v>1844.15</v>
      </c>
      <c r="N2480" s="116">
        <v>1886.45</v>
      </c>
      <c r="O2480" s="116">
        <v>1827.05</v>
      </c>
      <c r="P2480" s="116">
        <v>1857</v>
      </c>
      <c r="Q2480" s="116">
        <v>1844.15</v>
      </c>
      <c r="R2480">
        <v>137082</v>
      </c>
    </row>
    <row r="2481" spans="1:18" x14ac:dyDescent="0.25">
      <c r="A2481" s="170">
        <v>45658</v>
      </c>
      <c r="B2481" s="116">
        <v>1898</v>
      </c>
      <c r="C2481" s="116">
        <v>1877.75</v>
      </c>
      <c r="D2481" s="116">
        <v>1837.7</v>
      </c>
      <c r="E2481" s="116">
        <v>1844</v>
      </c>
      <c r="F2481" s="116">
        <v>1877.75</v>
      </c>
      <c r="G2481">
        <v>6593</v>
      </c>
      <c r="H2481" s="116"/>
      <c r="I2481" s="116"/>
      <c r="L2481" s="170">
        <v>45658</v>
      </c>
      <c r="M2481" s="116">
        <v>1878.2</v>
      </c>
      <c r="N2481" s="116">
        <v>1898</v>
      </c>
      <c r="O2481" s="116">
        <v>1835.5</v>
      </c>
      <c r="P2481" s="116">
        <v>1840.5</v>
      </c>
      <c r="Q2481" s="116">
        <v>1878.2</v>
      </c>
      <c r="R2481">
        <v>289768</v>
      </c>
    </row>
    <row r="2482" spans="1:18" x14ac:dyDescent="0.25">
      <c r="A2482" s="170">
        <v>45659</v>
      </c>
      <c r="B2482" s="116">
        <v>1877.95</v>
      </c>
      <c r="C2482" s="116">
        <v>1862.85</v>
      </c>
      <c r="D2482" s="116">
        <v>1835.1</v>
      </c>
      <c r="E2482" s="116">
        <v>1877.95</v>
      </c>
      <c r="F2482" s="116">
        <v>1862.85</v>
      </c>
      <c r="G2482">
        <v>6641</v>
      </c>
      <c r="H2482" s="116"/>
      <c r="I2482" s="116"/>
      <c r="L2482" s="170">
        <v>45659</v>
      </c>
      <c r="M2482" s="116">
        <v>1864.55</v>
      </c>
      <c r="N2482" s="116">
        <v>1875</v>
      </c>
      <c r="O2482" s="116">
        <v>1833.1</v>
      </c>
      <c r="P2482" s="116">
        <v>1867.05</v>
      </c>
      <c r="Q2482" s="116">
        <v>1864.55</v>
      </c>
      <c r="R2482">
        <v>118114</v>
      </c>
    </row>
    <row r="2483" spans="1:18" x14ac:dyDescent="0.25">
      <c r="A2483" s="170">
        <v>45660</v>
      </c>
      <c r="B2483" s="116">
        <v>1892.8</v>
      </c>
      <c r="C2483" s="116">
        <v>1866.2</v>
      </c>
      <c r="D2483" s="116">
        <v>1857.35</v>
      </c>
      <c r="E2483" s="116">
        <v>1857.4</v>
      </c>
      <c r="F2483" s="116">
        <v>1866.2</v>
      </c>
      <c r="G2483">
        <v>5222</v>
      </c>
      <c r="H2483" s="116"/>
      <c r="I2483" s="116"/>
      <c r="L2483" s="170">
        <v>45660</v>
      </c>
      <c r="M2483" s="116">
        <v>1867.6</v>
      </c>
      <c r="N2483" s="116">
        <v>1895</v>
      </c>
      <c r="O2483" s="116">
        <v>1852.15</v>
      </c>
      <c r="P2483" s="116">
        <v>1853.95</v>
      </c>
      <c r="Q2483" s="116">
        <v>1867.6</v>
      </c>
      <c r="R2483">
        <v>345966</v>
      </c>
    </row>
    <row r="2484" spans="1:18" x14ac:dyDescent="0.25">
      <c r="A2484" s="170">
        <v>45663</v>
      </c>
      <c r="B2484" s="116">
        <v>1884.95</v>
      </c>
      <c r="C2484" s="116">
        <v>1828</v>
      </c>
      <c r="D2484" s="116">
        <v>1819.1</v>
      </c>
      <c r="E2484" s="116">
        <v>1884.95</v>
      </c>
      <c r="F2484" s="116">
        <v>1828</v>
      </c>
      <c r="G2484">
        <v>1816</v>
      </c>
      <c r="H2484" s="116"/>
      <c r="I2484" s="116"/>
      <c r="L2484" s="170">
        <v>45663</v>
      </c>
      <c r="M2484" s="116">
        <v>1827.2</v>
      </c>
      <c r="N2484" s="116">
        <v>1884.55</v>
      </c>
      <c r="O2484" s="116">
        <v>1817</v>
      </c>
      <c r="P2484" s="116">
        <v>1879</v>
      </c>
      <c r="Q2484" s="116">
        <v>1827.2</v>
      </c>
      <c r="R2484">
        <v>55344</v>
      </c>
    </row>
    <row r="2485" spans="1:18" x14ac:dyDescent="0.25">
      <c r="A2485" s="170">
        <v>45664</v>
      </c>
      <c r="B2485" s="116">
        <v>1898.9</v>
      </c>
      <c r="C2485" s="116">
        <v>1895.7</v>
      </c>
      <c r="D2485" s="116">
        <v>1827.05</v>
      </c>
      <c r="E2485" s="116">
        <v>1827.05</v>
      </c>
      <c r="F2485" s="116">
        <v>1895.7</v>
      </c>
      <c r="G2485">
        <v>5847</v>
      </c>
      <c r="H2485" s="116"/>
      <c r="I2485" s="116"/>
      <c r="L2485" s="170">
        <v>45664</v>
      </c>
      <c r="M2485" s="116">
        <v>1896.4</v>
      </c>
      <c r="N2485" s="116">
        <v>1900</v>
      </c>
      <c r="O2485" s="116">
        <v>1829.9</v>
      </c>
      <c r="P2485" s="116">
        <v>1829.9</v>
      </c>
      <c r="Q2485" s="116">
        <v>1896.4</v>
      </c>
      <c r="R2485">
        <v>222201</v>
      </c>
    </row>
    <row r="2486" spans="1:18" x14ac:dyDescent="0.25">
      <c r="A2486" s="170">
        <v>45665</v>
      </c>
      <c r="B2486" s="116">
        <v>1916.85</v>
      </c>
      <c r="C2486" s="116">
        <v>1899.9</v>
      </c>
      <c r="D2486" s="116">
        <v>1871.85</v>
      </c>
      <c r="E2486" s="116">
        <v>1892</v>
      </c>
      <c r="F2486" s="116">
        <v>1899.9</v>
      </c>
      <c r="G2486">
        <v>2728</v>
      </c>
      <c r="H2486" s="116"/>
      <c r="I2486" s="116"/>
      <c r="L2486" s="170">
        <v>45665</v>
      </c>
      <c r="M2486" s="116">
        <v>1896.35</v>
      </c>
      <c r="N2486" s="116">
        <v>1918.5</v>
      </c>
      <c r="O2486" s="116">
        <v>1870.55</v>
      </c>
      <c r="P2486" s="116">
        <v>1906.4</v>
      </c>
      <c r="Q2486" s="116">
        <v>1896.35</v>
      </c>
      <c r="R2486">
        <v>153251</v>
      </c>
    </row>
    <row r="2487" spans="1:18" x14ac:dyDescent="0.25">
      <c r="A2487" s="170">
        <v>45666</v>
      </c>
      <c r="B2487" s="116">
        <v>1903.45</v>
      </c>
      <c r="C2487" s="116">
        <v>1864.9</v>
      </c>
      <c r="D2487" s="116">
        <v>1860.3</v>
      </c>
      <c r="E2487" s="116">
        <v>1896.35</v>
      </c>
      <c r="F2487" s="116">
        <v>1864.9</v>
      </c>
      <c r="G2487">
        <v>3856</v>
      </c>
      <c r="H2487" s="116"/>
      <c r="I2487" s="116"/>
      <c r="L2487" s="170">
        <v>45666</v>
      </c>
      <c r="M2487" s="116">
        <v>1870.3</v>
      </c>
      <c r="N2487" s="116">
        <v>1904.05</v>
      </c>
      <c r="O2487" s="116">
        <v>1860.55</v>
      </c>
      <c r="P2487" s="116">
        <v>1897</v>
      </c>
      <c r="Q2487" s="116">
        <v>1870.3</v>
      </c>
      <c r="R2487">
        <v>101449</v>
      </c>
    </row>
    <row r="2488" spans="1:18" x14ac:dyDescent="0.25">
      <c r="A2488" s="170">
        <v>45667</v>
      </c>
      <c r="B2488" s="116">
        <v>1868.95</v>
      </c>
      <c r="C2488" s="116">
        <v>1823.35</v>
      </c>
      <c r="D2488" s="116">
        <v>1792.4</v>
      </c>
      <c r="E2488" s="116">
        <v>1854.15</v>
      </c>
      <c r="F2488" s="116">
        <v>1823.35</v>
      </c>
      <c r="G2488">
        <v>2529</v>
      </c>
      <c r="H2488" s="116"/>
      <c r="I2488" s="116"/>
      <c r="L2488" s="170">
        <v>45667</v>
      </c>
      <c r="M2488" s="116">
        <v>1823.05</v>
      </c>
      <c r="N2488" s="116">
        <v>1871.65</v>
      </c>
      <c r="O2488" s="116">
        <v>1791.75</v>
      </c>
      <c r="P2488" s="116">
        <v>1870</v>
      </c>
      <c r="Q2488" s="116">
        <v>1823.05</v>
      </c>
      <c r="R2488">
        <v>129069</v>
      </c>
    </row>
    <row r="2489" spans="1:18" x14ac:dyDescent="0.25">
      <c r="A2489" s="170">
        <v>45670</v>
      </c>
      <c r="B2489" s="116">
        <v>1822.5</v>
      </c>
      <c r="C2489" s="116">
        <v>1777.65</v>
      </c>
      <c r="D2489" s="116">
        <v>1761.7</v>
      </c>
      <c r="E2489" s="116">
        <v>1777</v>
      </c>
      <c r="F2489" s="116">
        <v>1777.65</v>
      </c>
      <c r="G2489">
        <v>4410</v>
      </c>
      <c r="H2489" s="116"/>
      <c r="I2489" s="116"/>
      <c r="L2489" s="170">
        <v>45670</v>
      </c>
      <c r="M2489" s="116">
        <v>1785.6</v>
      </c>
      <c r="N2489" s="116">
        <v>1826</v>
      </c>
      <c r="O2489" s="116">
        <v>1755</v>
      </c>
      <c r="P2489" s="116">
        <v>1806.5</v>
      </c>
      <c r="Q2489" s="116">
        <v>1785.6</v>
      </c>
      <c r="R2489">
        <v>304867</v>
      </c>
    </row>
    <row r="2490" spans="1:18" x14ac:dyDescent="0.25">
      <c r="A2490" s="170">
        <v>45671</v>
      </c>
      <c r="B2490" s="116">
        <v>1783.5</v>
      </c>
      <c r="C2490" s="116">
        <v>1760.45</v>
      </c>
      <c r="D2490" s="116">
        <v>1757</v>
      </c>
      <c r="E2490" s="116">
        <v>1760</v>
      </c>
      <c r="F2490" s="116">
        <v>1760.45</v>
      </c>
      <c r="G2490">
        <v>2824</v>
      </c>
      <c r="H2490" s="116"/>
      <c r="I2490" s="116"/>
      <c r="L2490" s="170">
        <v>45671</v>
      </c>
      <c r="M2490" s="116">
        <v>1760.95</v>
      </c>
      <c r="N2490" s="116">
        <v>1786.95</v>
      </c>
      <c r="O2490" s="116">
        <v>1755</v>
      </c>
      <c r="P2490" s="116">
        <v>1784</v>
      </c>
      <c r="Q2490" s="116">
        <v>1760.95</v>
      </c>
      <c r="R2490">
        <v>55485</v>
      </c>
    </row>
    <row r="2491" spans="1:18" x14ac:dyDescent="0.25">
      <c r="A2491" s="170">
        <v>45672</v>
      </c>
      <c r="B2491" s="116">
        <v>1775.5</v>
      </c>
      <c r="C2491" s="116">
        <v>1764.85</v>
      </c>
      <c r="D2491" s="116">
        <v>1753.55</v>
      </c>
      <c r="E2491" s="116">
        <v>1765.9</v>
      </c>
      <c r="F2491" s="116">
        <v>1764.85</v>
      </c>
      <c r="G2491">
        <v>1052</v>
      </c>
      <c r="H2491" s="116"/>
      <c r="I2491" s="116"/>
      <c r="L2491" s="170">
        <v>45672</v>
      </c>
      <c r="M2491" s="116">
        <v>1765.6</v>
      </c>
      <c r="N2491" s="116">
        <v>1783.95</v>
      </c>
      <c r="O2491" s="116">
        <v>1750.7</v>
      </c>
      <c r="P2491" s="116">
        <v>1783.95</v>
      </c>
      <c r="Q2491" s="116">
        <v>1765.6</v>
      </c>
      <c r="R2491">
        <v>33537</v>
      </c>
    </row>
    <row r="2492" spans="1:18" x14ac:dyDescent="0.25">
      <c r="A2492" s="170">
        <v>45673</v>
      </c>
      <c r="B2492" s="116">
        <v>1798</v>
      </c>
      <c r="C2492" s="116">
        <v>1785</v>
      </c>
      <c r="D2492" s="116">
        <v>1766.05</v>
      </c>
      <c r="E2492" s="116">
        <v>1784.35</v>
      </c>
      <c r="F2492" s="116">
        <v>1785</v>
      </c>
      <c r="G2492">
        <v>1437</v>
      </c>
      <c r="H2492" s="116"/>
      <c r="I2492" s="116"/>
      <c r="L2492" s="170">
        <v>45673</v>
      </c>
      <c r="M2492" s="116">
        <v>1785</v>
      </c>
      <c r="N2492" s="116">
        <v>1800.9</v>
      </c>
      <c r="O2492" s="116">
        <v>1760</v>
      </c>
      <c r="P2492" s="116">
        <v>1760</v>
      </c>
      <c r="Q2492" s="116">
        <v>1785</v>
      </c>
      <c r="R2492">
        <v>414491</v>
      </c>
    </row>
    <row r="2493" spans="1:18" x14ac:dyDescent="0.25">
      <c r="A2493" s="170">
        <v>45674</v>
      </c>
      <c r="B2493" s="116">
        <v>1798</v>
      </c>
      <c r="C2493" s="116">
        <v>1747.5</v>
      </c>
      <c r="D2493" s="116">
        <v>1741.6</v>
      </c>
      <c r="E2493" s="116">
        <v>1788.85</v>
      </c>
      <c r="F2493" s="116">
        <v>1747.5</v>
      </c>
      <c r="G2493">
        <v>1887</v>
      </c>
      <c r="H2493" s="116"/>
      <c r="I2493" s="116"/>
      <c r="L2493" s="170">
        <v>45674</v>
      </c>
      <c r="M2493" s="116">
        <v>1747.8</v>
      </c>
      <c r="N2493" s="116">
        <v>1799</v>
      </c>
      <c r="O2493" s="116">
        <v>1735</v>
      </c>
      <c r="P2493" s="116">
        <v>1781</v>
      </c>
      <c r="Q2493" s="116">
        <v>1747.8</v>
      </c>
      <c r="R2493">
        <v>130990</v>
      </c>
    </row>
    <row r="2494" spans="1:18" x14ac:dyDescent="0.25">
      <c r="A2494" s="170">
        <v>45677</v>
      </c>
      <c r="B2494" s="116">
        <v>1811.75</v>
      </c>
      <c r="C2494" s="116">
        <v>1799</v>
      </c>
      <c r="D2494" s="116">
        <v>1740.5</v>
      </c>
      <c r="E2494" s="116">
        <v>1747.55</v>
      </c>
      <c r="F2494" s="116">
        <v>1799</v>
      </c>
      <c r="G2494">
        <v>1299</v>
      </c>
      <c r="H2494" s="116"/>
      <c r="I2494" s="116"/>
      <c r="L2494" s="170">
        <v>45677</v>
      </c>
      <c r="M2494" s="116">
        <v>1802.45</v>
      </c>
      <c r="N2494" s="116">
        <v>1811.9</v>
      </c>
      <c r="O2494" s="116">
        <v>1739.05</v>
      </c>
      <c r="P2494" s="116">
        <v>1758</v>
      </c>
      <c r="Q2494" s="116">
        <v>1802.45</v>
      </c>
      <c r="R2494">
        <v>109040</v>
      </c>
    </row>
    <row r="2495" spans="1:18" x14ac:dyDescent="0.25">
      <c r="A2495" s="170">
        <v>45678</v>
      </c>
      <c r="B2495" s="116">
        <v>1845.2</v>
      </c>
      <c r="C2495" s="116">
        <v>1798.85</v>
      </c>
      <c r="D2495" s="116">
        <v>1785</v>
      </c>
      <c r="E2495" s="116">
        <v>1823.65</v>
      </c>
      <c r="F2495" s="116">
        <v>1798.85</v>
      </c>
      <c r="G2495">
        <v>3181</v>
      </c>
      <c r="H2495" s="116"/>
      <c r="I2495" s="116"/>
      <c r="L2495" s="170">
        <v>45678</v>
      </c>
      <c r="M2495" s="116">
        <v>1792.75</v>
      </c>
      <c r="N2495" s="116">
        <v>1847.95</v>
      </c>
      <c r="O2495" s="116">
        <v>1780</v>
      </c>
      <c r="P2495" s="116">
        <v>1802.4</v>
      </c>
      <c r="Q2495" s="116">
        <v>1792.75</v>
      </c>
      <c r="R2495">
        <v>114314</v>
      </c>
    </row>
    <row r="2496" spans="1:18" x14ac:dyDescent="0.25">
      <c r="A2496" s="170">
        <v>45679</v>
      </c>
      <c r="B2496" s="116">
        <v>1810.05</v>
      </c>
      <c r="C2496" s="116">
        <v>1802.25</v>
      </c>
      <c r="D2496" s="116">
        <v>1779.25</v>
      </c>
      <c r="E2496" s="116">
        <v>1797</v>
      </c>
      <c r="F2496" s="116">
        <v>1802.25</v>
      </c>
      <c r="G2496">
        <v>2508</v>
      </c>
      <c r="H2496" s="116"/>
      <c r="I2496" s="116"/>
      <c r="L2496" s="170">
        <v>45679</v>
      </c>
      <c r="M2496" s="116">
        <v>1803.9</v>
      </c>
      <c r="N2496" s="116">
        <v>1811</v>
      </c>
      <c r="O2496" s="116">
        <v>1777</v>
      </c>
      <c r="P2496" s="116">
        <v>1802.2</v>
      </c>
      <c r="Q2496" s="116">
        <v>1803.9</v>
      </c>
      <c r="R2496">
        <v>222963</v>
      </c>
    </row>
    <row r="2497" spans="1:18" x14ac:dyDescent="0.25">
      <c r="A2497" s="170">
        <v>45680</v>
      </c>
      <c r="B2497" s="116">
        <v>1813.8</v>
      </c>
      <c r="C2497" s="116">
        <v>1805.05</v>
      </c>
      <c r="D2497" s="116">
        <v>1786.6</v>
      </c>
      <c r="E2497" s="116">
        <v>1800.7</v>
      </c>
      <c r="F2497" s="116">
        <v>1805.05</v>
      </c>
      <c r="G2497">
        <v>460</v>
      </c>
      <c r="H2497" s="116"/>
      <c r="I2497" s="116"/>
      <c r="L2497" s="170">
        <v>45680</v>
      </c>
      <c r="M2497" s="116">
        <v>1805.65</v>
      </c>
      <c r="N2497" s="116">
        <v>1816.5</v>
      </c>
      <c r="O2497" s="116">
        <v>1786</v>
      </c>
      <c r="P2497" s="116">
        <v>1786</v>
      </c>
      <c r="Q2497" s="116">
        <v>1805.65</v>
      </c>
      <c r="R2497">
        <v>20150</v>
      </c>
    </row>
    <row r="2498" spans="1:18" x14ac:dyDescent="0.25">
      <c r="A2498" s="170">
        <v>45681</v>
      </c>
      <c r="B2498" s="116">
        <v>1803.6</v>
      </c>
      <c r="C2498" s="116">
        <v>1779.55</v>
      </c>
      <c r="D2498" s="116">
        <v>1770.15</v>
      </c>
      <c r="E2498" s="116">
        <v>1787.3</v>
      </c>
      <c r="F2498" s="116">
        <v>1779.55</v>
      </c>
      <c r="G2498">
        <v>569</v>
      </c>
      <c r="H2498" s="116"/>
      <c r="I2498" s="116"/>
      <c r="L2498" s="170">
        <v>45681</v>
      </c>
      <c r="M2498" s="116">
        <v>1779.95</v>
      </c>
      <c r="N2498" s="116">
        <v>1806.95</v>
      </c>
      <c r="O2498" s="116">
        <v>1769.95</v>
      </c>
      <c r="P2498" s="116">
        <v>1804.7</v>
      </c>
      <c r="Q2498" s="116">
        <v>1779.95</v>
      </c>
      <c r="R2498">
        <v>76980</v>
      </c>
    </row>
    <row r="2499" spans="1:18" x14ac:dyDescent="0.25">
      <c r="A2499" s="170">
        <v>45684</v>
      </c>
      <c r="B2499" s="116">
        <v>1777.5</v>
      </c>
      <c r="C2499" s="116">
        <v>1759.3</v>
      </c>
      <c r="D2499" s="116">
        <v>1736.6</v>
      </c>
      <c r="E2499" s="116">
        <v>1766.65</v>
      </c>
      <c r="F2499" s="116">
        <v>1759.3</v>
      </c>
      <c r="G2499">
        <v>524</v>
      </c>
      <c r="H2499" s="116"/>
      <c r="I2499" s="116"/>
      <c r="L2499" s="170">
        <v>45684</v>
      </c>
      <c r="M2499" s="116">
        <v>1761.65</v>
      </c>
      <c r="N2499" s="116">
        <v>1779.95</v>
      </c>
      <c r="O2499" s="116">
        <v>1735.8</v>
      </c>
      <c r="P2499" s="116">
        <v>1779.95</v>
      </c>
      <c r="Q2499" s="116">
        <v>1761.65</v>
      </c>
      <c r="R2499">
        <v>42957</v>
      </c>
    </row>
    <row r="2500" spans="1:18" x14ac:dyDescent="0.25">
      <c r="A2500" s="170">
        <v>45685</v>
      </c>
      <c r="B2500" s="116">
        <v>1763.05</v>
      </c>
      <c r="C2500" s="116">
        <v>1704.85</v>
      </c>
      <c r="D2500" s="116">
        <v>1691.3</v>
      </c>
      <c r="E2500" s="116">
        <v>1759.3</v>
      </c>
      <c r="F2500" s="116">
        <v>1704.85</v>
      </c>
      <c r="G2500">
        <v>4164</v>
      </c>
      <c r="H2500" s="116"/>
      <c r="I2500" s="116"/>
      <c r="L2500" s="170">
        <v>45685</v>
      </c>
      <c r="M2500" s="116">
        <v>1714.45</v>
      </c>
      <c r="N2500" s="116">
        <v>1761.9</v>
      </c>
      <c r="O2500" s="116">
        <v>1690.2</v>
      </c>
      <c r="P2500" s="116">
        <v>1761.65</v>
      </c>
      <c r="Q2500" s="116">
        <v>1714.45</v>
      </c>
      <c r="R2500">
        <v>105629</v>
      </c>
    </row>
    <row r="2501" spans="1:18" x14ac:dyDescent="0.25">
      <c r="A2501" s="170">
        <v>45686</v>
      </c>
      <c r="B2501" s="116">
        <v>1728.8</v>
      </c>
      <c r="C2501" s="116">
        <v>1719.55</v>
      </c>
      <c r="D2501" s="116">
        <v>1680.25</v>
      </c>
      <c r="E2501" s="116">
        <v>1680.25</v>
      </c>
      <c r="F2501" s="116">
        <v>1719.55</v>
      </c>
      <c r="G2501">
        <v>1077</v>
      </c>
      <c r="H2501" s="116"/>
      <c r="I2501" s="116"/>
      <c r="L2501" s="170">
        <v>45686</v>
      </c>
      <c r="M2501" s="116">
        <v>1719.9</v>
      </c>
      <c r="N2501" s="116">
        <v>1732.95</v>
      </c>
      <c r="O2501" s="116">
        <v>1692</v>
      </c>
      <c r="P2501" s="116">
        <v>1692</v>
      </c>
      <c r="Q2501" s="116">
        <v>1719.9</v>
      </c>
      <c r="R2501">
        <v>39187</v>
      </c>
    </row>
    <row r="2502" spans="1:18" x14ac:dyDescent="0.25">
      <c r="A2502" s="170">
        <v>45687</v>
      </c>
      <c r="B2502" s="116">
        <v>1766.5</v>
      </c>
      <c r="C2502" s="116">
        <v>1742.8</v>
      </c>
      <c r="D2502" s="116">
        <v>1706.15</v>
      </c>
      <c r="E2502" s="116">
        <v>1757.9</v>
      </c>
      <c r="F2502" s="116">
        <v>1742.8</v>
      </c>
      <c r="G2502">
        <v>1612</v>
      </c>
      <c r="H2502" s="116"/>
      <c r="I2502" s="116"/>
      <c r="L2502" s="170">
        <v>45687</v>
      </c>
      <c r="M2502" s="116">
        <v>1746</v>
      </c>
      <c r="N2502" s="116">
        <v>1766.75</v>
      </c>
      <c r="O2502" s="116">
        <v>1707</v>
      </c>
      <c r="P2502" s="116">
        <v>1707.15</v>
      </c>
      <c r="Q2502" s="116">
        <v>1746</v>
      </c>
      <c r="R2502">
        <v>26131</v>
      </c>
    </row>
    <row r="2503" spans="1:18" x14ac:dyDescent="0.25">
      <c r="A2503" s="170">
        <v>45688</v>
      </c>
      <c r="B2503" s="116">
        <v>1778.3</v>
      </c>
      <c r="C2503" s="116">
        <v>1759.45</v>
      </c>
      <c r="D2503" s="116">
        <v>1728.5</v>
      </c>
      <c r="E2503" s="116">
        <v>1740</v>
      </c>
      <c r="F2503" s="116">
        <v>1759.45</v>
      </c>
      <c r="G2503">
        <v>582</v>
      </c>
      <c r="H2503" s="116"/>
      <c r="I2503" s="116"/>
      <c r="L2503" s="170">
        <v>45688</v>
      </c>
      <c r="M2503" s="116">
        <v>1763.9</v>
      </c>
      <c r="N2503" s="116">
        <v>1777</v>
      </c>
      <c r="O2503" s="116">
        <v>1725.2</v>
      </c>
      <c r="P2503" s="116">
        <v>1725.2</v>
      </c>
      <c r="Q2503" s="116">
        <v>1763.9</v>
      </c>
      <c r="R2503">
        <v>23557</v>
      </c>
    </row>
    <row r="2504" spans="1:18" x14ac:dyDescent="0.25">
      <c r="A2504" s="170">
        <v>45689</v>
      </c>
      <c r="B2504" s="116">
        <v>1794</v>
      </c>
      <c r="C2504" s="116">
        <v>1782.7</v>
      </c>
      <c r="D2504" s="116">
        <v>1740</v>
      </c>
      <c r="E2504" s="116">
        <v>1765.3</v>
      </c>
      <c r="F2504" s="116">
        <v>1782.7</v>
      </c>
      <c r="G2504">
        <v>999</v>
      </c>
      <c r="H2504" s="116"/>
      <c r="I2504" s="116"/>
      <c r="L2504" s="170">
        <v>45689</v>
      </c>
      <c r="M2504" s="116">
        <v>1778.95</v>
      </c>
      <c r="N2504" s="116">
        <v>1797.85</v>
      </c>
      <c r="O2504" s="116">
        <v>1738.75</v>
      </c>
      <c r="P2504" s="116">
        <v>1765</v>
      </c>
      <c r="Q2504" s="116">
        <v>1778.95</v>
      </c>
      <c r="R2504">
        <v>14656</v>
      </c>
    </row>
    <row r="2505" spans="1:18" x14ac:dyDescent="0.25">
      <c r="A2505" s="170">
        <v>45691</v>
      </c>
      <c r="B2505" s="116">
        <v>1760.1</v>
      </c>
      <c r="C2505" s="116">
        <v>1714.1</v>
      </c>
      <c r="D2505" s="116">
        <v>1710.65</v>
      </c>
      <c r="E2505" s="116">
        <v>1753</v>
      </c>
      <c r="F2505" s="116">
        <v>1714.1</v>
      </c>
      <c r="G2505">
        <v>912</v>
      </c>
      <c r="H2505" s="116"/>
      <c r="I2505" s="116"/>
      <c r="L2505" s="170">
        <v>45691</v>
      </c>
      <c r="M2505" s="116">
        <v>1716.4</v>
      </c>
      <c r="N2505" s="116">
        <v>1772.4</v>
      </c>
      <c r="O2505" s="116">
        <v>1710.6</v>
      </c>
      <c r="P2505" s="116">
        <v>1772.4</v>
      </c>
      <c r="Q2505" s="116">
        <v>1716.4</v>
      </c>
      <c r="R2505">
        <v>53251</v>
      </c>
    </row>
    <row r="2506" spans="1:18" x14ac:dyDescent="0.25">
      <c r="A2506" s="170">
        <v>45692</v>
      </c>
      <c r="B2506" s="116">
        <v>1764</v>
      </c>
      <c r="C2506" s="116">
        <v>1741.35</v>
      </c>
      <c r="D2506" s="116">
        <v>1710.9</v>
      </c>
      <c r="E2506" s="116">
        <v>1725</v>
      </c>
      <c r="F2506" s="116">
        <v>1741.35</v>
      </c>
      <c r="G2506">
        <v>2224</v>
      </c>
      <c r="H2506" s="116"/>
      <c r="I2506" s="116"/>
      <c r="L2506" s="170">
        <v>45692</v>
      </c>
      <c r="M2506" s="116">
        <v>1742.15</v>
      </c>
      <c r="N2506" s="116">
        <v>1765</v>
      </c>
      <c r="O2506" s="116">
        <v>1710</v>
      </c>
      <c r="P2506" s="116">
        <v>1725.4</v>
      </c>
      <c r="Q2506" s="116">
        <v>1742.15</v>
      </c>
      <c r="R2506">
        <v>133468</v>
      </c>
    </row>
    <row r="2507" spans="1:18" x14ac:dyDescent="0.25">
      <c r="A2507" s="170">
        <v>45693</v>
      </c>
      <c r="B2507" s="116">
        <v>1808.8</v>
      </c>
      <c r="C2507" s="116">
        <v>1712.3</v>
      </c>
      <c r="D2507" s="116">
        <v>1710</v>
      </c>
      <c r="E2507" s="116">
        <v>1808.8</v>
      </c>
      <c r="F2507" s="116">
        <v>1712.3</v>
      </c>
      <c r="G2507">
        <v>8104</v>
      </c>
      <c r="H2507" s="116"/>
      <c r="I2507" s="116"/>
      <c r="L2507" s="170">
        <v>45693</v>
      </c>
      <c r="M2507" s="116">
        <v>1713.8</v>
      </c>
      <c r="N2507" s="116">
        <v>1789.95</v>
      </c>
      <c r="O2507" s="116">
        <v>1708.15</v>
      </c>
      <c r="P2507" s="116">
        <v>1789.95</v>
      </c>
      <c r="Q2507" s="116">
        <v>1713.8</v>
      </c>
      <c r="R2507">
        <v>225427</v>
      </c>
    </row>
    <row r="2508" spans="1:18" x14ac:dyDescent="0.25">
      <c r="A2508" s="170">
        <v>45694</v>
      </c>
      <c r="B2508" s="116">
        <v>1758</v>
      </c>
      <c r="C2508" s="116">
        <v>1718.25</v>
      </c>
      <c r="D2508" s="116">
        <v>1698.05</v>
      </c>
      <c r="E2508" s="116">
        <v>1729</v>
      </c>
      <c r="F2508" s="116">
        <v>1718.25</v>
      </c>
      <c r="G2508">
        <v>3359</v>
      </c>
      <c r="H2508" s="116"/>
      <c r="I2508" s="116"/>
      <c r="L2508" s="170">
        <v>45694</v>
      </c>
      <c r="M2508" s="116">
        <v>1716.45</v>
      </c>
      <c r="N2508" s="116">
        <v>1760.9</v>
      </c>
      <c r="O2508" s="116">
        <v>1707</v>
      </c>
      <c r="P2508" s="116">
        <v>1739.5</v>
      </c>
      <c r="Q2508" s="116">
        <v>1716.45</v>
      </c>
      <c r="R2508">
        <v>142923</v>
      </c>
    </row>
    <row r="2509" spans="1:18" x14ac:dyDescent="0.25">
      <c r="A2509" s="170">
        <v>45695</v>
      </c>
      <c r="B2509" s="116">
        <v>1719.95</v>
      </c>
      <c r="C2509" s="116">
        <v>1673.75</v>
      </c>
      <c r="D2509" s="116">
        <v>1660</v>
      </c>
      <c r="E2509" s="116">
        <v>1695.45</v>
      </c>
      <c r="F2509" s="116">
        <v>1673.75</v>
      </c>
      <c r="G2509">
        <v>3597</v>
      </c>
      <c r="H2509" s="116"/>
      <c r="I2509" s="116"/>
      <c r="L2509" s="170">
        <v>45695</v>
      </c>
      <c r="M2509" s="116">
        <v>1671.25</v>
      </c>
      <c r="N2509" s="116">
        <v>1731.85</v>
      </c>
      <c r="O2509" s="116">
        <v>1660.25</v>
      </c>
      <c r="P2509" s="116">
        <v>1727.6</v>
      </c>
      <c r="Q2509" s="116">
        <v>1671.25</v>
      </c>
      <c r="R2509">
        <v>94885</v>
      </c>
    </row>
    <row r="2510" spans="1:18" x14ac:dyDescent="0.25">
      <c r="A2510" s="170">
        <v>45698</v>
      </c>
      <c r="B2510" s="116">
        <v>1710.9</v>
      </c>
      <c r="C2510" s="116">
        <v>1678.5</v>
      </c>
      <c r="D2510" s="116">
        <v>1666.4</v>
      </c>
      <c r="E2510" s="116">
        <v>1673.75</v>
      </c>
      <c r="F2510" s="116">
        <v>1678.5</v>
      </c>
      <c r="G2510">
        <v>3258</v>
      </c>
      <c r="H2510" s="116"/>
      <c r="I2510" s="116"/>
      <c r="L2510" s="170">
        <v>45698</v>
      </c>
      <c r="M2510" s="116">
        <v>1678.55</v>
      </c>
      <c r="N2510" s="116">
        <v>1710.95</v>
      </c>
      <c r="O2510" s="116">
        <v>1668</v>
      </c>
      <c r="P2510" s="116">
        <v>1679.6</v>
      </c>
      <c r="Q2510" s="116">
        <v>1678.55</v>
      </c>
      <c r="R2510">
        <v>180172</v>
      </c>
    </row>
    <row r="2511" spans="1:18" x14ac:dyDescent="0.25">
      <c r="A2511" s="170">
        <v>45699</v>
      </c>
      <c r="B2511" s="116">
        <v>1679.95</v>
      </c>
      <c r="C2511" s="116">
        <v>1611.5</v>
      </c>
      <c r="D2511" s="116">
        <v>1590.15</v>
      </c>
      <c r="E2511" s="116">
        <v>1678.6</v>
      </c>
      <c r="F2511" s="116">
        <v>1611.5</v>
      </c>
      <c r="G2511">
        <v>4774</v>
      </c>
      <c r="H2511" s="116"/>
      <c r="I2511" s="116"/>
      <c r="L2511" s="170">
        <v>45699</v>
      </c>
      <c r="M2511" s="116">
        <v>1613.15</v>
      </c>
      <c r="N2511" s="116">
        <v>1700</v>
      </c>
      <c r="O2511" s="116">
        <v>1589.5</v>
      </c>
      <c r="P2511" s="116">
        <v>1680</v>
      </c>
      <c r="Q2511" s="116">
        <v>1613.15</v>
      </c>
      <c r="R2511">
        <v>186191</v>
      </c>
    </row>
    <row r="2512" spans="1:18" x14ac:dyDescent="0.25">
      <c r="A2512" s="170">
        <v>45700</v>
      </c>
      <c r="B2512" s="116">
        <v>1639.55</v>
      </c>
      <c r="C2512" s="116">
        <v>1627.3</v>
      </c>
      <c r="D2512" s="116">
        <v>1520</v>
      </c>
      <c r="E2512" s="116">
        <v>1585.05</v>
      </c>
      <c r="F2512" s="116">
        <v>1627.3</v>
      </c>
      <c r="G2512">
        <v>3984</v>
      </c>
      <c r="H2512" s="116"/>
      <c r="I2512" s="116"/>
      <c r="L2512" s="170">
        <v>45700</v>
      </c>
      <c r="M2512" s="116">
        <v>1626.1</v>
      </c>
      <c r="N2512" s="116">
        <v>1644</v>
      </c>
      <c r="O2512" s="116">
        <v>1519.8</v>
      </c>
      <c r="P2512" s="116">
        <v>1600</v>
      </c>
      <c r="Q2512" s="116">
        <v>1626.1</v>
      </c>
      <c r="R2512">
        <v>398901</v>
      </c>
    </row>
    <row r="2513" spans="1:18" x14ac:dyDescent="0.25">
      <c r="A2513" s="170">
        <v>45701</v>
      </c>
      <c r="B2513" s="116">
        <v>1702.3</v>
      </c>
      <c r="C2513" s="116">
        <v>1685.6</v>
      </c>
      <c r="D2513" s="116">
        <v>1611.2</v>
      </c>
      <c r="E2513" s="116">
        <v>1625.4</v>
      </c>
      <c r="F2513" s="116">
        <v>1685.6</v>
      </c>
      <c r="G2513">
        <v>7148</v>
      </c>
      <c r="H2513" s="116"/>
      <c r="I2513" s="116"/>
      <c r="L2513" s="170">
        <v>45701</v>
      </c>
      <c r="M2513" s="116">
        <v>1683.7</v>
      </c>
      <c r="N2513" s="116">
        <v>1704.7</v>
      </c>
      <c r="O2513" s="116">
        <v>1610.55</v>
      </c>
      <c r="P2513" s="116">
        <v>1626.1</v>
      </c>
      <c r="Q2513" s="116">
        <v>1683.7</v>
      </c>
      <c r="R2513">
        <v>254087</v>
      </c>
    </row>
    <row r="2514" spans="1:18" x14ac:dyDescent="0.25">
      <c r="A2514" s="170">
        <v>45702</v>
      </c>
      <c r="B2514" s="116">
        <v>1695.15</v>
      </c>
      <c r="C2514" s="116">
        <v>1666.4</v>
      </c>
      <c r="D2514" s="116">
        <v>1650.65</v>
      </c>
      <c r="E2514" s="116">
        <v>1675</v>
      </c>
      <c r="F2514" s="116">
        <v>1666.4</v>
      </c>
      <c r="G2514">
        <v>3779</v>
      </c>
      <c r="H2514" s="116"/>
      <c r="I2514" s="116"/>
      <c r="L2514" s="170">
        <v>45702</v>
      </c>
      <c r="M2514" s="116">
        <v>1669.3</v>
      </c>
      <c r="N2514" s="116">
        <v>1695.95</v>
      </c>
      <c r="O2514" s="116">
        <v>1651.1</v>
      </c>
      <c r="P2514" s="116">
        <v>1668.6</v>
      </c>
      <c r="Q2514" s="116">
        <v>1669.3</v>
      </c>
      <c r="R2514">
        <v>136878</v>
      </c>
    </row>
    <row r="2515" spans="1:18" x14ac:dyDescent="0.25">
      <c r="A2515" s="170">
        <v>45705</v>
      </c>
      <c r="B2515" s="116">
        <v>1666.05</v>
      </c>
      <c r="C2515" s="116">
        <v>1644.55</v>
      </c>
      <c r="D2515" s="116">
        <v>1615</v>
      </c>
      <c r="E2515" s="116">
        <v>1635.65</v>
      </c>
      <c r="F2515" s="116">
        <v>1644.55</v>
      </c>
      <c r="G2515">
        <v>2596</v>
      </c>
      <c r="H2515" s="116"/>
      <c r="I2515" s="116"/>
      <c r="L2515" s="170">
        <v>45705</v>
      </c>
      <c r="M2515" s="116">
        <v>1640.75</v>
      </c>
      <c r="N2515" s="116">
        <v>1669.3</v>
      </c>
      <c r="O2515" s="116">
        <v>1613.05</v>
      </c>
      <c r="P2515" s="116">
        <v>1669.3</v>
      </c>
      <c r="Q2515" s="116">
        <v>1640.75</v>
      </c>
      <c r="R2515">
        <v>197440</v>
      </c>
    </row>
    <row r="2516" spans="1:18" x14ac:dyDescent="0.25">
      <c r="A2516" s="170">
        <v>45706</v>
      </c>
      <c r="B2516" s="116">
        <v>1649.75</v>
      </c>
      <c r="C2516" s="116">
        <v>1613.75</v>
      </c>
      <c r="D2516" s="116">
        <v>1602</v>
      </c>
      <c r="E2516" s="116">
        <v>1649.75</v>
      </c>
      <c r="F2516" s="116">
        <v>1613.75</v>
      </c>
      <c r="G2516">
        <v>3296</v>
      </c>
      <c r="H2516" s="116"/>
      <c r="I2516" s="116"/>
      <c r="L2516" s="170">
        <v>45706</v>
      </c>
      <c r="M2516" s="116">
        <v>1614.95</v>
      </c>
      <c r="N2516" s="116">
        <v>1649.35</v>
      </c>
      <c r="O2516" s="116">
        <v>1602.05</v>
      </c>
      <c r="P2516" s="116">
        <v>1640.75</v>
      </c>
      <c r="Q2516" s="116">
        <v>1614.95</v>
      </c>
      <c r="R2516">
        <v>38324</v>
      </c>
    </row>
    <row r="2517" spans="1:18" x14ac:dyDescent="0.25">
      <c r="A2517" s="170">
        <v>45707</v>
      </c>
      <c r="B2517" s="116">
        <v>1688.1</v>
      </c>
      <c r="C2517" s="116">
        <v>1673.35</v>
      </c>
      <c r="D2517" s="116">
        <v>1566.3</v>
      </c>
      <c r="E2517" s="116">
        <v>1582.65</v>
      </c>
      <c r="F2517" s="116">
        <v>1673.35</v>
      </c>
      <c r="G2517">
        <v>4046</v>
      </c>
      <c r="H2517" s="116"/>
      <c r="I2517" s="116"/>
      <c r="L2517" s="170">
        <v>45707</v>
      </c>
      <c r="M2517" s="116">
        <v>1674.2</v>
      </c>
      <c r="N2517" s="116">
        <v>1689.2</v>
      </c>
      <c r="O2517" s="116">
        <v>1560.35</v>
      </c>
      <c r="P2517" s="116">
        <v>1603.6</v>
      </c>
      <c r="Q2517" s="116">
        <v>1674.2</v>
      </c>
      <c r="R2517">
        <v>219878</v>
      </c>
    </row>
    <row r="2518" spans="1:18" x14ac:dyDescent="0.25">
      <c r="A2518" s="170">
        <v>45708</v>
      </c>
      <c r="B2518" s="116">
        <v>1682.9</v>
      </c>
      <c r="C2518" s="116">
        <v>1630.45</v>
      </c>
      <c r="D2518" s="116">
        <v>1621.75</v>
      </c>
      <c r="E2518" s="116">
        <v>1673.35</v>
      </c>
      <c r="F2518" s="116">
        <v>1630.45</v>
      </c>
      <c r="G2518">
        <v>2125</v>
      </c>
      <c r="H2518" s="116"/>
      <c r="I2518" s="116"/>
      <c r="L2518" s="170">
        <v>45708</v>
      </c>
      <c r="M2518" s="116">
        <v>1630.05</v>
      </c>
      <c r="N2518" s="116">
        <v>1683.4</v>
      </c>
      <c r="O2518" s="116">
        <v>1620.1</v>
      </c>
      <c r="P2518" s="116">
        <v>1677.6</v>
      </c>
      <c r="Q2518" s="116">
        <v>1630.05</v>
      </c>
      <c r="R2518">
        <v>131663</v>
      </c>
    </row>
    <row r="2519" spans="1:18" x14ac:dyDescent="0.25">
      <c r="A2519" s="170">
        <v>45709</v>
      </c>
      <c r="B2519" s="116">
        <v>1640.6</v>
      </c>
      <c r="C2519" s="116">
        <v>1605.45</v>
      </c>
      <c r="D2519" s="116">
        <v>1588.95</v>
      </c>
      <c r="E2519" s="116">
        <v>1634.9</v>
      </c>
      <c r="F2519" s="116">
        <v>1605.45</v>
      </c>
      <c r="G2519">
        <v>1656</v>
      </c>
      <c r="H2519" s="116"/>
      <c r="I2519" s="116"/>
      <c r="L2519" s="170">
        <v>45709</v>
      </c>
      <c r="M2519" s="116">
        <v>1606.85</v>
      </c>
      <c r="N2519" s="116">
        <v>1641.2</v>
      </c>
      <c r="O2519" s="116">
        <v>1586.8</v>
      </c>
      <c r="P2519" s="116">
        <v>1638.6</v>
      </c>
      <c r="Q2519" s="116">
        <v>1606.85</v>
      </c>
      <c r="R2519">
        <v>115538</v>
      </c>
    </row>
    <row r="2520" spans="1:18" x14ac:dyDescent="0.25">
      <c r="A2520" s="170">
        <v>45712</v>
      </c>
      <c r="B2520" s="116">
        <v>1610</v>
      </c>
      <c r="C2520" s="116">
        <v>1569.45</v>
      </c>
      <c r="D2520" s="116">
        <v>1561.1</v>
      </c>
      <c r="E2520" s="116">
        <v>1610</v>
      </c>
      <c r="F2520" s="116">
        <v>1569.45</v>
      </c>
      <c r="G2520">
        <v>1156</v>
      </c>
      <c r="H2520" s="116"/>
      <c r="I2520" s="116"/>
      <c r="L2520" s="170">
        <v>45712</v>
      </c>
      <c r="M2520" s="116">
        <v>1570.9</v>
      </c>
      <c r="N2520" s="116">
        <v>1606.7</v>
      </c>
      <c r="O2520" s="116">
        <v>1560.05</v>
      </c>
      <c r="P2520" s="116">
        <v>1606.05</v>
      </c>
      <c r="Q2520" s="116">
        <v>1570.9</v>
      </c>
      <c r="R2520">
        <v>154128</v>
      </c>
    </row>
    <row r="2521" spans="1:18" x14ac:dyDescent="0.25">
      <c r="A2521" s="170">
        <v>45713</v>
      </c>
      <c r="B2521" s="116">
        <v>1638</v>
      </c>
      <c r="C2521" s="116">
        <v>1607.8</v>
      </c>
      <c r="D2521" s="116">
        <v>1535.05</v>
      </c>
      <c r="E2521" s="116">
        <v>1571</v>
      </c>
      <c r="F2521" s="116">
        <v>1607.8</v>
      </c>
      <c r="G2521">
        <v>1676</v>
      </c>
      <c r="H2521" s="116"/>
      <c r="I2521" s="116"/>
      <c r="L2521" s="170">
        <v>45713</v>
      </c>
      <c r="M2521" s="116">
        <v>1591.95</v>
      </c>
      <c r="N2521" s="116">
        <v>1639</v>
      </c>
      <c r="O2521" s="116">
        <v>1536.15</v>
      </c>
      <c r="P2521" s="116">
        <v>1558</v>
      </c>
      <c r="Q2521" s="116">
        <v>1591.95</v>
      </c>
      <c r="R2521">
        <v>138876</v>
      </c>
    </row>
    <row r="2522" spans="1:18" x14ac:dyDescent="0.25">
      <c r="A2522" s="170">
        <v>45715</v>
      </c>
      <c r="B2522" s="116">
        <v>1626.75</v>
      </c>
      <c r="C2522" s="116">
        <v>1567.95</v>
      </c>
      <c r="D2522" s="116">
        <v>1525.9</v>
      </c>
      <c r="E2522" s="116">
        <v>1626.75</v>
      </c>
      <c r="F2522" s="116">
        <v>1567.95</v>
      </c>
      <c r="G2522">
        <v>2322</v>
      </c>
      <c r="H2522" s="116"/>
      <c r="I2522" s="116"/>
      <c r="L2522" s="170">
        <v>45715</v>
      </c>
      <c r="M2522" s="116">
        <v>1577.8</v>
      </c>
      <c r="N2522" s="116">
        <v>1602.3</v>
      </c>
      <c r="O2522" s="116">
        <v>1524.85</v>
      </c>
      <c r="P2522" s="116">
        <v>1602.3</v>
      </c>
      <c r="Q2522" s="116">
        <v>1577.8</v>
      </c>
      <c r="R2522">
        <v>135470</v>
      </c>
    </row>
    <row r="2523" spans="1:18" x14ac:dyDescent="0.25">
      <c r="A2523" s="170">
        <v>45716</v>
      </c>
      <c r="B2523" s="116">
        <v>1661.45</v>
      </c>
      <c r="C2523" s="116">
        <v>1646.1</v>
      </c>
      <c r="D2523" s="116">
        <v>1526.9</v>
      </c>
      <c r="E2523" s="116">
        <v>1531.65</v>
      </c>
      <c r="F2523" s="116">
        <v>1646.1</v>
      </c>
      <c r="G2523">
        <v>4409</v>
      </c>
      <c r="H2523" s="116"/>
      <c r="I2523" s="116"/>
      <c r="L2523" s="170">
        <v>45716</v>
      </c>
      <c r="M2523" s="116">
        <v>1644.35</v>
      </c>
      <c r="N2523" s="116">
        <v>1667.2</v>
      </c>
      <c r="O2523" s="116">
        <v>1525.25</v>
      </c>
      <c r="P2523" s="116">
        <v>1577.5</v>
      </c>
      <c r="Q2523" s="116">
        <v>1644.35</v>
      </c>
      <c r="R2523">
        <v>216953</v>
      </c>
    </row>
    <row r="2524" spans="1:18" x14ac:dyDescent="0.25">
      <c r="A2524" s="170">
        <v>45719</v>
      </c>
      <c r="B2524" s="116">
        <v>1644.35</v>
      </c>
      <c r="C2524" s="116">
        <v>1596.9</v>
      </c>
      <c r="D2524" s="116">
        <v>1572.05</v>
      </c>
      <c r="E2524" s="116">
        <v>1580.5</v>
      </c>
      <c r="F2524" s="116">
        <v>1596.9</v>
      </c>
      <c r="G2524">
        <v>5482</v>
      </c>
      <c r="H2524" s="116"/>
      <c r="I2524" s="116"/>
      <c r="L2524" s="170">
        <v>45719</v>
      </c>
      <c r="M2524" s="116">
        <v>1598.75</v>
      </c>
      <c r="N2524" s="116">
        <v>1646.8</v>
      </c>
      <c r="O2524" s="116">
        <v>1571</v>
      </c>
      <c r="P2524" s="116">
        <v>1640</v>
      </c>
      <c r="Q2524" s="116">
        <v>1598.75</v>
      </c>
      <c r="R2524">
        <v>160834</v>
      </c>
    </row>
    <row r="2525" spans="1:18" x14ac:dyDescent="0.25">
      <c r="A2525" s="170">
        <v>45720</v>
      </c>
      <c r="B2525" s="116">
        <v>1621.8</v>
      </c>
      <c r="C2525" s="116">
        <v>1608.5</v>
      </c>
      <c r="D2525" s="116">
        <v>1583.7</v>
      </c>
      <c r="E2525" s="116">
        <v>1607.45</v>
      </c>
      <c r="F2525" s="116">
        <v>1608.5</v>
      </c>
      <c r="G2525">
        <v>1826</v>
      </c>
      <c r="H2525" s="116"/>
      <c r="I2525" s="116"/>
      <c r="L2525" s="170">
        <v>45720</v>
      </c>
      <c r="M2525" s="116">
        <v>1606.85</v>
      </c>
      <c r="N2525" s="116">
        <v>1623.2</v>
      </c>
      <c r="O2525" s="116">
        <v>1582.9</v>
      </c>
      <c r="P2525" s="116">
        <v>1595.55</v>
      </c>
      <c r="Q2525" s="116">
        <v>1606.85</v>
      </c>
      <c r="R2525">
        <v>59405</v>
      </c>
    </row>
    <row r="2526" spans="1:18" x14ac:dyDescent="0.25">
      <c r="A2526" s="170">
        <v>45721</v>
      </c>
      <c r="B2526" s="116">
        <v>1649.9</v>
      </c>
      <c r="C2526" s="116">
        <v>1644.7</v>
      </c>
      <c r="D2526" s="116">
        <v>1604.05</v>
      </c>
      <c r="E2526" s="116">
        <v>1620.9</v>
      </c>
      <c r="F2526" s="116">
        <v>1644.7</v>
      </c>
      <c r="G2526">
        <v>2595</v>
      </c>
      <c r="H2526" s="116"/>
      <c r="I2526" s="116"/>
      <c r="L2526" s="170">
        <v>45721</v>
      </c>
      <c r="M2526" s="116">
        <v>1643.65</v>
      </c>
      <c r="N2526" s="116">
        <v>1650</v>
      </c>
      <c r="O2526" s="116">
        <v>1605.05</v>
      </c>
      <c r="P2526" s="116">
        <v>1614</v>
      </c>
      <c r="Q2526" s="116">
        <v>1643.65</v>
      </c>
      <c r="R2526">
        <v>72961</v>
      </c>
    </row>
    <row r="2527" spans="1:18" x14ac:dyDescent="0.25">
      <c r="A2527" s="170">
        <v>45722</v>
      </c>
      <c r="B2527" s="116">
        <v>1663</v>
      </c>
      <c r="C2527" s="116">
        <v>1592.9</v>
      </c>
      <c r="D2527" s="116">
        <v>1577</v>
      </c>
      <c r="E2527" s="116">
        <v>1615.7</v>
      </c>
      <c r="F2527" s="116">
        <v>1592.9</v>
      </c>
      <c r="G2527">
        <v>4318</v>
      </c>
      <c r="H2527" s="116"/>
      <c r="I2527" s="116"/>
      <c r="L2527" s="170">
        <v>45722</v>
      </c>
      <c r="M2527" s="116">
        <v>1592.15</v>
      </c>
      <c r="N2527" s="116">
        <v>1667</v>
      </c>
      <c r="O2527" s="116">
        <v>1576.5</v>
      </c>
      <c r="P2527" s="116">
        <v>1652.3</v>
      </c>
      <c r="Q2527" s="116">
        <v>1592.15</v>
      </c>
      <c r="R2527">
        <v>168550</v>
      </c>
    </row>
    <row r="2528" spans="1:18" x14ac:dyDescent="0.25">
      <c r="A2528" s="170">
        <v>45723</v>
      </c>
      <c r="B2528" s="116">
        <v>1610.3</v>
      </c>
      <c r="C2528" s="116">
        <v>1577.4</v>
      </c>
      <c r="D2528" s="116">
        <v>1571.6</v>
      </c>
      <c r="E2528" s="116">
        <v>1592.15</v>
      </c>
      <c r="F2528" s="116">
        <v>1577.4</v>
      </c>
      <c r="G2528">
        <v>3639</v>
      </c>
      <c r="H2528" s="116"/>
      <c r="I2528" s="116"/>
      <c r="L2528" s="170">
        <v>45723</v>
      </c>
      <c r="M2528" s="116">
        <v>1578.25</v>
      </c>
      <c r="N2528" s="116">
        <v>1611.9</v>
      </c>
      <c r="O2528" s="116">
        <v>1572.4</v>
      </c>
      <c r="P2528" s="116">
        <v>1593.6</v>
      </c>
      <c r="Q2528" s="116">
        <v>1578.25</v>
      </c>
      <c r="R2528">
        <v>65606</v>
      </c>
    </row>
    <row r="2529" spans="1:18" x14ac:dyDescent="0.25">
      <c r="A2529" s="170">
        <v>45726</v>
      </c>
      <c r="B2529" s="116">
        <v>1606.45</v>
      </c>
      <c r="C2529" s="116">
        <v>1590.6</v>
      </c>
      <c r="D2529" s="116">
        <v>1582</v>
      </c>
      <c r="E2529" s="116">
        <v>1596.65</v>
      </c>
      <c r="F2529" s="116">
        <v>1590.6</v>
      </c>
      <c r="G2529">
        <v>2717</v>
      </c>
      <c r="H2529" s="116"/>
      <c r="I2529" s="116"/>
      <c r="L2529" s="170">
        <v>45726</v>
      </c>
      <c r="M2529" s="116">
        <v>1590.8</v>
      </c>
      <c r="N2529" s="116">
        <v>1608</v>
      </c>
      <c r="O2529" s="116">
        <v>1581.4</v>
      </c>
      <c r="P2529" s="116">
        <v>1592.95</v>
      </c>
      <c r="Q2529" s="116">
        <v>1590.8</v>
      </c>
      <c r="R2529">
        <v>54717</v>
      </c>
    </row>
    <row r="2530" spans="1:18" x14ac:dyDescent="0.25">
      <c r="A2530" s="170">
        <v>45727</v>
      </c>
      <c r="B2530" s="116">
        <v>1585.75</v>
      </c>
      <c r="C2530" s="116">
        <v>1571.4</v>
      </c>
      <c r="D2530" s="116">
        <v>1540.6</v>
      </c>
      <c r="E2530" s="116">
        <v>1576.05</v>
      </c>
      <c r="F2530" s="116">
        <v>1571.4</v>
      </c>
      <c r="G2530">
        <v>2607</v>
      </c>
      <c r="H2530" s="116"/>
      <c r="I2530" s="116"/>
      <c r="L2530" s="170">
        <v>45727</v>
      </c>
      <c r="M2530" s="116">
        <v>1568.1</v>
      </c>
      <c r="N2530" s="116">
        <v>1593.25</v>
      </c>
      <c r="O2530" s="116">
        <v>1536.4</v>
      </c>
      <c r="P2530" s="116">
        <v>1575.05</v>
      </c>
      <c r="Q2530" s="116">
        <v>1568.1</v>
      </c>
      <c r="R2530">
        <v>70455</v>
      </c>
    </row>
    <row r="2531" spans="1:18" x14ac:dyDescent="0.25">
      <c r="A2531" s="170">
        <v>45728</v>
      </c>
      <c r="B2531" s="116">
        <v>1572</v>
      </c>
      <c r="C2531" s="116">
        <v>1504.7</v>
      </c>
      <c r="D2531" s="116">
        <v>1500</v>
      </c>
      <c r="E2531" s="116">
        <v>1572</v>
      </c>
      <c r="F2531" s="116">
        <v>1504.7</v>
      </c>
      <c r="G2531">
        <v>4591</v>
      </c>
      <c r="H2531" s="116"/>
      <c r="I2531" s="116"/>
      <c r="L2531" s="170">
        <v>45728</v>
      </c>
      <c r="M2531" s="116">
        <v>1504.4</v>
      </c>
      <c r="N2531" s="116">
        <v>1578.3</v>
      </c>
      <c r="O2531" s="116">
        <v>1497.55</v>
      </c>
      <c r="P2531" s="116">
        <v>1576</v>
      </c>
      <c r="Q2531" s="116">
        <v>1504.4</v>
      </c>
      <c r="R2531">
        <v>86006</v>
      </c>
    </row>
    <row r="2532" spans="1:18" x14ac:dyDescent="0.25">
      <c r="A2532" s="170">
        <v>45729</v>
      </c>
      <c r="B2532" s="116">
        <v>1550</v>
      </c>
      <c r="C2532" s="116">
        <v>1518</v>
      </c>
      <c r="D2532" s="116">
        <v>1434.85</v>
      </c>
      <c r="E2532" s="116">
        <v>1529.9</v>
      </c>
      <c r="F2532" s="116">
        <v>1518</v>
      </c>
      <c r="G2532">
        <v>14314</v>
      </c>
      <c r="H2532" s="116"/>
      <c r="I2532" s="116"/>
      <c r="L2532" s="170">
        <v>45729</v>
      </c>
      <c r="M2532" s="116">
        <v>1517.8</v>
      </c>
      <c r="N2532" s="116">
        <v>1551</v>
      </c>
      <c r="O2532" s="116">
        <v>1433.6</v>
      </c>
      <c r="P2532" s="116">
        <v>1514.2</v>
      </c>
      <c r="Q2532" s="116">
        <v>1517.8</v>
      </c>
      <c r="R2532">
        <v>270129</v>
      </c>
    </row>
    <row r="2533" spans="1:18" x14ac:dyDescent="0.25">
      <c r="A2533" s="170">
        <v>45733</v>
      </c>
      <c r="B2533" s="116">
        <v>1544.7</v>
      </c>
      <c r="C2533" s="116">
        <v>1522.55</v>
      </c>
      <c r="D2533" s="116">
        <v>1502</v>
      </c>
      <c r="E2533" s="116">
        <v>1527.7</v>
      </c>
      <c r="F2533" s="116">
        <v>1522.55</v>
      </c>
      <c r="G2533">
        <v>5826</v>
      </c>
      <c r="H2533" s="116"/>
      <c r="I2533" s="116"/>
      <c r="L2533" s="170">
        <v>45733</v>
      </c>
      <c r="M2533" s="116">
        <v>1522.25</v>
      </c>
      <c r="N2533" s="116">
        <v>1547.95</v>
      </c>
      <c r="O2533" s="116">
        <v>1498.2</v>
      </c>
      <c r="P2533" s="116">
        <v>1544</v>
      </c>
      <c r="Q2533" s="116">
        <v>1522.25</v>
      </c>
      <c r="R2533">
        <v>78258</v>
      </c>
    </row>
    <row r="2534" spans="1:18" x14ac:dyDescent="0.25">
      <c r="A2534" s="170">
        <v>45734</v>
      </c>
      <c r="B2534" s="116">
        <v>1622.55</v>
      </c>
      <c r="C2534" s="116">
        <v>1587.85</v>
      </c>
      <c r="D2534" s="116">
        <v>1507.05</v>
      </c>
      <c r="E2534" s="116">
        <v>1543.95</v>
      </c>
      <c r="F2534" s="116">
        <v>1587.85</v>
      </c>
      <c r="G2534">
        <v>9881</v>
      </c>
      <c r="H2534" s="116"/>
      <c r="I2534" s="116"/>
      <c r="L2534" s="170">
        <v>45734</v>
      </c>
      <c r="M2534" s="116">
        <v>1590.3</v>
      </c>
      <c r="N2534" s="116">
        <v>1625</v>
      </c>
      <c r="O2534" s="116">
        <v>1506.25</v>
      </c>
      <c r="P2534" s="116">
        <v>1530.3</v>
      </c>
      <c r="Q2534" s="116">
        <v>1590.3</v>
      </c>
      <c r="R2534">
        <v>189690</v>
      </c>
    </row>
    <row r="2535" spans="1:18" x14ac:dyDescent="0.25">
      <c r="A2535" s="170">
        <v>45735</v>
      </c>
      <c r="B2535" s="116">
        <v>1607.95</v>
      </c>
      <c r="C2535" s="116">
        <v>1597.95</v>
      </c>
      <c r="D2535" s="116">
        <v>1569.1</v>
      </c>
      <c r="E2535" s="116">
        <v>1607.95</v>
      </c>
      <c r="F2535" s="116">
        <v>1597.95</v>
      </c>
      <c r="G2535">
        <v>3785</v>
      </c>
      <c r="H2535" s="116"/>
      <c r="I2535" s="116"/>
      <c r="L2535" s="170">
        <v>45735</v>
      </c>
      <c r="M2535" s="116">
        <v>1599.35</v>
      </c>
      <c r="N2535" s="116">
        <v>1603.7</v>
      </c>
      <c r="O2535" s="116">
        <v>1567.75</v>
      </c>
      <c r="P2535" s="116">
        <v>1585</v>
      </c>
      <c r="Q2535" s="116">
        <v>1599.35</v>
      </c>
      <c r="R2535">
        <v>86979</v>
      </c>
    </row>
    <row r="2536" spans="1:18" x14ac:dyDescent="0.25">
      <c r="A2536" s="170">
        <v>45736</v>
      </c>
      <c r="B2536" s="116">
        <v>1634</v>
      </c>
      <c r="C2536" s="116">
        <v>1629.55</v>
      </c>
      <c r="D2536" s="116">
        <v>1605.6</v>
      </c>
      <c r="E2536" s="116">
        <v>1609.6</v>
      </c>
      <c r="F2536" s="116">
        <v>1629.55</v>
      </c>
      <c r="G2536">
        <v>2074</v>
      </c>
      <c r="H2536" s="116"/>
      <c r="I2536" s="116"/>
      <c r="L2536" s="170">
        <v>45736</v>
      </c>
      <c r="M2536" s="116">
        <v>1630</v>
      </c>
      <c r="N2536" s="116">
        <v>1635</v>
      </c>
      <c r="O2536" s="116">
        <v>1604.55</v>
      </c>
      <c r="P2536" s="116">
        <v>1615.3</v>
      </c>
      <c r="Q2536" s="116">
        <v>1630</v>
      </c>
      <c r="R2536">
        <v>110381</v>
      </c>
    </row>
    <row r="2537" spans="1:18" x14ac:dyDescent="0.25">
      <c r="A2537" s="170">
        <v>45737</v>
      </c>
      <c r="B2537" s="116">
        <v>1664</v>
      </c>
      <c r="C2537" s="116">
        <v>1652.15</v>
      </c>
      <c r="D2537" s="116">
        <v>1620.6</v>
      </c>
      <c r="E2537" s="116">
        <v>1626</v>
      </c>
      <c r="F2537" s="116">
        <v>1652.15</v>
      </c>
      <c r="G2537">
        <v>2488</v>
      </c>
      <c r="H2537" s="116"/>
      <c r="I2537" s="116"/>
      <c r="L2537" s="170">
        <v>45737</v>
      </c>
      <c r="M2537" s="116">
        <v>1650.3</v>
      </c>
      <c r="N2537" s="116">
        <v>1665</v>
      </c>
      <c r="O2537" s="116">
        <v>1620.05</v>
      </c>
      <c r="P2537" s="116">
        <v>1630</v>
      </c>
      <c r="Q2537" s="116">
        <v>1650.3</v>
      </c>
      <c r="R2537">
        <v>120812</v>
      </c>
    </row>
    <row r="2538" spans="1:18" x14ac:dyDescent="0.25">
      <c r="A2538" s="170">
        <v>45740</v>
      </c>
      <c r="B2538" s="116">
        <v>1694.65</v>
      </c>
      <c r="C2538" s="116">
        <v>1677.75</v>
      </c>
      <c r="D2538" s="116">
        <v>1652.1</v>
      </c>
      <c r="E2538" s="116">
        <v>1652.1</v>
      </c>
      <c r="F2538" s="116">
        <v>1677.75</v>
      </c>
      <c r="G2538">
        <v>5942</v>
      </c>
      <c r="H2538" s="116"/>
      <c r="I2538" s="116"/>
      <c r="L2538" s="170">
        <v>45740</v>
      </c>
      <c r="M2538" s="116">
        <v>1679.65</v>
      </c>
      <c r="N2538" s="116">
        <v>1694.7</v>
      </c>
      <c r="O2538" s="116">
        <v>1650.3</v>
      </c>
      <c r="P2538" s="116">
        <v>1650.3</v>
      </c>
      <c r="Q2538" s="116">
        <v>1679.65</v>
      </c>
      <c r="R2538">
        <v>98495</v>
      </c>
    </row>
    <row r="2539" spans="1:18" x14ac:dyDescent="0.25">
      <c r="A2539" s="170">
        <v>45741</v>
      </c>
      <c r="B2539" s="116">
        <v>1748</v>
      </c>
      <c r="C2539" s="116">
        <v>1725.7</v>
      </c>
      <c r="D2539" s="116">
        <v>1667.1</v>
      </c>
      <c r="E2539" s="116">
        <v>1690.05</v>
      </c>
      <c r="F2539" s="116">
        <v>1725.7</v>
      </c>
      <c r="G2539">
        <v>2361</v>
      </c>
      <c r="H2539" s="116"/>
      <c r="I2539" s="116"/>
      <c r="L2539" s="170">
        <v>45741</v>
      </c>
      <c r="M2539" s="116">
        <v>1730.4</v>
      </c>
      <c r="N2539" s="116">
        <v>1747.5</v>
      </c>
      <c r="O2539" s="116">
        <v>1666</v>
      </c>
      <c r="P2539" s="116">
        <v>1694.8</v>
      </c>
      <c r="Q2539" s="116">
        <v>1730.4</v>
      </c>
      <c r="R2539">
        <v>160293</v>
      </c>
    </row>
    <row r="2540" spans="1:18" x14ac:dyDescent="0.25">
      <c r="A2540" s="170">
        <v>45742</v>
      </c>
      <c r="B2540" s="116">
        <v>1748.95</v>
      </c>
      <c r="C2540" s="116">
        <v>1703.4</v>
      </c>
      <c r="D2540" s="116">
        <v>1690.05</v>
      </c>
      <c r="E2540" s="116">
        <v>1748.95</v>
      </c>
      <c r="F2540" s="116">
        <v>1703.4</v>
      </c>
      <c r="G2540">
        <v>1965</v>
      </c>
      <c r="H2540" s="116"/>
      <c r="I2540" s="116"/>
      <c r="L2540" s="170">
        <v>45742</v>
      </c>
      <c r="M2540" s="116">
        <v>1708.75</v>
      </c>
      <c r="N2540" s="116">
        <v>1739.5</v>
      </c>
      <c r="O2540" s="116">
        <v>1689.65</v>
      </c>
      <c r="P2540" s="116">
        <v>1733.7</v>
      </c>
      <c r="Q2540" s="116">
        <v>1708.75</v>
      </c>
      <c r="R2540">
        <v>75510</v>
      </c>
    </row>
    <row r="2541" spans="1:18" x14ac:dyDescent="0.25">
      <c r="A2541" s="170">
        <v>45743</v>
      </c>
      <c r="B2541" s="116">
        <v>1637</v>
      </c>
      <c r="C2541" s="116">
        <v>1614.75</v>
      </c>
      <c r="D2541" s="116">
        <v>1576.05</v>
      </c>
      <c r="E2541" s="116">
        <v>1637</v>
      </c>
      <c r="F2541" s="116">
        <v>1614.75</v>
      </c>
      <c r="G2541">
        <v>189614</v>
      </c>
      <c r="H2541" s="116"/>
      <c r="I2541" s="116"/>
      <c r="L2541" s="170">
        <v>45743</v>
      </c>
      <c r="M2541" s="116">
        <v>1615.7</v>
      </c>
      <c r="N2541" s="116">
        <v>1636</v>
      </c>
      <c r="O2541" s="116">
        <v>1576.7</v>
      </c>
      <c r="P2541" s="116">
        <v>1636</v>
      </c>
      <c r="Q2541" s="116">
        <v>1615.7</v>
      </c>
      <c r="R2541">
        <v>11272245</v>
      </c>
    </row>
    <row r="2542" spans="1:18" x14ac:dyDescent="0.25">
      <c r="A2542" s="170">
        <v>45744</v>
      </c>
      <c r="B2542" s="116">
        <v>1666</v>
      </c>
      <c r="C2542" s="116">
        <v>1622.2</v>
      </c>
      <c r="D2542" s="116">
        <v>1618.75</v>
      </c>
      <c r="E2542" s="116">
        <v>1629.35</v>
      </c>
      <c r="F2542" s="116">
        <v>1622.2</v>
      </c>
      <c r="G2542">
        <v>3748</v>
      </c>
      <c r="H2542" s="116"/>
      <c r="I2542" s="116"/>
      <c r="L2542" s="170">
        <v>45744</v>
      </c>
      <c r="M2542" s="116">
        <v>1623.2</v>
      </c>
      <c r="N2542" s="116">
        <v>1668.95</v>
      </c>
      <c r="O2542" s="116">
        <v>1615</v>
      </c>
      <c r="P2542" s="116">
        <v>1625</v>
      </c>
      <c r="Q2542" s="116">
        <v>1623.2</v>
      </c>
      <c r="R2542">
        <v>221794</v>
      </c>
    </row>
    <row r="2543" spans="1:18" x14ac:dyDescent="0.25">
      <c r="A2543" s="170">
        <v>45748</v>
      </c>
      <c r="B2543" s="116">
        <v>1622.9</v>
      </c>
      <c r="C2543" s="116">
        <v>1550.1</v>
      </c>
      <c r="D2543" s="116">
        <v>1520</v>
      </c>
      <c r="E2543" s="116">
        <v>1622.9</v>
      </c>
      <c r="F2543" s="116">
        <v>1550.1</v>
      </c>
      <c r="G2543">
        <v>9501</v>
      </c>
      <c r="H2543" s="116"/>
      <c r="I2543" s="116"/>
      <c r="L2543" s="170">
        <v>45748</v>
      </c>
      <c r="M2543" s="116">
        <v>1550.4</v>
      </c>
      <c r="N2543" s="116">
        <v>1630</v>
      </c>
      <c r="O2543" s="116">
        <v>1516.85</v>
      </c>
      <c r="P2543" s="116">
        <v>1620</v>
      </c>
      <c r="Q2543" s="116">
        <v>1550.4</v>
      </c>
      <c r="R2543">
        <v>1023997</v>
      </c>
    </row>
    <row r="2544" spans="1:18" x14ac:dyDescent="0.25">
      <c r="A2544" s="170">
        <v>45749</v>
      </c>
      <c r="B2544" s="116">
        <v>1575</v>
      </c>
      <c r="C2544" s="116">
        <v>1567.95</v>
      </c>
      <c r="D2544" s="116">
        <v>1515</v>
      </c>
      <c r="E2544" s="116">
        <v>1564.9</v>
      </c>
      <c r="F2544" s="116">
        <v>1567.95</v>
      </c>
      <c r="G2544">
        <v>5571</v>
      </c>
      <c r="H2544" s="116"/>
      <c r="I2544" s="116"/>
      <c r="L2544" s="170">
        <v>45749</v>
      </c>
      <c r="M2544" s="116">
        <v>1566.7</v>
      </c>
      <c r="N2544" s="116">
        <v>1576.5</v>
      </c>
      <c r="O2544" s="116">
        <v>1512.85</v>
      </c>
      <c r="P2544" s="116">
        <v>1564.9</v>
      </c>
      <c r="Q2544" s="116">
        <v>1566.7</v>
      </c>
      <c r="R2544">
        <v>187477</v>
      </c>
    </row>
    <row r="2545" spans="1:18" x14ac:dyDescent="0.25">
      <c r="A2545" s="170">
        <v>45750</v>
      </c>
      <c r="B2545" s="116">
        <v>1595.95</v>
      </c>
      <c r="C2545" s="116">
        <v>1581.05</v>
      </c>
      <c r="D2545" s="116">
        <v>1549.3</v>
      </c>
      <c r="E2545" s="116">
        <v>1550</v>
      </c>
      <c r="F2545" s="116">
        <v>1581.05</v>
      </c>
      <c r="G2545">
        <v>6308</v>
      </c>
      <c r="H2545" s="116"/>
      <c r="I2545" s="116"/>
      <c r="L2545" s="170">
        <v>45750</v>
      </c>
      <c r="M2545" s="116">
        <v>1580.6</v>
      </c>
      <c r="N2545" s="116">
        <v>1597</v>
      </c>
      <c r="O2545" s="116">
        <v>1534</v>
      </c>
      <c r="P2545" s="116">
        <v>1567.8</v>
      </c>
      <c r="Q2545" s="116">
        <v>1580.6</v>
      </c>
      <c r="R2545">
        <v>344997</v>
      </c>
    </row>
    <row r="2546" spans="1:18" x14ac:dyDescent="0.25">
      <c r="A2546" s="170">
        <v>45751</v>
      </c>
      <c r="B2546" s="116">
        <v>1578</v>
      </c>
      <c r="C2546" s="116">
        <v>1529.35</v>
      </c>
      <c r="D2546" s="116">
        <v>1507.4</v>
      </c>
      <c r="E2546" s="116">
        <v>1563.35</v>
      </c>
      <c r="F2546" s="116">
        <v>1529.35</v>
      </c>
      <c r="G2546">
        <v>8887</v>
      </c>
      <c r="H2546" s="116"/>
      <c r="I2546" s="116"/>
      <c r="L2546" s="170">
        <v>45751</v>
      </c>
      <c r="M2546" s="116">
        <v>1529.35</v>
      </c>
      <c r="N2546" s="116">
        <v>1583.7</v>
      </c>
      <c r="O2546" s="116">
        <v>1508.15</v>
      </c>
      <c r="P2546" s="116">
        <v>1580.95</v>
      </c>
      <c r="Q2546" s="116">
        <v>1529.35</v>
      </c>
      <c r="R2546">
        <v>534347</v>
      </c>
    </row>
    <row r="2547" spans="1:18" x14ac:dyDescent="0.25">
      <c r="A2547" s="170">
        <v>45754</v>
      </c>
      <c r="B2547" s="116">
        <v>1537</v>
      </c>
      <c r="C2547" s="116">
        <v>1518.2</v>
      </c>
      <c r="D2547" s="116">
        <v>1303</v>
      </c>
      <c r="E2547" s="116">
        <v>1303</v>
      </c>
      <c r="F2547" s="116">
        <v>1518.2</v>
      </c>
      <c r="G2547">
        <v>13760</v>
      </c>
      <c r="H2547" s="116"/>
      <c r="I2547" s="116"/>
      <c r="L2547" s="170">
        <v>45754</v>
      </c>
      <c r="M2547" s="116">
        <v>1517.85</v>
      </c>
      <c r="N2547" s="116">
        <v>1544.4</v>
      </c>
      <c r="O2547" s="116">
        <v>1385.75</v>
      </c>
      <c r="P2547" s="116">
        <v>1401.15</v>
      </c>
      <c r="Q2547" s="116">
        <v>1517.85</v>
      </c>
      <c r="R2547">
        <v>407317</v>
      </c>
    </row>
    <row r="2548" spans="1:18" x14ac:dyDescent="0.25">
      <c r="A2548" s="170">
        <v>45755</v>
      </c>
      <c r="B2548" s="116">
        <v>1541.55</v>
      </c>
      <c r="C2548" s="116">
        <v>1522.05</v>
      </c>
      <c r="D2548" s="116">
        <v>1504</v>
      </c>
      <c r="E2548" s="116">
        <v>1533</v>
      </c>
      <c r="F2548" s="116">
        <v>1522.05</v>
      </c>
      <c r="G2548">
        <v>4569</v>
      </c>
      <c r="H2548" s="116"/>
      <c r="I2548" s="116"/>
      <c r="L2548" s="170">
        <v>45755</v>
      </c>
      <c r="M2548" s="116">
        <v>1522.55</v>
      </c>
      <c r="N2548" s="116">
        <v>1558.1</v>
      </c>
      <c r="O2548" s="116">
        <v>1504.5</v>
      </c>
      <c r="P2548" s="116">
        <v>1515.05</v>
      </c>
      <c r="Q2548" s="116">
        <v>1522.55</v>
      </c>
      <c r="R2548">
        <v>208661</v>
      </c>
    </row>
    <row r="2549" spans="1:18" x14ac:dyDescent="0.25">
      <c r="A2549" s="170">
        <v>45756</v>
      </c>
      <c r="B2549" s="116">
        <v>1550.85</v>
      </c>
      <c r="C2549" s="116">
        <v>1541.55</v>
      </c>
      <c r="D2549" s="116">
        <v>1510</v>
      </c>
      <c r="E2549" s="116">
        <v>1510</v>
      </c>
      <c r="F2549" s="116">
        <v>1541.55</v>
      </c>
      <c r="G2549">
        <v>2494</v>
      </c>
      <c r="H2549" s="116"/>
      <c r="I2549" s="116"/>
      <c r="L2549" s="170">
        <v>45756</v>
      </c>
      <c r="M2549" s="116">
        <v>1542.5</v>
      </c>
      <c r="N2549" s="116">
        <v>1549.75</v>
      </c>
      <c r="O2549" s="116">
        <v>1509.05</v>
      </c>
      <c r="P2549" s="116">
        <v>1522.5</v>
      </c>
      <c r="Q2549" s="116">
        <v>1542.5</v>
      </c>
      <c r="R2549">
        <v>49752</v>
      </c>
    </row>
    <row r="2550" spans="1:18" x14ac:dyDescent="0.25">
      <c r="A2550" s="170">
        <v>45758</v>
      </c>
      <c r="B2550" s="116">
        <v>1595.15</v>
      </c>
      <c r="C2550" s="116">
        <v>1574.45</v>
      </c>
      <c r="D2550" s="116">
        <v>1538.2</v>
      </c>
      <c r="E2550" s="116">
        <v>1554.55</v>
      </c>
      <c r="F2550" s="116">
        <v>1574.45</v>
      </c>
      <c r="G2550">
        <v>4017</v>
      </c>
      <c r="H2550" s="116"/>
      <c r="I2550" s="116"/>
      <c r="L2550" s="170">
        <v>45758</v>
      </c>
      <c r="M2550" s="116">
        <v>1571.6</v>
      </c>
      <c r="N2550" s="116">
        <v>1595.95</v>
      </c>
      <c r="O2550" s="116">
        <v>1534</v>
      </c>
      <c r="P2550" s="116">
        <v>1540</v>
      </c>
      <c r="Q2550" s="116">
        <v>1571.6</v>
      </c>
      <c r="R2550">
        <v>133557</v>
      </c>
    </row>
    <row r="2551" spans="1:18" x14ac:dyDescent="0.25">
      <c r="A2551" s="170">
        <v>45762</v>
      </c>
      <c r="B2551" s="116">
        <v>1601.95</v>
      </c>
      <c r="C2551" s="116">
        <v>1590.95</v>
      </c>
      <c r="D2551" s="116">
        <v>1571.7</v>
      </c>
      <c r="E2551" s="116">
        <v>1577</v>
      </c>
      <c r="F2551" s="116">
        <v>1590.95</v>
      </c>
      <c r="G2551">
        <v>2820</v>
      </c>
      <c r="H2551" s="116"/>
      <c r="I2551" s="116"/>
      <c r="L2551" s="170">
        <v>45762</v>
      </c>
      <c r="M2551" s="116">
        <v>1591.5</v>
      </c>
      <c r="N2551" s="116">
        <v>1605</v>
      </c>
      <c r="O2551" s="116">
        <v>1572</v>
      </c>
      <c r="P2551" s="116">
        <v>1585.9</v>
      </c>
      <c r="Q2551" s="116">
        <v>1591.5</v>
      </c>
      <c r="R2551">
        <v>96246</v>
      </c>
    </row>
    <row r="2552" spans="1:18" x14ac:dyDescent="0.25">
      <c r="A2552" s="170">
        <v>45763</v>
      </c>
      <c r="B2552" s="116">
        <v>1634.3</v>
      </c>
      <c r="C2552" s="116">
        <v>1627.15</v>
      </c>
      <c r="D2552" s="116">
        <v>1587.7</v>
      </c>
      <c r="E2552" s="116">
        <v>1587.7</v>
      </c>
      <c r="F2552" s="116">
        <v>1627.15</v>
      </c>
      <c r="G2552">
        <v>2044</v>
      </c>
      <c r="H2552" s="116"/>
      <c r="I2552" s="116"/>
      <c r="L2552" s="170">
        <v>45763</v>
      </c>
      <c r="M2552" s="116">
        <v>1628</v>
      </c>
      <c r="N2552" s="116">
        <v>1634.7</v>
      </c>
      <c r="O2552" s="116">
        <v>1580.8</v>
      </c>
      <c r="P2552" s="116">
        <v>1601</v>
      </c>
      <c r="Q2552" s="116">
        <v>1628</v>
      </c>
      <c r="R2552">
        <v>86953</v>
      </c>
    </row>
    <row r="2553" spans="1:18" x14ac:dyDescent="0.25">
      <c r="A2553" s="170">
        <v>45764</v>
      </c>
      <c r="B2553" s="116">
        <v>1658</v>
      </c>
      <c r="C2553" s="116">
        <v>1645.25</v>
      </c>
      <c r="D2553" s="116">
        <v>1599.05</v>
      </c>
      <c r="E2553" s="116">
        <v>1628.2</v>
      </c>
      <c r="F2553" s="116">
        <v>1645.25</v>
      </c>
      <c r="G2553">
        <v>2796</v>
      </c>
      <c r="H2553" s="116"/>
      <c r="I2553" s="116"/>
      <c r="L2553" s="170">
        <v>45764</v>
      </c>
      <c r="M2553" s="116">
        <v>1646.3</v>
      </c>
      <c r="N2553" s="116">
        <v>1658.9</v>
      </c>
      <c r="O2553" s="116">
        <v>1600.1</v>
      </c>
      <c r="P2553" s="116">
        <v>1643</v>
      </c>
      <c r="Q2553" s="116">
        <v>1646.3</v>
      </c>
      <c r="R2553">
        <v>104550</v>
      </c>
    </row>
    <row r="2554" spans="1:18" x14ac:dyDescent="0.25">
      <c r="A2554" s="170">
        <v>45768</v>
      </c>
      <c r="B2554" s="116">
        <v>1680</v>
      </c>
      <c r="C2554" s="116">
        <v>1651.9</v>
      </c>
      <c r="D2554" s="116">
        <v>1647.05</v>
      </c>
      <c r="E2554" s="116">
        <v>1667.95</v>
      </c>
      <c r="F2554" s="116">
        <v>1651.9</v>
      </c>
      <c r="G2554">
        <v>5230</v>
      </c>
      <c r="H2554" s="116"/>
      <c r="I2554" s="116"/>
      <c r="L2554" s="170">
        <v>45768</v>
      </c>
      <c r="M2554" s="116">
        <v>1658.7</v>
      </c>
      <c r="N2554" s="116">
        <v>1682.1</v>
      </c>
      <c r="O2554" s="116">
        <v>1650</v>
      </c>
      <c r="P2554" s="116">
        <v>1660</v>
      </c>
      <c r="Q2554" s="116">
        <v>1658.7</v>
      </c>
      <c r="R2554">
        <v>100109</v>
      </c>
    </row>
    <row r="2555" spans="1:18" x14ac:dyDescent="0.25">
      <c r="A2555" s="170">
        <v>45769</v>
      </c>
      <c r="B2555" s="116">
        <v>1674.95</v>
      </c>
      <c r="C2555" s="116">
        <v>1655.35</v>
      </c>
      <c r="D2555" s="116">
        <v>1644.4</v>
      </c>
      <c r="E2555" s="116">
        <v>1672.85</v>
      </c>
      <c r="F2555" s="116">
        <v>1655.35</v>
      </c>
      <c r="G2555">
        <v>2589</v>
      </c>
      <c r="H2555" s="116"/>
      <c r="I2555" s="116"/>
      <c r="L2555" s="170">
        <v>45769</v>
      </c>
      <c r="M2555" s="116">
        <v>1656</v>
      </c>
      <c r="N2555" s="116">
        <v>1673.9</v>
      </c>
      <c r="O2555" s="116">
        <v>1645</v>
      </c>
      <c r="P2555" s="116">
        <v>1655.7</v>
      </c>
      <c r="Q2555" s="116">
        <v>1656</v>
      </c>
      <c r="R2555">
        <v>73324</v>
      </c>
    </row>
    <row r="2556" spans="1:18" x14ac:dyDescent="0.25">
      <c r="A2556" s="170">
        <v>45770</v>
      </c>
      <c r="B2556" s="116">
        <v>1660</v>
      </c>
      <c r="C2556" s="116">
        <v>1585.85</v>
      </c>
      <c r="D2556" s="116">
        <v>1580</v>
      </c>
      <c r="E2556" s="116">
        <v>1660</v>
      </c>
      <c r="F2556" s="116">
        <v>1585.85</v>
      </c>
      <c r="G2556">
        <v>6400</v>
      </c>
      <c r="H2556" s="116"/>
      <c r="I2556" s="116"/>
      <c r="L2556" s="170">
        <v>45770</v>
      </c>
      <c r="M2556" s="116">
        <v>1585.5</v>
      </c>
      <c r="N2556" s="116">
        <v>1662</v>
      </c>
      <c r="O2556" s="116">
        <v>1578.1</v>
      </c>
      <c r="P2556" s="116">
        <v>1642</v>
      </c>
      <c r="Q2556" s="116">
        <v>1585.5</v>
      </c>
      <c r="R2556">
        <v>331413</v>
      </c>
    </row>
    <row r="2557" spans="1:18" x14ac:dyDescent="0.25">
      <c r="A2557" s="170">
        <v>45771</v>
      </c>
      <c r="B2557" s="116">
        <v>1614.2</v>
      </c>
      <c r="C2557" s="116">
        <v>1609.85</v>
      </c>
      <c r="D2557" s="116">
        <v>1572</v>
      </c>
      <c r="E2557" s="116">
        <v>1594.5</v>
      </c>
      <c r="F2557" s="116">
        <v>1609.85</v>
      </c>
      <c r="G2557">
        <v>7251</v>
      </c>
      <c r="H2557" s="116"/>
      <c r="I2557" s="116"/>
      <c r="L2557" s="170">
        <v>45771</v>
      </c>
      <c r="M2557" s="116">
        <v>1609.1</v>
      </c>
      <c r="N2557" s="116">
        <v>1614</v>
      </c>
      <c r="O2557" s="116">
        <v>1571.6</v>
      </c>
      <c r="P2557" s="116">
        <v>1595</v>
      </c>
      <c r="Q2557" s="116">
        <v>1609.1</v>
      </c>
      <c r="R2557">
        <v>175175</v>
      </c>
    </row>
    <row r="2558" spans="1:18" x14ac:dyDescent="0.25">
      <c r="A2558" s="170">
        <v>45772</v>
      </c>
      <c r="B2558" s="116">
        <v>1621.45</v>
      </c>
      <c r="C2558" s="116">
        <v>1576.05</v>
      </c>
      <c r="D2558" s="116">
        <v>1565</v>
      </c>
      <c r="E2558" s="116">
        <v>1610.05</v>
      </c>
      <c r="F2558" s="116">
        <v>1576.05</v>
      </c>
      <c r="G2558">
        <v>10651</v>
      </c>
      <c r="H2558" s="116"/>
      <c r="I2558" s="116"/>
      <c r="L2558" s="170">
        <v>45772</v>
      </c>
      <c r="M2558" s="116">
        <v>1573.7</v>
      </c>
      <c r="N2558" s="116">
        <v>1622.5</v>
      </c>
      <c r="O2558" s="116">
        <v>1564</v>
      </c>
      <c r="P2558" s="116">
        <v>1614.9</v>
      </c>
      <c r="Q2558" s="116">
        <v>1573.7</v>
      </c>
      <c r="R2558">
        <v>209724</v>
      </c>
    </row>
    <row r="2559" spans="1:18" x14ac:dyDescent="0.25">
      <c r="A2559" s="170">
        <v>45775</v>
      </c>
      <c r="B2559" s="116">
        <v>1605.9</v>
      </c>
      <c r="C2559" s="116">
        <v>1600.45</v>
      </c>
      <c r="D2559" s="116">
        <v>1575</v>
      </c>
      <c r="E2559" s="116">
        <v>1575.05</v>
      </c>
      <c r="F2559" s="116">
        <v>1600.45</v>
      </c>
      <c r="G2559">
        <v>2432</v>
      </c>
      <c r="H2559" s="116"/>
      <c r="I2559" s="116"/>
      <c r="L2559" s="170">
        <v>45775</v>
      </c>
      <c r="M2559" s="116">
        <v>1600.4</v>
      </c>
      <c r="N2559" s="116">
        <v>1606</v>
      </c>
      <c r="O2559" s="116">
        <v>1573.8</v>
      </c>
      <c r="P2559" s="116">
        <v>1576.9</v>
      </c>
      <c r="Q2559" s="116">
        <v>1600.4</v>
      </c>
      <c r="R2559">
        <v>191950</v>
      </c>
    </row>
    <row r="2560" spans="1:18" x14ac:dyDescent="0.25">
      <c r="A2560" s="170">
        <v>45776</v>
      </c>
      <c r="B2560" s="116">
        <v>1612.95</v>
      </c>
      <c r="C2560" s="116">
        <v>1586.4</v>
      </c>
      <c r="D2560" s="116">
        <v>1575.8</v>
      </c>
      <c r="E2560" s="116">
        <v>1612.95</v>
      </c>
      <c r="F2560" s="116">
        <v>1586.4</v>
      </c>
      <c r="G2560">
        <v>5238</v>
      </c>
      <c r="H2560" s="116"/>
      <c r="I2560" s="116"/>
      <c r="L2560" s="170">
        <v>45776</v>
      </c>
      <c r="M2560" s="116">
        <v>1585.5</v>
      </c>
      <c r="N2560" s="116">
        <v>1600.4</v>
      </c>
      <c r="O2560" s="116">
        <v>1575</v>
      </c>
      <c r="P2560" s="116">
        <v>1600.4</v>
      </c>
      <c r="Q2560" s="116">
        <v>1585.5</v>
      </c>
      <c r="R2560">
        <v>148792</v>
      </c>
    </row>
    <row r="2561" spans="1:18" x14ac:dyDescent="0.25">
      <c r="A2561" s="170">
        <v>45777</v>
      </c>
      <c r="B2561" s="116">
        <v>1632</v>
      </c>
      <c r="C2561" s="116">
        <v>1610.25</v>
      </c>
      <c r="D2561" s="116">
        <v>1566.6</v>
      </c>
      <c r="E2561" s="116">
        <v>1585</v>
      </c>
      <c r="F2561" s="116">
        <v>1610.25</v>
      </c>
      <c r="G2561">
        <v>5071</v>
      </c>
      <c r="H2561" s="116"/>
      <c r="I2561" s="116"/>
      <c r="L2561" s="170">
        <v>45777</v>
      </c>
      <c r="M2561" s="116">
        <v>1612.4</v>
      </c>
      <c r="N2561" s="116">
        <v>1633</v>
      </c>
      <c r="O2561" s="116">
        <v>1564.1</v>
      </c>
      <c r="P2561" s="116">
        <v>1585.5</v>
      </c>
      <c r="Q2561" s="116">
        <v>1612.4</v>
      </c>
      <c r="R2561">
        <v>277386</v>
      </c>
    </row>
    <row r="2562" spans="1:18" x14ac:dyDescent="0.25">
      <c r="A2562" s="170">
        <v>45779</v>
      </c>
      <c r="B2562" s="116">
        <v>1627.95</v>
      </c>
      <c r="C2562" s="116">
        <v>1577.15</v>
      </c>
      <c r="D2562" s="116">
        <v>1570</v>
      </c>
      <c r="E2562" s="116">
        <v>1627.95</v>
      </c>
      <c r="F2562" s="116">
        <v>1577.15</v>
      </c>
      <c r="G2562">
        <v>3023</v>
      </c>
      <c r="H2562" s="116"/>
      <c r="I2562" s="116"/>
      <c r="L2562" s="170">
        <v>45779</v>
      </c>
      <c r="M2562" s="116">
        <v>1576.8</v>
      </c>
      <c r="N2562" s="116">
        <v>1627</v>
      </c>
      <c r="O2562" s="116">
        <v>1570.5</v>
      </c>
      <c r="P2562" s="116">
        <v>1619.9</v>
      </c>
      <c r="Q2562" s="116">
        <v>1576.8</v>
      </c>
      <c r="R2562">
        <v>130008</v>
      </c>
    </row>
    <row r="2563" spans="1:18" x14ac:dyDescent="0.25">
      <c r="A2563" s="170">
        <v>45782</v>
      </c>
      <c r="B2563" s="116">
        <v>1582.45</v>
      </c>
      <c r="C2563" s="116">
        <v>1570.15</v>
      </c>
      <c r="D2563" s="116">
        <v>1566.55</v>
      </c>
      <c r="E2563" s="116">
        <v>1571</v>
      </c>
      <c r="F2563" s="116">
        <v>1570.15</v>
      </c>
      <c r="G2563">
        <v>1916</v>
      </c>
      <c r="H2563" s="116"/>
      <c r="I2563" s="116"/>
      <c r="L2563" s="170">
        <v>45782</v>
      </c>
      <c r="M2563" s="116">
        <v>1570</v>
      </c>
      <c r="N2563" s="116">
        <v>1584</v>
      </c>
      <c r="O2563" s="116">
        <v>1565</v>
      </c>
      <c r="P2563" s="116">
        <v>1565</v>
      </c>
      <c r="Q2563" s="116">
        <v>1570</v>
      </c>
      <c r="R2563">
        <v>45108</v>
      </c>
    </row>
    <row r="2564" spans="1:18" x14ac:dyDescent="0.25">
      <c r="A2564" s="170">
        <v>45783</v>
      </c>
      <c r="B2564" s="116">
        <v>1573.5</v>
      </c>
      <c r="C2564" s="116">
        <v>1503.45</v>
      </c>
      <c r="D2564" s="116">
        <v>1495</v>
      </c>
      <c r="E2564" s="116">
        <v>1573.5</v>
      </c>
      <c r="F2564" s="116">
        <v>1503.45</v>
      </c>
      <c r="G2564">
        <v>6119</v>
      </c>
      <c r="H2564" s="116"/>
      <c r="I2564" s="116"/>
      <c r="L2564" s="170">
        <v>45783</v>
      </c>
      <c r="M2564" s="116">
        <v>1504.4</v>
      </c>
      <c r="N2564" s="116">
        <v>1576.8</v>
      </c>
      <c r="O2564" s="116">
        <v>1494.8</v>
      </c>
      <c r="P2564" s="116">
        <v>1570.1</v>
      </c>
      <c r="Q2564" s="116">
        <v>1504.4</v>
      </c>
      <c r="R2564">
        <v>169402</v>
      </c>
    </row>
    <row r="2565" spans="1:18" x14ac:dyDescent="0.25">
      <c r="A2565" s="170">
        <v>45784</v>
      </c>
      <c r="B2565" s="116">
        <v>1549</v>
      </c>
      <c r="C2565" s="116">
        <v>1536.55</v>
      </c>
      <c r="D2565" s="116">
        <v>1500</v>
      </c>
      <c r="E2565" s="116">
        <v>1500</v>
      </c>
      <c r="F2565" s="116">
        <v>1536.55</v>
      </c>
      <c r="G2565">
        <v>4879</v>
      </c>
      <c r="H2565" s="116"/>
      <c r="I2565" s="116"/>
      <c r="L2565" s="170">
        <v>45784</v>
      </c>
      <c r="M2565" s="116">
        <v>1536.8</v>
      </c>
      <c r="N2565" s="116">
        <v>1547.9</v>
      </c>
      <c r="O2565" s="116">
        <v>1496.1</v>
      </c>
      <c r="P2565" s="116">
        <v>1500.4</v>
      </c>
      <c r="Q2565" s="116">
        <v>1536.8</v>
      </c>
      <c r="R2565">
        <v>72217</v>
      </c>
    </row>
    <row r="2566" spans="1:18" x14ac:dyDescent="0.25">
      <c r="A2566" s="170">
        <v>45785</v>
      </c>
      <c r="B2566" s="116">
        <v>1560.35</v>
      </c>
      <c r="C2566" s="116">
        <v>1536.9</v>
      </c>
      <c r="D2566" s="116">
        <v>1531.65</v>
      </c>
      <c r="E2566" s="116">
        <v>1549.4</v>
      </c>
      <c r="F2566" s="116">
        <v>1536.9</v>
      </c>
      <c r="G2566">
        <v>1479</v>
      </c>
      <c r="H2566" s="116"/>
      <c r="I2566" s="116"/>
      <c r="L2566" s="170">
        <v>45785</v>
      </c>
      <c r="M2566" s="116">
        <v>1544</v>
      </c>
      <c r="N2566" s="116">
        <v>1561.7</v>
      </c>
      <c r="O2566" s="116">
        <v>1533</v>
      </c>
      <c r="P2566" s="116">
        <v>1545</v>
      </c>
      <c r="Q2566" s="116">
        <v>1544</v>
      </c>
      <c r="R2566">
        <v>88590</v>
      </c>
    </row>
    <row r="2567" spans="1:18" x14ac:dyDescent="0.25">
      <c r="A2567" s="170">
        <v>45786</v>
      </c>
      <c r="B2567" s="116">
        <v>1553.55</v>
      </c>
      <c r="C2567" s="116">
        <v>1527.3</v>
      </c>
      <c r="D2567" s="116">
        <v>1510.05</v>
      </c>
      <c r="E2567" s="116">
        <v>1510.05</v>
      </c>
      <c r="F2567" s="116">
        <v>1527.3</v>
      </c>
      <c r="G2567">
        <v>606</v>
      </c>
      <c r="H2567" s="116"/>
      <c r="I2567" s="116"/>
      <c r="L2567" s="170">
        <v>45786</v>
      </c>
      <c r="M2567" s="116">
        <v>1524.6</v>
      </c>
      <c r="N2567" s="116">
        <v>1553</v>
      </c>
      <c r="O2567" s="116">
        <v>1510.1</v>
      </c>
      <c r="P2567" s="116">
        <v>1543.9</v>
      </c>
      <c r="Q2567" s="116">
        <v>1524.6</v>
      </c>
      <c r="R2567">
        <v>135150</v>
      </c>
    </row>
    <row r="2568" spans="1:18" x14ac:dyDescent="0.25">
      <c r="A2568" s="170">
        <v>45789</v>
      </c>
      <c r="B2568" s="116">
        <v>1576.3</v>
      </c>
      <c r="C2568" s="116">
        <v>1561.9</v>
      </c>
      <c r="D2568" s="116">
        <v>1535.05</v>
      </c>
      <c r="E2568" s="116">
        <v>1557.95</v>
      </c>
      <c r="F2568" s="116">
        <v>1561.9</v>
      </c>
      <c r="G2568">
        <v>2818</v>
      </c>
      <c r="H2568" s="116"/>
      <c r="I2568" s="116"/>
      <c r="L2568" s="170">
        <v>45789</v>
      </c>
      <c r="M2568" s="116">
        <v>1557.2</v>
      </c>
      <c r="N2568" s="116">
        <v>1574.6</v>
      </c>
      <c r="O2568" s="116">
        <v>1535.6</v>
      </c>
      <c r="P2568" s="116">
        <v>1550</v>
      </c>
      <c r="Q2568" s="116">
        <v>1557.2</v>
      </c>
      <c r="R2568">
        <v>160166</v>
      </c>
    </row>
    <row r="2569" spans="1:18" x14ac:dyDescent="0.25">
      <c r="A2569" s="170">
        <v>45790</v>
      </c>
      <c r="B2569" s="116">
        <v>1593</v>
      </c>
      <c r="C2569" s="116">
        <v>1579.85</v>
      </c>
      <c r="D2569" s="116">
        <v>1554.25</v>
      </c>
      <c r="E2569" s="116">
        <v>1579.95</v>
      </c>
      <c r="F2569" s="116">
        <v>1579.85</v>
      </c>
      <c r="G2569">
        <v>5598</v>
      </c>
      <c r="H2569" s="116"/>
      <c r="I2569" s="116"/>
      <c r="L2569" s="170">
        <v>45790</v>
      </c>
      <c r="M2569" s="116">
        <v>1582.9</v>
      </c>
      <c r="N2569" s="116">
        <v>1594</v>
      </c>
      <c r="O2569" s="116">
        <v>1553.6</v>
      </c>
      <c r="P2569" s="116">
        <v>1565.4</v>
      </c>
      <c r="Q2569" s="116">
        <v>1582.9</v>
      </c>
      <c r="R2569">
        <v>109993</v>
      </c>
    </row>
    <row r="2570" spans="1:18" x14ac:dyDescent="0.25">
      <c r="A2570" s="170">
        <v>45791</v>
      </c>
      <c r="B2570" s="116">
        <v>1617.95</v>
      </c>
      <c r="C2570" s="116">
        <v>1610.5</v>
      </c>
      <c r="D2570" s="116">
        <v>1564</v>
      </c>
      <c r="E2570" s="116">
        <v>1581.05</v>
      </c>
      <c r="F2570" s="116">
        <v>1610.5</v>
      </c>
      <c r="G2570">
        <v>1582</v>
      </c>
      <c r="H2570" s="116"/>
      <c r="I2570" s="116"/>
      <c r="L2570" s="170">
        <v>45791</v>
      </c>
      <c r="M2570" s="116">
        <v>1612.7</v>
      </c>
      <c r="N2570" s="116">
        <v>1618</v>
      </c>
      <c r="O2570" s="116">
        <v>1560.2</v>
      </c>
      <c r="P2570" s="116">
        <v>1592.7</v>
      </c>
      <c r="Q2570" s="116">
        <v>1612.7</v>
      </c>
      <c r="R2570">
        <v>147781</v>
      </c>
    </row>
    <row r="2571" spans="1:18" x14ac:dyDescent="0.25">
      <c r="A2571" s="170">
        <v>45792</v>
      </c>
      <c r="B2571" s="116">
        <v>1643.95</v>
      </c>
      <c r="C2571" s="116">
        <v>1639.45</v>
      </c>
      <c r="D2571" s="116">
        <v>1606</v>
      </c>
      <c r="E2571" s="116">
        <v>1643.95</v>
      </c>
      <c r="F2571" s="116">
        <v>1639.45</v>
      </c>
      <c r="G2571">
        <v>4078</v>
      </c>
      <c r="H2571" s="116"/>
      <c r="I2571" s="116"/>
      <c r="L2571" s="170">
        <v>45792</v>
      </c>
      <c r="M2571" s="116">
        <v>1639</v>
      </c>
      <c r="N2571" s="116">
        <v>1641</v>
      </c>
      <c r="O2571" s="116">
        <v>1605.2</v>
      </c>
      <c r="P2571" s="116">
        <v>1629.5</v>
      </c>
      <c r="Q2571" s="116">
        <v>1639</v>
      </c>
      <c r="R2571">
        <v>123663</v>
      </c>
    </row>
    <row r="2572" spans="1:18" x14ac:dyDescent="0.25">
      <c r="A2572" s="170">
        <v>45793</v>
      </c>
      <c r="B2572" s="116">
        <v>1656</v>
      </c>
      <c r="C2572" s="116">
        <v>1646.75</v>
      </c>
      <c r="D2572" s="116">
        <v>1630.05</v>
      </c>
      <c r="E2572" s="116">
        <v>1641</v>
      </c>
      <c r="F2572" s="116">
        <v>1646.75</v>
      </c>
      <c r="G2572">
        <v>4763</v>
      </c>
      <c r="H2572" s="116"/>
      <c r="I2572" s="116"/>
      <c r="L2572" s="170">
        <v>45793</v>
      </c>
      <c r="M2572" s="116">
        <v>1647.2</v>
      </c>
      <c r="N2572" s="116">
        <v>1659.9</v>
      </c>
      <c r="O2572" s="116">
        <v>1628.2</v>
      </c>
      <c r="P2572" s="116">
        <v>1647.6</v>
      </c>
      <c r="Q2572" s="116">
        <v>1647.2</v>
      </c>
      <c r="R2572">
        <v>112345</v>
      </c>
    </row>
    <row r="2573" spans="1:18" x14ac:dyDescent="0.25">
      <c r="A2573" s="170">
        <v>45796</v>
      </c>
      <c r="B2573" s="116">
        <v>1718</v>
      </c>
      <c r="C2573" s="116">
        <v>1663.95</v>
      </c>
      <c r="D2573" s="116">
        <v>1634.05</v>
      </c>
      <c r="E2573" s="116">
        <v>1634.05</v>
      </c>
      <c r="F2573" s="116">
        <v>1663.95</v>
      </c>
      <c r="G2573">
        <v>6280</v>
      </c>
      <c r="H2573" s="116"/>
      <c r="I2573" s="116"/>
      <c r="L2573" s="170">
        <v>45796</v>
      </c>
      <c r="M2573" s="116">
        <v>1663.9</v>
      </c>
      <c r="N2573" s="116">
        <v>1718.4</v>
      </c>
      <c r="O2573" s="116">
        <v>1647.3</v>
      </c>
      <c r="P2573" s="116">
        <v>1647.3</v>
      </c>
      <c r="Q2573" s="116">
        <v>1663.9</v>
      </c>
      <c r="R2573">
        <v>232068</v>
      </c>
    </row>
    <row r="2574" spans="1:18" x14ac:dyDescent="0.25">
      <c r="A2574" s="170">
        <v>45797</v>
      </c>
      <c r="B2574" s="116">
        <v>1718.9</v>
      </c>
      <c r="C2574" s="116">
        <v>1703.8</v>
      </c>
      <c r="D2574" s="116">
        <v>1645</v>
      </c>
      <c r="E2574" s="116">
        <v>1671.9</v>
      </c>
      <c r="F2574" s="116">
        <v>1703.8</v>
      </c>
      <c r="G2574">
        <v>4763</v>
      </c>
      <c r="H2574" s="116"/>
      <c r="I2574" s="116"/>
      <c r="L2574" s="170">
        <v>45797</v>
      </c>
      <c r="M2574" s="116">
        <v>1702.1</v>
      </c>
      <c r="N2574" s="116">
        <v>1718.7</v>
      </c>
      <c r="O2574" s="116">
        <v>1645</v>
      </c>
      <c r="P2574" s="116">
        <v>1662</v>
      </c>
      <c r="Q2574" s="116">
        <v>1702.1</v>
      </c>
      <c r="R2574">
        <v>170853</v>
      </c>
    </row>
    <row r="2575" spans="1:18" x14ac:dyDescent="0.25">
      <c r="A2575" s="170">
        <v>45798</v>
      </c>
      <c r="B2575" s="116">
        <v>1707.2</v>
      </c>
      <c r="C2575" s="116">
        <v>1670.8</v>
      </c>
      <c r="D2575" s="116">
        <v>1663.9</v>
      </c>
      <c r="E2575" s="116">
        <v>1705</v>
      </c>
      <c r="F2575" s="116">
        <v>1670.8</v>
      </c>
      <c r="G2575">
        <v>4935</v>
      </c>
      <c r="H2575" s="116"/>
      <c r="I2575" s="116"/>
      <c r="L2575" s="170">
        <v>45798</v>
      </c>
      <c r="M2575" s="116">
        <v>1670.5</v>
      </c>
      <c r="N2575" s="116">
        <v>1709.1</v>
      </c>
      <c r="O2575" s="116">
        <v>1665.6</v>
      </c>
      <c r="P2575" s="116">
        <v>1706.5</v>
      </c>
      <c r="Q2575" s="116">
        <v>1670.5</v>
      </c>
      <c r="R2575">
        <v>299451</v>
      </c>
    </row>
    <row r="2576" spans="1:18" x14ac:dyDescent="0.25">
      <c r="A2576" s="170">
        <v>45799</v>
      </c>
      <c r="B2576" s="116">
        <v>1690.85</v>
      </c>
      <c r="C2576" s="116">
        <v>1684.3</v>
      </c>
      <c r="D2576" s="116">
        <v>1650.15</v>
      </c>
      <c r="E2576" s="116">
        <v>1667.1</v>
      </c>
      <c r="F2576" s="116">
        <v>1684.3</v>
      </c>
      <c r="G2576">
        <v>4092</v>
      </c>
      <c r="H2576" s="116"/>
      <c r="I2576" s="116"/>
      <c r="L2576" s="170">
        <v>45799</v>
      </c>
      <c r="M2576" s="116">
        <v>1684.8</v>
      </c>
      <c r="N2576" s="116">
        <v>1692.1</v>
      </c>
      <c r="O2576" s="116">
        <v>1650</v>
      </c>
      <c r="P2576" s="116">
        <v>1670.5</v>
      </c>
      <c r="Q2576" s="116">
        <v>1684.8</v>
      </c>
      <c r="R2576">
        <v>564465</v>
      </c>
    </row>
    <row r="2577" spans="1:18" x14ac:dyDescent="0.25">
      <c r="A2577" s="170">
        <v>45800</v>
      </c>
      <c r="B2577" s="116">
        <v>1714</v>
      </c>
      <c r="C2577" s="116">
        <v>1702.45</v>
      </c>
      <c r="D2577" s="116">
        <v>1663.9</v>
      </c>
      <c r="E2577" s="116">
        <v>1698.95</v>
      </c>
      <c r="F2577" s="116">
        <v>1702.45</v>
      </c>
      <c r="G2577">
        <v>1752</v>
      </c>
      <c r="H2577" s="116"/>
      <c r="I2577" s="116"/>
      <c r="L2577" s="170">
        <v>45800</v>
      </c>
      <c r="M2577" s="116">
        <v>1702</v>
      </c>
      <c r="N2577" s="116">
        <v>1715</v>
      </c>
      <c r="O2577" s="116">
        <v>1661.2</v>
      </c>
      <c r="P2577" s="116">
        <v>1695</v>
      </c>
      <c r="Q2577" s="116">
        <v>1702</v>
      </c>
      <c r="R2577">
        <v>96911</v>
      </c>
    </row>
    <row r="2578" spans="1:18" x14ac:dyDescent="0.25">
      <c r="A2578" s="170">
        <v>45803</v>
      </c>
      <c r="B2578" s="116">
        <v>1722</v>
      </c>
      <c r="C2578" s="116">
        <v>1701</v>
      </c>
      <c r="D2578" s="116">
        <v>1697.05</v>
      </c>
      <c r="E2578" s="116">
        <v>1703.05</v>
      </c>
      <c r="F2578" s="116">
        <v>1701</v>
      </c>
      <c r="G2578">
        <v>3208</v>
      </c>
      <c r="H2578" s="116"/>
      <c r="I2578" s="116"/>
      <c r="L2578" s="170">
        <v>45803</v>
      </c>
      <c r="M2578" s="116">
        <v>1702</v>
      </c>
      <c r="N2578" s="116">
        <v>1725.7</v>
      </c>
      <c r="O2578" s="116">
        <v>1697.3</v>
      </c>
      <c r="P2578" s="116">
        <v>1710</v>
      </c>
      <c r="Q2578" s="116">
        <v>1702</v>
      </c>
      <c r="R2578">
        <v>54406</v>
      </c>
    </row>
    <row r="2579" spans="1:18" x14ac:dyDescent="0.25">
      <c r="A2579" s="170">
        <v>45804</v>
      </c>
      <c r="B2579" s="116">
        <v>1720</v>
      </c>
      <c r="C2579" s="116">
        <v>1689.35</v>
      </c>
      <c r="D2579" s="116">
        <v>1683.75</v>
      </c>
      <c r="E2579" s="116">
        <v>1700.05</v>
      </c>
      <c r="F2579" s="116">
        <v>1689.35</v>
      </c>
      <c r="G2579">
        <v>1330</v>
      </c>
      <c r="H2579" s="116"/>
      <c r="I2579" s="116"/>
      <c r="L2579" s="170">
        <v>45804</v>
      </c>
      <c r="M2579" s="116">
        <v>1688.6</v>
      </c>
      <c r="N2579" s="116">
        <v>1722.8</v>
      </c>
      <c r="O2579" s="116">
        <v>1681.5</v>
      </c>
      <c r="P2579" s="116">
        <v>1711</v>
      </c>
      <c r="Q2579" s="116">
        <v>1688.6</v>
      </c>
      <c r="R2579">
        <v>56947</v>
      </c>
    </row>
    <row r="2580" spans="1:18" x14ac:dyDescent="0.25">
      <c r="A2580" s="170">
        <v>45805</v>
      </c>
      <c r="B2580" s="116">
        <v>1696.95</v>
      </c>
      <c r="C2580" s="116">
        <v>1665.75</v>
      </c>
      <c r="D2580" s="116">
        <v>1662.2</v>
      </c>
      <c r="E2580" s="116">
        <v>1696.95</v>
      </c>
      <c r="F2580" s="116">
        <v>1665.75</v>
      </c>
      <c r="G2580">
        <v>2278</v>
      </c>
      <c r="H2580" s="116"/>
      <c r="I2580" s="116"/>
      <c r="L2580" s="170">
        <v>45805</v>
      </c>
      <c r="M2580" s="116">
        <v>1667.6</v>
      </c>
      <c r="N2580" s="116">
        <v>1693.9</v>
      </c>
      <c r="O2580" s="116">
        <v>1662.3</v>
      </c>
      <c r="P2580" s="116">
        <v>1690.2</v>
      </c>
      <c r="Q2580" s="116">
        <v>1667.6</v>
      </c>
      <c r="R2580">
        <v>71663</v>
      </c>
    </row>
    <row r="2581" spans="1:18" x14ac:dyDescent="0.25">
      <c r="A2581" s="170">
        <v>45806</v>
      </c>
      <c r="B2581" s="116">
        <v>1695</v>
      </c>
      <c r="C2581" s="116">
        <v>1691.5</v>
      </c>
      <c r="D2581" s="116">
        <v>1675</v>
      </c>
      <c r="E2581" s="116">
        <v>1675.5</v>
      </c>
      <c r="F2581" s="116">
        <v>1691.5</v>
      </c>
      <c r="G2581">
        <v>2395</v>
      </c>
      <c r="H2581" s="116"/>
      <c r="I2581" s="116"/>
      <c r="L2581" s="170">
        <v>45806</v>
      </c>
      <c r="M2581" s="116">
        <v>1690.4</v>
      </c>
      <c r="N2581" s="116">
        <v>1695.6</v>
      </c>
      <c r="O2581" s="116">
        <v>1671</v>
      </c>
      <c r="P2581" s="116">
        <v>1676.4</v>
      </c>
      <c r="Q2581" s="116">
        <v>1690.4</v>
      </c>
      <c r="R2581">
        <v>50329</v>
      </c>
    </row>
    <row r="2582" spans="1:18" x14ac:dyDescent="0.25">
      <c r="A2582" s="170">
        <v>45807</v>
      </c>
      <c r="B2582" s="116">
        <v>1691.45</v>
      </c>
      <c r="C2582" s="116">
        <v>1680.25</v>
      </c>
      <c r="D2582" s="116">
        <v>1666</v>
      </c>
      <c r="E2582" s="116">
        <v>1690.95</v>
      </c>
      <c r="F2582" s="116">
        <v>1680.25</v>
      </c>
      <c r="G2582">
        <v>1712</v>
      </c>
      <c r="H2582" s="116"/>
      <c r="I2582" s="116"/>
      <c r="L2582" s="170">
        <v>45807</v>
      </c>
      <c r="M2582" s="116">
        <v>1676.3</v>
      </c>
      <c r="N2582" s="116">
        <v>1695.4</v>
      </c>
      <c r="O2582" s="116">
        <v>1664.4</v>
      </c>
      <c r="P2582" s="116">
        <v>1675.1</v>
      </c>
      <c r="Q2582" s="116">
        <v>1676.3</v>
      </c>
      <c r="R2582">
        <v>101214</v>
      </c>
    </row>
    <row r="2583" spans="1:18" x14ac:dyDescent="0.25">
      <c r="A2583" s="170">
        <v>45810</v>
      </c>
      <c r="B2583" s="116">
        <v>1700</v>
      </c>
      <c r="C2583" s="116">
        <v>1688.65</v>
      </c>
      <c r="D2583" s="116">
        <v>1671</v>
      </c>
      <c r="E2583" s="116">
        <v>1684.5</v>
      </c>
      <c r="F2583" s="116">
        <v>1688.65</v>
      </c>
      <c r="G2583">
        <v>2848</v>
      </c>
      <c r="H2583" s="116"/>
      <c r="I2583" s="116"/>
      <c r="L2583" s="170">
        <v>45810</v>
      </c>
      <c r="M2583" s="116">
        <v>1683.5</v>
      </c>
      <c r="N2583" s="116">
        <v>1701.9</v>
      </c>
      <c r="O2583" s="116">
        <v>1668.8</v>
      </c>
      <c r="P2583" s="116">
        <v>1683.9</v>
      </c>
      <c r="Q2583" s="116">
        <v>1683.5</v>
      </c>
      <c r="R2583">
        <v>236149</v>
      </c>
    </row>
    <row r="2584" spans="1:18" x14ac:dyDescent="0.25">
      <c r="A2584" s="170">
        <v>45811</v>
      </c>
      <c r="B2584" s="116">
        <v>1733</v>
      </c>
      <c r="C2584" s="116">
        <v>1690.35</v>
      </c>
      <c r="D2584" s="116">
        <v>1679.05</v>
      </c>
      <c r="E2584" s="116">
        <v>1704.95</v>
      </c>
      <c r="F2584" s="116">
        <v>1690.35</v>
      </c>
      <c r="G2584">
        <v>3900</v>
      </c>
      <c r="H2584" s="116"/>
      <c r="I2584" s="116"/>
      <c r="L2584" s="170">
        <v>45811</v>
      </c>
      <c r="M2584" s="116">
        <v>1691.7</v>
      </c>
      <c r="N2584" s="116">
        <v>1733</v>
      </c>
      <c r="O2584" s="116">
        <v>1679.1</v>
      </c>
      <c r="P2584" s="116">
        <v>1698.4</v>
      </c>
      <c r="Q2584" s="116">
        <v>1691.7</v>
      </c>
      <c r="R2584">
        <v>203677</v>
      </c>
    </row>
    <row r="2585" spans="1:18" x14ac:dyDescent="0.25">
      <c r="A2585" s="170">
        <v>45812</v>
      </c>
      <c r="B2585" s="116">
        <v>1704.95</v>
      </c>
      <c r="C2585" s="116">
        <v>1697.45</v>
      </c>
      <c r="D2585" s="116">
        <v>1682.9</v>
      </c>
      <c r="E2585" s="116">
        <v>1695</v>
      </c>
      <c r="F2585" s="116">
        <v>1697.45</v>
      </c>
      <c r="G2585">
        <v>1100</v>
      </c>
      <c r="H2585" s="116"/>
      <c r="I2585" s="116"/>
      <c r="L2585" s="170">
        <v>45812</v>
      </c>
      <c r="M2585" s="116">
        <v>1698.2</v>
      </c>
      <c r="N2585" s="116">
        <v>1706.7</v>
      </c>
      <c r="O2585" s="116">
        <v>1680.3</v>
      </c>
      <c r="P2585" s="116">
        <v>1698.1</v>
      </c>
      <c r="Q2585" s="116">
        <v>1698.2</v>
      </c>
      <c r="R2585">
        <v>121192</v>
      </c>
    </row>
    <row r="2586" spans="1:18" x14ac:dyDescent="0.25">
      <c r="A2586" s="170">
        <v>45813</v>
      </c>
      <c r="B2586" s="116">
        <v>1705.1</v>
      </c>
      <c r="C2586" s="116">
        <v>1697.4</v>
      </c>
      <c r="D2586" s="116">
        <v>1692.75</v>
      </c>
      <c r="E2586" s="116">
        <v>1704.25</v>
      </c>
      <c r="F2586" s="116">
        <v>1697.4</v>
      </c>
      <c r="G2586">
        <v>1083</v>
      </c>
      <c r="H2586" s="116"/>
      <c r="I2586" s="116"/>
      <c r="L2586" s="170">
        <v>45813</v>
      </c>
      <c r="M2586" s="116">
        <v>1699.5</v>
      </c>
      <c r="N2586" s="116">
        <v>1711.6</v>
      </c>
      <c r="O2586" s="116">
        <v>1691.1</v>
      </c>
      <c r="P2586" s="116">
        <v>1698.2</v>
      </c>
      <c r="Q2586" s="116">
        <v>1699.5</v>
      </c>
      <c r="R2586">
        <v>55594</v>
      </c>
    </row>
    <row r="2587" spans="1:18" x14ac:dyDescent="0.25">
      <c r="A2587" s="170">
        <v>45814</v>
      </c>
      <c r="B2587" s="116">
        <v>1717.95</v>
      </c>
      <c r="C2587" s="116">
        <v>1703.35</v>
      </c>
      <c r="D2587" s="116">
        <v>1689.05</v>
      </c>
      <c r="E2587" s="116">
        <v>1701.3</v>
      </c>
      <c r="F2587" s="116">
        <v>1703.35</v>
      </c>
      <c r="G2587">
        <v>1560</v>
      </c>
      <c r="H2587" s="116"/>
      <c r="I2587" s="116"/>
      <c r="L2587" s="170">
        <v>45814</v>
      </c>
      <c r="M2587" s="116">
        <v>1702.3</v>
      </c>
      <c r="N2587" s="116">
        <v>1719</v>
      </c>
      <c r="O2587" s="116">
        <v>1685.4</v>
      </c>
      <c r="P2587" s="116">
        <v>1701</v>
      </c>
      <c r="Q2587" s="116">
        <v>1702.3</v>
      </c>
      <c r="R2587">
        <v>62794</v>
      </c>
    </row>
    <row r="2588" spans="1:18" x14ac:dyDescent="0.25">
      <c r="A2588" s="170">
        <v>45817</v>
      </c>
      <c r="B2588" s="116">
        <v>1713.95</v>
      </c>
      <c r="C2588" s="116">
        <v>1676.75</v>
      </c>
      <c r="D2588" s="116">
        <v>1672</v>
      </c>
      <c r="E2588" s="116">
        <v>1713.95</v>
      </c>
      <c r="F2588" s="116">
        <v>1676.75</v>
      </c>
      <c r="G2588">
        <v>4289</v>
      </c>
      <c r="H2588" s="116"/>
      <c r="I2588" s="116"/>
      <c r="L2588" s="170">
        <v>45817</v>
      </c>
      <c r="M2588" s="116">
        <v>1677.4</v>
      </c>
      <c r="N2588" s="116">
        <v>1713.2</v>
      </c>
      <c r="O2588" s="116">
        <v>1671.8</v>
      </c>
      <c r="P2588" s="116">
        <v>1710.8</v>
      </c>
      <c r="Q2588" s="116">
        <v>1677.4</v>
      </c>
      <c r="R2588">
        <v>64544</v>
      </c>
    </row>
    <row r="2589" spans="1:18" x14ac:dyDescent="0.25">
      <c r="A2589" s="170">
        <v>45818</v>
      </c>
      <c r="B2589" s="116">
        <v>1693.95</v>
      </c>
      <c r="C2589" s="116">
        <v>1666.55</v>
      </c>
      <c r="D2589" s="116">
        <v>1663.6</v>
      </c>
      <c r="E2589" s="116">
        <v>1693.95</v>
      </c>
      <c r="F2589" s="116">
        <v>1666.55</v>
      </c>
      <c r="G2589">
        <v>1160</v>
      </c>
      <c r="H2589" s="116"/>
      <c r="I2589" s="116"/>
      <c r="L2589" s="170">
        <v>45818</v>
      </c>
      <c r="M2589" s="116">
        <v>1667.8</v>
      </c>
      <c r="N2589" s="116">
        <v>1691.2</v>
      </c>
      <c r="O2589" s="116">
        <v>1662.6</v>
      </c>
      <c r="P2589" s="116">
        <v>1688.3</v>
      </c>
      <c r="Q2589" s="116">
        <v>1667.8</v>
      </c>
      <c r="R2589">
        <v>200025</v>
      </c>
    </row>
    <row r="2590" spans="1:18" x14ac:dyDescent="0.25">
      <c r="A2590" s="170">
        <v>45819</v>
      </c>
      <c r="B2590" s="116">
        <v>1758.7</v>
      </c>
      <c r="C2590" s="116">
        <v>1717</v>
      </c>
      <c r="D2590" s="116">
        <v>1678.35</v>
      </c>
      <c r="E2590" s="116">
        <v>1683.05</v>
      </c>
      <c r="F2590" s="116">
        <v>1717</v>
      </c>
      <c r="G2590">
        <v>6066</v>
      </c>
      <c r="H2590" s="116"/>
      <c r="I2590" s="116"/>
      <c r="L2590" s="170">
        <v>45819</v>
      </c>
      <c r="M2590" s="116">
        <v>1717.6</v>
      </c>
      <c r="N2590" s="116">
        <v>1760</v>
      </c>
      <c r="O2590" s="116">
        <v>1671</v>
      </c>
      <c r="P2590" s="116">
        <v>1678.6</v>
      </c>
      <c r="Q2590" s="116">
        <v>1717.6</v>
      </c>
      <c r="R2590">
        <v>369058</v>
      </c>
    </row>
    <row r="2591" spans="1:18" x14ac:dyDescent="0.25">
      <c r="A2591" s="170">
        <v>45820</v>
      </c>
      <c r="B2591" s="116">
        <v>1768.65</v>
      </c>
      <c r="C2591" s="116">
        <v>1745.1</v>
      </c>
      <c r="D2591" s="116">
        <v>1724.35</v>
      </c>
      <c r="E2591" s="116">
        <v>1734.95</v>
      </c>
      <c r="F2591" s="116">
        <v>1745.1</v>
      </c>
      <c r="G2591">
        <v>10031</v>
      </c>
      <c r="H2591" s="116"/>
      <c r="I2591" s="116"/>
      <c r="L2591" s="170">
        <v>45820</v>
      </c>
      <c r="M2591" s="116">
        <v>1745.3</v>
      </c>
      <c r="N2591" s="116">
        <v>1769</v>
      </c>
      <c r="O2591" s="116">
        <v>1722.5</v>
      </c>
      <c r="P2591" s="116">
        <v>1723.5</v>
      </c>
      <c r="Q2591" s="116">
        <v>1745.3</v>
      </c>
      <c r="R2591">
        <v>230977</v>
      </c>
    </row>
    <row r="2592" spans="1:18" x14ac:dyDescent="0.25">
      <c r="A2592" s="170">
        <v>45821</v>
      </c>
      <c r="B2592" s="116">
        <v>1740.65</v>
      </c>
      <c r="C2592" s="116">
        <v>1732.05</v>
      </c>
      <c r="D2592" s="116">
        <v>1689.05</v>
      </c>
      <c r="E2592" s="116">
        <v>1694</v>
      </c>
      <c r="F2592" s="116">
        <v>1732.05</v>
      </c>
      <c r="G2592">
        <v>4256</v>
      </c>
      <c r="H2592" s="116"/>
      <c r="I2592" s="116"/>
      <c r="L2592" s="170">
        <v>45821</v>
      </c>
      <c r="M2592" s="116">
        <v>1734.4</v>
      </c>
      <c r="N2592" s="116">
        <v>1739.9</v>
      </c>
      <c r="O2592" s="116">
        <v>1689</v>
      </c>
      <c r="P2592" s="116">
        <v>1730</v>
      </c>
      <c r="Q2592" s="116">
        <v>1734.4</v>
      </c>
      <c r="R2592">
        <v>148082</v>
      </c>
    </row>
    <row r="2593" spans="1:18" x14ac:dyDescent="0.25">
      <c r="A2593" s="170">
        <v>45824</v>
      </c>
      <c r="B2593" s="116">
        <v>1748</v>
      </c>
      <c r="C2593" s="116">
        <v>1734.85</v>
      </c>
      <c r="D2593" s="116">
        <v>1710.3</v>
      </c>
      <c r="E2593" s="116">
        <v>1737.2</v>
      </c>
      <c r="F2593" s="116">
        <v>1734.85</v>
      </c>
      <c r="G2593">
        <v>1522</v>
      </c>
      <c r="H2593" s="116"/>
      <c r="I2593" s="116"/>
      <c r="L2593" s="170">
        <v>45824</v>
      </c>
      <c r="M2593" s="116">
        <v>1735.2</v>
      </c>
      <c r="N2593" s="116">
        <v>1751.9</v>
      </c>
      <c r="O2593" s="116">
        <v>1708.2</v>
      </c>
      <c r="P2593" s="116">
        <v>1733.1</v>
      </c>
      <c r="Q2593" s="116">
        <v>1735.2</v>
      </c>
      <c r="R2593">
        <v>80114</v>
      </c>
    </row>
    <row r="2594" spans="1:18" x14ac:dyDescent="0.25">
      <c r="A2594" s="170">
        <v>45825</v>
      </c>
      <c r="B2594" s="116">
        <v>1758.1</v>
      </c>
      <c r="C2594" s="116">
        <v>1725.95</v>
      </c>
      <c r="D2594" s="116">
        <v>1720</v>
      </c>
      <c r="E2594" s="116">
        <v>1748</v>
      </c>
      <c r="F2594" s="116">
        <v>1725.95</v>
      </c>
      <c r="G2594">
        <v>2627</v>
      </c>
      <c r="H2594" s="116"/>
      <c r="I2594" s="116"/>
      <c r="L2594" s="170">
        <v>45825</v>
      </c>
      <c r="M2594" s="116">
        <v>1727.4</v>
      </c>
      <c r="N2594" s="116">
        <v>1759</v>
      </c>
      <c r="O2594" s="116">
        <v>1718.8</v>
      </c>
      <c r="P2594" s="116">
        <v>1747.8</v>
      </c>
      <c r="Q2594" s="116">
        <v>1727.4</v>
      </c>
      <c r="R2594">
        <v>128103</v>
      </c>
    </row>
    <row r="2595" spans="1:18" x14ac:dyDescent="0.25">
      <c r="A2595" s="170">
        <v>45826</v>
      </c>
      <c r="B2595" s="116">
        <v>1743</v>
      </c>
      <c r="C2595" s="116">
        <v>1718.9</v>
      </c>
      <c r="D2595" s="116">
        <v>1704.95</v>
      </c>
      <c r="E2595" s="116">
        <v>1743</v>
      </c>
      <c r="F2595" s="116">
        <v>1718.9</v>
      </c>
      <c r="G2595">
        <v>1354</v>
      </c>
      <c r="H2595" s="116"/>
      <c r="I2595" s="116"/>
      <c r="L2595" s="170">
        <v>45826</v>
      </c>
      <c r="M2595" s="116">
        <v>1720.9</v>
      </c>
      <c r="N2595" s="116">
        <v>1737.4</v>
      </c>
      <c r="O2595" s="116">
        <v>1703.8</v>
      </c>
      <c r="P2595" s="116">
        <v>1716</v>
      </c>
      <c r="Q2595" s="116">
        <v>1720.9</v>
      </c>
      <c r="R2595">
        <v>53271</v>
      </c>
    </row>
    <row r="2596" spans="1:18" x14ac:dyDescent="0.25">
      <c r="A2596" s="170">
        <v>45827</v>
      </c>
      <c r="B2596" s="116">
        <v>1720.3</v>
      </c>
      <c r="C2596" s="116">
        <v>1671.3</v>
      </c>
      <c r="D2596" s="116">
        <v>1667.05</v>
      </c>
      <c r="E2596" s="116">
        <v>1711.7</v>
      </c>
      <c r="F2596" s="116">
        <v>1671.3</v>
      </c>
      <c r="G2596">
        <v>1977</v>
      </c>
      <c r="H2596" s="116"/>
      <c r="I2596" s="116"/>
      <c r="L2596" s="170">
        <v>45827</v>
      </c>
      <c r="M2596" s="116">
        <v>1671.7</v>
      </c>
      <c r="N2596" s="116">
        <v>1723.2</v>
      </c>
      <c r="O2596" s="116">
        <v>1666.6</v>
      </c>
      <c r="P2596" s="116">
        <v>1715.8</v>
      </c>
      <c r="Q2596" s="116">
        <v>1671.7</v>
      </c>
      <c r="R2596">
        <v>68920</v>
      </c>
    </row>
    <row r="2597" spans="1:18" x14ac:dyDescent="0.25">
      <c r="A2597" s="170">
        <v>45828</v>
      </c>
      <c r="B2597" s="116">
        <v>1799</v>
      </c>
      <c r="C2597" s="116">
        <v>1771.25</v>
      </c>
      <c r="D2597" s="116">
        <v>1667.1</v>
      </c>
      <c r="E2597" s="116">
        <v>1681.75</v>
      </c>
      <c r="F2597" s="116">
        <v>1771.25</v>
      </c>
      <c r="G2597">
        <v>7006</v>
      </c>
      <c r="H2597" s="116"/>
      <c r="I2597" s="116"/>
      <c r="L2597" s="170">
        <v>45828</v>
      </c>
      <c r="M2597" s="116">
        <v>1772.6</v>
      </c>
      <c r="N2597" s="116">
        <v>1800</v>
      </c>
      <c r="O2597" s="116">
        <v>1663.3</v>
      </c>
      <c r="P2597" s="116">
        <v>1671.7</v>
      </c>
      <c r="Q2597" s="116">
        <v>1772.6</v>
      </c>
      <c r="R2597">
        <v>613630</v>
      </c>
    </row>
    <row r="2598" spans="1:18" x14ac:dyDescent="0.25">
      <c r="A2598" s="170">
        <v>45831</v>
      </c>
      <c r="B2598" s="116">
        <v>1824</v>
      </c>
      <c r="C2598" s="116">
        <v>1797.35</v>
      </c>
      <c r="D2598" s="116">
        <v>1751.1</v>
      </c>
      <c r="E2598" s="116">
        <v>1807.95</v>
      </c>
      <c r="F2598" s="116">
        <v>1797.35</v>
      </c>
      <c r="G2598">
        <v>6621</v>
      </c>
      <c r="H2598" s="116"/>
      <c r="I2598" s="116"/>
      <c r="L2598" s="170">
        <v>45831</v>
      </c>
      <c r="M2598" s="116">
        <v>1795.9</v>
      </c>
      <c r="N2598" s="116">
        <v>1825</v>
      </c>
      <c r="O2598" s="116">
        <v>1750</v>
      </c>
      <c r="P2598" s="116">
        <v>1774</v>
      </c>
      <c r="Q2598" s="116">
        <v>1795.9</v>
      </c>
      <c r="R2598">
        <v>259623</v>
      </c>
    </row>
    <row r="2599" spans="1:18" x14ac:dyDescent="0.25">
      <c r="A2599" s="170">
        <v>45832</v>
      </c>
      <c r="B2599" s="116">
        <v>1825.8</v>
      </c>
      <c r="C2599" s="116">
        <v>1798.8</v>
      </c>
      <c r="D2599" s="116">
        <v>1780.05</v>
      </c>
      <c r="E2599" s="116">
        <v>1780.05</v>
      </c>
      <c r="F2599" s="116">
        <v>1798.8</v>
      </c>
      <c r="G2599">
        <v>4604</v>
      </c>
      <c r="H2599" s="116"/>
      <c r="I2599" s="116"/>
      <c r="L2599" s="170">
        <v>45832</v>
      </c>
      <c r="M2599" s="116">
        <v>1799.1</v>
      </c>
      <c r="N2599" s="116">
        <v>1825.6</v>
      </c>
      <c r="O2599" s="116">
        <v>1790</v>
      </c>
      <c r="P2599" s="116">
        <v>1790</v>
      </c>
      <c r="Q2599" s="116">
        <v>1799.1</v>
      </c>
      <c r="R2599">
        <v>125597</v>
      </c>
    </row>
    <row r="2600" spans="1:18" x14ac:dyDescent="0.25">
      <c r="A2600" s="170">
        <v>45833</v>
      </c>
      <c r="B2600" s="116">
        <v>1849.95</v>
      </c>
      <c r="C2600" s="116">
        <v>1794.9</v>
      </c>
      <c r="D2600" s="116">
        <v>1770</v>
      </c>
      <c r="E2600" s="116">
        <v>1849.95</v>
      </c>
      <c r="F2600" s="116">
        <v>1794.9</v>
      </c>
      <c r="G2600">
        <v>10378</v>
      </c>
      <c r="H2600" s="116"/>
      <c r="I2600" s="116"/>
      <c r="L2600" s="170">
        <v>45833</v>
      </c>
      <c r="M2600" s="116">
        <v>1797.1</v>
      </c>
      <c r="N2600" s="116">
        <v>1842.7</v>
      </c>
      <c r="O2600" s="116">
        <v>1771</v>
      </c>
      <c r="P2600" s="116">
        <v>1830</v>
      </c>
      <c r="Q2600" s="116">
        <v>1797.1</v>
      </c>
      <c r="R2600">
        <v>377288</v>
      </c>
    </row>
    <row r="2601" spans="1:18" x14ac:dyDescent="0.25">
      <c r="A2601" s="170">
        <v>45834</v>
      </c>
      <c r="B2601" s="116">
        <v>1813.75</v>
      </c>
      <c r="C2601" s="116">
        <v>1751.75</v>
      </c>
      <c r="D2601" s="116">
        <v>1746.6</v>
      </c>
      <c r="E2601" s="116">
        <v>1813.75</v>
      </c>
      <c r="F2601" s="116">
        <v>1751.75</v>
      </c>
      <c r="G2601">
        <v>1747</v>
      </c>
      <c r="H2601" s="116"/>
      <c r="I2601" s="116"/>
      <c r="L2601" s="170">
        <v>45834</v>
      </c>
      <c r="M2601" s="116">
        <v>1752.3</v>
      </c>
      <c r="N2601" s="116">
        <v>1802.2</v>
      </c>
      <c r="O2601" s="116">
        <v>1746</v>
      </c>
      <c r="P2601" s="116">
        <v>1788</v>
      </c>
      <c r="Q2601" s="116">
        <v>1752.3</v>
      </c>
      <c r="R2601">
        <v>95581</v>
      </c>
    </row>
    <row r="2602" spans="1:18" x14ac:dyDescent="0.25">
      <c r="A2602" s="170">
        <v>45835</v>
      </c>
      <c r="B2602" s="116">
        <v>1809.95</v>
      </c>
      <c r="C2602" s="116">
        <v>1799.35</v>
      </c>
      <c r="D2602" s="116">
        <v>1748.6</v>
      </c>
      <c r="E2602" s="116">
        <v>1757.05</v>
      </c>
      <c r="F2602" s="116">
        <v>1799.35</v>
      </c>
      <c r="G2602">
        <v>2699</v>
      </c>
      <c r="H2602" s="116"/>
      <c r="I2602" s="116"/>
      <c r="L2602" s="170">
        <v>45835</v>
      </c>
      <c r="M2602" s="116">
        <v>1801.4</v>
      </c>
      <c r="N2602" s="116">
        <v>1809</v>
      </c>
      <c r="O2602" s="116">
        <v>1748.3</v>
      </c>
      <c r="P2602" s="116">
        <v>1765</v>
      </c>
      <c r="Q2602" s="116">
        <v>1801.4</v>
      </c>
      <c r="R2602">
        <v>244864</v>
      </c>
    </row>
    <row r="2603" spans="1:18" x14ac:dyDescent="0.25">
      <c r="A2603" s="170">
        <v>45838</v>
      </c>
      <c r="B2603" s="116">
        <v>1708.95</v>
      </c>
      <c r="C2603" s="116">
        <v>1679.8</v>
      </c>
      <c r="D2603" s="116">
        <v>1675.05</v>
      </c>
      <c r="E2603" s="116">
        <v>1708.95</v>
      </c>
      <c r="F2603" s="116">
        <v>1679.8</v>
      </c>
      <c r="G2603">
        <v>42857</v>
      </c>
      <c r="H2603" s="116"/>
      <c r="I2603" s="116"/>
      <c r="L2603" s="170">
        <v>45838</v>
      </c>
      <c r="M2603" s="116">
        <v>1679.3</v>
      </c>
      <c r="N2603" s="116">
        <v>1705</v>
      </c>
      <c r="O2603" s="116">
        <v>1673</v>
      </c>
      <c r="P2603" s="116">
        <v>1705</v>
      </c>
      <c r="Q2603" s="116">
        <v>1679.3</v>
      </c>
      <c r="R2603">
        <v>1261603</v>
      </c>
    </row>
    <row r="2604" spans="1:18" x14ac:dyDescent="0.25">
      <c r="A2604" s="170">
        <v>45839</v>
      </c>
      <c r="B2604" s="116">
        <v>1685</v>
      </c>
      <c r="C2604" s="116">
        <v>1646.65</v>
      </c>
      <c r="D2604" s="116">
        <v>1627</v>
      </c>
      <c r="E2604" s="116">
        <v>1684.35</v>
      </c>
      <c r="F2604" s="116">
        <v>1646.65</v>
      </c>
      <c r="G2604">
        <v>26720</v>
      </c>
      <c r="H2604" s="116"/>
      <c r="I2604" s="116"/>
      <c r="L2604" s="170">
        <v>45839</v>
      </c>
      <c r="M2604" s="116">
        <v>1645.6</v>
      </c>
      <c r="N2604" s="116">
        <v>1690</v>
      </c>
      <c r="O2604" s="116">
        <v>1626</v>
      </c>
      <c r="P2604" s="116">
        <v>1680.1</v>
      </c>
      <c r="Q2604" s="116">
        <v>1645.6</v>
      </c>
      <c r="R2604">
        <v>802570</v>
      </c>
    </row>
    <row r="2605" spans="1:18" x14ac:dyDescent="0.25">
      <c r="A2605" s="170">
        <v>45840</v>
      </c>
      <c r="B2605" s="116">
        <v>1659.85</v>
      </c>
      <c r="C2605" s="116">
        <v>1641</v>
      </c>
      <c r="D2605" s="116">
        <v>1625</v>
      </c>
      <c r="E2605" s="116">
        <v>1659.85</v>
      </c>
      <c r="F2605" s="116">
        <v>1641</v>
      </c>
      <c r="G2605">
        <v>11787</v>
      </c>
      <c r="H2605" s="116"/>
      <c r="I2605" s="116"/>
      <c r="L2605" s="170">
        <v>45840</v>
      </c>
      <c r="M2605" s="116">
        <v>1641.1</v>
      </c>
      <c r="N2605" s="116">
        <v>1653.9</v>
      </c>
      <c r="O2605" s="116">
        <v>1625.9</v>
      </c>
      <c r="P2605" s="116">
        <v>1647.7</v>
      </c>
      <c r="Q2605" s="116">
        <v>1641.1</v>
      </c>
      <c r="R2605">
        <v>424845</v>
      </c>
    </row>
    <row r="2606" spans="1:18" x14ac:dyDescent="0.25">
      <c r="A2606" s="170">
        <v>45841</v>
      </c>
      <c r="B2606" s="116">
        <v>1645.3</v>
      </c>
      <c r="C2606" s="116">
        <v>1639.25</v>
      </c>
      <c r="D2606" s="116">
        <v>1626.45</v>
      </c>
      <c r="E2606" s="116">
        <v>1640</v>
      </c>
      <c r="F2606" s="116">
        <v>1639.25</v>
      </c>
      <c r="G2606">
        <v>6042</v>
      </c>
      <c r="H2606" s="116"/>
      <c r="I2606" s="116"/>
      <c r="L2606" s="170">
        <v>45841</v>
      </c>
      <c r="M2606" s="116">
        <v>1639.4</v>
      </c>
      <c r="N2606" s="116">
        <v>1647.2</v>
      </c>
      <c r="O2606" s="116">
        <v>1627</v>
      </c>
      <c r="P2606" s="116">
        <v>1647.2</v>
      </c>
      <c r="Q2606" s="116">
        <v>1639.4</v>
      </c>
      <c r="R2606">
        <v>434523</v>
      </c>
    </row>
    <row r="2607" spans="1:18" x14ac:dyDescent="0.25">
      <c r="A2607" s="170">
        <v>45842</v>
      </c>
      <c r="B2607" s="116">
        <v>1645.85</v>
      </c>
      <c r="C2607" s="116">
        <v>1637.05</v>
      </c>
      <c r="D2607" s="116">
        <v>1630</v>
      </c>
      <c r="E2607" s="116">
        <v>1630</v>
      </c>
      <c r="F2607" s="116">
        <v>1637.05</v>
      </c>
      <c r="G2607">
        <v>814295</v>
      </c>
      <c r="H2607" s="116"/>
      <c r="I2607" s="116"/>
      <c r="L2607" s="170">
        <v>45842</v>
      </c>
      <c r="M2607" s="116">
        <v>1638.1</v>
      </c>
      <c r="N2607" s="116">
        <v>1646.4</v>
      </c>
      <c r="O2607" s="116">
        <v>1631</v>
      </c>
      <c r="P2607" s="116">
        <v>1632.1</v>
      </c>
      <c r="Q2607" s="116">
        <v>1638.1</v>
      </c>
      <c r="R2607">
        <v>1117679</v>
      </c>
    </row>
    <row r="2608" spans="1:18" x14ac:dyDescent="0.25">
      <c r="A2608" s="170">
        <v>45845</v>
      </c>
      <c r="B2608" s="116">
        <v>1639.45</v>
      </c>
      <c r="C2608" s="116">
        <v>1632.1</v>
      </c>
      <c r="D2608" s="116">
        <v>1622.2</v>
      </c>
      <c r="E2608" s="116">
        <v>1629.85</v>
      </c>
      <c r="F2608" s="116">
        <v>1632.1</v>
      </c>
      <c r="G2608">
        <v>6082</v>
      </c>
      <c r="H2608" s="116"/>
      <c r="I2608" s="116"/>
      <c r="L2608" s="170">
        <v>45845</v>
      </c>
      <c r="M2608" s="116">
        <v>1632.9</v>
      </c>
      <c r="N2608" s="116">
        <v>1640</v>
      </c>
      <c r="O2608" s="116">
        <v>1628</v>
      </c>
      <c r="P2608" s="116">
        <v>1635</v>
      </c>
      <c r="Q2608" s="116">
        <v>1632.9</v>
      </c>
      <c r="R2608">
        <v>289171</v>
      </c>
    </row>
    <row r="2609" spans="1:18" x14ac:dyDescent="0.25">
      <c r="A2609" s="170">
        <v>45846</v>
      </c>
      <c r="B2609" s="116">
        <v>1649.95</v>
      </c>
      <c r="C2609" s="116">
        <v>1625.6</v>
      </c>
      <c r="D2609" s="116">
        <v>1618.5</v>
      </c>
      <c r="E2609" s="116">
        <v>1649.95</v>
      </c>
      <c r="F2609" s="116">
        <v>1625.6</v>
      </c>
      <c r="G2609">
        <v>2951</v>
      </c>
      <c r="H2609" s="116"/>
      <c r="I2609" s="116"/>
      <c r="L2609" s="170">
        <v>45846</v>
      </c>
      <c r="M2609" s="116">
        <v>1625.4</v>
      </c>
      <c r="N2609" s="116">
        <v>1635.5</v>
      </c>
      <c r="O2609" s="116">
        <v>1617.8</v>
      </c>
      <c r="P2609" s="116">
        <v>1631.2</v>
      </c>
      <c r="Q2609" s="116">
        <v>1625.4</v>
      </c>
      <c r="R2609">
        <v>230792</v>
      </c>
    </row>
    <row r="2610" spans="1:18" x14ac:dyDescent="0.25">
      <c r="A2610" s="170">
        <v>45847</v>
      </c>
      <c r="B2610" s="116">
        <v>1636</v>
      </c>
      <c r="C2610" s="116">
        <v>1632.8</v>
      </c>
      <c r="D2610" s="116">
        <v>1618</v>
      </c>
      <c r="E2610" s="116">
        <v>1622.05</v>
      </c>
      <c r="F2610" s="116">
        <v>1632.8</v>
      </c>
      <c r="G2610">
        <v>3817</v>
      </c>
      <c r="H2610" s="116"/>
      <c r="I2610" s="116"/>
      <c r="L2610" s="170">
        <v>45847</v>
      </c>
      <c r="M2610" s="116">
        <v>1632.6</v>
      </c>
      <c r="N2610" s="116">
        <v>1636.7</v>
      </c>
      <c r="O2610" s="116">
        <v>1615.1</v>
      </c>
      <c r="P2610" s="116">
        <v>1631.5</v>
      </c>
      <c r="Q2610" s="116">
        <v>1632.6</v>
      </c>
      <c r="R2610">
        <v>528643</v>
      </c>
    </row>
    <row r="2611" spans="1:18" x14ac:dyDescent="0.25">
      <c r="A2611" s="170">
        <v>45848</v>
      </c>
      <c r="B2611" s="116">
        <v>1632.95</v>
      </c>
      <c r="C2611" s="116">
        <v>1612.55</v>
      </c>
      <c r="D2611" s="116">
        <v>1611</v>
      </c>
      <c r="E2611" s="116">
        <v>1632.8</v>
      </c>
      <c r="F2611" s="116">
        <v>1612.55</v>
      </c>
      <c r="G2611">
        <v>4032</v>
      </c>
      <c r="H2611" s="116"/>
      <c r="I2611" s="116"/>
      <c r="L2611" s="170">
        <v>45848</v>
      </c>
      <c r="M2611" s="116">
        <v>1614.4</v>
      </c>
      <c r="N2611" s="116">
        <v>1636.6</v>
      </c>
      <c r="O2611" s="116">
        <v>1611</v>
      </c>
      <c r="P2611" s="116">
        <v>1632.6</v>
      </c>
      <c r="Q2611" s="116">
        <v>1614.4</v>
      </c>
      <c r="R2611">
        <v>459877</v>
      </c>
    </row>
    <row r="2612" spans="1:18" x14ac:dyDescent="0.25">
      <c r="A2612" s="170">
        <v>45849</v>
      </c>
      <c r="B2612" s="116">
        <v>1622.5</v>
      </c>
      <c r="C2612" s="116">
        <v>1608.35</v>
      </c>
      <c r="D2612" s="116">
        <v>1604</v>
      </c>
      <c r="E2612" s="116">
        <v>1618.95</v>
      </c>
      <c r="F2612" s="116">
        <v>1608.35</v>
      </c>
      <c r="G2612">
        <v>2346</v>
      </c>
      <c r="H2612" s="116"/>
      <c r="I2612" s="116"/>
      <c r="L2612" s="170">
        <v>45849</v>
      </c>
      <c r="M2612" s="116">
        <v>1608.6</v>
      </c>
      <c r="N2612" s="116">
        <v>1625</v>
      </c>
      <c r="O2612" s="116">
        <v>1603.5</v>
      </c>
      <c r="P2612" s="116">
        <v>1613.4</v>
      </c>
      <c r="Q2612" s="116">
        <v>1608.6</v>
      </c>
      <c r="R2612">
        <v>444446</v>
      </c>
    </row>
    <row r="2613" spans="1:18" x14ac:dyDescent="0.25">
      <c r="A2613" s="170">
        <v>45852</v>
      </c>
      <c r="B2613" s="116">
        <v>1642.55</v>
      </c>
      <c r="C2613" s="116">
        <v>1639.85</v>
      </c>
      <c r="D2613" s="116">
        <v>1604.1</v>
      </c>
      <c r="E2613" s="116">
        <v>1618.95</v>
      </c>
      <c r="F2613" s="116">
        <v>1639.85</v>
      </c>
      <c r="G2613">
        <v>7606</v>
      </c>
      <c r="H2613" s="116"/>
      <c r="I2613" s="116"/>
      <c r="L2613" s="170">
        <v>45852</v>
      </c>
      <c r="M2613" s="116">
        <v>1637.9</v>
      </c>
      <c r="N2613" s="116">
        <v>1640</v>
      </c>
      <c r="O2613" s="116">
        <v>1604</v>
      </c>
      <c r="P2613" s="116">
        <v>1612</v>
      </c>
      <c r="Q2613" s="116">
        <v>1637.9</v>
      </c>
      <c r="R2613">
        <v>851683</v>
      </c>
    </row>
    <row r="2614" spans="1:18" x14ac:dyDescent="0.25">
      <c r="A2614" s="170">
        <v>45853</v>
      </c>
      <c r="B2614" s="116">
        <v>1657</v>
      </c>
      <c r="C2614" s="116">
        <v>1651.45</v>
      </c>
      <c r="D2614" s="116">
        <v>1627.45</v>
      </c>
      <c r="E2614" s="116">
        <v>1637.8</v>
      </c>
      <c r="F2614" s="116">
        <v>1651.45</v>
      </c>
      <c r="G2614">
        <v>9663</v>
      </c>
      <c r="H2614" s="116"/>
      <c r="I2614" s="116"/>
      <c r="L2614" s="170">
        <v>45853</v>
      </c>
      <c r="M2614" s="116">
        <v>1650.1</v>
      </c>
      <c r="N2614" s="116">
        <v>1657.7</v>
      </c>
      <c r="O2614" s="116">
        <v>1627</v>
      </c>
      <c r="P2614" s="116">
        <v>1642.7</v>
      </c>
      <c r="Q2614" s="116">
        <v>1650.1</v>
      </c>
      <c r="R2614">
        <v>382076</v>
      </c>
    </row>
    <row r="2615" spans="1:18" x14ac:dyDescent="0.25">
      <c r="A2615" s="170">
        <v>45854</v>
      </c>
      <c r="B2615" s="116">
        <v>1665</v>
      </c>
      <c r="C2615" s="116">
        <v>1654.55</v>
      </c>
      <c r="D2615" s="116">
        <v>1638</v>
      </c>
      <c r="E2615" s="116">
        <v>1638</v>
      </c>
      <c r="F2615" s="116">
        <v>1654.55</v>
      </c>
      <c r="G2615">
        <v>32230</v>
      </c>
      <c r="H2615" s="116"/>
      <c r="I2615" s="116"/>
      <c r="L2615" s="170">
        <v>45854</v>
      </c>
      <c r="M2615" s="116">
        <v>1655.1</v>
      </c>
      <c r="N2615" s="116">
        <v>1665</v>
      </c>
      <c r="O2615" s="116">
        <v>1640.5</v>
      </c>
      <c r="P2615" s="116">
        <v>1642</v>
      </c>
      <c r="Q2615" s="116">
        <v>1655.1</v>
      </c>
      <c r="R2615">
        <v>499262</v>
      </c>
    </row>
    <row r="2616" spans="1:18" x14ac:dyDescent="0.25">
      <c r="A2616" s="170">
        <v>45855</v>
      </c>
      <c r="B2616" s="116">
        <v>1671.55</v>
      </c>
      <c r="C2616" s="116">
        <v>1664.15</v>
      </c>
      <c r="D2616" s="116">
        <v>1649.1</v>
      </c>
      <c r="E2616" s="116">
        <v>1671.55</v>
      </c>
      <c r="F2616" s="116">
        <v>1664.15</v>
      </c>
      <c r="G2616">
        <v>57127</v>
      </c>
      <c r="H2616" s="116"/>
      <c r="I2616" s="116"/>
      <c r="L2616" s="170">
        <v>45855</v>
      </c>
      <c r="M2616" s="116">
        <v>1664.1</v>
      </c>
      <c r="N2616" s="116">
        <v>1670.7</v>
      </c>
      <c r="O2616" s="116">
        <v>1648.8</v>
      </c>
      <c r="P2616" s="116">
        <v>1663.8</v>
      </c>
      <c r="Q2616" s="116">
        <v>1664.1</v>
      </c>
      <c r="R2616">
        <v>888851</v>
      </c>
    </row>
    <row r="2617" spans="1:18" x14ac:dyDescent="0.25">
      <c r="A2617" s="170">
        <v>45856</v>
      </c>
      <c r="B2617" s="116">
        <v>1672</v>
      </c>
      <c r="C2617" s="116">
        <v>1651.85</v>
      </c>
      <c r="D2617" s="116">
        <v>1640</v>
      </c>
      <c r="E2617" s="116">
        <v>1672</v>
      </c>
      <c r="F2617" s="116">
        <v>1651.85</v>
      </c>
      <c r="G2617">
        <v>51011</v>
      </c>
      <c r="H2617" s="116"/>
      <c r="I2617" s="116"/>
      <c r="L2617" s="170">
        <v>45856</v>
      </c>
      <c r="M2617" s="116">
        <v>1654.1</v>
      </c>
      <c r="N2617" s="116">
        <v>1672.2</v>
      </c>
      <c r="O2617" s="116">
        <v>1640.1</v>
      </c>
      <c r="P2617" s="116">
        <v>1671.6</v>
      </c>
      <c r="Q2617" s="116">
        <v>1654.1</v>
      </c>
      <c r="R2617">
        <v>483356</v>
      </c>
    </row>
    <row r="2618" spans="1:18" x14ac:dyDescent="0.25">
      <c r="A2618" s="170">
        <v>45859</v>
      </c>
      <c r="B2618" s="116">
        <v>1688.4</v>
      </c>
      <c r="C2618" s="116">
        <v>1685</v>
      </c>
      <c r="D2618" s="116">
        <v>1647.2</v>
      </c>
      <c r="E2618" s="116">
        <v>1649.5</v>
      </c>
      <c r="F2618" s="116">
        <v>1685</v>
      </c>
      <c r="G2618">
        <v>63957</v>
      </c>
      <c r="H2618" s="116"/>
      <c r="I2618" s="116"/>
      <c r="L2618" s="170">
        <v>45859</v>
      </c>
      <c r="M2618" s="116">
        <v>1684.8</v>
      </c>
      <c r="N2618" s="116">
        <v>1689</v>
      </c>
      <c r="O2618" s="116">
        <v>1640</v>
      </c>
      <c r="P2618" s="116">
        <v>1654</v>
      </c>
      <c r="Q2618" s="116">
        <v>1684.8</v>
      </c>
      <c r="R2618">
        <v>313364</v>
      </c>
    </row>
    <row r="2619" spans="1:18" x14ac:dyDescent="0.25">
      <c r="A2619" s="170">
        <v>45860</v>
      </c>
      <c r="B2619" s="116">
        <v>1691</v>
      </c>
      <c r="C2619" s="116">
        <v>1689.05</v>
      </c>
      <c r="D2619" s="116">
        <v>1667.35</v>
      </c>
      <c r="E2619" s="116">
        <v>1675.05</v>
      </c>
      <c r="F2619" s="116">
        <v>1689.05</v>
      </c>
      <c r="G2619">
        <v>15279</v>
      </c>
      <c r="H2619" s="116"/>
      <c r="I2619" s="116"/>
      <c r="L2619" s="170">
        <v>45860</v>
      </c>
      <c r="M2619" s="116">
        <v>1687.6</v>
      </c>
      <c r="N2619" s="116">
        <v>1691.5</v>
      </c>
      <c r="O2619" s="116">
        <v>1667.4</v>
      </c>
      <c r="P2619" s="116">
        <v>1685.8</v>
      </c>
      <c r="Q2619" s="116">
        <v>1687.6</v>
      </c>
      <c r="R2619">
        <v>322750</v>
      </c>
    </row>
    <row r="2620" spans="1:18" x14ac:dyDescent="0.25">
      <c r="A2620" s="170">
        <v>45861</v>
      </c>
      <c r="B2620" s="116">
        <v>1703</v>
      </c>
      <c r="C2620" s="116">
        <v>1689</v>
      </c>
      <c r="D2620" s="116">
        <v>1685</v>
      </c>
      <c r="E2620" s="116">
        <v>1699.25</v>
      </c>
      <c r="F2620" s="116">
        <v>1689</v>
      </c>
      <c r="G2620">
        <v>9924</v>
      </c>
      <c r="H2620" s="116"/>
      <c r="I2620" s="116"/>
      <c r="L2620" s="170">
        <v>45861</v>
      </c>
      <c r="M2620" s="116">
        <v>1689.1</v>
      </c>
      <c r="N2620" s="116">
        <v>1703.5</v>
      </c>
      <c r="O2620" s="116">
        <v>1683.3</v>
      </c>
      <c r="P2620" s="116">
        <v>1696</v>
      </c>
      <c r="Q2620" s="116">
        <v>1689.1</v>
      </c>
      <c r="R2620">
        <v>171615</v>
      </c>
    </row>
    <row r="2621" spans="1:18" x14ac:dyDescent="0.25">
      <c r="A2621" s="170">
        <v>45862</v>
      </c>
      <c r="B2621" s="116">
        <v>1709</v>
      </c>
      <c r="C2621" s="116">
        <v>1695.4</v>
      </c>
      <c r="D2621" s="116">
        <v>1683.9</v>
      </c>
      <c r="E2621" s="116">
        <v>1699.9</v>
      </c>
      <c r="F2621" s="116">
        <v>1695.4</v>
      </c>
      <c r="G2621">
        <v>13024</v>
      </c>
      <c r="H2621" s="116"/>
      <c r="I2621" s="116"/>
      <c r="L2621" s="170">
        <v>45862</v>
      </c>
      <c r="M2621" s="116">
        <v>1695.6</v>
      </c>
      <c r="N2621" s="116">
        <v>1710</v>
      </c>
      <c r="O2621" s="116">
        <v>1684</v>
      </c>
      <c r="P2621" s="116">
        <v>1699</v>
      </c>
      <c r="Q2621" s="116">
        <v>1695.6</v>
      </c>
      <c r="R2621">
        <v>610286</v>
      </c>
    </row>
    <row r="2622" spans="1:18" x14ac:dyDescent="0.25">
      <c r="A2622" s="170">
        <v>45863</v>
      </c>
      <c r="B2622" s="116">
        <v>1718</v>
      </c>
      <c r="C2622" s="116">
        <v>1706.1</v>
      </c>
      <c r="D2622" s="116">
        <v>1696.2</v>
      </c>
      <c r="E2622" s="116">
        <v>1714.95</v>
      </c>
      <c r="F2622" s="116">
        <v>1706.1</v>
      </c>
      <c r="G2622">
        <v>4788</v>
      </c>
      <c r="H2622" s="116"/>
      <c r="I2622" s="116"/>
      <c r="L2622" s="170">
        <v>45863</v>
      </c>
      <c r="M2622" s="116">
        <v>1708</v>
      </c>
      <c r="N2622" s="116">
        <v>1719.9</v>
      </c>
      <c r="O2622" s="116">
        <v>1693.8</v>
      </c>
      <c r="P2622" s="116">
        <v>1704.5</v>
      </c>
      <c r="Q2622" s="116">
        <v>1708</v>
      </c>
      <c r="R2622">
        <v>330388</v>
      </c>
    </row>
    <row r="2623" spans="1:18" x14ac:dyDescent="0.25">
      <c r="A2623" s="170">
        <v>45866</v>
      </c>
      <c r="B2623" s="116">
        <v>1715</v>
      </c>
      <c r="C2623" s="116">
        <v>1709.15</v>
      </c>
      <c r="D2623" s="116">
        <v>1699.6</v>
      </c>
      <c r="E2623" s="116">
        <v>1703</v>
      </c>
      <c r="F2623" s="116">
        <v>1709.15</v>
      </c>
      <c r="G2623">
        <v>2625</v>
      </c>
      <c r="H2623" s="116"/>
      <c r="I2623" s="116"/>
      <c r="L2623" s="170">
        <v>45866</v>
      </c>
      <c r="M2623" s="116">
        <v>1709.8</v>
      </c>
      <c r="N2623" s="116">
        <v>1716.5</v>
      </c>
      <c r="O2623" s="116">
        <v>1700</v>
      </c>
      <c r="P2623" s="116">
        <v>1710</v>
      </c>
      <c r="Q2623" s="116">
        <v>1709.8</v>
      </c>
      <c r="R2623">
        <v>250882</v>
      </c>
    </row>
    <row r="2624" spans="1:18" x14ac:dyDescent="0.25">
      <c r="A2624" s="170">
        <v>45867</v>
      </c>
      <c r="B2624" s="116">
        <v>1812.45</v>
      </c>
      <c r="C2624" s="116">
        <v>1802.45</v>
      </c>
      <c r="D2624" s="116">
        <v>1718.2</v>
      </c>
      <c r="E2624" s="116">
        <v>1724.65</v>
      </c>
      <c r="F2624" s="116">
        <v>1802.45</v>
      </c>
      <c r="G2624">
        <v>20982</v>
      </c>
      <c r="H2624" s="116"/>
      <c r="I2624" s="116"/>
      <c r="L2624" s="170">
        <v>45867</v>
      </c>
      <c r="M2624" s="116">
        <v>1802.6</v>
      </c>
      <c r="N2624" s="116">
        <v>1812.7</v>
      </c>
      <c r="O2624" s="116">
        <v>1710.3</v>
      </c>
      <c r="P2624" s="116">
        <v>1720</v>
      </c>
      <c r="Q2624" s="116">
        <v>1802.6</v>
      </c>
      <c r="R2624">
        <v>1058787</v>
      </c>
    </row>
    <row r="2625" spans="1:18" x14ac:dyDescent="0.25">
      <c r="A2625" s="170">
        <v>45868</v>
      </c>
      <c r="B2625" s="116">
        <v>1812.65</v>
      </c>
      <c r="C2625" s="116">
        <v>1782.9</v>
      </c>
      <c r="D2625" s="116">
        <v>1780.1</v>
      </c>
      <c r="E2625" s="116">
        <v>1812.65</v>
      </c>
      <c r="F2625" s="116">
        <v>1782.9</v>
      </c>
      <c r="G2625">
        <v>2473</v>
      </c>
      <c r="H2625" s="116"/>
      <c r="I2625" s="116"/>
      <c r="L2625" s="170">
        <v>45868</v>
      </c>
      <c r="M2625" s="116">
        <v>1782.6</v>
      </c>
      <c r="N2625" s="116">
        <v>1810.8</v>
      </c>
      <c r="O2625" s="116">
        <v>1780.1</v>
      </c>
      <c r="P2625" s="116">
        <v>1802.6</v>
      </c>
      <c r="Q2625" s="116">
        <v>1782.6</v>
      </c>
      <c r="R2625">
        <v>198249</v>
      </c>
    </row>
    <row r="2626" spans="1:18" x14ac:dyDescent="0.25">
      <c r="A2626" s="170">
        <v>45869</v>
      </c>
      <c r="B2626" s="116">
        <v>1780.25</v>
      </c>
      <c r="C2626" s="116">
        <v>1767.45</v>
      </c>
      <c r="D2626" s="116">
        <v>1745.65</v>
      </c>
      <c r="E2626" s="116">
        <v>1756.55</v>
      </c>
      <c r="F2626" s="116">
        <v>1767.45</v>
      </c>
      <c r="G2626">
        <v>5411</v>
      </c>
      <c r="H2626" s="116"/>
      <c r="I2626" s="116"/>
      <c r="L2626" s="170">
        <v>45869</v>
      </c>
      <c r="M2626" s="116">
        <v>1769.3</v>
      </c>
      <c r="N2626" s="116">
        <v>1781.6</v>
      </c>
      <c r="O2626" s="116">
        <v>1744.4</v>
      </c>
      <c r="P2626" s="116">
        <v>1770</v>
      </c>
      <c r="Q2626" s="116">
        <v>1769.3</v>
      </c>
      <c r="R2626">
        <v>284451</v>
      </c>
    </row>
    <row r="2627" spans="1:18" x14ac:dyDescent="0.25">
      <c r="A2627" s="170">
        <v>45870</v>
      </c>
      <c r="B2627" s="116">
        <v>1767.55</v>
      </c>
      <c r="C2627" s="116">
        <v>1735.95</v>
      </c>
      <c r="D2627" s="116">
        <v>1731.1</v>
      </c>
      <c r="E2627" s="116">
        <v>1750.85</v>
      </c>
      <c r="F2627" s="116">
        <v>1735.95</v>
      </c>
      <c r="G2627">
        <v>244393</v>
      </c>
      <c r="H2627" s="116"/>
      <c r="I2627" s="116"/>
      <c r="L2627" s="170">
        <v>45870</v>
      </c>
      <c r="M2627" s="116">
        <v>1738</v>
      </c>
      <c r="N2627" s="116">
        <v>1769.3</v>
      </c>
      <c r="O2627" s="116">
        <v>1731.2</v>
      </c>
      <c r="P2627" s="116">
        <v>1769.3</v>
      </c>
      <c r="Q2627" s="116">
        <v>1738</v>
      </c>
      <c r="R2627">
        <v>376454</v>
      </c>
    </row>
    <row r="2628" spans="1:18" x14ac:dyDescent="0.25">
      <c r="A2628" s="170">
        <v>45873</v>
      </c>
      <c r="B2628" s="116">
        <v>1739.35</v>
      </c>
      <c r="C2628" s="116">
        <v>1713</v>
      </c>
      <c r="D2628" s="116">
        <v>1708</v>
      </c>
      <c r="E2628" s="116">
        <v>1711.05</v>
      </c>
      <c r="F2628" s="116">
        <v>1713</v>
      </c>
      <c r="G2628">
        <v>1953</v>
      </c>
      <c r="H2628" s="116"/>
      <c r="I2628" s="116"/>
      <c r="L2628" s="170">
        <v>45873</v>
      </c>
      <c r="M2628" s="116">
        <v>1712.4</v>
      </c>
      <c r="N2628" s="116">
        <v>1740.1</v>
      </c>
      <c r="O2628" s="116">
        <v>1708.1</v>
      </c>
      <c r="P2628" s="116">
        <v>1737.4</v>
      </c>
      <c r="Q2628" s="116">
        <v>1712.4</v>
      </c>
      <c r="R2628">
        <v>145533</v>
      </c>
    </row>
    <row r="2629" spans="1:18" x14ac:dyDescent="0.25">
      <c r="A2629" s="170">
        <v>45874</v>
      </c>
      <c r="B2629" s="116">
        <v>1707.05</v>
      </c>
      <c r="C2629" s="116">
        <v>1692.45</v>
      </c>
      <c r="D2629" s="116">
        <v>1687.35</v>
      </c>
      <c r="E2629" s="116">
        <v>1705.1</v>
      </c>
      <c r="F2629" s="116">
        <v>1692.45</v>
      </c>
      <c r="G2629">
        <v>1819</v>
      </c>
      <c r="H2629" s="116"/>
      <c r="I2629" s="116"/>
      <c r="L2629" s="170">
        <v>45874</v>
      </c>
      <c r="M2629" s="116">
        <v>1694</v>
      </c>
      <c r="N2629" s="116">
        <v>1710.3</v>
      </c>
      <c r="O2629" s="116">
        <v>1686.8</v>
      </c>
      <c r="P2629" s="116">
        <v>1710.3</v>
      </c>
      <c r="Q2629" s="116">
        <v>1694</v>
      </c>
      <c r="R2629">
        <v>219966</v>
      </c>
    </row>
    <row r="2630" spans="1:18" x14ac:dyDescent="0.25">
      <c r="A2630" s="170">
        <v>45875</v>
      </c>
      <c r="B2630" s="116">
        <v>1691.2</v>
      </c>
      <c r="C2630" s="116">
        <v>1658.9</v>
      </c>
      <c r="D2630" s="116">
        <v>1655</v>
      </c>
      <c r="E2630" s="116">
        <v>1691.2</v>
      </c>
      <c r="F2630" s="116">
        <v>1658.9</v>
      </c>
      <c r="G2630">
        <v>1128</v>
      </c>
      <c r="H2630" s="116"/>
      <c r="I2630" s="116"/>
      <c r="L2630" s="170">
        <v>45875</v>
      </c>
      <c r="M2630" s="116">
        <v>1659.5</v>
      </c>
      <c r="N2630" s="116">
        <v>1702.9</v>
      </c>
      <c r="O2630" s="116">
        <v>1656</v>
      </c>
      <c r="P2630" s="116">
        <v>1694</v>
      </c>
      <c r="Q2630" s="116">
        <v>1659.5</v>
      </c>
      <c r="R2630">
        <v>80119</v>
      </c>
    </row>
    <row r="2631" spans="1:18" x14ac:dyDescent="0.25">
      <c r="A2631" s="170">
        <v>45876</v>
      </c>
      <c r="B2631" s="116">
        <v>1690.8</v>
      </c>
      <c r="C2631" s="116">
        <v>1688.5</v>
      </c>
      <c r="D2631" s="116">
        <v>1653.9</v>
      </c>
      <c r="E2631" s="116">
        <v>1655</v>
      </c>
      <c r="F2631" s="116">
        <v>1688.5</v>
      </c>
      <c r="G2631">
        <v>22454</v>
      </c>
      <c r="H2631" s="116"/>
      <c r="I2631" s="116"/>
      <c r="L2631" s="170">
        <v>45876</v>
      </c>
      <c r="M2631" s="116">
        <v>1689.4</v>
      </c>
      <c r="N2631" s="116">
        <v>1690</v>
      </c>
      <c r="O2631" s="116">
        <v>1647.7</v>
      </c>
      <c r="P2631" s="116">
        <v>1651.1</v>
      </c>
      <c r="Q2631" s="116">
        <v>1689.4</v>
      </c>
      <c r="R2631">
        <v>356044</v>
      </c>
    </row>
    <row r="2632" spans="1:18" x14ac:dyDescent="0.25">
      <c r="A2632" s="170">
        <v>45877</v>
      </c>
      <c r="B2632" s="116">
        <v>1696.1</v>
      </c>
      <c r="C2632" s="116">
        <v>1690.3</v>
      </c>
      <c r="D2632" s="116">
        <v>1685.1</v>
      </c>
      <c r="E2632" s="116">
        <v>1685.9</v>
      </c>
      <c r="F2632" s="116">
        <v>1690.3</v>
      </c>
      <c r="G2632">
        <v>1140</v>
      </c>
      <c r="H2632" s="116"/>
      <c r="I2632" s="116"/>
      <c r="L2632" s="170">
        <v>45877</v>
      </c>
      <c r="M2632" s="116">
        <v>1690.9</v>
      </c>
      <c r="N2632" s="116">
        <v>1695</v>
      </c>
      <c r="O2632" s="116">
        <v>1681.8</v>
      </c>
      <c r="P2632" s="116">
        <v>1690</v>
      </c>
      <c r="Q2632" s="116">
        <v>1690.9</v>
      </c>
      <c r="R2632">
        <v>184526</v>
      </c>
    </row>
    <row r="2633" spans="1:18" x14ac:dyDescent="0.25">
      <c r="A2633" s="170">
        <v>45880</v>
      </c>
      <c r="B2633" s="116">
        <v>1721</v>
      </c>
      <c r="C2633" s="116">
        <v>1708.85</v>
      </c>
      <c r="D2633" s="116">
        <v>1687.6</v>
      </c>
      <c r="E2633" s="116">
        <v>1690.3</v>
      </c>
      <c r="F2633" s="116">
        <v>1708.85</v>
      </c>
      <c r="G2633">
        <v>1428</v>
      </c>
      <c r="H2633" s="116"/>
      <c r="I2633" s="116"/>
      <c r="L2633" s="170">
        <v>45880</v>
      </c>
      <c r="M2633" s="116">
        <v>1711.1</v>
      </c>
      <c r="N2633" s="116">
        <v>1721</v>
      </c>
      <c r="O2633" s="116">
        <v>1680</v>
      </c>
      <c r="P2633" s="116">
        <v>1680</v>
      </c>
      <c r="Q2633" s="116">
        <v>1711.1</v>
      </c>
      <c r="R2633">
        <v>176563</v>
      </c>
    </row>
    <row r="2634" spans="1:18" x14ac:dyDescent="0.25">
      <c r="A2634" s="170">
        <v>45881</v>
      </c>
      <c r="B2634" s="116">
        <v>1733.8</v>
      </c>
      <c r="C2634" s="116">
        <v>1704</v>
      </c>
      <c r="D2634" s="116">
        <v>1691.5</v>
      </c>
      <c r="E2634" s="116">
        <v>1733.8</v>
      </c>
      <c r="F2634" s="116">
        <v>1704</v>
      </c>
      <c r="G2634">
        <v>2742</v>
      </c>
      <c r="H2634" s="116"/>
      <c r="I2634" s="116"/>
      <c r="L2634" s="170">
        <v>45881</v>
      </c>
      <c r="M2634" s="116">
        <v>1703.8</v>
      </c>
      <c r="N2634" s="116">
        <v>1719.1</v>
      </c>
      <c r="O2634" s="116">
        <v>1690</v>
      </c>
      <c r="P2634" s="116">
        <v>1711.1</v>
      </c>
      <c r="Q2634" s="116">
        <v>1703.8</v>
      </c>
      <c r="R2634">
        <v>85064</v>
      </c>
    </row>
    <row r="2635" spans="1:18" x14ac:dyDescent="0.25">
      <c r="A2635" s="170">
        <v>45882</v>
      </c>
      <c r="B2635" s="116">
        <v>1723</v>
      </c>
      <c r="C2635" s="116">
        <v>1715.55</v>
      </c>
      <c r="D2635" s="116">
        <v>1700</v>
      </c>
      <c r="E2635" s="116">
        <v>1700</v>
      </c>
      <c r="F2635" s="116">
        <v>1715.55</v>
      </c>
      <c r="G2635">
        <v>3471</v>
      </c>
      <c r="H2635" s="116"/>
      <c r="I2635" s="116"/>
      <c r="L2635" s="170">
        <v>45882</v>
      </c>
      <c r="M2635" s="116">
        <v>1715.5</v>
      </c>
      <c r="N2635" s="116">
        <v>1723.6</v>
      </c>
      <c r="O2635" s="116">
        <v>1703.4</v>
      </c>
      <c r="P2635" s="116">
        <v>1704.4</v>
      </c>
      <c r="Q2635" s="116">
        <v>1715.5</v>
      </c>
      <c r="R2635">
        <v>62276</v>
      </c>
    </row>
    <row r="2636" spans="1:18" x14ac:dyDescent="0.25">
      <c r="A2636" s="170">
        <v>45883</v>
      </c>
      <c r="B2636" s="116">
        <v>1728.3</v>
      </c>
      <c r="C2636" s="116">
        <v>1714.35</v>
      </c>
      <c r="D2636" s="116">
        <v>1701.75</v>
      </c>
      <c r="E2636" s="116">
        <v>1725.55</v>
      </c>
      <c r="F2636" s="116">
        <v>1714.35</v>
      </c>
      <c r="G2636">
        <v>3084</v>
      </c>
      <c r="H2636" s="116"/>
      <c r="I2636" s="116"/>
      <c r="L2636" s="170">
        <v>45883</v>
      </c>
      <c r="M2636" s="116">
        <v>1716.7</v>
      </c>
      <c r="N2636" s="116">
        <v>1729</v>
      </c>
      <c r="O2636" s="116">
        <v>1701.4</v>
      </c>
      <c r="P2636" s="116">
        <v>1725</v>
      </c>
      <c r="Q2636" s="116">
        <v>1716.7</v>
      </c>
      <c r="R2636">
        <v>74236</v>
      </c>
    </row>
    <row r="2637" spans="1:18" x14ac:dyDescent="0.25">
      <c r="A2637" s="170">
        <v>45887</v>
      </c>
      <c r="B2637" s="116">
        <v>1721.6</v>
      </c>
      <c r="C2637" s="116">
        <v>1717.2</v>
      </c>
      <c r="D2637" s="116">
        <v>1702</v>
      </c>
      <c r="E2637" s="116">
        <v>1712.5</v>
      </c>
      <c r="F2637" s="116">
        <v>1717.2</v>
      </c>
      <c r="G2637">
        <v>2071</v>
      </c>
      <c r="H2637" s="116"/>
      <c r="I2637" s="116"/>
      <c r="L2637" s="170">
        <v>45887</v>
      </c>
      <c r="M2637" s="116">
        <v>1715.8</v>
      </c>
      <c r="N2637" s="116">
        <v>1731</v>
      </c>
      <c r="O2637" s="116">
        <v>1701.2</v>
      </c>
      <c r="P2637" s="116">
        <v>1730.6</v>
      </c>
      <c r="Q2637" s="116">
        <v>1715.8</v>
      </c>
      <c r="R2637">
        <v>75960</v>
      </c>
    </row>
    <row r="2638" spans="1:18" x14ac:dyDescent="0.25">
      <c r="A2638" s="170">
        <v>45888</v>
      </c>
      <c r="B2638" s="116">
        <v>1730.2</v>
      </c>
      <c r="C2638" s="116">
        <v>1728.65</v>
      </c>
      <c r="D2638" s="116">
        <v>1711.9</v>
      </c>
      <c r="E2638" s="116">
        <v>1715.8</v>
      </c>
      <c r="F2638" s="116">
        <v>1728.65</v>
      </c>
      <c r="G2638">
        <v>2373</v>
      </c>
      <c r="H2638" s="116"/>
      <c r="I2638" s="116"/>
      <c r="L2638" s="170">
        <v>45888</v>
      </c>
      <c r="M2638" s="116">
        <v>1728.2</v>
      </c>
      <c r="N2638" s="116">
        <v>1731</v>
      </c>
      <c r="O2638" s="116">
        <v>1713.2</v>
      </c>
      <c r="P2638" s="116">
        <v>1715.8</v>
      </c>
      <c r="Q2638" s="116">
        <v>1728.2</v>
      </c>
      <c r="R2638">
        <v>95510</v>
      </c>
    </row>
    <row r="2639" spans="1:18" x14ac:dyDescent="0.25">
      <c r="A2639" s="170">
        <v>45889</v>
      </c>
      <c r="B2639" s="116">
        <v>1735.75</v>
      </c>
      <c r="C2639" s="116">
        <v>1728</v>
      </c>
      <c r="D2639" s="116">
        <v>1723.1</v>
      </c>
      <c r="E2639" s="116">
        <v>1735.75</v>
      </c>
      <c r="F2639" s="116">
        <v>1728</v>
      </c>
      <c r="G2639">
        <v>2102</v>
      </c>
      <c r="H2639" s="116"/>
      <c r="I2639" s="116"/>
      <c r="L2639" s="170">
        <v>45889</v>
      </c>
      <c r="M2639" s="116">
        <v>1728</v>
      </c>
      <c r="N2639" s="116">
        <v>1737.2</v>
      </c>
      <c r="O2639" s="116">
        <v>1720.5</v>
      </c>
      <c r="P2639" s="116">
        <v>1734.8</v>
      </c>
      <c r="Q2639" s="116">
        <v>1728</v>
      </c>
      <c r="R2639">
        <v>65479</v>
      </c>
    </row>
    <row r="2640" spans="1:18" x14ac:dyDescent="0.25">
      <c r="A2640" s="170">
        <v>45890</v>
      </c>
      <c r="B2640" s="116">
        <v>1740</v>
      </c>
      <c r="C2640" s="116">
        <v>1726.2</v>
      </c>
      <c r="D2640" s="116">
        <v>1702.95</v>
      </c>
      <c r="E2640" s="116">
        <v>1702.95</v>
      </c>
      <c r="F2640" s="116">
        <v>1726.2</v>
      </c>
      <c r="G2640">
        <v>1873</v>
      </c>
      <c r="H2640" s="116"/>
      <c r="I2640" s="116"/>
      <c r="L2640" s="170">
        <v>45890</v>
      </c>
      <c r="M2640" s="116">
        <v>1727.9</v>
      </c>
      <c r="N2640" s="116">
        <v>1740</v>
      </c>
      <c r="O2640" s="116">
        <v>1713.1</v>
      </c>
      <c r="P2640" s="116">
        <v>1735.4</v>
      </c>
      <c r="Q2640" s="116">
        <v>1727.9</v>
      </c>
      <c r="R2640">
        <v>93028</v>
      </c>
    </row>
    <row r="2641" spans="1:18" x14ac:dyDescent="0.25">
      <c r="A2641" s="170">
        <v>45891</v>
      </c>
      <c r="B2641" s="116">
        <v>1759.45</v>
      </c>
      <c r="C2641" s="116">
        <v>1747.7</v>
      </c>
      <c r="D2641" s="116">
        <v>1721.25</v>
      </c>
      <c r="E2641" s="116">
        <v>1724.35</v>
      </c>
      <c r="F2641" s="116">
        <v>1747.7</v>
      </c>
      <c r="G2641">
        <v>1661</v>
      </c>
      <c r="H2641" s="116"/>
      <c r="I2641" s="116"/>
      <c r="L2641" s="170">
        <v>45891</v>
      </c>
      <c r="M2641" s="116">
        <v>1747.9</v>
      </c>
      <c r="N2641" s="116">
        <v>1758.8</v>
      </c>
      <c r="O2641" s="116">
        <v>1719.4</v>
      </c>
      <c r="P2641" s="116">
        <v>1721.1</v>
      </c>
      <c r="Q2641" s="116">
        <v>1747.9</v>
      </c>
      <c r="R2641">
        <v>250995</v>
      </c>
    </row>
    <row r="2642" spans="1:18" x14ac:dyDescent="0.25">
      <c r="A2642" s="170">
        <v>45894</v>
      </c>
      <c r="B2642" s="116">
        <v>1771.5</v>
      </c>
      <c r="C2642" s="116">
        <v>1748.15</v>
      </c>
      <c r="D2642" s="116">
        <v>1741.3</v>
      </c>
      <c r="E2642" s="116">
        <v>1771.5</v>
      </c>
      <c r="F2642" s="116">
        <v>1748.15</v>
      </c>
      <c r="G2642">
        <v>2925</v>
      </c>
      <c r="H2642" s="116"/>
      <c r="I2642" s="116"/>
      <c r="L2642" s="170">
        <v>45894</v>
      </c>
      <c r="M2642" s="116">
        <v>1749.4</v>
      </c>
      <c r="N2642" s="116">
        <v>1762.5</v>
      </c>
      <c r="O2642" s="116">
        <v>1739</v>
      </c>
      <c r="P2642" s="116">
        <v>1759</v>
      </c>
      <c r="Q2642" s="116">
        <v>1749.4</v>
      </c>
      <c r="R2642">
        <v>172333</v>
      </c>
    </row>
    <row r="2643" spans="1:18" x14ac:dyDescent="0.25">
      <c r="A2643" s="170">
        <v>45895</v>
      </c>
      <c r="B2643" s="116">
        <v>1756.6</v>
      </c>
      <c r="C2643" s="116">
        <v>1716.45</v>
      </c>
      <c r="D2643" s="116">
        <v>1698.9</v>
      </c>
      <c r="E2643" s="116">
        <v>1756.6</v>
      </c>
      <c r="F2643" s="116">
        <v>1716.45</v>
      </c>
      <c r="G2643">
        <v>3828</v>
      </c>
      <c r="H2643" s="116"/>
      <c r="I2643" s="116"/>
      <c r="L2643" s="170">
        <v>45895</v>
      </c>
      <c r="M2643" s="116">
        <v>1719</v>
      </c>
      <c r="N2643" s="116">
        <v>1756.1</v>
      </c>
      <c r="O2643" s="116">
        <v>1695.4</v>
      </c>
      <c r="P2643" s="116">
        <v>1754.6</v>
      </c>
      <c r="Q2643" s="116">
        <v>1719</v>
      </c>
      <c r="R2643">
        <v>488451</v>
      </c>
    </row>
    <row r="2644" spans="1:18" x14ac:dyDescent="0.25">
      <c r="A2644" s="170">
        <v>45897</v>
      </c>
      <c r="B2644" s="116">
        <v>1715</v>
      </c>
      <c r="C2644" s="116">
        <v>1706.2</v>
      </c>
      <c r="D2644" s="116">
        <v>1699.8</v>
      </c>
      <c r="E2644" s="116">
        <v>1711.8</v>
      </c>
      <c r="F2644" s="116">
        <v>1706.2</v>
      </c>
      <c r="G2644">
        <v>1012</v>
      </c>
      <c r="H2644" s="116"/>
      <c r="I2644" s="116"/>
      <c r="L2644" s="170">
        <v>45897</v>
      </c>
      <c r="M2644" s="116">
        <v>1706.4</v>
      </c>
      <c r="N2644" s="116">
        <v>1718.7</v>
      </c>
      <c r="O2644" s="116">
        <v>1696.9</v>
      </c>
      <c r="P2644" s="116">
        <v>1712.1</v>
      </c>
      <c r="Q2644" s="116">
        <v>1706.4</v>
      </c>
      <c r="R2644">
        <v>191969</v>
      </c>
    </row>
    <row r="2645" spans="1:18" x14ac:dyDescent="0.25">
      <c r="A2645" s="170">
        <v>45898</v>
      </c>
      <c r="B2645" s="116">
        <v>1729.15</v>
      </c>
      <c r="C2645" s="116">
        <v>1725</v>
      </c>
      <c r="D2645" s="116">
        <v>1708.6</v>
      </c>
      <c r="E2645" s="116">
        <v>1713.5</v>
      </c>
      <c r="F2645" s="116">
        <v>1725</v>
      </c>
      <c r="G2645">
        <v>754</v>
      </c>
      <c r="H2645" s="116"/>
      <c r="I2645" s="116"/>
      <c r="L2645" s="170">
        <v>45898</v>
      </c>
      <c r="M2645" s="116">
        <v>1724.3</v>
      </c>
      <c r="N2645" s="116">
        <v>1729</v>
      </c>
      <c r="O2645" s="116">
        <v>1705.4</v>
      </c>
      <c r="P2645" s="116">
        <v>1706.4</v>
      </c>
      <c r="Q2645" s="116">
        <v>1724.3</v>
      </c>
      <c r="R2645">
        <v>145296</v>
      </c>
    </row>
    <row r="2646" spans="1:18" x14ac:dyDescent="0.25">
      <c r="A2646" s="170">
        <v>45901</v>
      </c>
      <c r="B2646" s="116">
        <v>1734.15</v>
      </c>
      <c r="C2646" s="116">
        <v>1724.45</v>
      </c>
      <c r="D2646" s="116">
        <v>1711.6</v>
      </c>
      <c r="E2646" s="116">
        <v>1711.6</v>
      </c>
      <c r="F2646" s="116">
        <v>1724.45</v>
      </c>
      <c r="G2646">
        <v>1243</v>
      </c>
      <c r="H2646" s="116"/>
      <c r="I2646" s="116"/>
      <c r="L2646" s="170">
        <v>45901</v>
      </c>
      <c r="M2646" s="116">
        <v>1725.5</v>
      </c>
      <c r="N2646" s="116">
        <v>1735</v>
      </c>
      <c r="O2646" s="116">
        <v>1713.7</v>
      </c>
      <c r="P2646" s="116">
        <v>1721.4</v>
      </c>
      <c r="Q2646" s="116">
        <v>1725.5</v>
      </c>
      <c r="R2646">
        <v>46245</v>
      </c>
    </row>
    <row r="2647" spans="1:18" x14ac:dyDescent="0.25">
      <c r="A2647" s="170">
        <v>45902</v>
      </c>
      <c r="B2647" s="116">
        <v>1726.4</v>
      </c>
      <c r="C2647" s="116">
        <v>1715.3</v>
      </c>
      <c r="D2647" s="116">
        <v>1703.3</v>
      </c>
      <c r="E2647" s="116">
        <v>1717.6</v>
      </c>
      <c r="F2647" s="116">
        <v>1715.3</v>
      </c>
      <c r="G2647">
        <v>909</v>
      </c>
      <c r="H2647" s="116"/>
      <c r="I2647" s="116"/>
      <c r="L2647" s="170">
        <v>45902</v>
      </c>
      <c r="M2647" s="116">
        <v>1715.4</v>
      </c>
      <c r="N2647" s="116">
        <v>1729.8</v>
      </c>
      <c r="O2647" s="116">
        <v>1701.1</v>
      </c>
      <c r="P2647" s="116">
        <v>1729.8</v>
      </c>
      <c r="Q2647" s="116">
        <v>1715.4</v>
      </c>
      <c r="R2647">
        <v>61137</v>
      </c>
    </row>
    <row r="2648" spans="1:18" x14ac:dyDescent="0.25">
      <c r="A2648" s="170">
        <v>45903</v>
      </c>
      <c r="B2648" s="116">
        <v>1736.45</v>
      </c>
      <c r="C2648" s="116">
        <v>1727.95</v>
      </c>
      <c r="D2648" s="116">
        <v>1712.5</v>
      </c>
      <c r="E2648" s="116">
        <v>1717.55</v>
      </c>
      <c r="F2648" s="116">
        <v>1727.95</v>
      </c>
      <c r="G2648">
        <v>852</v>
      </c>
      <c r="H2648" s="116"/>
      <c r="I2648" s="116"/>
      <c r="L2648" s="170">
        <v>45903</v>
      </c>
      <c r="M2648" s="116">
        <v>1728.9</v>
      </c>
      <c r="N2648" s="116">
        <v>1740.6</v>
      </c>
      <c r="O2648" s="116">
        <v>1710</v>
      </c>
      <c r="P2648" s="116">
        <v>1718.9</v>
      </c>
      <c r="Q2648" s="116">
        <v>1728.9</v>
      </c>
      <c r="R2648">
        <v>43622</v>
      </c>
    </row>
    <row r="2649" spans="1:18" x14ac:dyDescent="0.25">
      <c r="A2649" s="170">
        <v>45904</v>
      </c>
      <c r="B2649" s="116">
        <v>1739.4</v>
      </c>
      <c r="C2649" s="116">
        <v>1721.6</v>
      </c>
      <c r="D2649" s="116">
        <v>1718.9</v>
      </c>
      <c r="E2649" s="116">
        <v>1730.95</v>
      </c>
      <c r="F2649" s="116">
        <v>1721.6</v>
      </c>
      <c r="G2649">
        <v>1361</v>
      </c>
      <c r="H2649" s="116"/>
      <c r="I2649" s="116"/>
      <c r="L2649" s="170">
        <v>45904</v>
      </c>
      <c r="M2649" s="116">
        <v>1723.4</v>
      </c>
      <c r="N2649" s="116">
        <v>1741.9</v>
      </c>
      <c r="O2649" s="116">
        <v>1716.7</v>
      </c>
      <c r="P2649" s="116">
        <v>1738.2</v>
      </c>
      <c r="Q2649" s="116">
        <v>1723.4</v>
      </c>
      <c r="R2649">
        <v>32494</v>
      </c>
    </row>
    <row r="2650" spans="1:18" x14ac:dyDescent="0.25">
      <c r="A2650" s="170">
        <v>45905</v>
      </c>
      <c r="B2650" s="116">
        <v>1740</v>
      </c>
      <c r="C2650" s="116">
        <v>1718.85</v>
      </c>
      <c r="D2650" s="116">
        <v>1701</v>
      </c>
      <c r="E2650" s="116">
        <v>1736.95</v>
      </c>
      <c r="F2650" s="116">
        <v>1718.85</v>
      </c>
      <c r="G2650">
        <v>1345</v>
      </c>
      <c r="H2650" s="116"/>
      <c r="I2650" s="116"/>
      <c r="L2650" s="170">
        <v>45905</v>
      </c>
      <c r="M2650" s="116">
        <v>1718.3</v>
      </c>
      <c r="N2650" s="116">
        <v>1743</v>
      </c>
      <c r="O2650" s="116">
        <v>1700</v>
      </c>
      <c r="P2650" s="116">
        <v>1715</v>
      </c>
      <c r="Q2650" s="116">
        <v>1718.3</v>
      </c>
      <c r="R2650">
        <v>130807</v>
      </c>
    </row>
    <row r="2651" spans="1:18" x14ac:dyDescent="0.25">
      <c r="A2651" s="170">
        <v>45908</v>
      </c>
      <c r="B2651" s="116">
        <v>1735</v>
      </c>
      <c r="C2651" s="116">
        <v>1723.25</v>
      </c>
      <c r="D2651" s="116">
        <v>1709.15</v>
      </c>
      <c r="E2651" s="116">
        <v>1720.5</v>
      </c>
      <c r="F2651" s="116">
        <v>1723.25</v>
      </c>
      <c r="G2651">
        <v>3590</v>
      </c>
      <c r="H2651" s="116"/>
      <c r="I2651" s="116"/>
      <c r="L2651" s="170">
        <v>45908</v>
      </c>
      <c r="M2651" s="116">
        <v>1725.2</v>
      </c>
      <c r="N2651" s="116">
        <v>1737.5</v>
      </c>
      <c r="O2651" s="116">
        <v>1708.2</v>
      </c>
      <c r="P2651" s="116">
        <v>1718.3</v>
      </c>
      <c r="Q2651" s="116">
        <v>1725.2</v>
      </c>
      <c r="R2651">
        <v>91014</v>
      </c>
    </row>
    <row r="2652" spans="1:18" x14ac:dyDescent="0.25">
      <c r="A2652" s="170">
        <v>45909</v>
      </c>
      <c r="B2652" s="116">
        <v>1731.3</v>
      </c>
      <c r="C2652" s="116">
        <v>1729.4</v>
      </c>
      <c r="D2652" s="116">
        <v>1714</v>
      </c>
      <c r="E2652" s="116">
        <v>1722.15</v>
      </c>
      <c r="F2652" s="116">
        <v>1729.4</v>
      </c>
      <c r="G2652">
        <v>998</v>
      </c>
      <c r="H2652" s="116"/>
      <c r="I2652" s="116"/>
      <c r="L2652" s="170">
        <v>45909</v>
      </c>
      <c r="M2652" s="116">
        <v>1729.1</v>
      </c>
      <c r="N2652" s="116">
        <v>1730</v>
      </c>
      <c r="O2652" s="116">
        <v>1713.3</v>
      </c>
      <c r="P2652" s="116">
        <v>1722</v>
      </c>
      <c r="Q2652" s="116">
        <v>1729.1</v>
      </c>
      <c r="R2652">
        <v>128444</v>
      </c>
    </row>
    <row r="2653" spans="1:18" x14ac:dyDescent="0.25">
      <c r="A2653" s="170">
        <v>45910</v>
      </c>
      <c r="B2653" s="116">
        <v>1742.95</v>
      </c>
      <c r="C2653" s="116">
        <v>1712</v>
      </c>
      <c r="D2653" s="116">
        <v>1697.15</v>
      </c>
      <c r="E2653" s="116">
        <v>1729</v>
      </c>
      <c r="F2653" s="116">
        <v>1712</v>
      </c>
      <c r="G2653">
        <v>2971</v>
      </c>
      <c r="H2653" s="116"/>
      <c r="I2653" s="116"/>
      <c r="L2653" s="170">
        <v>45910</v>
      </c>
      <c r="M2653" s="116">
        <v>1709.7</v>
      </c>
      <c r="N2653" s="116">
        <v>1745</v>
      </c>
      <c r="O2653" s="116">
        <v>1697.4</v>
      </c>
      <c r="P2653" s="116">
        <v>1738.1</v>
      </c>
      <c r="Q2653" s="116">
        <v>1709.7</v>
      </c>
      <c r="R2653">
        <v>118666</v>
      </c>
    </row>
    <row r="2654" spans="1:18" x14ac:dyDescent="0.25">
      <c r="A2654" s="170">
        <v>45911</v>
      </c>
      <c r="B2654" s="116">
        <v>1720.8</v>
      </c>
      <c r="C2654" s="116">
        <v>1706.95</v>
      </c>
      <c r="D2654" s="116">
        <v>1699.5</v>
      </c>
      <c r="E2654" s="116">
        <v>1712.05</v>
      </c>
      <c r="F2654" s="116">
        <v>1706.95</v>
      </c>
      <c r="G2654">
        <v>1753</v>
      </c>
      <c r="H2654" s="116"/>
      <c r="I2654" s="116"/>
      <c r="L2654" s="170">
        <v>45911</v>
      </c>
      <c r="M2654" s="116">
        <v>1705.5</v>
      </c>
      <c r="N2654" s="116">
        <v>1722.3</v>
      </c>
      <c r="O2654" s="116">
        <v>1696.8</v>
      </c>
      <c r="P2654" s="116">
        <v>1712.1</v>
      </c>
      <c r="Q2654" s="116">
        <v>1705.5</v>
      </c>
      <c r="R2654">
        <v>36495</v>
      </c>
    </row>
    <row r="2655" spans="1:18" x14ac:dyDescent="0.25">
      <c r="A2655" s="170">
        <v>45912</v>
      </c>
      <c r="B2655" s="116">
        <v>1709.3</v>
      </c>
      <c r="C2655" s="116">
        <v>1700.1</v>
      </c>
      <c r="D2655" s="116">
        <v>1694.05</v>
      </c>
      <c r="E2655" s="116">
        <v>1705.2</v>
      </c>
      <c r="F2655" s="116">
        <v>1700.1</v>
      </c>
      <c r="G2655">
        <v>936</v>
      </c>
      <c r="H2655" s="116"/>
      <c r="I2655" s="116"/>
      <c r="L2655" s="170">
        <v>45912</v>
      </c>
      <c r="M2655" s="116">
        <v>1699.9</v>
      </c>
      <c r="N2655" s="116">
        <v>1715.5</v>
      </c>
      <c r="O2655" s="116">
        <v>1694.8</v>
      </c>
      <c r="P2655" s="116">
        <v>1706</v>
      </c>
      <c r="Q2655" s="116">
        <v>1699.9</v>
      </c>
      <c r="R2655">
        <v>56245</v>
      </c>
    </row>
    <row r="2656" spans="1:18" x14ac:dyDescent="0.25">
      <c r="A2656" s="170">
        <v>45915</v>
      </c>
      <c r="B2656" s="116">
        <v>1696.45</v>
      </c>
      <c r="C2656" s="116">
        <v>1678.9</v>
      </c>
      <c r="D2656" s="116">
        <v>1671.85</v>
      </c>
      <c r="E2656" s="116">
        <v>1695.75</v>
      </c>
      <c r="F2656" s="116">
        <v>1678.9</v>
      </c>
      <c r="G2656">
        <v>2320</v>
      </c>
      <c r="H2656" s="116"/>
      <c r="I2656" s="116"/>
      <c r="L2656" s="170">
        <v>45915</v>
      </c>
      <c r="M2656" s="116">
        <v>1679.4</v>
      </c>
      <c r="N2656" s="116">
        <v>1700.1</v>
      </c>
      <c r="O2656" s="116">
        <v>1672.2</v>
      </c>
      <c r="P2656" s="116">
        <v>1698.8</v>
      </c>
      <c r="Q2656" s="116">
        <v>1679.4</v>
      </c>
      <c r="R2656">
        <v>121369</v>
      </c>
    </row>
    <row r="2657" spans="1:18" x14ac:dyDescent="0.25">
      <c r="A2657" s="170">
        <v>45916</v>
      </c>
      <c r="B2657" s="116">
        <v>1699.95</v>
      </c>
      <c r="C2657" s="116">
        <v>1682.85</v>
      </c>
      <c r="D2657" s="116">
        <v>1678.9</v>
      </c>
      <c r="E2657" s="116">
        <v>1699.95</v>
      </c>
      <c r="F2657" s="116">
        <v>1682.85</v>
      </c>
      <c r="G2657">
        <v>529</v>
      </c>
      <c r="H2657" s="116"/>
      <c r="I2657" s="116"/>
      <c r="L2657" s="170">
        <v>45916</v>
      </c>
      <c r="M2657" s="116">
        <v>1683.8</v>
      </c>
      <c r="N2657" s="116">
        <v>1690</v>
      </c>
      <c r="O2657" s="116">
        <v>1677.6</v>
      </c>
      <c r="P2657" s="116">
        <v>1680</v>
      </c>
      <c r="Q2657" s="116">
        <v>1683.8</v>
      </c>
      <c r="R2657">
        <v>114006</v>
      </c>
    </row>
    <row r="2658" spans="1:18" x14ac:dyDescent="0.25">
      <c r="A2658" s="170">
        <v>45917</v>
      </c>
      <c r="B2658" s="116">
        <v>1696.7</v>
      </c>
      <c r="C2658" s="116">
        <v>1694.3</v>
      </c>
      <c r="D2658" s="116">
        <v>1676</v>
      </c>
      <c r="E2658" s="116">
        <v>1687.4</v>
      </c>
      <c r="F2658" s="116">
        <v>1694.3</v>
      </c>
      <c r="G2658">
        <v>1039</v>
      </c>
      <c r="H2658" s="116"/>
      <c r="I2658" s="116"/>
      <c r="L2658" s="170">
        <v>45917</v>
      </c>
      <c r="M2658" s="116">
        <v>1693</v>
      </c>
      <c r="N2658" s="116">
        <v>1696.5</v>
      </c>
      <c r="O2658" s="116">
        <v>1675.2</v>
      </c>
      <c r="P2658" s="116">
        <v>1687.4</v>
      </c>
      <c r="Q2658" s="116">
        <v>1693</v>
      </c>
      <c r="R2658">
        <v>73202</v>
      </c>
    </row>
    <row r="2659" spans="1:18" x14ac:dyDescent="0.25">
      <c r="A2659" s="170">
        <v>45918</v>
      </c>
      <c r="B2659" s="116">
        <v>1694.6</v>
      </c>
      <c r="C2659" s="116">
        <v>1690.6</v>
      </c>
      <c r="D2659" s="116">
        <v>1676</v>
      </c>
      <c r="E2659" s="116">
        <v>1694</v>
      </c>
      <c r="F2659" s="116">
        <v>1690.6</v>
      </c>
      <c r="G2659">
        <v>1150</v>
      </c>
      <c r="H2659" s="116"/>
      <c r="I2659" s="116"/>
      <c r="L2659" s="170">
        <v>45918</v>
      </c>
      <c r="M2659" s="116">
        <v>1690.8</v>
      </c>
      <c r="N2659" s="116">
        <v>1698.9</v>
      </c>
      <c r="O2659" s="116">
        <v>1674.1</v>
      </c>
      <c r="P2659" s="116">
        <v>1693</v>
      </c>
      <c r="Q2659" s="116">
        <v>1690.8</v>
      </c>
      <c r="R2659">
        <v>136173</v>
      </c>
    </row>
    <row r="2660" spans="1:18" x14ac:dyDescent="0.25">
      <c r="A2660" s="170">
        <v>45919</v>
      </c>
      <c r="B2660" s="116">
        <v>1718</v>
      </c>
      <c r="C2660" s="116">
        <v>1714.35</v>
      </c>
      <c r="D2660" s="116">
        <v>1689.7</v>
      </c>
      <c r="E2660" s="116">
        <v>1698.85</v>
      </c>
      <c r="F2660" s="116">
        <v>1714.35</v>
      </c>
      <c r="G2660">
        <v>674</v>
      </c>
      <c r="H2660" s="116"/>
      <c r="I2660" s="116"/>
      <c r="L2660" s="170">
        <v>45919</v>
      </c>
      <c r="M2660" s="116">
        <v>1714.2</v>
      </c>
      <c r="N2660" s="116">
        <v>1718.9</v>
      </c>
      <c r="O2660" s="116">
        <v>1685.9</v>
      </c>
      <c r="P2660" s="116">
        <v>1690.8</v>
      </c>
      <c r="Q2660" s="116">
        <v>1714.2</v>
      </c>
      <c r="R2660">
        <v>165091</v>
      </c>
    </row>
    <row r="2661" spans="1:18" x14ac:dyDescent="0.25">
      <c r="A2661" s="170">
        <v>45922</v>
      </c>
      <c r="B2661" s="116">
        <v>1725</v>
      </c>
      <c r="C2661" s="116">
        <v>1720.55</v>
      </c>
      <c r="D2661" s="116">
        <v>1709.55</v>
      </c>
      <c r="E2661" s="116">
        <v>1725</v>
      </c>
      <c r="F2661" s="116">
        <v>1720.55</v>
      </c>
      <c r="G2661">
        <v>2189</v>
      </c>
      <c r="H2661" s="116"/>
      <c r="I2661" s="116"/>
      <c r="L2661" s="170">
        <v>45922</v>
      </c>
      <c r="M2661" s="116">
        <v>1719.8</v>
      </c>
      <c r="N2661" s="116">
        <v>1728.5</v>
      </c>
      <c r="O2661" s="116">
        <v>1707</v>
      </c>
      <c r="P2661" s="116">
        <v>1725</v>
      </c>
      <c r="Q2661" s="116">
        <v>1719.8</v>
      </c>
      <c r="R2661">
        <v>179883</v>
      </c>
    </row>
    <row r="2662" spans="1:18" x14ac:dyDescent="0.25">
      <c r="A2662" s="170">
        <v>45923</v>
      </c>
      <c r="B2662" s="116">
        <v>1740.8</v>
      </c>
      <c r="C2662" s="116">
        <v>1722.95</v>
      </c>
      <c r="D2662" s="116">
        <v>1714.35</v>
      </c>
      <c r="E2662" s="116">
        <v>1730</v>
      </c>
      <c r="F2662" s="116">
        <v>1722.95</v>
      </c>
      <c r="G2662">
        <v>4747</v>
      </c>
      <c r="H2662" s="116"/>
      <c r="I2662" s="116"/>
      <c r="L2662" s="170">
        <v>45923</v>
      </c>
      <c r="M2662" s="116">
        <v>1723.4</v>
      </c>
      <c r="N2662" s="116">
        <v>1739.9</v>
      </c>
      <c r="O2662" s="116">
        <v>1712.3</v>
      </c>
      <c r="P2662" s="116">
        <v>1733.9</v>
      </c>
      <c r="Q2662" s="116">
        <v>1723.4</v>
      </c>
      <c r="R2662">
        <v>106623</v>
      </c>
    </row>
    <row r="2663" spans="1:18" x14ac:dyDescent="0.25">
      <c r="A2663" s="170">
        <v>45924</v>
      </c>
      <c r="B2663" s="116">
        <v>1723.05</v>
      </c>
      <c r="C2663" s="116">
        <v>1695.25</v>
      </c>
      <c r="D2663" s="116">
        <v>1693.7</v>
      </c>
      <c r="E2663" s="116">
        <v>1723.05</v>
      </c>
      <c r="F2663" s="116">
        <v>1695.25</v>
      </c>
      <c r="G2663">
        <v>626</v>
      </c>
      <c r="H2663" s="116"/>
      <c r="I2663" s="116"/>
      <c r="L2663" s="170">
        <v>45924</v>
      </c>
      <c r="M2663" s="116">
        <v>1695.6</v>
      </c>
      <c r="N2663" s="116">
        <v>1734.4</v>
      </c>
      <c r="O2663" s="116">
        <v>1692.4</v>
      </c>
      <c r="P2663" s="116">
        <v>1734.4</v>
      </c>
      <c r="Q2663" s="116">
        <v>1695.6</v>
      </c>
      <c r="R2663">
        <v>90570</v>
      </c>
    </row>
    <row r="2664" spans="1:18" x14ac:dyDescent="0.25">
      <c r="A2664" s="170">
        <v>45925</v>
      </c>
      <c r="B2664" s="116">
        <v>1707.1</v>
      </c>
      <c r="C2664" s="116">
        <v>1669.95</v>
      </c>
      <c r="D2664" s="116">
        <v>1664.65</v>
      </c>
      <c r="E2664" s="116">
        <v>1695.25</v>
      </c>
      <c r="F2664" s="116">
        <v>1669.95</v>
      </c>
      <c r="G2664">
        <v>1496</v>
      </c>
      <c r="H2664" s="116"/>
      <c r="I2664" s="116"/>
      <c r="L2664" s="170">
        <v>45925</v>
      </c>
      <c r="M2664" s="116">
        <v>1669.4</v>
      </c>
      <c r="N2664" s="116">
        <v>1709.1</v>
      </c>
      <c r="O2664" s="116">
        <v>1662.6</v>
      </c>
      <c r="P2664" s="116">
        <v>1695.6</v>
      </c>
      <c r="Q2664" s="116">
        <v>1669.4</v>
      </c>
      <c r="R2664">
        <v>98883</v>
      </c>
    </row>
    <row r="2665" spans="1:18" x14ac:dyDescent="0.25">
      <c r="A2665" s="170">
        <v>45926</v>
      </c>
      <c r="B2665" s="116">
        <v>1680.65</v>
      </c>
      <c r="C2665" s="116">
        <v>1670.65</v>
      </c>
      <c r="D2665" s="116">
        <v>1640</v>
      </c>
      <c r="E2665" s="116">
        <v>1660.05</v>
      </c>
      <c r="F2665" s="116">
        <v>1670.65</v>
      </c>
      <c r="G2665">
        <v>2119</v>
      </c>
      <c r="H2665" s="116"/>
      <c r="I2665" s="116"/>
      <c r="L2665" s="170">
        <v>45926</v>
      </c>
      <c r="M2665" s="116">
        <v>1670.1</v>
      </c>
      <c r="N2665" s="116">
        <v>1685.9</v>
      </c>
      <c r="O2665" s="116">
        <v>1638.5</v>
      </c>
      <c r="P2665" s="116">
        <v>1655</v>
      </c>
      <c r="Q2665" s="116">
        <v>1670.1</v>
      </c>
      <c r="R2665">
        <v>167477</v>
      </c>
    </row>
    <row r="2666" spans="1:18" x14ac:dyDescent="0.25">
      <c r="A2666" s="170">
        <v>45929</v>
      </c>
      <c r="B2666" s="116">
        <v>1714.45</v>
      </c>
      <c r="C2666" s="116">
        <v>1710.15</v>
      </c>
      <c r="D2666" s="116">
        <v>1648.45</v>
      </c>
      <c r="E2666" s="116">
        <v>1648.45</v>
      </c>
      <c r="F2666" s="116">
        <v>1710.15</v>
      </c>
      <c r="G2666">
        <v>4576</v>
      </c>
      <c r="H2666" s="116"/>
      <c r="I2666" s="116"/>
      <c r="L2666" s="170">
        <v>45929</v>
      </c>
      <c r="M2666" s="116">
        <v>1705.1</v>
      </c>
      <c r="N2666" s="116">
        <v>1716.3</v>
      </c>
      <c r="O2666" s="116">
        <v>1670.9</v>
      </c>
      <c r="P2666" s="116">
        <v>1670.9</v>
      </c>
      <c r="Q2666" s="116">
        <v>1705.1</v>
      </c>
      <c r="R2666">
        <v>326010</v>
      </c>
    </row>
    <row r="2667" spans="1:18" x14ac:dyDescent="0.25">
      <c r="A2667" s="170">
        <v>45930</v>
      </c>
      <c r="B2667" s="116">
        <v>1710.15</v>
      </c>
      <c r="C2667" s="116">
        <v>1707.9</v>
      </c>
      <c r="D2667" s="116">
        <v>1675.55</v>
      </c>
      <c r="E2667" s="116">
        <v>1683.7</v>
      </c>
      <c r="F2667" s="116">
        <v>1707.9</v>
      </c>
      <c r="G2667">
        <v>1466</v>
      </c>
      <c r="H2667" s="116"/>
      <c r="I2667" s="116"/>
      <c r="L2667" s="170">
        <v>45930</v>
      </c>
      <c r="M2667" s="116">
        <v>1709.7</v>
      </c>
      <c r="N2667" s="116">
        <v>1716</v>
      </c>
      <c r="O2667" s="116">
        <v>1676</v>
      </c>
      <c r="P2667" s="116">
        <v>1716</v>
      </c>
      <c r="Q2667" s="116">
        <v>1709.7</v>
      </c>
      <c r="R2667">
        <v>139609</v>
      </c>
    </row>
    <row r="2668" spans="1:18" x14ac:dyDescent="0.25">
      <c r="A2668" s="170">
        <v>45931</v>
      </c>
      <c r="B2668" s="116">
        <v>1719.05</v>
      </c>
      <c r="C2668" s="116">
        <v>1688.95</v>
      </c>
      <c r="D2668" s="116">
        <v>1686.1</v>
      </c>
      <c r="E2668" s="116">
        <v>1698.05</v>
      </c>
      <c r="F2668" s="116">
        <v>1688.95</v>
      </c>
      <c r="G2668">
        <v>462</v>
      </c>
      <c r="H2668" s="116"/>
      <c r="I2668" s="116"/>
      <c r="L2668" s="170">
        <v>45931</v>
      </c>
      <c r="M2668" s="116">
        <v>1689.7</v>
      </c>
      <c r="N2668" s="116">
        <v>1720</v>
      </c>
      <c r="O2668" s="116">
        <v>1685</v>
      </c>
      <c r="P2668" s="116">
        <v>1695</v>
      </c>
      <c r="Q2668" s="116">
        <v>1689.7</v>
      </c>
      <c r="R2668">
        <v>140608</v>
      </c>
    </row>
    <row r="2669" spans="1:18" x14ac:dyDescent="0.25">
      <c r="A2669" s="170">
        <v>45933</v>
      </c>
      <c r="B2669" s="116">
        <v>1687.2</v>
      </c>
      <c r="C2669" s="116">
        <v>1667.45</v>
      </c>
      <c r="D2669" s="116">
        <v>1664.85</v>
      </c>
      <c r="E2669" s="116">
        <v>1687.2</v>
      </c>
      <c r="F2669" s="116">
        <v>1667.45</v>
      </c>
      <c r="G2669">
        <v>814</v>
      </c>
      <c r="H2669" s="116"/>
      <c r="I2669" s="116"/>
      <c r="L2669" s="170">
        <v>45933</v>
      </c>
      <c r="M2669" s="116">
        <v>1668.4</v>
      </c>
      <c r="N2669" s="116">
        <v>1695</v>
      </c>
      <c r="O2669" s="116">
        <v>1665</v>
      </c>
      <c r="P2669" s="116">
        <v>1690</v>
      </c>
      <c r="Q2669" s="116">
        <v>1668.4</v>
      </c>
      <c r="R2669">
        <v>110084</v>
      </c>
    </row>
    <row r="2670" spans="1:18" x14ac:dyDescent="0.25">
      <c r="A2670" s="170">
        <v>45936</v>
      </c>
      <c r="B2670" s="116">
        <v>1667.75</v>
      </c>
      <c r="C2670" s="116">
        <v>1661.5</v>
      </c>
      <c r="D2670" s="116">
        <v>1603.05</v>
      </c>
      <c r="E2670" s="116">
        <v>1603.05</v>
      </c>
      <c r="F2670" s="116">
        <v>1661.5</v>
      </c>
      <c r="G2670">
        <v>783</v>
      </c>
      <c r="H2670" s="116"/>
      <c r="I2670" s="116"/>
      <c r="L2670" s="170">
        <v>45936</v>
      </c>
      <c r="M2670" s="116">
        <v>1658.8</v>
      </c>
      <c r="N2670" s="116">
        <v>1668.5</v>
      </c>
      <c r="O2670" s="116">
        <v>1644.6</v>
      </c>
      <c r="P2670" s="116">
        <v>1659</v>
      </c>
      <c r="Q2670" s="116">
        <v>1658.8</v>
      </c>
      <c r="R2670">
        <v>270892</v>
      </c>
    </row>
    <row r="2671" spans="1:18" x14ac:dyDescent="0.25">
      <c r="A2671" s="170">
        <v>45937</v>
      </c>
      <c r="B2671" s="116">
        <v>1661.4</v>
      </c>
      <c r="C2671" s="116">
        <v>1656.8</v>
      </c>
      <c r="D2671" s="116">
        <v>1647.85</v>
      </c>
      <c r="E2671" s="116">
        <v>1652.25</v>
      </c>
      <c r="F2671" s="116">
        <v>1656.8</v>
      </c>
      <c r="G2671">
        <v>3325</v>
      </c>
      <c r="H2671" s="116"/>
      <c r="I2671" s="116"/>
      <c r="L2671" s="170">
        <v>45937</v>
      </c>
      <c r="M2671" s="116">
        <v>1656.7</v>
      </c>
      <c r="N2671" s="116">
        <v>1666.1</v>
      </c>
      <c r="O2671" s="116">
        <v>1647</v>
      </c>
      <c r="P2671" s="116">
        <v>1660</v>
      </c>
      <c r="Q2671" s="116">
        <v>1656.7</v>
      </c>
      <c r="R2671">
        <v>514924</v>
      </c>
    </row>
    <row r="2672" spans="1:18" x14ac:dyDescent="0.25">
      <c r="A2672" s="170">
        <v>45938</v>
      </c>
      <c r="B2672" s="116">
        <v>1681.35</v>
      </c>
      <c r="C2672" s="116">
        <v>1676.6</v>
      </c>
      <c r="D2672" s="116">
        <v>1650.6</v>
      </c>
      <c r="E2672" s="116">
        <v>1650.6</v>
      </c>
      <c r="F2672" s="116">
        <v>1676.6</v>
      </c>
      <c r="G2672">
        <v>1446</v>
      </c>
      <c r="H2672" s="116"/>
      <c r="I2672" s="116"/>
      <c r="L2672" s="170">
        <v>45938</v>
      </c>
      <c r="M2672" s="116">
        <v>1677.2</v>
      </c>
      <c r="N2672" s="116">
        <v>1681</v>
      </c>
      <c r="O2672" s="116">
        <v>1657.3</v>
      </c>
      <c r="P2672" s="116">
        <v>1657.3</v>
      </c>
      <c r="Q2672" s="116">
        <v>1677.2</v>
      </c>
      <c r="R2672">
        <v>73713</v>
      </c>
    </row>
    <row r="2673" spans="1:18" x14ac:dyDescent="0.25">
      <c r="A2673" s="170">
        <v>45939</v>
      </c>
      <c r="B2673" s="116">
        <v>1689.9</v>
      </c>
      <c r="C2673" s="116">
        <v>1672.05</v>
      </c>
      <c r="D2673" s="116">
        <v>1664.05</v>
      </c>
      <c r="E2673" s="116">
        <v>1689.9</v>
      </c>
      <c r="F2673" s="116">
        <v>1672.05</v>
      </c>
      <c r="G2673">
        <v>1689</v>
      </c>
      <c r="H2673" s="116"/>
      <c r="I2673" s="116"/>
      <c r="L2673" s="170">
        <v>45939</v>
      </c>
      <c r="M2673" s="116">
        <v>1673.6</v>
      </c>
      <c r="N2673" s="116">
        <v>1687.1</v>
      </c>
      <c r="O2673" s="116">
        <v>1662.4</v>
      </c>
      <c r="P2673" s="116">
        <v>1684.8</v>
      </c>
      <c r="Q2673" s="116">
        <v>1673.6</v>
      </c>
      <c r="R2673">
        <v>120027</v>
      </c>
    </row>
    <row r="2674" spans="1:18" x14ac:dyDescent="0.25">
      <c r="A2674" s="170">
        <v>45940</v>
      </c>
      <c r="B2674" s="116">
        <v>1760</v>
      </c>
      <c r="C2674" s="116">
        <v>1674.5</v>
      </c>
      <c r="D2674" s="116">
        <v>1661.7</v>
      </c>
      <c r="E2674" s="116">
        <v>1679.35</v>
      </c>
      <c r="F2674" s="116">
        <v>1674.5</v>
      </c>
      <c r="G2674">
        <v>3304</v>
      </c>
      <c r="H2674" s="116"/>
      <c r="I2674" s="116"/>
      <c r="L2674" s="170">
        <v>45940</v>
      </c>
      <c r="M2674" s="116">
        <v>1673.3</v>
      </c>
      <c r="N2674" s="116">
        <v>1690.9</v>
      </c>
      <c r="O2674" s="116">
        <v>1656.5</v>
      </c>
      <c r="P2674" s="116">
        <v>1673.6</v>
      </c>
      <c r="Q2674" s="116">
        <v>1673.3</v>
      </c>
      <c r="R2674">
        <v>70579</v>
      </c>
    </row>
    <row r="2675" spans="1:18" x14ac:dyDescent="0.25">
      <c r="A2675" s="170">
        <v>45943</v>
      </c>
      <c r="B2675" s="116">
        <v>1679.95</v>
      </c>
      <c r="C2675" s="116">
        <v>1662.45</v>
      </c>
      <c r="D2675" s="116">
        <v>1657.7</v>
      </c>
      <c r="E2675" s="116">
        <v>1660.05</v>
      </c>
      <c r="F2675" s="116">
        <v>1662.45</v>
      </c>
      <c r="G2675">
        <v>919</v>
      </c>
      <c r="H2675" s="116"/>
      <c r="I2675" s="116"/>
      <c r="L2675" s="170">
        <v>45943</v>
      </c>
      <c r="M2675" s="116">
        <v>1660.2</v>
      </c>
      <c r="N2675" s="116">
        <v>1680.6</v>
      </c>
      <c r="O2675" s="116">
        <v>1658.5</v>
      </c>
      <c r="P2675" s="116">
        <v>1665</v>
      </c>
      <c r="Q2675" s="116">
        <v>1660.2</v>
      </c>
      <c r="R2675">
        <v>149013</v>
      </c>
    </row>
    <row r="2676" spans="1:18" x14ac:dyDescent="0.25">
      <c r="A2676" s="170">
        <v>45944</v>
      </c>
      <c r="B2676" s="116">
        <v>1667.5</v>
      </c>
      <c r="C2676" s="116">
        <v>1657.25</v>
      </c>
      <c r="D2676" s="116">
        <v>1650</v>
      </c>
      <c r="E2676" s="116">
        <v>1662.1</v>
      </c>
      <c r="F2676" s="116">
        <v>1657.25</v>
      </c>
      <c r="G2676">
        <v>2110</v>
      </c>
      <c r="H2676" s="116"/>
      <c r="I2676" s="116"/>
      <c r="L2676" s="170">
        <v>45944</v>
      </c>
      <c r="M2676" s="116">
        <v>1659.1</v>
      </c>
      <c r="N2676" s="116">
        <v>1671.9</v>
      </c>
      <c r="O2676" s="116">
        <v>1648.9</v>
      </c>
      <c r="P2676" s="116">
        <v>1668</v>
      </c>
      <c r="Q2676" s="116">
        <v>1659.1</v>
      </c>
      <c r="R2676">
        <v>276535</v>
      </c>
    </row>
    <row r="2677" spans="1:18" x14ac:dyDescent="0.25">
      <c r="A2677" s="170">
        <v>45945</v>
      </c>
      <c r="B2677" s="116">
        <v>1685</v>
      </c>
      <c r="C2677" s="116">
        <v>1666.15</v>
      </c>
      <c r="D2677" s="116">
        <v>1642.25</v>
      </c>
      <c r="E2677" s="116">
        <v>1642.25</v>
      </c>
      <c r="F2677" s="116">
        <v>1666.15</v>
      </c>
      <c r="G2677">
        <v>3785</v>
      </c>
      <c r="H2677" s="116"/>
      <c r="I2677" s="116"/>
      <c r="L2677" s="170">
        <v>45945</v>
      </c>
      <c r="M2677" s="116">
        <v>1667.5</v>
      </c>
      <c r="N2677" s="116">
        <v>1685</v>
      </c>
      <c r="O2677" s="116">
        <v>1649</v>
      </c>
      <c r="P2677" s="116">
        <v>1655.9</v>
      </c>
      <c r="Q2677" s="116">
        <v>1667.5</v>
      </c>
      <c r="R2677">
        <v>188050</v>
      </c>
    </row>
    <row r="2678" spans="1:18" x14ac:dyDescent="0.25">
      <c r="A2678" s="170">
        <v>45946</v>
      </c>
      <c r="B2678" s="116">
        <v>1678</v>
      </c>
      <c r="C2678" s="116">
        <v>1670.95</v>
      </c>
      <c r="D2678" s="116">
        <v>1654.65</v>
      </c>
      <c r="E2678" s="116">
        <v>1654.65</v>
      </c>
      <c r="F2678" s="116">
        <v>1670.95</v>
      </c>
      <c r="G2678">
        <v>25614</v>
      </c>
      <c r="H2678" s="116"/>
      <c r="I2678" s="116"/>
      <c r="L2678" s="170">
        <v>45946</v>
      </c>
      <c r="M2678" s="116">
        <v>1671.3</v>
      </c>
      <c r="N2678" s="116">
        <v>1678</v>
      </c>
      <c r="O2678" s="116">
        <v>1665</v>
      </c>
      <c r="P2678" s="116">
        <v>1667.5</v>
      </c>
      <c r="Q2678" s="116">
        <v>1671.3</v>
      </c>
      <c r="R2678">
        <v>73907</v>
      </c>
    </row>
    <row r="2679" spans="1:18" x14ac:dyDescent="0.25">
      <c r="A2679" s="170">
        <v>45947</v>
      </c>
      <c r="B2679" s="116">
        <v>1701.15</v>
      </c>
      <c r="C2679" s="116">
        <v>1693.25</v>
      </c>
      <c r="D2679" s="116">
        <v>1661.5</v>
      </c>
      <c r="E2679" s="116">
        <v>1664.95</v>
      </c>
      <c r="F2679" s="116">
        <v>1693.25</v>
      </c>
      <c r="G2679">
        <v>2722</v>
      </c>
      <c r="H2679" s="116"/>
      <c r="I2679" s="116"/>
      <c r="L2679" s="170">
        <v>45947</v>
      </c>
      <c r="M2679" s="116">
        <v>1693.4</v>
      </c>
      <c r="N2679" s="116">
        <v>1700.7</v>
      </c>
      <c r="O2679" s="116">
        <v>1662</v>
      </c>
      <c r="P2679" s="116">
        <v>1670.3</v>
      </c>
      <c r="Q2679" s="116">
        <v>1693.4</v>
      </c>
      <c r="R2679">
        <v>158001</v>
      </c>
    </row>
    <row r="2680" spans="1:18" x14ac:dyDescent="0.25">
      <c r="A2680" s="170">
        <v>45950</v>
      </c>
      <c r="B2680" s="116">
        <v>1705</v>
      </c>
      <c r="C2680" s="116">
        <v>1689.9</v>
      </c>
      <c r="D2680" s="116">
        <v>1680.2</v>
      </c>
      <c r="E2680" s="116">
        <v>1696.9</v>
      </c>
      <c r="F2680" s="116">
        <v>1689.9</v>
      </c>
      <c r="G2680">
        <v>3337</v>
      </c>
      <c r="H2680" s="116"/>
      <c r="I2680" s="116"/>
      <c r="L2680" s="170">
        <v>45950</v>
      </c>
      <c r="M2680" s="116">
        <v>1691.2</v>
      </c>
      <c r="N2680" s="116">
        <v>1709</v>
      </c>
      <c r="O2680" s="116">
        <v>1675</v>
      </c>
      <c r="P2680" s="116">
        <v>1709</v>
      </c>
      <c r="Q2680" s="116">
        <v>1691.2</v>
      </c>
      <c r="R2680">
        <v>170701</v>
      </c>
    </row>
    <row r="2681" spans="1:18" x14ac:dyDescent="0.25">
      <c r="A2681" s="170">
        <v>45951</v>
      </c>
      <c r="B2681" s="116">
        <v>1698.4</v>
      </c>
      <c r="C2681" s="116">
        <v>1692.35</v>
      </c>
      <c r="D2681" s="116">
        <v>1688.1</v>
      </c>
      <c r="E2681" s="116">
        <v>1697.35</v>
      </c>
      <c r="F2681" s="116">
        <v>1692.35</v>
      </c>
      <c r="G2681">
        <v>56</v>
      </c>
      <c r="H2681" s="116"/>
      <c r="I2681" s="116"/>
      <c r="L2681" s="170">
        <v>45951</v>
      </c>
      <c r="M2681" s="116">
        <v>1690.8</v>
      </c>
      <c r="N2681" s="116">
        <v>1700</v>
      </c>
      <c r="O2681" s="116">
        <v>1682.1</v>
      </c>
      <c r="P2681" s="116">
        <v>1682.1</v>
      </c>
      <c r="Q2681" s="116">
        <v>1690.8</v>
      </c>
      <c r="R2681">
        <v>4791</v>
      </c>
    </row>
    <row r="2682" spans="1:18" x14ac:dyDescent="0.25">
      <c r="A2682" s="170">
        <v>45953</v>
      </c>
      <c r="B2682" s="116">
        <v>1723.45</v>
      </c>
      <c r="C2682" s="116">
        <v>1706.9</v>
      </c>
      <c r="D2682" s="116">
        <v>1699.65</v>
      </c>
      <c r="E2682" s="116">
        <v>1723.45</v>
      </c>
      <c r="F2682" s="116">
        <v>1706.9</v>
      </c>
      <c r="G2682">
        <v>2266</v>
      </c>
      <c r="H2682" s="116"/>
      <c r="I2682" s="116"/>
      <c r="L2682" s="170">
        <v>45953</v>
      </c>
      <c r="M2682" s="116">
        <v>1708.8</v>
      </c>
      <c r="N2682" s="116">
        <v>1716</v>
      </c>
      <c r="O2682" s="116">
        <v>1695.1</v>
      </c>
      <c r="P2682" s="116">
        <v>1703.3</v>
      </c>
      <c r="Q2682" s="116">
        <v>1708.8</v>
      </c>
      <c r="R2682">
        <v>156247</v>
      </c>
    </row>
    <row r="2683" spans="1:18" x14ac:dyDescent="0.25">
      <c r="A2683" s="170">
        <v>45954</v>
      </c>
      <c r="B2683" s="116">
        <v>1724</v>
      </c>
      <c r="C2683" s="116">
        <v>1702.6</v>
      </c>
      <c r="D2683" s="116">
        <v>1695.65</v>
      </c>
      <c r="E2683" s="116">
        <v>1724</v>
      </c>
      <c r="F2683" s="116">
        <v>1702.6</v>
      </c>
      <c r="G2683">
        <v>835</v>
      </c>
      <c r="H2683" s="116"/>
      <c r="I2683" s="116"/>
      <c r="L2683" s="170">
        <v>45954</v>
      </c>
      <c r="M2683" s="116">
        <v>1702.2</v>
      </c>
      <c r="N2683" s="116">
        <v>1721.5</v>
      </c>
      <c r="O2683" s="116">
        <v>1689.6</v>
      </c>
      <c r="P2683" s="116">
        <v>1721.5</v>
      </c>
      <c r="Q2683" s="116">
        <v>1702.2</v>
      </c>
      <c r="R2683">
        <v>95512</v>
      </c>
    </row>
    <row r="2684" spans="1:18" x14ac:dyDescent="0.25">
      <c r="A2684" s="170">
        <v>45957</v>
      </c>
      <c r="B2684" s="116">
        <v>1706.45</v>
      </c>
      <c r="C2684" s="116">
        <v>1700</v>
      </c>
      <c r="D2684" s="116">
        <v>1688.35</v>
      </c>
      <c r="E2684" s="116">
        <v>1703.1</v>
      </c>
      <c r="F2684" s="116">
        <v>1700</v>
      </c>
      <c r="G2684">
        <v>1133</v>
      </c>
      <c r="H2684" s="116"/>
      <c r="I2684" s="116"/>
      <c r="L2684" s="170">
        <v>45957</v>
      </c>
      <c r="M2684" s="116">
        <v>1701.2</v>
      </c>
      <c r="N2684" s="116">
        <v>1710</v>
      </c>
      <c r="O2684" s="116">
        <v>1687.2</v>
      </c>
      <c r="P2684" s="116">
        <v>1710</v>
      </c>
      <c r="Q2684" s="116">
        <v>1701.2</v>
      </c>
      <c r="R2684">
        <v>65603</v>
      </c>
    </row>
    <row r="2685" spans="1:18" x14ac:dyDescent="0.25">
      <c r="A2685" s="170">
        <v>45958</v>
      </c>
      <c r="B2685" s="116">
        <v>1704</v>
      </c>
      <c r="C2685" s="116">
        <v>1684.2</v>
      </c>
      <c r="D2685" s="116">
        <v>1679.9</v>
      </c>
      <c r="E2685" s="116">
        <v>1698.05</v>
      </c>
      <c r="F2685" s="116">
        <v>1684.2</v>
      </c>
      <c r="G2685">
        <v>596</v>
      </c>
      <c r="H2685" s="116"/>
      <c r="I2685" s="116"/>
      <c r="L2685" s="170">
        <v>45958</v>
      </c>
      <c r="M2685" s="116">
        <v>1686</v>
      </c>
      <c r="N2685" s="116">
        <v>1705.7</v>
      </c>
      <c r="O2685" s="116">
        <v>1678</v>
      </c>
      <c r="P2685" s="116">
        <v>1701</v>
      </c>
      <c r="Q2685" s="116">
        <v>1686</v>
      </c>
      <c r="R2685">
        <v>36351</v>
      </c>
    </row>
    <row r="2686" spans="1:18" x14ac:dyDescent="0.25">
      <c r="A2686" s="170">
        <v>45959</v>
      </c>
      <c r="B2686" s="116">
        <v>1703.2</v>
      </c>
      <c r="C2686" s="116">
        <v>1697.05</v>
      </c>
      <c r="D2686" s="116">
        <v>1684.05</v>
      </c>
      <c r="E2686" s="116">
        <v>1684.35</v>
      </c>
      <c r="F2686" s="116">
        <v>1697.05</v>
      </c>
      <c r="G2686">
        <v>1111</v>
      </c>
      <c r="H2686" s="116"/>
      <c r="I2686" s="116"/>
      <c r="L2686" s="170">
        <v>45959</v>
      </c>
      <c r="M2686" s="116">
        <v>1696.9</v>
      </c>
      <c r="N2686" s="116">
        <v>1705</v>
      </c>
      <c r="O2686" s="116">
        <v>1683</v>
      </c>
      <c r="P2686" s="116">
        <v>1686</v>
      </c>
      <c r="Q2686" s="116">
        <v>1696.9</v>
      </c>
      <c r="R2686">
        <v>87368</v>
      </c>
    </row>
    <row r="2687" spans="1:18" x14ac:dyDescent="0.25">
      <c r="A2687" s="170">
        <v>45960</v>
      </c>
      <c r="B2687" s="116">
        <v>1710.65</v>
      </c>
      <c r="C2687" s="116">
        <v>1706</v>
      </c>
      <c r="D2687" s="116">
        <v>1679.75</v>
      </c>
      <c r="E2687" s="116">
        <v>1694.1</v>
      </c>
      <c r="F2687" s="116">
        <v>1706</v>
      </c>
      <c r="G2687">
        <v>1030</v>
      </c>
      <c r="H2687" s="116"/>
      <c r="I2687" s="116"/>
      <c r="L2687" s="170">
        <v>45960</v>
      </c>
      <c r="M2687" s="116">
        <v>1706.4</v>
      </c>
      <c r="N2687" s="116">
        <v>1710</v>
      </c>
      <c r="O2687" s="116">
        <v>1680</v>
      </c>
      <c r="P2687" s="116">
        <v>1699.8</v>
      </c>
      <c r="Q2687" s="116">
        <v>1706.4</v>
      </c>
      <c r="R2687">
        <v>127009</v>
      </c>
    </row>
    <row r="2688" spans="1:18" x14ac:dyDescent="0.25">
      <c r="A2688" s="170">
        <v>45961</v>
      </c>
      <c r="B2688" s="116">
        <v>1712</v>
      </c>
      <c r="C2688" s="116">
        <v>1680.15</v>
      </c>
      <c r="D2688" s="116">
        <v>1678.5</v>
      </c>
      <c r="E2688" s="116">
        <v>1710</v>
      </c>
      <c r="F2688" s="116">
        <v>1680.15</v>
      </c>
      <c r="G2688">
        <v>1916</v>
      </c>
      <c r="H2688" s="116"/>
      <c r="I2688" s="116"/>
      <c r="L2688" s="170">
        <v>45961</v>
      </c>
      <c r="M2688" s="116">
        <v>1682.3</v>
      </c>
      <c r="N2688" s="116">
        <v>1717</v>
      </c>
      <c r="O2688" s="116">
        <v>1678.1</v>
      </c>
      <c r="P2688" s="116">
        <v>1717</v>
      </c>
      <c r="Q2688" s="116">
        <v>1682.3</v>
      </c>
      <c r="R2688">
        <v>161896</v>
      </c>
    </row>
    <row r="2689" spans="1:18" x14ac:dyDescent="0.25">
      <c r="A2689" s="170">
        <v>45964</v>
      </c>
      <c r="B2689" s="116">
        <v>1719.6</v>
      </c>
      <c r="C2689" s="116">
        <v>1714.05</v>
      </c>
      <c r="D2689" s="116">
        <v>1672.35</v>
      </c>
      <c r="E2689" s="116">
        <v>1672.35</v>
      </c>
      <c r="F2689" s="116">
        <v>1714.05</v>
      </c>
      <c r="G2689">
        <v>7698</v>
      </c>
      <c r="H2689" s="116"/>
      <c r="I2689" s="116"/>
      <c r="L2689" s="170">
        <v>45964</v>
      </c>
      <c r="M2689" s="116">
        <v>1712.3</v>
      </c>
      <c r="N2689" s="116">
        <v>1720.1</v>
      </c>
      <c r="O2689" s="116">
        <v>1683.3</v>
      </c>
      <c r="P2689" s="116">
        <v>1690.9</v>
      </c>
      <c r="Q2689" s="116">
        <v>1712.3</v>
      </c>
      <c r="R2689">
        <v>160742</v>
      </c>
    </row>
    <row r="2690" spans="1:18" x14ac:dyDescent="0.25">
      <c r="A2690" s="170">
        <v>45965</v>
      </c>
      <c r="B2690" s="116">
        <v>1719.8</v>
      </c>
      <c r="C2690" s="116">
        <v>1697.3</v>
      </c>
      <c r="D2690" s="116">
        <v>1695.95</v>
      </c>
      <c r="E2690" s="116">
        <v>1713.95</v>
      </c>
      <c r="F2690" s="116">
        <v>1697.3</v>
      </c>
      <c r="G2690">
        <v>1396</v>
      </c>
      <c r="H2690" s="116"/>
      <c r="I2690" s="116"/>
      <c r="L2690" s="170">
        <v>45965</v>
      </c>
      <c r="M2690" s="116">
        <v>1698.4</v>
      </c>
      <c r="N2690" s="116">
        <v>1723.1</v>
      </c>
      <c r="O2690" s="116">
        <v>1691.6</v>
      </c>
      <c r="P2690" s="116">
        <v>1723.1</v>
      </c>
      <c r="Q2690" s="116">
        <v>1698.4</v>
      </c>
      <c r="R2690">
        <v>178450</v>
      </c>
    </row>
    <row r="2691" spans="1:18" x14ac:dyDescent="0.25">
      <c r="A2691" s="170">
        <v>45967</v>
      </c>
      <c r="B2691" s="116">
        <v>1700.25</v>
      </c>
      <c r="C2691" s="116">
        <v>1692.2</v>
      </c>
      <c r="D2691" s="116">
        <v>1685.1</v>
      </c>
      <c r="E2691" s="116">
        <v>1697.05</v>
      </c>
      <c r="F2691" s="116">
        <v>1692.2</v>
      </c>
      <c r="G2691">
        <v>2177</v>
      </c>
      <c r="H2691" s="116"/>
      <c r="I2691" s="116"/>
      <c r="L2691" s="170">
        <v>45967</v>
      </c>
      <c r="M2691" s="116">
        <v>1691.8</v>
      </c>
      <c r="N2691" s="116">
        <v>1699.9</v>
      </c>
      <c r="O2691" s="116">
        <v>1684</v>
      </c>
      <c r="P2691" s="116">
        <v>1698.9</v>
      </c>
      <c r="Q2691" s="116">
        <v>1691.8</v>
      </c>
      <c r="R2691">
        <v>268137</v>
      </c>
    </row>
    <row r="2692" spans="1:18" x14ac:dyDescent="0.25">
      <c r="A2692" s="170">
        <v>45968</v>
      </c>
      <c r="B2692" s="116">
        <v>1708.1</v>
      </c>
      <c r="C2692" s="116">
        <v>1701.65</v>
      </c>
      <c r="D2692" s="116">
        <v>1679.65</v>
      </c>
      <c r="E2692" s="116">
        <v>1682.75</v>
      </c>
      <c r="F2692" s="116">
        <v>1701.65</v>
      </c>
      <c r="G2692">
        <v>2374</v>
      </c>
      <c r="H2692" s="116"/>
      <c r="I2692" s="116"/>
      <c r="L2692" s="170">
        <v>45968</v>
      </c>
      <c r="M2692" s="116">
        <v>1702.9</v>
      </c>
      <c r="N2692" s="116">
        <v>1710.2</v>
      </c>
      <c r="O2692" s="116">
        <v>1675</v>
      </c>
      <c r="P2692" s="116">
        <v>1675</v>
      </c>
      <c r="Q2692" s="116">
        <v>1702.9</v>
      </c>
      <c r="R2692">
        <v>65433</v>
      </c>
    </row>
    <row r="2693" spans="1:18" x14ac:dyDescent="0.25">
      <c r="A2693" s="170">
        <v>45971</v>
      </c>
      <c r="B2693" s="116">
        <v>1820</v>
      </c>
      <c r="C2693" s="116">
        <v>1813.4</v>
      </c>
      <c r="D2693" s="116">
        <v>1704.05</v>
      </c>
      <c r="E2693" s="116">
        <v>1704.05</v>
      </c>
      <c r="F2693" s="116">
        <v>1813.4</v>
      </c>
      <c r="G2693">
        <v>21996</v>
      </c>
      <c r="H2693" s="116"/>
      <c r="I2693" s="116"/>
      <c r="L2693" s="170">
        <v>45971</v>
      </c>
      <c r="M2693" s="116">
        <v>1813.3</v>
      </c>
      <c r="N2693" s="116">
        <v>1820.7</v>
      </c>
      <c r="O2693" s="116">
        <v>1713.9</v>
      </c>
      <c r="P2693" s="116">
        <v>1713.9</v>
      </c>
      <c r="Q2693" s="116">
        <v>1813.3</v>
      </c>
      <c r="R2693">
        <v>1349182</v>
      </c>
    </row>
    <row r="2694" spans="1:18" x14ac:dyDescent="0.25">
      <c r="A2694" s="170">
        <v>45972</v>
      </c>
      <c r="B2694" s="116">
        <v>1844.45</v>
      </c>
      <c r="C2694" s="116">
        <v>1826.65</v>
      </c>
      <c r="D2694" s="116">
        <v>1810.05</v>
      </c>
      <c r="E2694" s="116">
        <v>1815.15</v>
      </c>
      <c r="F2694" s="116">
        <v>1826.65</v>
      </c>
      <c r="G2694">
        <v>8263</v>
      </c>
      <c r="H2694" s="116"/>
      <c r="I2694" s="116"/>
      <c r="L2694" s="170">
        <v>45972</v>
      </c>
      <c r="M2694" s="116">
        <v>1828.4</v>
      </c>
      <c r="N2694" s="116">
        <v>1844</v>
      </c>
      <c r="O2694" s="116">
        <v>1809.6</v>
      </c>
      <c r="P2694" s="116">
        <v>1824</v>
      </c>
      <c r="Q2694" s="116">
        <v>1828.4</v>
      </c>
      <c r="R2694">
        <v>376892</v>
      </c>
    </row>
    <row r="2695" spans="1:18" x14ac:dyDescent="0.25">
      <c r="A2695" s="170">
        <v>45973</v>
      </c>
      <c r="B2695" s="116">
        <v>1842.95</v>
      </c>
      <c r="C2695" s="116">
        <v>1819.2</v>
      </c>
      <c r="D2695" s="116">
        <v>1810</v>
      </c>
      <c r="E2695" s="116">
        <v>1842.95</v>
      </c>
      <c r="F2695" s="116">
        <v>1819.2</v>
      </c>
      <c r="G2695">
        <v>1955</v>
      </c>
      <c r="H2695" s="116"/>
      <c r="I2695" s="116"/>
      <c r="L2695" s="170">
        <v>45973</v>
      </c>
      <c r="M2695" s="116">
        <v>1819.5</v>
      </c>
      <c r="N2695" s="116">
        <v>1840</v>
      </c>
      <c r="O2695" s="116">
        <v>1807.5</v>
      </c>
      <c r="P2695" s="116">
        <v>1832.1</v>
      </c>
      <c r="Q2695" s="116">
        <v>1819.5</v>
      </c>
      <c r="R2695">
        <v>300245</v>
      </c>
    </row>
    <row r="2696" spans="1:18" x14ac:dyDescent="0.25">
      <c r="A2696" s="170">
        <v>45974</v>
      </c>
      <c r="B2696" s="116">
        <v>1839</v>
      </c>
      <c r="C2696" s="116">
        <v>1819.2</v>
      </c>
      <c r="D2696" s="116">
        <v>1809.2</v>
      </c>
      <c r="E2696" s="116">
        <v>1809.8</v>
      </c>
      <c r="F2696" s="116">
        <v>1819.2</v>
      </c>
      <c r="G2696">
        <v>1772</v>
      </c>
      <c r="H2696" s="116"/>
      <c r="I2696" s="116"/>
      <c r="L2696" s="170">
        <v>45974</v>
      </c>
      <c r="M2696" s="116">
        <v>1818.6</v>
      </c>
      <c r="N2696" s="116">
        <v>1839</v>
      </c>
      <c r="O2696" s="116">
        <v>1805.8</v>
      </c>
      <c r="P2696" s="116">
        <v>1810.1</v>
      </c>
      <c r="Q2696" s="116">
        <v>1818.6</v>
      </c>
      <c r="R2696">
        <v>181778</v>
      </c>
    </row>
    <row r="2697" spans="1:18" x14ac:dyDescent="0.25">
      <c r="A2697" s="170">
        <v>45975</v>
      </c>
      <c r="B2697" s="116">
        <v>1836</v>
      </c>
      <c r="C2697" s="116">
        <v>1824.4</v>
      </c>
      <c r="D2697" s="116">
        <v>1793.5</v>
      </c>
      <c r="E2697" s="116">
        <v>1793.5</v>
      </c>
      <c r="F2697" s="116">
        <v>1824.4</v>
      </c>
      <c r="G2697">
        <v>4883</v>
      </c>
      <c r="H2697" s="116"/>
      <c r="I2697" s="116"/>
      <c r="L2697" s="170">
        <v>45975</v>
      </c>
      <c r="M2697" s="116">
        <v>1823</v>
      </c>
      <c r="N2697" s="116">
        <v>1838</v>
      </c>
      <c r="O2697" s="116">
        <v>1811</v>
      </c>
      <c r="P2697" s="116">
        <v>1818.6</v>
      </c>
      <c r="Q2697" s="116">
        <v>1823</v>
      </c>
      <c r="R2697">
        <v>61533</v>
      </c>
    </row>
    <row r="2698" spans="1:18" x14ac:dyDescent="0.25">
      <c r="A2698" s="170">
        <v>45978</v>
      </c>
      <c r="B2698" s="116">
        <v>1832.05</v>
      </c>
      <c r="C2698" s="116">
        <v>1822.25</v>
      </c>
      <c r="D2698" s="116">
        <v>1811.25</v>
      </c>
      <c r="E2698" s="116">
        <v>1825.2</v>
      </c>
      <c r="F2698" s="116">
        <v>1822.25</v>
      </c>
      <c r="G2698">
        <v>2745</v>
      </c>
      <c r="H2698" s="116"/>
      <c r="I2698" s="116"/>
      <c r="L2698" s="170">
        <v>45978</v>
      </c>
      <c r="M2698" s="116">
        <v>1821.5</v>
      </c>
      <c r="N2698" s="116">
        <v>1835.4</v>
      </c>
      <c r="O2698" s="116">
        <v>1812.5</v>
      </c>
      <c r="P2698" s="116">
        <v>1833.4</v>
      </c>
      <c r="Q2698" s="116">
        <v>1821.5</v>
      </c>
      <c r="R2698">
        <v>57450</v>
      </c>
    </row>
    <row r="2699" spans="1:18" x14ac:dyDescent="0.25">
      <c r="A2699" s="170">
        <v>45979</v>
      </c>
      <c r="B2699" s="116">
        <v>1818.05</v>
      </c>
      <c r="C2699" s="116">
        <v>1798.5</v>
      </c>
      <c r="D2699" s="116">
        <v>1783.8</v>
      </c>
      <c r="E2699" s="116">
        <v>1818.05</v>
      </c>
      <c r="F2699" s="116">
        <v>1798.5</v>
      </c>
      <c r="G2699">
        <v>4444</v>
      </c>
      <c r="H2699" s="116"/>
      <c r="I2699" s="116"/>
      <c r="L2699" s="170">
        <v>45979</v>
      </c>
      <c r="M2699" s="116">
        <v>1797.6</v>
      </c>
      <c r="N2699" s="116">
        <v>1829</v>
      </c>
      <c r="O2699" s="116">
        <v>1785</v>
      </c>
      <c r="P2699" s="116">
        <v>1821.9</v>
      </c>
      <c r="Q2699" s="116">
        <v>1797.6</v>
      </c>
      <c r="R2699">
        <v>133970</v>
      </c>
    </row>
    <row r="2700" spans="1:18" x14ac:dyDescent="0.25">
      <c r="A2700" s="170">
        <v>45980</v>
      </c>
      <c r="B2700" s="116">
        <v>1800.45</v>
      </c>
      <c r="C2700" s="116">
        <v>1752.9</v>
      </c>
      <c r="D2700" s="116">
        <v>1749.45</v>
      </c>
      <c r="E2700" s="116">
        <v>1781.45</v>
      </c>
      <c r="F2700" s="116">
        <v>1752.9</v>
      </c>
      <c r="G2700">
        <v>3566</v>
      </c>
      <c r="H2700" s="116"/>
      <c r="I2700" s="116"/>
      <c r="L2700" s="170">
        <v>45980</v>
      </c>
      <c r="M2700" s="116">
        <v>1752</v>
      </c>
      <c r="N2700" s="116">
        <v>1800</v>
      </c>
      <c r="O2700" s="116">
        <v>1747.4</v>
      </c>
      <c r="P2700" s="116">
        <v>1797</v>
      </c>
      <c r="Q2700" s="116">
        <v>1752</v>
      </c>
      <c r="R2700">
        <v>274374</v>
      </c>
    </row>
    <row r="2701" spans="1:18" x14ac:dyDescent="0.25">
      <c r="A2701" s="170">
        <v>45981</v>
      </c>
      <c r="B2701" s="116">
        <v>1764.4</v>
      </c>
      <c r="C2701" s="116">
        <v>1743.75</v>
      </c>
      <c r="D2701" s="116">
        <v>1718.45</v>
      </c>
      <c r="E2701" s="116">
        <v>1718.45</v>
      </c>
      <c r="F2701" s="116">
        <v>1743.75</v>
      </c>
      <c r="G2701">
        <v>2787</v>
      </c>
      <c r="H2701" s="116"/>
      <c r="I2701" s="116"/>
      <c r="L2701" s="170">
        <v>45981</v>
      </c>
      <c r="M2701" s="116">
        <v>1748.4</v>
      </c>
      <c r="N2701" s="116">
        <v>1768.3</v>
      </c>
      <c r="O2701" s="116">
        <v>1742</v>
      </c>
      <c r="P2701" s="116">
        <v>1752</v>
      </c>
      <c r="Q2701" s="116">
        <v>1748.4</v>
      </c>
      <c r="R2701">
        <v>143519</v>
      </c>
    </row>
    <row r="2702" spans="1:18" x14ac:dyDescent="0.25">
      <c r="A2702" s="170">
        <v>45982</v>
      </c>
      <c r="B2702" s="116">
        <v>1746.95</v>
      </c>
      <c r="C2702" s="116">
        <v>1726.75</v>
      </c>
      <c r="D2702" s="116">
        <v>1720.05</v>
      </c>
      <c r="E2702" s="116">
        <v>1720.05</v>
      </c>
      <c r="F2702" s="116">
        <v>1726.75</v>
      </c>
      <c r="G2702">
        <v>785</v>
      </c>
      <c r="H2702" s="116"/>
      <c r="I2702" s="116"/>
      <c r="L2702" s="170">
        <v>45982</v>
      </c>
      <c r="M2702" s="116">
        <v>1729.6</v>
      </c>
      <c r="N2702" s="116">
        <v>1748.4</v>
      </c>
      <c r="O2702" s="116">
        <v>1720.6</v>
      </c>
      <c r="P2702" s="116">
        <v>1739.5</v>
      </c>
      <c r="Q2702" s="116">
        <v>1729.6</v>
      </c>
      <c r="R2702">
        <v>264543</v>
      </c>
    </row>
    <row r="2703" spans="1:18" x14ac:dyDescent="0.25">
      <c r="A2703" s="170">
        <v>45985</v>
      </c>
      <c r="B2703" s="116">
        <v>1760</v>
      </c>
      <c r="C2703" s="116">
        <v>1752.3</v>
      </c>
      <c r="D2703" s="116">
        <v>1726.6</v>
      </c>
      <c r="E2703" s="116">
        <v>1733.25</v>
      </c>
      <c r="F2703" s="116">
        <v>1752.3</v>
      </c>
      <c r="G2703">
        <v>1722</v>
      </c>
      <c r="H2703" s="116"/>
      <c r="I2703" s="116"/>
      <c r="L2703" s="170">
        <v>45985</v>
      </c>
      <c r="M2703" s="116">
        <v>1756.6</v>
      </c>
      <c r="N2703" s="116">
        <v>1762.1</v>
      </c>
      <c r="O2703" s="116">
        <v>1725.3</v>
      </c>
      <c r="P2703" s="116">
        <v>1729.2</v>
      </c>
      <c r="Q2703" s="116">
        <v>1756.6</v>
      </c>
      <c r="R2703">
        <v>182210</v>
      </c>
    </row>
    <row r="2704" spans="1:18" x14ac:dyDescent="0.25">
      <c r="A2704" s="170">
        <v>45986</v>
      </c>
      <c r="B2704" s="116">
        <v>1775.65</v>
      </c>
      <c r="C2704" s="116">
        <v>1769.65</v>
      </c>
      <c r="D2704" s="116">
        <v>1747.35</v>
      </c>
      <c r="E2704" s="116">
        <v>1775.65</v>
      </c>
      <c r="F2704" s="116">
        <v>1769.65</v>
      </c>
      <c r="G2704">
        <v>851</v>
      </c>
      <c r="H2704" s="116"/>
      <c r="I2704" s="116"/>
      <c r="L2704" s="170">
        <v>45986</v>
      </c>
      <c r="M2704" s="116">
        <v>1771.3</v>
      </c>
      <c r="N2704" s="116">
        <v>1774.8</v>
      </c>
      <c r="O2704" s="116">
        <v>1743</v>
      </c>
      <c r="P2704" s="116">
        <v>1769.5</v>
      </c>
      <c r="Q2704" s="116">
        <v>1771.3</v>
      </c>
      <c r="R2704">
        <v>73999</v>
      </c>
    </row>
    <row r="2705" spans="1:18" x14ac:dyDescent="0.25">
      <c r="A2705" s="170">
        <v>45987</v>
      </c>
      <c r="B2705" s="116">
        <v>1800</v>
      </c>
      <c r="C2705" s="116">
        <v>1782.85</v>
      </c>
      <c r="D2705" s="116">
        <v>1775</v>
      </c>
      <c r="E2705" s="116">
        <v>1780.05</v>
      </c>
      <c r="F2705" s="116">
        <v>1782.85</v>
      </c>
      <c r="G2705">
        <v>12774</v>
      </c>
      <c r="H2705" s="116"/>
      <c r="I2705" s="116"/>
      <c r="L2705" s="170">
        <v>45987</v>
      </c>
      <c r="M2705" s="116">
        <v>1780.9</v>
      </c>
      <c r="N2705" s="116">
        <v>1801.4</v>
      </c>
      <c r="O2705" s="116">
        <v>1775.1</v>
      </c>
      <c r="P2705" s="116">
        <v>1785</v>
      </c>
      <c r="Q2705" s="116">
        <v>1780.9</v>
      </c>
      <c r="R2705">
        <v>186622</v>
      </c>
    </row>
    <row r="2706" spans="1:18" x14ac:dyDescent="0.25">
      <c r="A2706" s="170">
        <v>45988</v>
      </c>
      <c r="B2706" s="116">
        <v>1788.65</v>
      </c>
      <c r="C2706" s="116">
        <v>1768.85</v>
      </c>
      <c r="D2706" s="116">
        <v>1765</v>
      </c>
      <c r="E2706" s="116">
        <v>1776.95</v>
      </c>
      <c r="F2706" s="116">
        <v>1768.85</v>
      </c>
      <c r="G2706">
        <v>2419</v>
      </c>
      <c r="H2706" s="116"/>
      <c r="I2706" s="116"/>
      <c r="L2706" s="170">
        <v>45988</v>
      </c>
      <c r="M2706" s="116">
        <v>1773.3</v>
      </c>
      <c r="N2706" s="116">
        <v>1788.5</v>
      </c>
      <c r="O2706" s="116">
        <v>1765</v>
      </c>
      <c r="P2706" s="116">
        <v>1780.9</v>
      </c>
      <c r="Q2706" s="116">
        <v>1773.3</v>
      </c>
      <c r="R2706">
        <v>39150</v>
      </c>
    </row>
    <row r="2707" spans="1:18" x14ac:dyDescent="0.25">
      <c r="A2707" s="170">
        <v>45989</v>
      </c>
      <c r="B2707" s="116">
        <v>1774.15</v>
      </c>
      <c r="C2707" s="116">
        <v>1770.65</v>
      </c>
      <c r="D2707" s="116">
        <v>1751.4</v>
      </c>
      <c r="E2707" s="116">
        <v>1751.4</v>
      </c>
      <c r="F2707" s="116">
        <v>1770.65</v>
      </c>
      <c r="G2707">
        <v>896</v>
      </c>
      <c r="H2707" s="116"/>
      <c r="I2707" s="116"/>
      <c r="L2707" s="170">
        <v>45989</v>
      </c>
      <c r="M2707" s="116">
        <v>1771.3</v>
      </c>
      <c r="N2707" s="116">
        <v>1779.5</v>
      </c>
      <c r="O2707" s="116">
        <v>1765.3</v>
      </c>
      <c r="P2707" s="116">
        <v>1766.7</v>
      </c>
      <c r="Q2707" s="116">
        <v>1771.3</v>
      </c>
      <c r="R2707">
        <v>81652</v>
      </c>
    </row>
    <row r="2708" spans="1:18" x14ac:dyDescent="0.25">
      <c r="A2708" s="170">
        <v>45992</v>
      </c>
      <c r="B2708" s="116">
        <v>1775</v>
      </c>
      <c r="C2708" s="116">
        <v>1768.5</v>
      </c>
      <c r="D2708" s="116">
        <v>1761.1</v>
      </c>
      <c r="E2708" s="116">
        <v>1770.65</v>
      </c>
      <c r="F2708" s="116">
        <v>1768.5</v>
      </c>
      <c r="G2708">
        <v>461</v>
      </c>
      <c r="H2708" s="116"/>
      <c r="I2708" s="116"/>
      <c r="L2708" s="170">
        <v>45992</v>
      </c>
      <c r="M2708" s="116">
        <v>1767</v>
      </c>
      <c r="N2708" s="116">
        <v>1777.4</v>
      </c>
      <c r="O2708" s="116">
        <v>1762.1</v>
      </c>
      <c r="P2708" s="116">
        <v>1771.3</v>
      </c>
      <c r="Q2708" s="116">
        <v>1767</v>
      </c>
      <c r="R2708">
        <v>63328</v>
      </c>
    </row>
    <row r="2709" spans="1:18" x14ac:dyDescent="0.25">
      <c r="A2709" s="170">
        <v>45993</v>
      </c>
      <c r="B2709">
        <v>1770.05</v>
      </c>
      <c r="C2709">
        <v>1764.2</v>
      </c>
      <c r="D2709">
        <v>1748.85</v>
      </c>
      <c r="E2709">
        <v>1764.85</v>
      </c>
      <c r="F2709">
        <v>1764.2</v>
      </c>
      <c r="G2709">
        <v>1783</v>
      </c>
      <c r="H2709" s="116"/>
      <c r="I2709" s="116"/>
      <c r="L2709" s="170">
        <v>45993</v>
      </c>
      <c r="M2709" s="116">
        <v>1764.5</v>
      </c>
      <c r="N2709" s="116">
        <v>1774.3</v>
      </c>
      <c r="O2709" s="116">
        <v>1749.5</v>
      </c>
      <c r="P2709" s="116">
        <v>1767</v>
      </c>
      <c r="Q2709" s="116">
        <v>1764.5</v>
      </c>
      <c r="R2709">
        <v>46744</v>
      </c>
    </row>
    <row r="2710" spans="1:18" x14ac:dyDescent="0.25">
      <c r="A2710" s="170">
        <v>45994</v>
      </c>
      <c r="B2710">
        <v>1785.55</v>
      </c>
      <c r="C2710">
        <v>1764.9</v>
      </c>
      <c r="D2710">
        <v>1758.65</v>
      </c>
      <c r="E2710">
        <v>1767.5</v>
      </c>
      <c r="F2710">
        <v>1764.9</v>
      </c>
      <c r="G2710">
        <v>1090</v>
      </c>
      <c r="H2710" s="116"/>
      <c r="I2710" s="116"/>
      <c r="L2710" s="170">
        <v>45994</v>
      </c>
      <c r="M2710" s="116">
        <v>1763.5</v>
      </c>
      <c r="N2710" s="116">
        <v>1788.3</v>
      </c>
      <c r="O2710" s="116">
        <v>1758</v>
      </c>
      <c r="P2710" s="116">
        <v>1764.5</v>
      </c>
      <c r="Q2710" s="116">
        <v>1763.5</v>
      </c>
      <c r="R2710">
        <v>63325</v>
      </c>
    </row>
    <row r="2711" spans="1:18" x14ac:dyDescent="0.25">
      <c r="A2711" s="170">
        <v>45995</v>
      </c>
      <c r="B2711">
        <v>1829</v>
      </c>
      <c r="C2711">
        <v>1823.1</v>
      </c>
      <c r="D2711">
        <v>1759.85</v>
      </c>
      <c r="E2711">
        <v>1765.15</v>
      </c>
      <c r="F2711">
        <v>1823.1</v>
      </c>
      <c r="G2711">
        <v>8351</v>
      </c>
      <c r="H2711" s="116"/>
      <c r="I2711" s="116"/>
      <c r="L2711" s="170">
        <v>45995</v>
      </c>
      <c r="M2711" s="116">
        <v>1821.7</v>
      </c>
      <c r="N2711" s="116">
        <v>1831</v>
      </c>
      <c r="O2711" s="116">
        <v>1757.5</v>
      </c>
      <c r="P2711" s="116">
        <v>1763.5</v>
      </c>
      <c r="Q2711" s="116">
        <v>1821.7</v>
      </c>
      <c r="R2711">
        <v>429880</v>
      </c>
    </row>
    <row r="2712" spans="1:18" x14ac:dyDescent="0.25">
      <c r="A2712" s="170">
        <v>45996</v>
      </c>
      <c r="B2712">
        <v>1838.25</v>
      </c>
      <c r="C2712">
        <v>1823.95</v>
      </c>
      <c r="D2712">
        <v>1804.25</v>
      </c>
      <c r="E2712">
        <v>1832.55</v>
      </c>
      <c r="F2712">
        <v>1823.95</v>
      </c>
      <c r="G2712">
        <v>2873</v>
      </c>
      <c r="H2712" s="116"/>
      <c r="I2712" s="116"/>
      <c r="L2712" s="170">
        <v>45996</v>
      </c>
      <c r="M2712" s="116">
        <v>1825.4</v>
      </c>
      <c r="N2712" s="116">
        <v>1837</v>
      </c>
      <c r="O2712" s="116">
        <v>1803.9</v>
      </c>
      <c r="P2712" s="116">
        <v>1823</v>
      </c>
      <c r="Q2712" s="116">
        <v>1825.4</v>
      </c>
      <c r="R2712">
        <v>124874</v>
      </c>
    </row>
    <row r="2713" spans="1:18" x14ac:dyDescent="0.25">
      <c r="A2713" s="170">
        <v>45999</v>
      </c>
      <c r="B2713">
        <v>1842.95</v>
      </c>
      <c r="C2713">
        <v>1806</v>
      </c>
      <c r="D2713">
        <v>1794.8</v>
      </c>
      <c r="E2713">
        <v>1842.95</v>
      </c>
      <c r="F2713">
        <v>1806</v>
      </c>
      <c r="G2713">
        <v>1763</v>
      </c>
      <c r="H2713" s="116"/>
      <c r="I2713" s="116"/>
      <c r="L2713" s="170">
        <v>45999</v>
      </c>
      <c r="M2713" s="116">
        <v>1803.9</v>
      </c>
      <c r="N2713" s="116">
        <v>1842.5</v>
      </c>
      <c r="O2713" s="116">
        <v>1796.2</v>
      </c>
      <c r="P2713" s="116">
        <v>1837.5</v>
      </c>
      <c r="Q2713" s="116">
        <v>1803.9</v>
      </c>
      <c r="R2713">
        <v>128807</v>
      </c>
    </row>
    <row r="2714" spans="1:18" x14ac:dyDescent="0.25">
      <c r="A2714" s="170">
        <v>46000</v>
      </c>
      <c r="B2714">
        <v>1811.95</v>
      </c>
      <c r="C2714">
        <v>1797</v>
      </c>
      <c r="D2714">
        <v>1782.05</v>
      </c>
      <c r="E2714">
        <v>1802.1</v>
      </c>
      <c r="F2714">
        <v>1797</v>
      </c>
      <c r="G2714">
        <v>2013</v>
      </c>
      <c r="H2714" s="116"/>
      <c r="I2714" s="116"/>
      <c r="L2714" s="170">
        <v>46000</v>
      </c>
      <c r="M2714" s="116">
        <v>1799</v>
      </c>
      <c r="N2714" s="116">
        <v>1812.6</v>
      </c>
      <c r="O2714" s="116">
        <v>1781.9</v>
      </c>
      <c r="P2714" s="116">
        <v>1805</v>
      </c>
      <c r="Q2714" s="116">
        <v>1799</v>
      </c>
      <c r="R2714">
        <v>205421</v>
      </c>
    </row>
    <row r="2715" spans="1:18" x14ac:dyDescent="0.25">
      <c r="A2715" s="170">
        <v>46001</v>
      </c>
      <c r="B2715">
        <v>1820.45</v>
      </c>
      <c r="C2715">
        <v>1811.35</v>
      </c>
      <c r="D2715">
        <v>1776.5</v>
      </c>
      <c r="E2715">
        <v>1797.2</v>
      </c>
      <c r="F2715">
        <v>1811.35</v>
      </c>
      <c r="G2715">
        <v>2983</v>
      </c>
      <c r="H2715" s="116"/>
      <c r="I2715" s="116"/>
      <c r="L2715" s="170">
        <v>46001</v>
      </c>
      <c r="M2715" s="116">
        <v>1809.9</v>
      </c>
      <c r="N2715" s="116">
        <v>1823</v>
      </c>
      <c r="O2715" s="116">
        <v>1775.9</v>
      </c>
      <c r="P2715" s="116">
        <v>1806.8</v>
      </c>
      <c r="Q2715" s="116">
        <v>1809.9</v>
      </c>
      <c r="R2715">
        <v>327054</v>
      </c>
    </row>
    <row r="2716" spans="1:18" x14ac:dyDescent="0.25">
      <c r="A2716" s="170">
        <v>46002</v>
      </c>
      <c r="B2716">
        <v>1822.3</v>
      </c>
      <c r="C2716">
        <v>1813.75</v>
      </c>
      <c r="D2716">
        <v>1798.15</v>
      </c>
      <c r="E2716">
        <v>1805</v>
      </c>
      <c r="F2716">
        <v>1813.75</v>
      </c>
      <c r="G2716">
        <v>11531</v>
      </c>
      <c r="H2716" s="116"/>
      <c r="I2716" s="116"/>
      <c r="L2716" s="170">
        <v>46002</v>
      </c>
      <c r="M2716" s="116">
        <v>1815.8</v>
      </c>
      <c r="N2716" s="116">
        <v>1821.6</v>
      </c>
      <c r="O2716" s="116">
        <v>1799.5</v>
      </c>
      <c r="P2716" s="116">
        <v>1818.9</v>
      </c>
      <c r="Q2716" s="116">
        <v>1815.8</v>
      </c>
      <c r="R2716">
        <v>81829</v>
      </c>
    </row>
    <row r="2717" spans="1:18" x14ac:dyDescent="0.25">
      <c r="A2717" s="170">
        <v>46003</v>
      </c>
      <c r="B2717">
        <v>1826.2</v>
      </c>
      <c r="C2717">
        <v>1800.1</v>
      </c>
      <c r="D2717">
        <v>1792.2</v>
      </c>
      <c r="E2717">
        <v>1803.45</v>
      </c>
      <c r="F2717">
        <v>1800.1</v>
      </c>
      <c r="G2717">
        <v>811</v>
      </c>
      <c r="H2717" s="116"/>
      <c r="I2717" s="116"/>
      <c r="L2717" s="170">
        <v>46003</v>
      </c>
      <c r="M2717" s="116">
        <v>1798</v>
      </c>
      <c r="N2717" s="116">
        <v>1826.4</v>
      </c>
      <c r="O2717" s="116">
        <v>1790.2</v>
      </c>
      <c r="P2717" s="116">
        <v>1815.8</v>
      </c>
      <c r="Q2717" s="116">
        <v>1798</v>
      </c>
      <c r="R2717">
        <v>111520</v>
      </c>
    </row>
    <row r="2718" spans="1:18" x14ac:dyDescent="0.25">
      <c r="A2718" s="170">
        <v>46006</v>
      </c>
      <c r="B2718">
        <v>1798.6</v>
      </c>
      <c r="C2718">
        <v>1792.15</v>
      </c>
      <c r="D2718">
        <v>1781.05</v>
      </c>
      <c r="E2718">
        <v>1789.65</v>
      </c>
      <c r="F2718">
        <v>1792.15</v>
      </c>
      <c r="G2718">
        <v>4110</v>
      </c>
      <c r="H2718" s="116"/>
      <c r="I2718" s="116"/>
      <c r="L2718" s="170">
        <v>46006</v>
      </c>
      <c r="M2718" s="116">
        <v>1792.2</v>
      </c>
      <c r="N2718" s="116">
        <v>1810</v>
      </c>
      <c r="O2718" s="116">
        <v>1780.5</v>
      </c>
      <c r="P2718" s="116">
        <v>1798</v>
      </c>
      <c r="Q2718" s="116">
        <v>1792.2</v>
      </c>
      <c r="R2718">
        <v>139338</v>
      </c>
    </row>
    <row r="2719" spans="1:18" x14ac:dyDescent="0.25">
      <c r="A2719" s="170">
        <v>46007</v>
      </c>
      <c r="B2719">
        <v>1796.3</v>
      </c>
      <c r="C2719">
        <v>1787.2</v>
      </c>
      <c r="D2719">
        <v>1779.25</v>
      </c>
      <c r="E2719">
        <v>1788.1</v>
      </c>
      <c r="F2719">
        <v>1787.2</v>
      </c>
      <c r="G2719">
        <v>768</v>
      </c>
      <c r="H2719" s="116"/>
      <c r="I2719" s="116"/>
      <c r="L2719" s="170">
        <v>46007</v>
      </c>
      <c r="M2719" s="116">
        <v>1784.6</v>
      </c>
      <c r="N2719" s="116">
        <v>1799.4</v>
      </c>
      <c r="O2719" s="116">
        <v>1776</v>
      </c>
      <c r="P2719" s="116">
        <v>1793</v>
      </c>
      <c r="Q2719" s="116">
        <v>1784.6</v>
      </c>
      <c r="R2719">
        <v>61853</v>
      </c>
    </row>
    <row r="2720" spans="1:18" x14ac:dyDescent="0.25">
      <c r="A2720" s="170">
        <v>46008</v>
      </c>
      <c r="B2720">
        <v>1798.8</v>
      </c>
      <c r="C2720">
        <v>1794.05</v>
      </c>
      <c r="D2720">
        <v>1701.15</v>
      </c>
      <c r="E2720">
        <v>1701.15</v>
      </c>
      <c r="F2720">
        <v>1794.05</v>
      </c>
      <c r="G2720">
        <v>2190</v>
      </c>
      <c r="H2720" s="116"/>
      <c r="I2720" s="116"/>
      <c r="L2720" s="170">
        <v>46008</v>
      </c>
      <c r="M2720" s="116">
        <v>1796.3</v>
      </c>
      <c r="N2720" s="116">
        <v>1799</v>
      </c>
      <c r="O2720" s="116">
        <v>1770.9</v>
      </c>
      <c r="P2720" s="116">
        <v>1775.6</v>
      </c>
      <c r="Q2720" s="116">
        <v>1796.3</v>
      </c>
      <c r="R2720">
        <v>76359</v>
      </c>
    </row>
    <row r="2721" spans="1:18" x14ac:dyDescent="0.25">
      <c r="A2721" s="170">
        <v>46009</v>
      </c>
      <c r="B2721">
        <v>1792.4</v>
      </c>
      <c r="C2721">
        <v>1785.7</v>
      </c>
      <c r="D2721">
        <v>1773.15</v>
      </c>
      <c r="E2721">
        <v>1780</v>
      </c>
      <c r="F2721">
        <v>1785.7</v>
      </c>
      <c r="G2721">
        <v>869</v>
      </c>
      <c r="H2721" s="116"/>
      <c r="I2721" s="116"/>
      <c r="L2721" s="170">
        <v>46009</v>
      </c>
      <c r="M2721" s="116">
        <v>1787</v>
      </c>
      <c r="N2721" s="116">
        <v>1792</v>
      </c>
      <c r="O2721" s="116">
        <v>1771.8</v>
      </c>
      <c r="P2721" s="116">
        <v>1785</v>
      </c>
      <c r="Q2721" s="116">
        <v>1787</v>
      </c>
      <c r="R2721">
        <v>25146</v>
      </c>
    </row>
    <row r="2722" spans="1:18" x14ac:dyDescent="0.25">
      <c r="A2722" s="170">
        <v>46010</v>
      </c>
      <c r="B2722">
        <v>1809</v>
      </c>
      <c r="C2722">
        <v>1801.1</v>
      </c>
      <c r="D2722">
        <v>1780.55</v>
      </c>
      <c r="E2722">
        <v>1786</v>
      </c>
      <c r="F2722">
        <v>1801.1</v>
      </c>
      <c r="G2722">
        <v>2110</v>
      </c>
      <c r="H2722" s="116"/>
      <c r="I2722" s="116"/>
      <c r="L2722" s="170">
        <v>46010</v>
      </c>
      <c r="M2722" s="116">
        <v>1805.7</v>
      </c>
      <c r="N2722" s="116">
        <v>1810</v>
      </c>
      <c r="O2722" s="116">
        <v>1781.2</v>
      </c>
      <c r="P2722" s="116">
        <v>1792.9</v>
      </c>
      <c r="Q2722" s="116">
        <v>1805.7</v>
      </c>
      <c r="R2722">
        <v>90461</v>
      </c>
    </row>
    <row r="2723" spans="1:18" x14ac:dyDescent="0.25">
      <c r="A2723" s="170">
        <v>46013</v>
      </c>
      <c r="B2723">
        <v>1811.2</v>
      </c>
      <c r="C2723">
        <v>1807.6</v>
      </c>
      <c r="D2723">
        <v>1800.1</v>
      </c>
      <c r="E2723">
        <v>1804.9</v>
      </c>
      <c r="F2723">
        <v>1807.6</v>
      </c>
      <c r="G2723">
        <v>5402</v>
      </c>
      <c r="H2723" s="116"/>
      <c r="I2723" s="116"/>
      <c r="L2723" s="170">
        <v>46013</v>
      </c>
      <c r="M2723" s="116">
        <v>1807.1</v>
      </c>
      <c r="N2723" s="116">
        <v>1813.5</v>
      </c>
      <c r="O2723" s="116">
        <v>1798.1</v>
      </c>
      <c r="P2723" s="116">
        <v>1805.7</v>
      </c>
      <c r="Q2723" s="116">
        <v>1807.1</v>
      </c>
      <c r="R2723">
        <v>153188</v>
      </c>
    </row>
    <row r="2724" spans="1:18" x14ac:dyDescent="0.25">
      <c r="A2724" s="170">
        <v>46014</v>
      </c>
      <c r="B2724">
        <v>1808.5</v>
      </c>
      <c r="C2724">
        <v>1803.9</v>
      </c>
      <c r="D2724">
        <v>1796.7</v>
      </c>
      <c r="E2724">
        <v>1801.3</v>
      </c>
      <c r="F2724">
        <v>1803.9</v>
      </c>
      <c r="G2724">
        <v>9096</v>
      </c>
      <c r="H2724" s="116"/>
      <c r="I2724" s="116"/>
      <c r="L2724" s="170">
        <v>46014</v>
      </c>
      <c r="M2724" s="116">
        <v>1804.6</v>
      </c>
      <c r="N2724" s="116">
        <v>1813.9</v>
      </c>
      <c r="O2724" s="116">
        <v>1798.1</v>
      </c>
      <c r="P2724" s="116">
        <v>1813.9</v>
      </c>
      <c r="Q2724" s="116">
        <v>1804.6</v>
      </c>
      <c r="R2724">
        <v>274030</v>
      </c>
    </row>
    <row r="2725" spans="1:18" x14ac:dyDescent="0.25">
      <c r="A2725" s="170">
        <v>46015</v>
      </c>
      <c r="B2725">
        <v>1819</v>
      </c>
      <c r="C2725">
        <v>1814.4</v>
      </c>
      <c r="D2725">
        <v>1795.05</v>
      </c>
      <c r="E2725">
        <v>1803.9</v>
      </c>
      <c r="F2725">
        <v>1814.4</v>
      </c>
      <c r="G2725">
        <v>3323</v>
      </c>
      <c r="H2725" s="116"/>
      <c r="I2725" s="116"/>
      <c r="L2725" s="170">
        <v>46015</v>
      </c>
      <c r="M2725" s="116">
        <v>1815.5</v>
      </c>
      <c r="N2725" s="116">
        <v>1818.8</v>
      </c>
      <c r="O2725" s="116">
        <v>1795</v>
      </c>
      <c r="P2725" s="116">
        <v>1805.9</v>
      </c>
      <c r="Q2725" s="116">
        <v>1815.5</v>
      </c>
      <c r="R2725">
        <v>47825</v>
      </c>
    </row>
    <row r="2726" spans="1:18" x14ac:dyDescent="0.25">
      <c r="A2726" s="170">
        <v>46017</v>
      </c>
      <c r="B2726">
        <v>1820</v>
      </c>
      <c r="C2726">
        <v>1816.95</v>
      </c>
      <c r="D2726">
        <v>1804.55</v>
      </c>
      <c r="E2726">
        <v>1814.9</v>
      </c>
      <c r="F2726">
        <v>1816.95</v>
      </c>
      <c r="G2726">
        <v>1167</v>
      </c>
      <c r="H2726" s="116"/>
      <c r="I2726" s="116"/>
      <c r="L2726" s="170">
        <v>46017</v>
      </c>
      <c r="M2726" s="116">
        <v>1818.6</v>
      </c>
      <c r="N2726" s="116">
        <v>1827.5</v>
      </c>
      <c r="O2726" s="116">
        <v>1801.7</v>
      </c>
      <c r="P2726" s="116">
        <v>1827.5</v>
      </c>
      <c r="Q2726" s="116">
        <v>1818.6</v>
      </c>
      <c r="R2726">
        <v>173611</v>
      </c>
    </row>
    <row r="2727" spans="1:18" x14ac:dyDescent="0.25">
      <c r="A2727" s="170">
        <v>46020</v>
      </c>
      <c r="B2727">
        <v>1816.95</v>
      </c>
      <c r="C2727">
        <v>1799.65</v>
      </c>
      <c r="D2727">
        <v>1790.05</v>
      </c>
      <c r="E2727">
        <v>1816.95</v>
      </c>
      <c r="F2727">
        <v>1799.65</v>
      </c>
      <c r="G2727">
        <v>565</v>
      </c>
      <c r="H2727" s="116"/>
      <c r="I2727" s="116"/>
      <c r="L2727" s="170">
        <v>46020</v>
      </c>
      <c r="M2727" s="116">
        <v>1799.2</v>
      </c>
      <c r="N2727" s="116">
        <v>1822.2</v>
      </c>
      <c r="O2727" s="116">
        <v>1788.6</v>
      </c>
      <c r="P2727" s="116">
        <v>1820</v>
      </c>
      <c r="Q2727" s="116">
        <v>1799.2</v>
      </c>
      <c r="R2727">
        <v>93829</v>
      </c>
    </row>
    <row r="2728" spans="1:18" x14ac:dyDescent="0.25">
      <c r="A2728" s="170">
        <v>46021</v>
      </c>
      <c r="B2728">
        <v>1812.9</v>
      </c>
      <c r="C2728">
        <v>1798.45</v>
      </c>
      <c r="D2728">
        <v>1780</v>
      </c>
      <c r="E2728">
        <v>1800.05</v>
      </c>
      <c r="F2728">
        <v>1798.45</v>
      </c>
      <c r="G2728">
        <v>3393</v>
      </c>
      <c r="H2728" s="116"/>
      <c r="I2728" s="116"/>
      <c r="L2728" s="170">
        <v>46021</v>
      </c>
      <c r="M2728" s="116">
        <v>1800.3</v>
      </c>
      <c r="N2728" s="116">
        <v>1816</v>
      </c>
      <c r="O2728" s="116">
        <v>1781.4</v>
      </c>
      <c r="P2728" s="116">
        <v>1800.1</v>
      </c>
      <c r="Q2728" s="116">
        <v>1800.3</v>
      </c>
      <c r="R2728">
        <v>125484</v>
      </c>
    </row>
    <row r="2729" spans="1:18" x14ac:dyDescent="0.25">
      <c r="A2729" s="170">
        <v>46022</v>
      </c>
      <c r="B2729">
        <v>1822.8</v>
      </c>
      <c r="C2729">
        <v>1820.45</v>
      </c>
      <c r="D2729">
        <v>1797.55</v>
      </c>
      <c r="E2729">
        <v>1798.15</v>
      </c>
      <c r="F2729">
        <v>1820.45</v>
      </c>
      <c r="G2729">
        <v>500</v>
      </c>
      <c r="H2729" s="116"/>
      <c r="I2729" s="116"/>
      <c r="L2729" s="170">
        <v>46022</v>
      </c>
      <c r="M2729" s="116">
        <v>1819.7</v>
      </c>
      <c r="N2729" s="116">
        <v>1821</v>
      </c>
      <c r="O2729" s="116">
        <v>1792</v>
      </c>
      <c r="P2729" s="116">
        <v>1792</v>
      </c>
      <c r="Q2729" s="116">
        <v>1819.7</v>
      </c>
      <c r="R2729">
        <v>145499</v>
      </c>
    </row>
    <row r="2730" spans="1:18" x14ac:dyDescent="0.25">
      <c r="A2730" s="170">
        <v>46023</v>
      </c>
      <c r="B2730">
        <v>1830.45</v>
      </c>
      <c r="C2730">
        <v>1816.3</v>
      </c>
      <c r="D2730">
        <v>1808.95</v>
      </c>
      <c r="E2730">
        <v>1830.45</v>
      </c>
      <c r="F2730">
        <v>1816.3</v>
      </c>
      <c r="G2730">
        <v>1501</v>
      </c>
      <c r="H2730" s="116"/>
      <c r="I2730" s="116"/>
      <c r="L2730" s="170">
        <v>46023</v>
      </c>
      <c r="M2730" s="116">
        <v>1820</v>
      </c>
      <c r="N2730" s="116">
        <v>1835</v>
      </c>
      <c r="O2730" s="116">
        <v>1809.8</v>
      </c>
      <c r="P2730" s="116">
        <v>1828.6</v>
      </c>
      <c r="Q2730" s="116">
        <v>1820</v>
      </c>
      <c r="R2730">
        <v>92226</v>
      </c>
    </row>
    <row r="2731" spans="1:18" x14ac:dyDescent="0.25">
      <c r="A2731" s="170">
        <v>46024</v>
      </c>
      <c r="B2731">
        <v>1852.95</v>
      </c>
      <c r="C2731">
        <v>1847.8</v>
      </c>
      <c r="D2731">
        <v>1800.5</v>
      </c>
      <c r="E2731">
        <v>1800.5</v>
      </c>
      <c r="F2731">
        <v>1847.8</v>
      </c>
      <c r="G2731">
        <v>5949</v>
      </c>
      <c r="H2731" s="116"/>
      <c r="I2731" s="116"/>
      <c r="L2731" s="170">
        <v>46024</v>
      </c>
      <c r="M2731" s="116">
        <v>1850.4</v>
      </c>
      <c r="N2731" s="116">
        <v>1854.5</v>
      </c>
      <c r="O2731" s="116">
        <v>1806.1</v>
      </c>
      <c r="P2731" s="116">
        <v>1817.2</v>
      </c>
      <c r="Q2731" s="116">
        <v>1850.4</v>
      </c>
      <c r="R2731">
        <v>240417</v>
      </c>
    </row>
    <row r="2732" spans="1:18" x14ac:dyDescent="0.25">
      <c r="A2732" s="170">
        <v>46027</v>
      </c>
      <c r="B2732">
        <v>1874.95</v>
      </c>
      <c r="C2732">
        <v>1836.6</v>
      </c>
      <c r="D2732">
        <v>1832.75</v>
      </c>
      <c r="E2732">
        <v>1874.95</v>
      </c>
      <c r="F2732">
        <v>1836.6</v>
      </c>
      <c r="G2732">
        <v>1538</v>
      </c>
      <c r="H2732" s="116"/>
      <c r="I2732" s="116"/>
      <c r="L2732" s="170">
        <v>46027</v>
      </c>
      <c r="M2732" s="116">
        <v>1840.2</v>
      </c>
      <c r="N2732" s="116">
        <v>1866.5</v>
      </c>
      <c r="O2732" s="116">
        <v>1834</v>
      </c>
      <c r="P2732" s="116">
        <v>1864.7</v>
      </c>
      <c r="Q2732" s="116">
        <v>1840.2</v>
      </c>
      <c r="R2732">
        <v>131618</v>
      </c>
    </row>
    <row r="2733" spans="1:18" x14ac:dyDescent="0.25">
      <c r="A2733" s="170">
        <v>46028</v>
      </c>
      <c r="B2733">
        <v>1880.85</v>
      </c>
      <c r="C2733">
        <v>1877.75</v>
      </c>
      <c r="D2733">
        <v>1837</v>
      </c>
      <c r="E2733">
        <v>1837</v>
      </c>
      <c r="F2733">
        <v>1877.75</v>
      </c>
      <c r="G2733">
        <v>3184</v>
      </c>
      <c r="H2733" s="116"/>
      <c r="I2733" s="116"/>
      <c r="L2733" s="170">
        <v>46028</v>
      </c>
      <c r="M2733" s="116">
        <v>1878.2</v>
      </c>
      <c r="N2733" s="116">
        <v>1881.3</v>
      </c>
      <c r="O2733" s="116">
        <v>1835</v>
      </c>
      <c r="P2733" s="116">
        <v>1844.8</v>
      </c>
      <c r="Q2733" s="116">
        <v>1878.2</v>
      </c>
      <c r="R2733">
        <v>227116</v>
      </c>
    </row>
    <row r="2734" spans="1:18" x14ac:dyDescent="0.25">
      <c r="A2734" s="170">
        <v>46029</v>
      </c>
      <c r="B2734">
        <v>1939.3</v>
      </c>
      <c r="C2734">
        <v>1934.4</v>
      </c>
      <c r="D2734">
        <v>1877</v>
      </c>
      <c r="E2734">
        <v>1881.1</v>
      </c>
      <c r="F2734">
        <v>1934.4</v>
      </c>
      <c r="G2734">
        <v>11079</v>
      </c>
      <c r="H2734" s="116"/>
      <c r="I2734" s="116"/>
      <c r="L2734" s="170">
        <v>46029</v>
      </c>
      <c r="M2734" s="116">
        <v>1933</v>
      </c>
      <c r="N2734" s="116">
        <v>1939</v>
      </c>
      <c r="O2734" s="116">
        <v>1876.4</v>
      </c>
      <c r="P2734" s="116">
        <v>1887.5</v>
      </c>
      <c r="Q2734" s="116">
        <v>1933</v>
      </c>
      <c r="R2734">
        <v>554639</v>
      </c>
    </row>
    <row r="2735" spans="1:18" x14ac:dyDescent="0.25">
      <c r="A2735" s="170">
        <v>46030</v>
      </c>
      <c r="B2735">
        <v>1925.95</v>
      </c>
      <c r="C2735">
        <v>1909.6</v>
      </c>
      <c r="D2735">
        <v>1901</v>
      </c>
      <c r="E2735">
        <v>1917.85</v>
      </c>
      <c r="F2735">
        <v>1909.6</v>
      </c>
      <c r="G2735">
        <v>8968</v>
      </c>
      <c r="H2735" s="116"/>
      <c r="I2735" s="116"/>
      <c r="L2735" s="170">
        <v>46030</v>
      </c>
      <c r="M2735" s="116">
        <v>1911</v>
      </c>
      <c r="N2735" s="116">
        <v>1930</v>
      </c>
      <c r="O2735" s="116">
        <v>1901</v>
      </c>
      <c r="P2735" s="116">
        <v>1930</v>
      </c>
      <c r="Q2735" s="116">
        <v>1911</v>
      </c>
      <c r="R2735">
        <v>181250</v>
      </c>
    </row>
    <row r="2736" spans="1:18" x14ac:dyDescent="0.25">
      <c r="A2736" s="170">
        <v>46031</v>
      </c>
      <c r="B2736">
        <v>1915.95</v>
      </c>
      <c r="C2736">
        <v>1888.1</v>
      </c>
      <c r="D2736">
        <v>1881.6</v>
      </c>
      <c r="E2736">
        <v>1909.65</v>
      </c>
      <c r="F2736">
        <v>1888.1</v>
      </c>
      <c r="G2736">
        <v>2043</v>
      </c>
      <c r="H2736" s="116"/>
      <c r="I2736" s="116"/>
      <c r="L2736" s="170">
        <v>46031</v>
      </c>
      <c r="M2736" s="116">
        <v>1888.6</v>
      </c>
      <c r="N2736" s="116">
        <v>1914.7</v>
      </c>
      <c r="O2736" s="116">
        <v>1883.1</v>
      </c>
      <c r="P2736" s="116">
        <v>1908</v>
      </c>
      <c r="Q2736" s="116">
        <v>1888.6</v>
      </c>
      <c r="R2736">
        <v>125108</v>
      </c>
    </row>
    <row r="2737" spans="1:18" x14ac:dyDescent="0.25">
      <c r="A2737" s="170">
        <v>46034</v>
      </c>
      <c r="B2737">
        <v>1888.2</v>
      </c>
      <c r="C2737">
        <v>1876.5</v>
      </c>
      <c r="D2737">
        <v>1847.35</v>
      </c>
      <c r="E2737">
        <v>1888.2</v>
      </c>
      <c r="F2737">
        <v>1876.5</v>
      </c>
      <c r="G2737">
        <v>1769</v>
      </c>
      <c r="H2737" s="116"/>
      <c r="I2737" s="116"/>
      <c r="L2737" s="170">
        <v>46034</v>
      </c>
      <c r="M2737" s="116">
        <v>1872.8</v>
      </c>
      <c r="N2737" s="116">
        <v>1893</v>
      </c>
      <c r="O2737" s="116">
        <v>1847.6</v>
      </c>
      <c r="P2737" s="116">
        <v>1888.9</v>
      </c>
      <c r="Q2737" s="116">
        <v>1872.8</v>
      </c>
      <c r="R2737">
        <v>141301</v>
      </c>
    </row>
    <row r="2738" spans="1:18" x14ac:dyDescent="0.25">
      <c r="A2738" s="170">
        <v>46035</v>
      </c>
      <c r="B2738">
        <v>1875.05</v>
      </c>
      <c r="C2738">
        <v>1867.5</v>
      </c>
      <c r="D2738">
        <v>1854.4</v>
      </c>
      <c r="E2738">
        <v>1869.15</v>
      </c>
      <c r="F2738">
        <v>1867.5</v>
      </c>
      <c r="G2738">
        <v>2464</v>
      </c>
      <c r="H2738" s="116"/>
      <c r="I2738" s="116"/>
      <c r="L2738" s="170">
        <v>46035</v>
      </c>
      <c r="M2738" s="116">
        <v>1868.8</v>
      </c>
      <c r="N2738" s="116">
        <v>1881.5</v>
      </c>
      <c r="O2738" s="116">
        <v>1854</v>
      </c>
      <c r="P2738" s="116">
        <v>1874.8</v>
      </c>
      <c r="Q2738" s="116">
        <v>1868.8</v>
      </c>
      <c r="R2738">
        <v>72776</v>
      </c>
    </row>
    <row r="2739" spans="1:18" x14ac:dyDescent="0.25">
      <c r="A2739" s="170">
        <v>46036</v>
      </c>
      <c r="B2739">
        <v>1899.25</v>
      </c>
      <c r="C2739">
        <v>1894.2</v>
      </c>
      <c r="D2739">
        <v>1852.85</v>
      </c>
      <c r="E2739">
        <v>1863</v>
      </c>
      <c r="F2739">
        <v>1894.2</v>
      </c>
      <c r="G2739">
        <v>2650</v>
      </c>
      <c r="H2739" s="116"/>
      <c r="I2739" s="116"/>
      <c r="L2739" s="170">
        <v>46036</v>
      </c>
      <c r="M2739" s="116">
        <v>1895.4</v>
      </c>
      <c r="N2739" s="116">
        <v>1898.6</v>
      </c>
      <c r="O2739" s="116">
        <v>1852.1</v>
      </c>
      <c r="P2739" s="116">
        <v>1857.1</v>
      </c>
      <c r="Q2739" s="116">
        <v>1895.4</v>
      </c>
      <c r="R2739">
        <v>162383</v>
      </c>
    </row>
    <row r="2740" spans="1:18" x14ac:dyDescent="0.25">
      <c r="A2740" s="170">
        <v>46038</v>
      </c>
      <c r="B2740">
        <v>1908</v>
      </c>
      <c r="C2740">
        <v>1901.55</v>
      </c>
      <c r="D2740">
        <v>1883.7</v>
      </c>
      <c r="E2740">
        <v>1894.3</v>
      </c>
      <c r="F2740">
        <v>1901.55</v>
      </c>
      <c r="G2740">
        <v>2322</v>
      </c>
      <c r="H2740" s="116"/>
      <c r="I2740" s="116"/>
      <c r="L2740" s="170">
        <v>46038</v>
      </c>
      <c r="M2740" s="116">
        <v>1904</v>
      </c>
      <c r="N2740" s="116">
        <v>1910.7</v>
      </c>
      <c r="O2740" s="116">
        <v>1884.7</v>
      </c>
      <c r="P2740" s="116">
        <v>1895.4</v>
      </c>
      <c r="Q2740" s="116">
        <v>1904</v>
      </c>
      <c r="R2740">
        <v>132869</v>
      </c>
    </row>
    <row r="2741" spans="1:18" x14ac:dyDescent="0.25">
      <c r="A2741" s="170">
        <v>46041</v>
      </c>
      <c r="B2741">
        <v>1935</v>
      </c>
      <c r="C2741">
        <v>1928.4</v>
      </c>
      <c r="D2741">
        <v>1890</v>
      </c>
      <c r="E2741">
        <v>1918</v>
      </c>
      <c r="F2741">
        <v>1928.4</v>
      </c>
      <c r="G2741">
        <v>4299</v>
      </c>
      <c r="H2741" s="116"/>
      <c r="I2741" s="116"/>
      <c r="L2741" s="170">
        <v>46041</v>
      </c>
      <c r="M2741" s="116">
        <v>1926.7</v>
      </c>
      <c r="N2741" s="116">
        <v>1935.9</v>
      </c>
      <c r="O2741" s="116">
        <v>1888</v>
      </c>
      <c r="P2741" s="116">
        <v>1915</v>
      </c>
      <c r="Q2741" s="116">
        <v>1926.7</v>
      </c>
      <c r="R2741">
        <v>249081</v>
      </c>
    </row>
    <row r="2742" spans="1:18" x14ac:dyDescent="0.25">
      <c r="A2742" s="170">
        <v>46042</v>
      </c>
      <c r="B2742">
        <v>1928.35</v>
      </c>
      <c r="C2742">
        <v>1881.85</v>
      </c>
      <c r="D2742">
        <v>1875.25</v>
      </c>
      <c r="E2742">
        <v>1928.35</v>
      </c>
      <c r="F2742">
        <v>1881.85</v>
      </c>
      <c r="G2742">
        <v>3920</v>
      </c>
      <c r="H2742" s="116"/>
      <c r="I2742" s="116"/>
      <c r="L2742" s="170">
        <v>46042</v>
      </c>
      <c r="M2742" s="116">
        <v>1884.3</v>
      </c>
      <c r="N2742" s="116">
        <v>1925.6</v>
      </c>
      <c r="O2742" s="116">
        <v>1876.9</v>
      </c>
      <c r="P2742" s="116">
        <v>1923</v>
      </c>
      <c r="Q2742" s="116">
        <v>1884.3</v>
      </c>
      <c r="R2742">
        <v>143213</v>
      </c>
    </row>
    <row r="2743" spans="1:18" x14ac:dyDescent="0.25">
      <c r="A2743" s="170">
        <v>46043</v>
      </c>
      <c r="B2743">
        <v>1897.9</v>
      </c>
      <c r="C2743">
        <v>1884.75</v>
      </c>
      <c r="D2743">
        <v>1862.5</v>
      </c>
      <c r="E2743">
        <v>1874.5</v>
      </c>
      <c r="F2743">
        <v>1884.75</v>
      </c>
      <c r="G2743">
        <v>6561</v>
      </c>
      <c r="H2743" s="116"/>
      <c r="I2743" s="116"/>
      <c r="L2743" s="170">
        <v>46043</v>
      </c>
      <c r="M2743" s="116">
        <v>1884.6</v>
      </c>
      <c r="N2743" s="116">
        <v>1901.8</v>
      </c>
      <c r="O2743" s="116">
        <v>1861</v>
      </c>
      <c r="P2743" s="116">
        <v>1861</v>
      </c>
      <c r="Q2743" s="116">
        <v>1884.6</v>
      </c>
      <c r="R2743">
        <v>375754</v>
      </c>
    </row>
    <row r="2744" spans="1:18" x14ac:dyDescent="0.25">
      <c r="A2744" s="170">
        <v>46044</v>
      </c>
      <c r="B2744">
        <v>1907.95</v>
      </c>
      <c r="C2744">
        <v>1900.75</v>
      </c>
      <c r="D2744">
        <v>1884.8</v>
      </c>
      <c r="E2744">
        <v>1884.8</v>
      </c>
      <c r="F2744">
        <v>1900.75</v>
      </c>
      <c r="G2744">
        <v>2702</v>
      </c>
      <c r="H2744" s="116"/>
      <c r="I2744" s="116"/>
      <c r="L2744" s="170">
        <v>46044</v>
      </c>
      <c r="M2744" s="116">
        <v>1901.6</v>
      </c>
      <c r="N2744" s="116">
        <v>1909.6</v>
      </c>
      <c r="O2744" s="116">
        <v>1882</v>
      </c>
      <c r="P2744" s="116">
        <v>1896</v>
      </c>
      <c r="Q2744" s="116">
        <v>1901.6</v>
      </c>
      <c r="R2744">
        <v>139578</v>
      </c>
    </row>
    <row r="2745" spans="1:18" x14ac:dyDescent="0.25">
      <c r="A2745" s="170">
        <v>46045</v>
      </c>
      <c r="B2745">
        <v>1900</v>
      </c>
      <c r="C2745">
        <v>1841</v>
      </c>
      <c r="D2745">
        <v>1820.4</v>
      </c>
      <c r="E2745">
        <v>1892.2</v>
      </c>
      <c r="F2745">
        <v>1841</v>
      </c>
      <c r="G2745">
        <v>1773</v>
      </c>
      <c r="H2745" s="116"/>
      <c r="I2745" s="116"/>
      <c r="L2745" s="170">
        <v>46045</v>
      </c>
      <c r="M2745" s="116">
        <v>1846</v>
      </c>
      <c r="N2745" s="116">
        <v>1907</v>
      </c>
      <c r="O2745" s="116">
        <v>1833.8</v>
      </c>
      <c r="P2745" s="116">
        <v>1907</v>
      </c>
      <c r="Q2745" s="116">
        <v>1846</v>
      </c>
      <c r="R2745">
        <v>132508</v>
      </c>
    </row>
    <row r="2746" spans="1:18" x14ac:dyDescent="0.25">
      <c r="A2746" s="170">
        <v>46049</v>
      </c>
      <c r="B2746">
        <v>1885</v>
      </c>
      <c r="C2746">
        <v>1881.3</v>
      </c>
      <c r="D2746">
        <v>1841</v>
      </c>
      <c r="E2746">
        <v>1841.6</v>
      </c>
      <c r="F2746">
        <v>1881.3</v>
      </c>
      <c r="G2746">
        <v>2097</v>
      </c>
      <c r="H2746" s="116"/>
      <c r="I2746" s="116"/>
      <c r="L2746" s="170">
        <v>46049</v>
      </c>
      <c r="M2746" s="116">
        <v>1877.5</v>
      </c>
      <c r="N2746" s="116">
        <v>1887.9</v>
      </c>
      <c r="O2746" s="116">
        <v>1839.6</v>
      </c>
      <c r="P2746" s="116">
        <v>1846.1</v>
      </c>
      <c r="Q2746" s="116">
        <v>1877.5</v>
      </c>
      <c r="R2746">
        <v>174612</v>
      </c>
    </row>
    <row r="2747" spans="1:18" x14ac:dyDescent="0.25">
      <c r="A2747" s="170">
        <v>46050</v>
      </c>
      <c r="B2747">
        <v>1882.75</v>
      </c>
      <c r="C2747">
        <v>1854.7</v>
      </c>
      <c r="D2747">
        <v>1850.05</v>
      </c>
      <c r="E2747">
        <v>1881.3</v>
      </c>
      <c r="F2747">
        <v>1854.7</v>
      </c>
      <c r="G2747">
        <v>213624</v>
      </c>
      <c r="H2747" s="116"/>
      <c r="I2747" s="116"/>
      <c r="L2747" s="170">
        <v>46050</v>
      </c>
      <c r="M2747" s="116">
        <v>1856.3</v>
      </c>
      <c r="N2747" s="116">
        <v>1890</v>
      </c>
      <c r="O2747" s="116">
        <v>1848.5</v>
      </c>
      <c r="P2747" s="116">
        <v>1890</v>
      </c>
      <c r="Q2747" s="116">
        <v>1856.3</v>
      </c>
      <c r="R2747">
        <v>156394</v>
      </c>
    </row>
    <row r="2748" spans="1:18" x14ac:dyDescent="0.25">
      <c r="A2748" s="170">
        <v>46051</v>
      </c>
      <c r="B2748">
        <v>1864.05</v>
      </c>
      <c r="C2748">
        <v>1844.75</v>
      </c>
      <c r="D2748">
        <v>1836.3</v>
      </c>
      <c r="E2748">
        <v>1851.35</v>
      </c>
      <c r="F2748">
        <v>1844.75</v>
      </c>
      <c r="G2748">
        <v>27224</v>
      </c>
      <c r="H2748" s="116"/>
      <c r="I2748" s="116"/>
      <c r="L2748" s="170">
        <v>46051</v>
      </c>
      <c r="M2748" s="116">
        <v>1846</v>
      </c>
      <c r="N2748" s="116">
        <v>1863.5</v>
      </c>
      <c r="O2748" s="116">
        <v>1835</v>
      </c>
      <c r="P2748" s="116">
        <v>1856.3</v>
      </c>
      <c r="Q2748" s="116">
        <v>1846</v>
      </c>
      <c r="R2748">
        <v>102646</v>
      </c>
    </row>
    <row r="2749" spans="1:18" x14ac:dyDescent="0.25">
      <c r="A2749" s="170">
        <v>46052</v>
      </c>
      <c r="B2749">
        <v>1876.6</v>
      </c>
      <c r="C2749">
        <v>1870.2</v>
      </c>
      <c r="D2749">
        <v>1777.05</v>
      </c>
      <c r="E2749">
        <v>1844.65</v>
      </c>
      <c r="F2749">
        <v>1870.2</v>
      </c>
      <c r="G2749">
        <v>53557</v>
      </c>
      <c r="H2749" s="116"/>
      <c r="I2749" s="116"/>
      <c r="L2749" s="170">
        <v>46052</v>
      </c>
      <c r="M2749" s="116">
        <v>1869.5</v>
      </c>
      <c r="N2749" s="116">
        <v>1883.1</v>
      </c>
      <c r="O2749" s="116">
        <v>1775.8</v>
      </c>
      <c r="P2749" s="116">
        <v>1830</v>
      </c>
      <c r="Q2749" s="116">
        <v>1869.5</v>
      </c>
      <c r="R2749">
        <v>146957</v>
      </c>
    </row>
    <row r="2750" spans="1:18" x14ac:dyDescent="0.25">
      <c r="A2750" s="170">
        <v>46054</v>
      </c>
      <c r="B2750">
        <v>1894</v>
      </c>
      <c r="C2750">
        <v>1864.05</v>
      </c>
      <c r="D2750">
        <v>1837</v>
      </c>
      <c r="E2750">
        <v>1838.65</v>
      </c>
      <c r="F2750">
        <v>1864.05</v>
      </c>
      <c r="G2750">
        <v>2001</v>
      </c>
      <c r="H2750" s="116"/>
      <c r="I2750" s="116"/>
      <c r="L2750" s="170">
        <v>46054</v>
      </c>
      <c r="M2750" s="116">
        <v>1875.7</v>
      </c>
      <c r="N2750" s="116">
        <v>1896.7</v>
      </c>
      <c r="O2750" s="116">
        <v>1824.9</v>
      </c>
      <c r="P2750" s="116">
        <v>1877.2</v>
      </c>
      <c r="Q2750" s="116">
        <v>1875.7</v>
      </c>
      <c r="R2750">
        <v>66151</v>
      </c>
    </row>
    <row r="2751" spans="1:18" x14ac:dyDescent="0.25">
      <c r="A2751" s="170">
        <v>46055</v>
      </c>
      <c r="B2751">
        <v>1890.15</v>
      </c>
      <c r="C2751">
        <v>1872.5</v>
      </c>
      <c r="D2751">
        <v>1830.6</v>
      </c>
      <c r="E2751">
        <v>1890.15</v>
      </c>
      <c r="F2751">
        <v>1872.5</v>
      </c>
      <c r="G2751">
        <v>1863</v>
      </c>
      <c r="H2751" s="116"/>
      <c r="I2751" s="116"/>
      <c r="L2751" s="170">
        <v>46055</v>
      </c>
      <c r="M2751" s="116">
        <v>1864.6</v>
      </c>
      <c r="N2751" s="116">
        <v>1880.6</v>
      </c>
      <c r="O2751" s="116">
        <v>1830.6</v>
      </c>
      <c r="P2751" s="116">
        <v>1875</v>
      </c>
      <c r="Q2751" s="116">
        <v>1864.6</v>
      </c>
      <c r="R2751">
        <v>294521</v>
      </c>
    </row>
    <row r="2752" spans="1:18" x14ac:dyDescent="0.25">
      <c r="A2752" s="170">
        <v>46056</v>
      </c>
      <c r="B2752">
        <v>1929.9</v>
      </c>
      <c r="C2752">
        <v>1894.7</v>
      </c>
      <c r="D2752">
        <v>1878</v>
      </c>
      <c r="E2752">
        <v>1880.65</v>
      </c>
      <c r="F2752">
        <v>1894.7</v>
      </c>
      <c r="G2752">
        <v>2288</v>
      </c>
      <c r="H2752" s="116"/>
      <c r="I2752" s="116"/>
      <c r="L2752" s="170">
        <v>46056</v>
      </c>
      <c r="M2752" s="116">
        <v>1895.7</v>
      </c>
      <c r="N2752" s="116">
        <v>1931.7</v>
      </c>
      <c r="O2752" s="116">
        <v>1880</v>
      </c>
      <c r="P2752" s="116">
        <v>1909.4</v>
      </c>
      <c r="Q2752" s="116">
        <v>1895.7</v>
      </c>
      <c r="R2752">
        <v>163839</v>
      </c>
    </row>
    <row r="2753" spans="1:18" x14ac:dyDescent="0.25">
      <c r="A2753" s="170">
        <v>46057</v>
      </c>
      <c r="B2753">
        <v>1898.5</v>
      </c>
      <c r="C2753">
        <v>1893.35</v>
      </c>
      <c r="D2753">
        <v>1873.8</v>
      </c>
      <c r="E2753">
        <v>1894.9</v>
      </c>
      <c r="F2753">
        <v>1893.35</v>
      </c>
      <c r="G2753">
        <v>1476</v>
      </c>
      <c r="H2753" s="116"/>
      <c r="I2753" s="116"/>
      <c r="L2753" s="170">
        <v>46057</v>
      </c>
      <c r="M2753" s="116">
        <v>1893</v>
      </c>
      <c r="N2753" s="116">
        <v>1904.1</v>
      </c>
      <c r="O2753" s="116">
        <v>1873.9</v>
      </c>
      <c r="P2753" s="116">
        <v>1900.1</v>
      </c>
      <c r="Q2753" s="116">
        <v>1893</v>
      </c>
      <c r="R2753">
        <v>324343</v>
      </c>
    </row>
    <row r="2754" spans="1:18" x14ac:dyDescent="0.25">
      <c r="A2754" s="170">
        <v>46058</v>
      </c>
      <c r="B2754">
        <v>1883</v>
      </c>
      <c r="C2754">
        <v>1857.2</v>
      </c>
      <c r="D2754">
        <v>1853.5</v>
      </c>
      <c r="E2754">
        <v>1874.65</v>
      </c>
      <c r="F2754">
        <v>1857.2</v>
      </c>
      <c r="G2754">
        <v>2707</v>
      </c>
      <c r="H2754" s="116"/>
      <c r="I2754" s="116"/>
      <c r="L2754" s="170">
        <v>46058</v>
      </c>
      <c r="M2754" s="116">
        <v>1857.6</v>
      </c>
      <c r="N2754" s="116">
        <v>1888</v>
      </c>
      <c r="O2754" s="116">
        <v>1852</v>
      </c>
      <c r="P2754" s="116">
        <v>1877.4</v>
      </c>
      <c r="Q2754" s="116">
        <v>1857.6</v>
      </c>
      <c r="R2754">
        <v>502877</v>
      </c>
    </row>
    <row r="2755" spans="1:18" x14ac:dyDescent="0.25">
      <c r="A2755" s="170">
        <v>46059</v>
      </c>
      <c r="B2755">
        <v>1858.55</v>
      </c>
      <c r="C2755">
        <v>1850.5</v>
      </c>
      <c r="D2755">
        <v>1825.35</v>
      </c>
      <c r="E2755">
        <v>1825.35</v>
      </c>
      <c r="F2755">
        <v>1850.5</v>
      </c>
      <c r="G2755">
        <v>492</v>
      </c>
      <c r="H2755" s="116"/>
      <c r="I2755" s="116"/>
      <c r="L2755" s="170">
        <v>46059</v>
      </c>
      <c r="M2755" s="116">
        <v>1849.5</v>
      </c>
      <c r="N2755" s="116">
        <v>1859.3</v>
      </c>
      <c r="O2755" s="116">
        <v>1839.2</v>
      </c>
      <c r="P2755" s="116">
        <v>1844</v>
      </c>
      <c r="Q2755" s="116">
        <v>1849.5</v>
      </c>
      <c r="R2755">
        <v>163418</v>
      </c>
    </row>
    <row r="2756" spans="1:18" x14ac:dyDescent="0.25">
      <c r="A2756" s="170">
        <v>46062</v>
      </c>
      <c r="B2756">
        <v>1890</v>
      </c>
      <c r="C2756">
        <v>1884</v>
      </c>
      <c r="D2756">
        <v>1849.25</v>
      </c>
      <c r="E2756">
        <v>1850.7</v>
      </c>
      <c r="F2756">
        <v>1884</v>
      </c>
      <c r="G2756">
        <v>3159</v>
      </c>
      <c r="H2756" s="116"/>
      <c r="I2756" s="116"/>
      <c r="L2756" s="170">
        <v>46062</v>
      </c>
      <c r="M2756" s="116">
        <v>1882.7</v>
      </c>
      <c r="N2756" s="116">
        <v>1893.8</v>
      </c>
      <c r="O2756" s="116">
        <v>1848.7</v>
      </c>
      <c r="P2756" s="116">
        <v>1857.5</v>
      </c>
      <c r="Q2756" s="116">
        <v>1882.7</v>
      </c>
      <c r="R2756">
        <v>146517</v>
      </c>
    </row>
    <row r="2757" spans="1:18" x14ac:dyDescent="0.25">
      <c r="A2757" s="170">
        <v>46063</v>
      </c>
      <c r="B2757">
        <v>1927</v>
      </c>
      <c r="C2757">
        <v>1923.55</v>
      </c>
      <c r="D2757">
        <v>1884</v>
      </c>
      <c r="E2757">
        <v>1893.8</v>
      </c>
      <c r="F2757">
        <v>1923.55</v>
      </c>
      <c r="G2757">
        <v>4132</v>
      </c>
      <c r="H2757" s="116"/>
      <c r="I2757" s="116"/>
      <c r="L2757" s="170">
        <v>46063</v>
      </c>
      <c r="M2757" s="116">
        <v>1923.1</v>
      </c>
      <c r="N2757" s="116">
        <v>1926.8</v>
      </c>
      <c r="O2757" s="116">
        <v>1883.5</v>
      </c>
      <c r="P2757" s="116">
        <v>1897.5</v>
      </c>
      <c r="Q2757" s="116">
        <v>1923.1</v>
      </c>
      <c r="R2757">
        <v>180635</v>
      </c>
    </row>
    <row r="2758" spans="1:18" x14ac:dyDescent="0.25">
      <c r="A2758" s="170">
        <v>46064</v>
      </c>
      <c r="B2758">
        <v>1918.65</v>
      </c>
      <c r="C2758">
        <v>1896.9</v>
      </c>
      <c r="D2758">
        <v>1890.1</v>
      </c>
      <c r="E2758">
        <v>1911.65</v>
      </c>
      <c r="F2758">
        <v>1896.9</v>
      </c>
      <c r="G2758">
        <v>3977</v>
      </c>
      <c r="H2758" s="116"/>
      <c r="I2758" s="116"/>
      <c r="L2758" s="170">
        <v>46064</v>
      </c>
      <c r="M2758" s="116">
        <v>1894.8</v>
      </c>
      <c r="N2758" s="116">
        <v>1917.9</v>
      </c>
      <c r="O2758" s="116">
        <v>1890.4</v>
      </c>
      <c r="P2758" s="116">
        <v>1916.9</v>
      </c>
      <c r="Q2758" s="116">
        <v>1894.8</v>
      </c>
      <c r="R2758">
        <v>402345</v>
      </c>
    </row>
    <row r="2759" spans="1:18" x14ac:dyDescent="0.25">
      <c r="A2759" s="170">
        <v>46065</v>
      </c>
      <c r="B2759">
        <v>1915.1</v>
      </c>
      <c r="C2759">
        <v>1904.75</v>
      </c>
      <c r="D2759">
        <v>1884.85</v>
      </c>
      <c r="E2759">
        <v>1896.85</v>
      </c>
      <c r="F2759">
        <v>1904.75</v>
      </c>
      <c r="G2759">
        <v>7580</v>
      </c>
      <c r="H2759" s="116"/>
      <c r="I2759" s="116"/>
      <c r="L2759" s="170">
        <v>46065</v>
      </c>
      <c r="M2759" s="116">
        <v>1910.1</v>
      </c>
      <c r="N2759" s="116">
        <v>1916.8</v>
      </c>
      <c r="O2759" s="116">
        <v>1885.7</v>
      </c>
      <c r="P2759" s="116">
        <v>1894.8</v>
      </c>
      <c r="Q2759" s="116">
        <v>1910.1</v>
      </c>
      <c r="R2759">
        <v>149577</v>
      </c>
    </row>
    <row r="2760" spans="1:18" x14ac:dyDescent="0.25">
      <c r="A2760" s="170">
        <v>46066</v>
      </c>
      <c r="B2760">
        <v>1924.7</v>
      </c>
      <c r="C2760">
        <v>1892.7</v>
      </c>
      <c r="D2760">
        <v>1871.3</v>
      </c>
      <c r="E2760">
        <v>1871.3</v>
      </c>
      <c r="F2760">
        <v>1892.7</v>
      </c>
      <c r="G2760">
        <v>3964</v>
      </c>
      <c r="H2760" s="116"/>
      <c r="I2760" s="116"/>
      <c r="L2760" s="170">
        <v>46066</v>
      </c>
      <c r="M2760" s="116">
        <v>1891.8</v>
      </c>
      <c r="N2760" s="116">
        <v>1926</v>
      </c>
      <c r="O2760" s="116">
        <v>1884.3</v>
      </c>
      <c r="P2760" s="116">
        <v>1890</v>
      </c>
      <c r="Q2760" s="116">
        <v>1891.8</v>
      </c>
      <c r="R2760">
        <v>383166</v>
      </c>
    </row>
    <row r="2761" spans="1:18" x14ac:dyDescent="0.25">
      <c r="A2761" s="170">
        <v>46069</v>
      </c>
      <c r="B2761">
        <v>2007.5</v>
      </c>
      <c r="C2761">
        <v>1977.85</v>
      </c>
      <c r="D2761">
        <v>1893.3</v>
      </c>
      <c r="E2761">
        <v>1893.3</v>
      </c>
      <c r="F2761">
        <v>1977.85</v>
      </c>
      <c r="G2761">
        <v>88530</v>
      </c>
      <c r="H2761" s="116"/>
      <c r="I2761" s="116"/>
      <c r="L2761" s="170">
        <v>46069</v>
      </c>
      <c r="M2761" s="116">
        <v>1978.7</v>
      </c>
      <c r="N2761" s="116">
        <v>2008</v>
      </c>
      <c r="O2761" s="116">
        <v>1895.1</v>
      </c>
      <c r="P2761" s="116">
        <v>1905.2</v>
      </c>
      <c r="Q2761" s="116">
        <v>1978.7</v>
      </c>
      <c r="R2761">
        <v>1257645</v>
      </c>
    </row>
    <row r="2762" spans="1:18" x14ac:dyDescent="0.25">
      <c r="A2762" s="170">
        <v>46070</v>
      </c>
      <c r="B2762">
        <v>1992.9</v>
      </c>
      <c r="C2762">
        <v>1988.25</v>
      </c>
      <c r="D2762">
        <v>1965.15</v>
      </c>
      <c r="E2762">
        <v>1980.75</v>
      </c>
      <c r="F2762">
        <v>1988.25</v>
      </c>
      <c r="G2762">
        <v>2132</v>
      </c>
      <c r="H2762" s="116"/>
      <c r="I2762" s="116"/>
      <c r="L2762" s="170">
        <v>46070</v>
      </c>
      <c r="M2762" s="116">
        <v>1988.9</v>
      </c>
      <c r="N2762" s="116">
        <v>1995</v>
      </c>
      <c r="O2762" s="116">
        <v>1963.3</v>
      </c>
      <c r="P2762" s="116">
        <v>1989</v>
      </c>
      <c r="Q2762" s="116">
        <v>1988.9</v>
      </c>
      <c r="R2762">
        <v>326078</v>
      </c>
    </row>
    <row r="2763" spans="1:18" x14ac:dyDescent="0.25">
      <c r="A2763" s="170">
        <v>46071</v>
      </c>
      <c r="B2763">
        <v>1997.95</v>
      </c>
      <c r="C2763">
        <v>1983.4</v>
      </c>
      <c r="D2763">
        <v>1967.05</v>
      </c>
      <c r="E2763">
        <v>1980</v>
      </c>
      <c r="F2763">
        <v>1983.4</v>
      </c>
      <c r="G2763">
        <v>4586</v>
      </c>
      <c r="H2763" s="116"/>
      <c r="I2763" s="116"/>
      <c r="L2763" s="170">
        <v>46071</v>
      </c>
      <c r="M2763" s="116">
        <v>1984.1</v>
      </c>
      <c r="N2763" s="116">
        <v>1998.5</v>
      </c>
      <c r="O2763" s="116">
        <v>1968.3</v>
      </c>
      <c r="P2763" s="116">
        <v>1982</v>
      </c>
      <c r="Q2763" s="116">
        <v>1984.1</v>
      </c>
      <c r="R2763">
        <v>232904</v>
      </c>
    </row>
    <row r="2764" spans="1:18" x14ac:dyDescent="0.25">
      <c r="A2764" s="170">
        <v>46072</v>
      </c>
      <c r="B2764">
        <v>2014.1</v>
      </c>
      <c r="C2764">
        <v>1989.35</v>
      </c>
      <c r="D2764">
        <v>1974</v>
      </c>
      <c r="E2764">
        <v>1974</v>
      </c>
      <c r="F2764">
        <v>1989.35</v>
      </c>
      <c r="G2764">
        <v>2863</v>
      </c>
      <c r="H2764" s="116"/>
      <c r="I2764" s="116"/>
      <c r="L2764" s="170">
        <v>46072</v>
      </c>
      <c r="M2764" s="116">
        <v>1992.4</v>
      </c>
      <c r="N2764" s="116">
        <v>2015.2</v>
      </c>
      <c r="O2764" s="116">
        <v>1969</v>
      </c>
      <c r="P2764" s="116">
        <v>1984.1</v>
      </c>
      <c r="Q2764" s="116">
        <v>1992.4</v>
      </c>
      <c r="R2764">
        <v>490928</v>
      </c>
    </row>
    <row r="2765" spans="1:18" x14ac:dyDescent="0.25">
      <c r="A2765" s="170">
        <v>46073</v>
      </c>
      <c r="B2765">
        <v>2007.05</v>
      </c>
      <c r="C2765">
        <v>2001.25</v>
      </c>
      <c r="D2765">
        <v>1978.55</v>
      </c>
      <c r="E2765">
        <v>1982.45</v>
      </c>
      <c r="F2765">
        <v>2001.25</v>
      </c>
      <c r="G2765">
        <v>1410</v>
      </c>
      <c r="H2765" s="116"/>
      <c r="I2765" s="116"/>
      <c r="L2765" s="170">
        <v>46073</v>
      </c>
      <c r="M2765" s="116">
        <v>2000.3</v>
      </c>
      <c r="N2765" s="116">
        <v>2005</v>
      </c>
      <c r="O2765" s="116">
        <v>1975</v>
      </c>
      <c r="P2765" s="116">
        <v>1985</v>
      </c>
      <c r="Q2765" s="116">
        <v>2000.3</v>
      </c>
      <c r="R2765">
        <v>278277</v>
      </c>
    </row>
    <row r="2766" spans="1:18" x14ac:dyDescent="0.25">
      <c r="A2766" s="170">
        <v>46076</v>
      </c>
      <c r="B2766">
        <v>2053</v>
      </c>
      <c r="C2766">
        <v>2047.2</v>
      </c>
      <c r="D2766">
        <v>2002.6</v>
      </c>
      <c r="E2766">
        <v>2015.15</v>
      </c>
      <c r="F2766">
        <v>2047.2</v>
      </c>
      <c r="G2766">
        <v>9375</v>
      </c>
      <c r="H2766" s="116"/>
      <c r="I2766" s="116"/>
      <c r="L2766" s="170">
        <v>46076</v>
      </c>
      <c r="M2766" s="116">
        <v>2046.9</v>
      </c>
      <c r="N2766" s="116">
        <v>2052</v>
      </c>
      <c r="O2766" s="116">
        <v>2004</v>
      </c>
      <c r="P2766" s="116">
        <v>2019.9</v>
      </c>
      <c r="Q2766" s="116">
        <v>2046.9</v>
      </c>
      <c r="R2766">
        <v>427644</v>
      </c>
    </row>
    <row r="2767" spans="1:18" x14ac:dyDescent="0.25">
      <c r="A2767" s="170">
        <v>46077</v>
      </c>
      <c r="B2767">
        <v>2086.75</v>
      </c>
      <c r="C2767">
        <v>2069.5500000000002</v>
      </c>
      <c r="D2767">
        <v>2030.55</v>
      </c>
      <c r="E2767">
        <v>2030.55</v>
      </c>
      <c r="F2767">
        <v>2069.5500000000002</v>
      </c>
      <c r="G2767">
        <v>19773</v>
      </c>
      <c r="H2767" s="116"/>
      <c r="I2767" s="116"/>
      <c r="L2767" s="170">
        <v>46077</v>
      </c>
      <c r="M2767" s="116">
        <v>2070.4</v>
      </c>
      <c r="N2767" s="116">
        <v>2087.1999999999998</v>
      </c>
      <c r="O2767" s="116">
        <v>2030</v>
      </c>
      <c r="P2767" s="116">
        <v>2032.3</v>
      </c>
      <c r="Q2767" s="116">
        <v>2070.4</v>
      </c>
      <c r="R2767">
        <v>674076</v>
      </c>
    </row>
    <row r="2768" spans="1:18" x14ac:dyDescent="0.25">
      <c r="A2768" s="170">
        <v>46078</v>
      </c>
      <c r="B2768">
        <v>2089</v>
      </c>
      <c r="C2768">
        <v>2086.35</v>
      </c>
      <c r="D2768">
        <v>2051.3000000000002</v>
      </c>
      <c r="E2768">
        <v>2070.3000000000002</v>
      </c>
      <c r="F2768">
        <v>2086.35</v>
      </c>
      <c r="G2768">
        <v>7914</v>
      </c>
      <c r="H2768" s="116"/>
      <c r="I2768" s="116"/>
      <c r="L2768" s="170">
        <v>46078</v>
      </c>
      <c r="M2768" s="116">
        <v>2085.9</v>
      </c>
      <c r="N2768" s="116">
        <v>2090.6</v>
      </c>
      <c r="O2768" s="116">
        <v>2050.9</v>
      </c>
      <c r="P2768" s="116">
        <v>2089</v>
      </c>
      <c r="Q2768" s="116">
        <v>2085.9</v>
      </c>
      <c r="R2768">
        <v>172356</v>
      </c>
    </row>
    <row r="2769" spans="1:18" x14ac:dyDescent="0.25">
      <c r="A2769" s="170">
        <v>46079</v>
      </c>
      <c r="B2769">
        <v>2112.5500000000002</v>
      </c>
      <c r="C2769">
        <v>2082.85</v>
      </c>
      <c r="D2769">
        <v>2071.9</v>
      </c>
      <c r="E2769">
        <v>2086.5</v>
      </c>
      <c r="F2769">
        <v>2082.85</v>
      </c>
      <c r="G2769">
        <v>7158</v>
      </c>
      <c r="H2769" s="116"/>
      <c r="I2769" s="116"/>
      <c r="L2769" s="170">
        <v>46079</v>
      </c>
      <c r="M2769" s="116">
        <v>2081.4</v>
      </c>
      <c r="N2769" s="116">
        <v>2114.6999999999998</v>
      </c>
      <c r="O2769" s="116">
        <v>2071</v>
      </c>
      <c r="P2769" s="116">
        <v>2090.9</v>
      </c>
      <c r="Q2769" s="116">
        <v>2081.4</v>
      </c>
      <c r="R2769">
        <v>161910</v>
      </c>
    </row>
    <row r="2770" spans="1:18" x14ac:dyDescent="0.25">
      <c r="A2770" s="170">
        <v>46080</v>
      </c>
      <c r="B2770">
        <v>2091.5500000000002</v>
      </c>
      <c r="C2770">
        <v>2052.9</v>
      </c>
      <c r="D2770">
        <v>2046.2</v>
      </c>
      <c r="E2770">
        <v>2082.9</v>
      </c>
      <c r="F2770">
        <v>2052.9</v>
      </c>
      <c r="G2770">
        <v>61569</v>
      </c>
      <c r="H2770" s="116"/>
      <c r="I2770" s="116"/>
      <c r="L2770" s="170">
        <v>46080</v>
      </c>
      <c r="M2770" s="116">
        <v>2053.5</v>
      </c>
      <c r="N2770" s="116">
        <v>2092.6</v>
      </c>
      <c r="O2770" s="116">
        <v>2045</v>
      </c>
      <c r="P2770" s="116">
        <v>2089.4</v>
      </c>
      <c r="Q2770" s="116">
        <v>2053.5</v>
      </c>
      <c r="R2770">
        <v>133432</v>
      </c>
    </row>
    <row r="2771" spans="1:18" x14ac:dyDescent="0.25">
      <c r="A2771" s="170">
        <v>46083</v>
      </c>
      <c r="B2771">
        <v>2080.8000000000002</v>
      </c>
      <c r="C2771">
        <v>2075.1</v>
      </c>
      <c r="D2771">
        <v>1959.7</v>
      </c>
      <c r="E2771">
        <v>1959.7</v>
      </c>
      <c r="F2771">
        <v>2075.1</v>
      </c>
      <c r="G2771">
        <v>4120</v>
      </c>
      <c r="H2771" s="116"/>
      <c r="I2771" s="116"/>
      <c r="L2771" s="170">
        <v>46083</v>
      </c>
      <c r="M2771" s="116">
        <v>2077.4</v>
      </c>
      <c r="N2771" s="116">
        <v>2085.1999999999998</v>
      </c>
      <c r="O2771" s="116">
        <v>1974</v>
      </c>
      <c r="P2771" s="116">
        <v>1976.2</v>
      </c>
      <c r="Q2771" s="116">
        <v>2077.4</v>
      </c>
      <c r="R2771">
        <v>259750</v>
      </c>
    </row>
    <row r="2772" spans="1:18" x14ac:dyDescent="0.25">
      <c r="A2772" s="170">
        <v>46085</v>
      </c>
      <c r="B2772">
        <v>2069.35</v>
      </c>
      <c r="C2772">
        <v>2051.85</v>
      </c>
      <c r="D2772">
        <v>2029</v>
      </c>
      <c r="E2772">
        <v>2069.35</v>
      </c>
      <c r="F2772">
        <v>2051.85</v>
      </c>
      <c r="G2772">
        <v>1968</v>
      </c>
      <c r="H2772" s="116"/>
      <c r="I2772" s="116"/>
      <c r="L2772" s="170">
        <v>46085</v>
      </c>
      <c r="M2772" s="116">
        <v>2051.8000000000002</v>
      </c>
      <c r="N2772" s="116">
        <v>2067.5</v>
      </c>
      <c r="O2772" s="116">
        <v>2010.6</v>
      </c>
      <c r="P2772" s="116">
        <v>2045.5</v>
      </c>
      <c r="Q2772" s="116">
        <v>2051.8000000000002</v>
      </c>
      <c r="R2772">
        <v>177486</v>
      </c>
    </row>
    <row r="2773" spans="1:18" x14ac:dyDescent="0.25">
      <c r="A2773" s="170">
        <v>46086</v>
      </c>
      <c r="B2773">
        <v>2074.4</v>
      </c>
      <c r="C2773">
        <v>2070.6999999999998</v>
      </c>
      <c r="D2773">
        <v>2049.25</v>
      </c>
      <c r="E2773">
        <v>2052.6</v>
      </c>
      <c r="F2773">
        <v>2070.6999999999998</v>
      </c>
      <c r="G2773">
        <v>2404</v>
      </c>
      <c r="H2773" s="116"/>
      <c r="I2773" s="116"/>
      <c r="L2773" s="170">
        <v>46086</v>
      </c>
      <c r="M2773" s="116">
        <v>2070.4</v>
      </c>
      <c r="N2773" s="116">
        <v>2075.4</v>
      </c>
      <c r="O2773" s="116">
        <v>2048.1999999999998</v>
      </c>
      <c r="P2773" s="116">
        <v>2066</v>
      </c>
      <c r="Q2773" s="116">
        <v>2070.4</v>
      </c>
      <c r="R2773">
        <v>377890</v>
      </c>
    </row>
    <row r="2774" spans="1:18" x14ac:dyDescent="0.25">
      <c r="A2774" s="170">
        <v>46087</v>
      </c>
      <c r="B2774">
        <v>2094.5500000000002</v>
      </c>
      <c r="C2774">
        <v>2051.1999999999998</v>
      </c>
      <c r="D2774">
        <v>2040.15</v>
      </c>
      <c r="E2774">
        <v>2094.5500000000002</v>
      </c>
      <c r="F2774">
        <v>2051.1999999999998</v>
      </c>
      <c r="G2774">
        <v>29422</v>
      </c>
      <c r="H2774" s="116"/>
      <c r="I2774" s="116"/>
      <c r="L2774" s="170">
        <v>46087</v>
      </c>
      <c r="M2774" s="116">
        <v>2052.9</v>
      </c>
      <c r="N2774" s="116">
        <v>2080</v>
      </c>
      <c r="O2774" s="116">
        <v>2038.5</v>
      </c>
      <c r="P2774" s="116">
        <v>2080</v>
      </c>
      <c r="Q2774" s="116">
        <v>2052.9</v>
      </c>
      <c r="R2774">
        <v>204452</v>
      </c>
    </row>
    <row r="2775" spans="1:18" x14ac:dyDescent="0.25">
      <c r="A2775" s="170">
        <v>46090</v>
      </c>
      <c r="B2775">
        <v>2075</v>
      </c>
      <c r="C2775">
        <v>2069.9</v>
      </c>
      <c r="D2775">
        <v>2011.2</v>
      </c>
      <c r="E2775">
        <v>2038.2</v>
      </c>
      <c r="F2775">
        <v>2069.9</v>
      </c>
      <c r="G2775">
        <v>1721</v>
      </c>
      <c r="H2775" s="116"/>
      <c r="I2775" s="116"/>
      <c r="L2775" s="170">
        <v>46090</v>
      </c>
      <c r="M2775" s="116">
        <v>2071.6</v>
      </c>
      <c r="N2775" s="116">
        <v>2077</v>
      </c>
      <c r="O2775" s="116">
        <v>2010</v>
      </c>
      <c r="P2775" s="116">
        <v>2020</v>
      </c>
      <c r="Q2775" s="116">
        <v>2071.6</v>
      </c>
      <c r="R2775">
        <v>289019</v>
      </c>
    </row>
    <row r="2776" spans="1:18" x14ac:dyDescent="0.25">
      <c r="A2776" s="170">
        <v>46091</v>
      </c>
      <c r="B2776">
        <v>2125.4</v>
      </c>
      <c r="C2776">
        <v>2119.25</v>
      </c>
      <c r="D2776">
        <v>2070.9</v>
      </c>
      <c r="E2776">
        <v>2070.9</v>
      </c>
      <c r="F2776">
        <v>2119.25</v>
      </c>
      <c r="G2776">
        <v>5386</v>
      </c>
      <c r="H2776" s="116"/>
      <c r="I2776" s="116"/>
      <c r="L2776" s="170">
        <v>46091</v>
      </c>
      <c r="M2776" s="116">
        <v>2117.4</v>
      </c>
      <c r="N2776" s="116">
        <v>2125</v>
      </c>
      <c r="O2776" s="116">
        <v>2077.1999999999998</v>
      </c>
      <c r="P2776" s="116">
        <v>2084.8000000000002</v>
      </c>
      <c r="Q2776" s="116">
        <v>2117.4</v>
      </c>
      <c r="R2776">
        <v>706962</v>
      </c>
    </row>
    <row r="2777" spans="1:18" x14ac:dyDescent="0.25">
      <c r="A2777" s="170">
        <v>46092</v>
      </c>
      <c r="B2777">
        <v>2134.9499999999998</v>
      </c>
      <c r="C2777">
        <v>2124.5</v>
      </c>
      <c r="D2777">
        <v>2109.0500000000002</v>
      </c>
      <c r="E2777">
        <v>2129.9</v>
      </c>
      <c r="F2777">
        <v>2124.5</v>
      </c>
      <c r="G2777">
        <v>7507</v>
      </c>
      <c r="H2777" s="116"/>
      <c r="I2777" s="116"/>
      <c r="L2777" s="170">
        <v>46092</v>
      </c>
      <c r="M2777" s="116">
        <v>2126.1</v>
      </c>
      <c r="N2777" s="116">
        <v>2135</v>
      </c>
      <c r="O2777" s="116">
        <v>2108.4</v>
      </c>
      <c r="P2777" s="116">
        <v>2132.8000000000002</v>
      </c>
      <c r="Q2777" s="116">
        <v>2126.1</v>
      </c>
      <c r="R2777">
        <v>432657</v>
      </c>
    </row>
    <row r="2778" spans="1:18" x14ac:dyDescent="0.25">
      <c r="A2778" s="170">
        <v>46093</v>
      </c>
      <c r="B2778">
        <v>2140.25</v>
      </c>
      <c r="C2778">
        <v>2131.65</v>
      </c>
      <c r="D2778">
        <v>2111.75</v>
      </c>
      <c r="E2778">
        <v>2124.6</v>
      </c>
      <c r="F2778">
        <v>2131.65</v>
      </c>
      <c r="G2778">
        <v>135165</v>
      </c>
      <c r="H2778" s="116"/>
      <c r="I2778" s="116"/>
      <c r="L2778" s="170">
        <v>46093</v>
      </c>
      <c r="M2778" s="116">
        <v>2131.4</v>
      </c>
      <c r="N2778" s="116">
        <v>2141</v>
      </c>
      <c r="O2778" s="116">
        <v>2107.6999999999998</v>
      </c>
      <c r="P2778" s="116">
        <v>2129.6999999999998</v>
      </c>
      <c r="Q2778" s="116">
        <v>2131.4</v>
      </c>
      <c r="R2778">
        <v>394549</v>
      </c>
    </row>
    <row r="2779" spans="1:18" x14ac:dyDescent="0.25">
      <c r="A2779" s="170">
        <v>46094</v>
      </c>
      <c r="B2779">
        <v>2137.25</v>
      </c>
      <c r="C2779">
        <v>2121.8000000000002</v>
      </c>
      <c r="D2779">
        <v>2096.65</v>
      </c>
      <c r="E2779">
        <v>2107.65</v>
      </c>
      <c r="F2779">
        <v>2121.8000000000002</v>
      </c>
      <c r="G2779">
        <v>8840</v>
      </c>
      <c r="H2779" s="116"/>
      <c r="I2779" s="116"/>
      <c r="L2779" s="170">
        <v>46094</v>
      </c>
      <c r="M2779" s="116">
        <v>2121.8000000000002</v>
      </c>
      <c r="N2779" s="116">
        <v>2139.1999999999998</v>
      </c>
      <c r="O2779" s="116">
        <v>2097.1</v>
      </c>
      <c r="P2779" s="116">
        <v>2130</v>
      </c>
      <c r="Q2779" s="116">
        <v>2121.8000000000002</v>
      </c>
      <c r="R2779">
        <v>757900</v>
      </c>
    </row>
    <row r="2780" spans="1:18" x14ac:dyDescent="0.25">
      <c r="A2780" s="170">
        <v>46097</v>
      </c>
      <c r="B2780">
        <v>2171.4</v>
      </c>
      <c r="C2780">
        <v>2088.6</v>
      </c>
      <c r="D2780">
        <v>2065</v>
      </c>
      <c r="E2780">
        <v>2144.75</v>
      </c>
      <c r="F2780">
        <v>2088.6</v>
      </c>
      <c r="G2780">
        <v>11591</v>
      </c>
      <c r="H2780" s="116"/>
      <c r="I2780" s="116"/>
      <c r="L2780" s="170">
        <v>46097</v>
      </c>
      <c r="M2780" s="116">
        <v>2090.1999999999998</v>
      </c>
      <c r="N2780" s="116">
        <v>2177</v>
      </c>
      <c r="O2780" s="116">
        <v>2065</v>
      </c>
      <c r="P2780" s="116">
        <v>2136</v>
      </c>
      <c r="Q2780" s="116">
        <v>2090.1999999999998</v>
      </c>
      <c r="R2780">
        <v>605829</v>
      </c>
    </row>
    <row r="2781" spans="1:18" x14ac:dyDescent="0.25">
      <c r="A2781" s="170">
        <v>46098</v>
      </c>
      <c r="B2781">
        <v>2116.35</v>
      </c>
      <c r="C2781">
        <v>2103.35</v>
      </c>
      <c r="D2781">
        <v>2086.65</v>
      </c>
      <c r="E2781">
        <v>2088.6999999999998</v>
      </c>
      <c r="F2781">
        <v>2103.35</v>
      </c>
      <c r="G2781">
        <v>10549</v>
      </c>
      <c r="H2781" s="116"/>
      <c r="I2781" s="116"/>
      <c r="L2781" s="170">
        <v>46098</v>
      </c>
      <c r="M2781" s="116">
        <v>2104</v>
      </c>
      <c r="N2781" s="116">
        <v>2119.4</v>
      </c>
      <c r="O2781" s="116">
        <v>2083.1</v>
      </c>
      <c r="P2781" s="116">
        <v>2099</v>
      </c>
      <c r="Q2781" s="116">
        <v>2104</v>
      </c>
      <c r="R2781">
        <v>378003</v>
      </c>
    </row>
    <row r="2782" spans="1:18" x14ac:dyDescent="0.25">
      <c r="A2782" s="170">
        <v>46099</v>
      </c>
      <c r="B2782">
        <v>2144.9499999999998</v>
      </c>
      <c r="C2782">
        <v>2115.65</v>
      </c>
      <c r="D2782">
        <v>2079</v>
      </c>
      <c r="E2782">
        <v>2144.9499999999998</v>
      </c>
      <c r="F2782">
        <v>2115.65</v>
      </c>
      <c r="G2782">
        <v>1851</v>
      </c>
      <c r="H2782" s="116"/>
      <c r="I2782" s="116"/>
      <c r="L2782" s="170">
        <v>46099</v>
      </c>
      <c r="M2782" s="116">
        <v>2118</v>
      </c>
      <c r="N2782" s="116">
        <v>2132</v>
      </c>
      <c r="O2782" s="116">
        <v>2077.1999999999998</v>
      </c>
      <c r="P2782" s="116">
        <v>2115</v>
      </c>
      <c r="Q2782" s="116">
        <v>2118</v>
      </c>
      <c r="R2782">
        <v>433848</v>
      </c>
    </row>
    <row r="2783" spans="1:18" x14ac:dyDescent="0.25">
      <c r="A2783" s="170">
        <v>46100</v>
      </c>
      <c r="B2783">
        <v>2115.65</v>
      </c>
      <c r="C2783">
        <v>2085.1</v>
      </c>
      <c r="D2783">
        <v>2070.4</v>
      </c>
      <c r="E2783">
        <v>2115.65</v>
      </c>
      <c r="F2783">
        <v>2085.1</v>
      </c>
      <c r="G2783">
        <v>1826</v>
      </c>
      <c r="H2783" s="116"/>
      <c r="I2783" s="116"/>
      <c r="L2783" s="170">
        <v>46100</v>
      </c>
      <c r="M2783" s="116">
        <v>2084.9</v>
      </c>
      <c r="N2783" s="116">
        <v>2104.3000000000002</v>
      </c>
      <c r="O2783" s="116">
        <v>2068.6</v>
      </c>
      <c r="P2783" s="116">
        <v>2100</v>
      </c>
      <c r="Q2783" s="116">
        <v>2084.9</v>
      </c>
      <c r="R2783">
        <v>302505</v>
      </c>
    </row>
    <row r="2784" spans="1:18" x14ac:dyDescent="0.25">
      <c r="A2784" s="170">
        <v>46101</v>
      </c>
      <c r="B2784">
        <v>2195</v>
      </c>
      <c r="C2784">
        <v>2155.4499999999998</v>
      </c>
      <c r="D2784">
        <v>2085.1999999999998</v>
      </c>
      <c r="E2784">
        <v>2085.1999999999998</v>
      </c>
      <c r="F2784">
        <v>2155.4499999999998</v>
      </c>
      <c r="G2784">
        <v>6458</v>
      </c>
      <c r="H2784" s="116"/>
      <c r="I2784" s="116"/>
      <c r="L2784" s="170">
        <v>46101</v>
      </c>
      <c r="M2784" s="116">
        <v>2138.6</v>
      </c>
      <c r="N2784" s="116">
        <v>2195</v>
      </c>
      <c r="O2784" s="116">
        <v>2080</v>
      </c>
      <c r="P2784" s="116">
        <v>2080</v>
      </c>
      <c r="Q2784" s="116">
        <v>2138.6</v>
      </c>
      <c r="R2784">
        <v>467550</v>
      </c>
    </row>
    <row r="2785" spans="1:18" x14ac:dyDescent="0.25">
      <c r="A2785" s="170">
        <v>46104</v>
      </c>
      <c r="B2785">
        <v>2145</v>
      </c>
      <c r="C2785">
        <v>2082.85</v>
      </c>
      <c r="D2785">
        <v>2069.5</v>
      </c>
      <c r="E2785">
        <v>2145</v>
      </c>
      <c r="F2785">
        <v>2082.85</v>
      </c>
      <c r="G2785">
        <v>9964</v>
      </c>
      <c r="H2785" s="116"/>
      <c r="I2785" s="116"/>
      <c r="L2785" s="170">
        <v>46104</v>
      </c>
      <c r="M2785" s="116">
        <v>2080.3000000000002</v>
      </c>
      <c r="N2785" s="116">
        <v>2138.6</v>
      </c>
      <c r="O2785" s="116">
        <v>2069.1999999999998</v>
      </c>
      <c r="P2785" s="116">
        <v>2138.6</v>
      </c>
      <c r="Q2785" s="116">
        <v>2080.3000000000002</v>
      </c>
      <c r="R2785">
        <v>254449</v>
      </c>
    </row>
    <row r="2786" spans="1:18" x14ac:dyDescent="0.25">
      <c r="A2786" s="170">
        <v>46105</v>
      </c>
      <c r="B2786">
        <v>2104</v>
      </c>
      <c r="C2786">
        <v>2075.65</v>
      </c>
      <c r="D2786">
        <v>2052.1999999999998</v>
      </c>
      <c r="E2786">
        <v>2085.4499999999998</v>
      </c>
      <c r="F2786">
        <v>2075.65</v>
      </c>
      <c r="G2786">
        <v>10708</v>
      </c>
      <c r="H2786" s="116"/>
      <c r="I2786" s="116"/>
      <c r="L2786" s="170">
        <v>46105</v>
      </c>
      <c r="M2786" s="116">
        <v>2076.8000000000002</v>
      </c>
      <c r="N2786" s="116">
        <v>2105</v>
      </c>
      <c r="O2786" s="116">
        <v>2053.4</v>
      </c>
      <c r="P2786" s="116">
        <v>2105</v>
      </c>
      <c r="Q2786" s="116">
        <v>2076.8000000000002</v>
      </c>
      <c r="R2786">
        <v>275291</v>
      </c>
    </row>
    <row r="2787" spans="1:18" x14ac:dyDescent="0.25">
      <c r="A2787" s="170">
        <v>46106</v>
      </c>
      <c r="B2787">
        <v>2111.0500000000002</v>
      </c>
      <c r="C2787">
        <v>2082.5</v>
      </c>
      <c r="D2787">
        <v>2077</v>
      </c>
      <c r="E2787">
        <v>2082.15</v>
      </c>
      <c r="F2787">
        <v>2082.5</v>
      </c>
      <c r="G2787">
        <v>3459</v>
      </c>
      <c r="H2787" s="116"/>
      <c r="I2787" s="116"/>
      <c r="L2787" s="170">
        <v>46106</v>
      </c>
      <c r="M2787" s="116">
        <v>2085.3000000000002</v>
      </c>
      <c r="N2787" s="116">
        <v>2112.1</v>
      </c>
      <c r="O2787" s="116">
        <v>2063.1</v>
      </c>
      <c r="P2787" s="116">
        <v>2092</v>
      </c>
      <c r="Q2787" s="116">
        <v>2085.3000000000002</v>
      </c>
      <c r="R2787">
        <v>335521</v>
      </c>
    </row>
    <row r="2788" spans="1:18" x14ac:dyDescent="0.25">
      <c r="A2788" s="170">
        <v>46108</v>
      </c>
      <c r="B2788">
        <v>2103.15</v>
      </c>
      <c r="C2788">
        <v>2057.75</v>
      </c>
      <c r="D2788">
        <v>2050</v>
      </c>
      <c r="E2788">
        <v>2103.15</v>
      </c>
      <c r="F2788">
        <v>2057.75</v>
      </c>
      <c r="G2788">
        <v>4136</v>
      </c>
      <c r="H2788" s="116"/>
      <c r="I2788" s="116"/>
      <c r="L2788" s="170">
        <v>46108</v>
      </c>
      <c r="M2788" s="116">
        <v>2056.6999999999998</v>
      </c>
      <c r="N2788" s="116">
        <v>2091.5</v>
      </c>
      <c r="O2788" s="116">
        <v>2048.9</v>
      </c>
      <c r="P2788" s="116">
        <v>2089.9</v>
      </c>
      <c r="Q2788" s="116">
        <v>2056.6999999999998</v>
      </c>
      <c r="R2788">
        <v>286880</v>
      </c>
    </row>
    <row r="2789" spans="1:18" x14ac:dyDescent="0.25">
      <c r="A2789" s="170">
        <v>46111</v>
      </c>
      <c r="B2789">
        <v>2075.15</v>
      </c>
      <c r="C2789">
        <v>2063.1999999999998</v>
      </c>
      <c r="D2789">
        <v>2039</v>
      </c>
      <c r="E2789">
        <v>2045.05</v>
      </c>
      <c r="F2789">
        <v>2063.1999999999998</v>
      </c>
      <c r="G2789">
        <v>6113</v>
      </c>
      <c r="H2789" s="116"/>
      <c r="I2789" s="116"/>
      <c r="L2789" s="170">
        <v>46111</v>
      </c>
      <c r="M2789" s="116">
        <v>2064.4</v>
      </c>
      <c r="N2789" s="116">
        <v>2076.1999999999998</v>
      </c>
      <c r="O2789" s="116">
        <v>2030.2</v>
      </c>
      <c r="P2789" s="116">
        <v>2048.9</v>
      </c>
      <c r="Q2789" s="116">
        <v>2064.4</v>
      </c>
      <c r="R2789">
        <v>324504</v>
      </c>
    </row>
    <row r="2790" spans="1:18" x14ac:dyDescent="0.25">
      <c r="A2790" s="170">
        <v>46113</v>
      </c>
      <c r="B2790">
        <v>2100.3000000000002</v>
      </c>
      <c r="C2790">
        <v>2010.55</v>
      </c>
      <c r="D2790">
        <v>1990.6</v>
      </c>
      <c r="E2790">
        <v>2070</v>
      </c>
      <c r="F2790">
        <v>2010.55</v>
      </c>
      <c r="G2790">
        <v>23130</v>
      </c>
      <c r="H2790" s="116"/>
      <c r="I2790" s="116"/>
      <c r="L2790" s="170">
        <v>46113</v>
      </c>
      <c r="M2790" s="116">
        <v>2008.8</v>
      </c>
      <c r="N2790" s="116">
        <v>2103</v>
      </c>
      <c r="O2790" s="116">
        <v>1990.6</v>
      </c>
      <c r="P2790" s="116">
        <v>2071.9</v>
      </c>
      <c r="Q2790" s="116">
        <v>2008.8</v>
      </c>
      <c r="R2790">
        <v>241774</v>
      </c>
    </row>
    <row r="2791" spans="1:18" x14ac:dyDescent="0.25">
      <c r="A2791" s="170">
        <v>46114</v>
      </c>
      <c r="B2791">
        <v>2034.75</v>
      </c>
      <c r="C2791">
        <v>1956.3</v>
      </c>
      <c r="D2791">
        <v>1893.2</v>
      </c>
      <c r="E2791">
        <v>2034.75</v>
      </c>
      <c r="F2791">
        <v>1956.3</v>
      </c>
      <c r="G2791">
        <v>15191</v>
      </c>
      <c r="H2791" s="116"/>
      <c r="I2791" s="116"/>
      <c r="L2791" s="170">
        <v>46114</v>
      </c>
      <c r="M2791" s="116">
        <v>1961.1</v>
      </c>
      <c r="N2791" s="116">
        <v>1998.8</v>
      </c>
      <c r="O2791" s="116">
        <v>1892.6</v>
      </c>
      <c r="P2791" s="116">
        <v>1994</v>
      </c>
      <c r="Q2791" s="116">
        <v>1961.1</v>
      </c>
      <c r="R2791">
        <v>205949</v>
      </c>
    </row>
    <row r="2792" spans="1:18" x14ac:dyDescent="0.25">
      <c r="A2792" s="170">
        <v>46118</v>
      </c>
      <c r="B2792">
        <v>1967.75</v>
      </c>
      <c r="C2792">
        <v>1952.25</v>
      </c>
      <c r="D2792">
        <v>1866.55</v>
      </c>
      <c r="E2792">
        <v>1866.55</v>
      </c>
      <c r="F2792">
        <v>1952.25</v>
      </c>
      <c r="G2792">
        <v>9783</v>
      </c>
      <c r="H2792" s="116"/>
      <c r="I2792" s="116"/>
      <c r="L2792" s="170">
        <v>46118</v>
      </c>
      <c r="M2792" s="116">
        <v>1952</v>
      </c>
      <c r="N2792" s="116">
        <v>1968.1</v>
      </c>
      <c r="O2792" s="116">
        <v>1913.3</v>
      </c>
      <c r="P2792" s="116">
        <v>1913.3</v>
      </c>
      <c r="Q2792" s="116">
        <v>1952</v>
      </c>
      <c r="R2792">
        <v>384187</v>
      </c>
    </row>
    <row r="2793" spans="1:18" x14ac:dyDescent="0.25">
      <c r="A2793" s="170">
        <v>46119</v>
      </c>
      <c r="B2793">
        <v>1980</v>
      </c>
      <c r="C2793">
        <v>1961</v>
      </c>
      <c r="D2793">
        <v>1928</v>
      </c>
      <c r="E2793">
        <v>1971.65</v>
      </c>
      <c r="F2793">
        <v>1961</v>
      </c>
      <c r="G2793">
        <v>4303</v>
      </c>
      <c r="H2793" s="116"/>
      <c r="I2793" s="116"/>
      <c r="L2793" s="170">
        <v>46119</v>
      </c>
      <c r="M2793" s="116">
        <v>1961.9</v>
      </c>
      <c r="N2793" s="116">
        <v>1981.2</v>
      </c>
      <c r="O2793" s="116">
        <v>1923.2</v>
      </c>
      <c r="P2793" s="116">
        <v>1959.8</v>
      </c>
      <c r="Q2793" s="116">
        <v>1961.9</v>
      </c>
      <c r="R2793">
        <v>383971</v>
      </c>
    </row>
    <row r="2794" spans="1:18" x14ac:dyDescent="0.25">
      <c r="A2794" s="170">
        <v>46120</v>
      </c>
      <c r="B2794">
        <v>1986</v>
      </c>
      <c r="C2794">
        <v>1945.4</v>
      </c>
      <c r="D2794">
        <v>1938</v>
      </c>
      <c r="E2794">
        <v>1985</v>
      </c>
      <c r="F2794">
        <v>1945.4</v>
      </c>
      <c r="G2794">
        <v>5502</v>
      </c>
      <c r="H2794" s="116"/>
      <c r="I2794" s="116"/>
      <c r="L2794" s="170">
        <v>46120</v>
      </c>
      <c r="M2794" s="116">
        <v>1942.5</v>
      </c>
      <c r="N2794" s="116">
        <v>1994.3</v>
      </c>
      <c r="O2794" s="116">
        <v>1937.7</v>
      </c>
      <c r="P2794" s="116">
        <v>1985</v>
      </c>
      <c r="Q2794" s="116">
        <v>1942.5</v>
      </c>
      <c r="R2794">
        <v>578001</v>
      </c>
    </row>
    <row r="2795" spans="1:18" x14ac:dyDescent="0.25">
      <c r="A2795" s="170">
        <v>46121</v>
      </c>
      <c r="B2795">
        <v>1983.05</v>
      </c>
      <c r="C2795">
        <v>1970.5</v>
      </c>
      <c r="D2795">
        <v>1939.65</v>
      </c>
      <c r="E2795">
        <v>1939.65</v>
      </c>
      <c r="F2795">
        <v>1970.5</v>
      </c>
      <c r="G2795">
        <v>3349</v>
      </c>
      <c r="H2795" s="116"/>
      <c r="I2795" s="116"/>
      <c r="L2795" s="170">
        <v>46121</v>
      </c>
      <c r="M2795" s="116">
        <v>1970.2</v>
      </c>
      <c r="N2795" s="116">
        <v>1983.1</v>
      </c>
      <c r="O2795" s="116">
        <v>1943.5</v>
      </c>
      <c r="P2795" s="116">
        <v>1943.5</v>
      </c>
      <c r="Q2795" s="116">
        <v>1970.2</v>
      </c>
      <c r="R2795">
        <v>341494</v>
      </c>
    </row>
    <row r="2796" spans="1:18" x14ac:dyDescent="0.25">
      <c r="A2796" s="170">
        <v>46122</v>
      </c>
      <c r="B2796">
        <v>2008.5</v>
      </c>
      <c r="C2796">
        <v>2003.75</v>
      </c>
      <c r="D2796">
        <v>1938.6</v>
      </c>
      <c r="E2796">
        <v>1938.6</v>
      </c>
      <c r="F2796">
        <v>2003.75</v>
      </c>
      <c r="G2796">
        <v>3396</v>
      </c>
      <c r="H2796" s="116"/>
      <c r="I2796" s="116"/>
      <c r="L2796" s="170">
        <v>46122</v>
      </c>
      <c r="M2796" s="116">
        <v>2005.4</v>
      </c>
      <c r="N2796" s="116">
        <v>2009</v>
      </c>
      <c r="O2796" s="116">
        <v>1968.4</v>
      </c>
      <c r="P2796" s="116">
        <v>1988.8</v>
      </c>
      <c r="Q2796" s="116">
        <v>2005.4</v>
      </c>
      <c r="R2796">
        <v>336850</v>
      </c>
    </row>
    <row r="2797" spans="1:18" x14ac:dyDescent="0.25">
      <c r="A2797" s="170">
        <v>46125</v>
      </c>
      <c r="B2797">
        <v>2025.95</v>
      </c>
      <c r="C2797">
        <v>1998.65</v>
      </c>
      <c r="D2797">
        <v>1976.75</v>
      </c>
      <c r="E2797">
        <v>2007.6</v>
      </c>
      <c r="F2797">
        <v>1998.65</v>
      </c>
      <c r="G2797">
        <v>4393</v>
      </c>
      <c r="H2797" s="116"/>
      <c r="I2797" s="116"/>
      <c r="L2797" s="170">
        <v>46125</v>
      </c>
      <c r="M2797" s="116">
        <v>1998.4</v>
      </c>
      <c r="N2797" s="116">
        <v>2029</v>
      </c>
      <c r="O2797" s="116">
        <v>1976.1</v>
      </c>
      <c r="P2797" s="116">
        <v>1999.1</v>
      </c>
      <c r="Q2797" s="116">
        <v>1998.4</v>
      </c>
      <c r="R2797">
        <v>585644</v>
      </c>
    </row>
    <row r="2798" spans="1:18" x14ac:dyDescent="0.25">
      <c r="A2798" s="170">
        <v>46127</v>
      </c>
      <c r="B2798">
        <v>2025.25</v>
      </c>
      <c r="C2798">
        <v>1978</v>
      </c>
      <c r="D2798">
        <v>1973.3</v>
      </c>
      <c r="E2798">
        <v>2001.1</v>
      </c>
      <c r="F2798">
        <v>1978</v>
      </c>
      <c r="G2798">
        <v>4467</v>
      </c>
      <c r="H2798" s="116"/>
      <c r="I2798" s="116"/>
      <c r="L2798" s="170">
        <v>46127</v>
      </c>
      <c r="M2798" s="116">
        <v>1981.1</v>
      </c>
      <c r="N2798" s="116">
        <v>2023.5</v>
      </c>
      <c r="O2798" s="116">
        <v>1975.2</v>
      </c>
      <c r="P2798" s="116">
        <v>1999</v>
      </c>
      <c r="Q2798" s="116">
        <v>1981.1</v>
      </c>
      <c r="R2798">
        <v>524015</v>
      </c>
    </row>
    <row r="2799" spans="1:18" x14ac:dyDescent="0.25">
      <c r="A2799" s="170">
        <v>46128</v>
      </c>
      <c r="B2799">
        <v>1991.65</v>
      </c>
      <c r="C2799">
        <v>1974.7</v>
      </c>
      <c r="D2799">
        <v>1960.1</v>
      </c>
      <c r="E2799">
        <v>1980.95</v>
      </c>
      <c r="F2799">
        <v>1974.7</v>
      </c>
      <c r="G2799">
        <v>2522</v>
      </c>
      <c r="H2799" s="116"/>
      <c r="I2799" s="116"/>
      <c r="L2799" s="170">
        <v>46128</v>
      </c>
      <c r="M2799" s="116">
        <v>1975</v>
      </c>
      <c r="N2799" s="116">
        <v>1999.8</v>
      </c>
      <c r="O2799" s="116">
        <v>1958.6</v>
      </c>
      <c r="P2799" s="116">
        <v>1981.1</v>
      </c>
      <c r="Q2799" s="116">
        <v>1975</v>
      </c>
      <c r="R2799">
        <v>201603</v>
      </c>
    </row>
    <row r="2800" spans="1:18" x14ac:dyDescent="0.25">
      <c r="A2800" s="170">
        <v>46129</v>
      </c>
      <c r="B2800">
        <v>2001.35</v>
      </c>
      <c r="C2800">
        <v>1997.35</v>
      </c>
      <c r="D2800">
        <v>1970</v>
      </c>
      <c r="E2800">
        <v>1975</v>
      </c>
      <c r="F2800">
        <v>1997.35</v>
      </c>
      <c r="G2800">
        <v>1482</v>
      </c>
      <c r="H2800" s="116"/>
      <c r="I2800" s="116"/>
      <c r="L2800" s="170">
        <v>46129</v>
      </c>
      <c r="M2800" s="116">
        <v>1998</v>
      </c>
      <c r="N2800" s="116">
        <v>2002.3</v>
      </c>
      <c r="O2800" s="116">
        <v>1966.5</v>
      </c>
      <c r="P2800" s="116">
        <v>1975</v>
      </c>
      <c r="Q2800" s="116">
        <v>1998</v>
      </c>
      <c r="R2800">
        <v>72190</v>
      </c>
    </row>
    <row r="2801" spans="1:18" x14ac:dyDescent="0.25">
      <c r="A2801" s="170">
        <v>46132</v>
      </c>
      <c r="B2801">
        <v>1999.7</v>
      </c>
      <c r="C2801">
        <v>1993</v>
      </c>
      <c r="D2801">
        <v>1980</v>
      </c>
      <c r="E2801">
        <v>1980</v>
      </c>
      <c r="F2801">
        <v>1993</v>
      </c>
      <c r="G2801">
        <v>1385</v>
      </c>
      <c r="H2801" s="116"/>
      <c r="I2801" s="116"/>
      <c r="L2801" s="170">
        <v>46132</v>
      </c>
      <c r="M2801" s="116">
        <v>1991.2</v>
      </c>
      <c r="N2801" s="116">
        <v>2008.5</v>
      </c>
      <c r="O2801" s="116">
        <v>1967.6</v>
      </c>
      <c r="P2801" s="116">
        <v>1985.1</v>
      </c>
      <c r="Q2801" s="116">
        <v>1991.2</v>
      </c>
      <c r="R2801">
        <v>67902</v>
      </c>
    </row>
    <row r="2802" spans="1:18" x14ac:dyDescent="0.25">
      <c r="A2802" s="170">
        <v>46133</v>
      </c>
      <c r="B2802">
        <v>2010.5</v>
      </c>
      <c r="C2802">
        <v>1992.9</v>
      </c>
      <c r="D2802">
        <v>1987.4</v>
      </c>
      <c r="E2802">
        <v>2002.95</v>
      </c>
      <c r="F2802">
        <v>1992.9</v>
      </c>
      <c r="G2802">
        <v>4817</v>
      </c>
      <c r="H2802" s="116"/>
      <c r="I2802" s="116"/>
      <c r="L2802" s="170">
        <v>46133</v>
      </c>
      <c r="M2802" s="116">
        <v>1992.9</v>
      </c>
      <c r="N2802" s="116">
        <v>2014.6</v>
      </c>
      <c r="O2802" s="116">
        <v>1986.5</v>
      </c>
      <c r="P2802" s="116">
        <v>1996</v>
      </c>
      <c r="Q2802" s="116">
        <v>1992.9</v>
      </c>
      <c r="R2802">
        <v>595399</v>
      </c>
    </row>
    <row r="2803" spans="1:18" x14ac:dyDescent="0.25">
      <c r="A2803" s="170">
        <v>46134</v>
      </c>
      <c r="B2803">
        <v>1999.65</v>
      </c>
      <c r="C2803">
        <v>1974.35</v>
      </c>
      <c r="D2803">
        <v>1970</v>
      </c>
      <c r="E2803">
        <v>1994</v>
      </c>
      <c r="F2803">
        <v>1974.35</v>
      </c>
      <c r="G2803">
        <v>2382</v>
      </c>
      <c r="H2803" s="116"/>
      <c r="I2803" s="116"/>
      <c r="L2803" s="170">
        <v>46134</v>
      </c>
      <c r="M2803" s="116">
        <v>1977.8</v>
      </c>
      <c r="N2803" s="116">
        <v>1999.9</v>
      </c>
      <c r="O2803" s="116">
        <v>1968.7</v>
      </c>
      <c r="P2803" s="116">
        <v>1990</v>
      </c>
      <c r="Q2803" s="116">
        <v>1977.8</v>
      </c>
      <c r="R2803">
        <v>249366</v>
      </c>
    </row>
    <row r="2804" spans="1:18" x14ac:dyDescent="0.25">
      <c r="A2804" s="170">
        <v>46135</v>
      </c>
      <c r="B2804">
        <v>2033.85</v>
      </c>
      <c r="C2804">
        <v>2011.95</v>
      </c>
      <c r="D2804">
        <v>1970</v>
      </c>
      <c r="E2804">
        <v>1987.25</v>
      </c>
      <c r="F2804">
        <v>2011.95</v>
      </c>
      <c r="G2804">
        <v>6006</v>
      </c>
      <c r="H2804" s="116"/>
      <c r="I2804" s="116"/>
      <c r="L2804" s="170">
        <v>46135</v>
      </c>
      <c r="M2804" s="116">
        <v>2011.5</v>
      </c>
      <c r="N2804" s="116">
        <v>2033.7</v>
      </c>
      <c r="O2804" s="116">
        <v>1960.2</v>
      </c>
      <c r="P2804" s="116">
        <v>1980</v>
      </c>
      <c r="Q2804" s="116">
        <v>2011.5</v>
      </c>
      <c r="R2804">
        <v>354656</v>
      </c>
    </row>
    <row r="2805" spans="1:18" x14ac:dyDescent="0.25">
      <c r="A2805" s="170">
        <v>46136</v>
      </c>
      <c r="B2805">
        <v>2017.8</v>
      </c>
      <c r="C2805">
        <v>2003.95</v>
      </c>
      <c r="D2805">
        <v>1991.05</v>
      </c>
      <c r="E2805">
        <v>2007.5</v>
      </c>
      <c r="F2805">
        <v>2003.95</v>
      </c>
      <c r="G2805">
        <v>4855</v>
      </c>
      <c r="H2805" s="116"/>
      <c r="I2805" s="116"/>
      <c r="L2805" s="170">
        <v>46136</v>
      </c>
      <c r="M2805" s="116">
        <v>2005.8</v>
      </c>
      <c r="N2805" s="116">
        <v>2018.2</v>
      </c>
      <c r="O2805" s="116">
        <v>1991</v>
      </c>
      <c r="P2805" s="116">
        <v>2011.5</v>
      </c>
      <c r="Q2805" s="116">
        <v>2005.8</v>
      </c>
      <c r="R2805">
        <v>225321</v>
      </c>
    </row>
    <row r="2806" spans="1:18" x14ac:dyDescent="0.25">
      <c r="A2806" s="170">
        <v>46139</v>
      </c>
      <c r="B2806">
        <v>2061.1</v>
      </c>
      <c r="C2806">
        <v>2047.85</v>
      </c>
      <c r="D2806">
        <v>2010</v>
      </c>
      <c r="E2806">
        <v>2024.75</v>
      </c>
      <c r="F2806">
        <v>2047.85</v>
      </c>
      <c r="G2806">
        <v>10217</v>
      </c>
      <c r="H2806" s="116"/>
      <c r="I2806" s="116"/>
      <c r="L2806" s="170">
        <v>46139</v>
      </c>
      <c r="M2806" s="116">
        <v>2047.5</v>
      </c>
      <c r="N2806" s="116">
        <v>2056</v>
      </c>
      <c r="O2806" s="116">
        <v>2008.2</v>
      </c>
      <c r="P2806" s="116">
        <v>2013</v>
      </c>
      <c r="Q2806" s="116">
        <v>2047.5</v>
      </c>
      <c r="R2806">
        <v>300193</v>
      </c>
    </row>
    <row r="2807" spans="1:18" x14ac:dyDescent="0.25">
      <c r="A2807" s="170">
        <v>46140</v>
      </c>
      <c r="B2807">
        <v>2066</v>
      </c>
      <c r="C2807">
        <v>2043.6</v>
      </c>
      <c r="D2807">
        <v>2037.5</v>
      </c>
      <c r="E2807">
        <v>2063.9</v>
      </c>
      <c r="F2807">
        <v>2043.6</v>
      </c>
      <c r="G2807">
        <v>12896</v>
      </c>
      <c r="H2807" s="116"/>
      <c r="I2807" s="116"/>
      <c r="L2807" s="170">
        <v>46140</v>
      </c>
      <c r="M2807" s="116">
        <v>2043.6</v>
      </c>
      <c r="N2807" s="116">
        <v>2065.6999999999998</v>
      </c>
      <c r="O2807" s="116">
        <v>2031</v>
      </c>
      <c r="P2807" s="116">
        <v>2064</v>
      </c>
      <c r="Q2807" s="116">
        <v>2043.6</v>
      </c>
      <c r="R2807">
        <v>334885</v>
      </c>
    </row>
    <row r="2808" spans="1:18" x14ac:dyDescent="0.25">
      <c r="A2808" s="170">
        <v>46141</v>
      </c>
      <c r="B2808">
        <v>2081.6</v>
      </c>
      <c r="C2808">
        <v>2062.9499999999998</v>
      </c>
      <c r="D2808">
        <v>2048.65</v>
      </c>
      <c r="E2808">
        <v>2048.65</v>
      </c>
      <c r="F2808">
        <v>2062.9499999999998</v>
      </c>
      <c r="G2808">
        <v>11116</v>
      </c>
      <c r="H2808" s="116"/>
      <c r="I2808" s="116"/>
      <c r="L2808" s="170">
        <v>46141</v>
      </c>
      <c r="M2808" s="116">
        <v>2061.1999999999998</v>
      </c>
      <c r="N2808" s="116">
        <v>2081.9</v>
      </c>
      <c r="O2808" s="116">
        <v>2040</v>
      </c>
      <c r="P2808" s="116">
        <v>2061</v>
      </c>
      <c r="Q2808" s="116">
        <v>2061.1999999999998</v>
      </c>
      <c r="R2808">
        <v>201035</v>
      </c>
    </row>
    <row r="2809" spans="1:18" x14ac:dyDescent="0.25">
      <c r="A2809" s="170">
        <v>46142</v>
      </c>
      <c r="B2809">
        <v>2078.9</v>
      </c>
      <c r="C2809">
        <v>2048.1</v>
      </c>
      <c r="D2809">
        <v>2027.35</v>
      </c>
      <c r="E2809">
        <v>2078.9</v>
      </c>
      <c r="F2809">
        <v>2048.1</v>
      </c>
      <c r="G2809">
        <v>4093</v>
      </c>
      <c r="H2809" s="116"/>
      <c r="I2809" s="116"/>
      <c r="L2809" s="170">
        <v>46142</v>
      </c>
      <c r="M2809" s="116">
        <v>2043.4</v>
      </c>
      <c r="N2809" s="116">
        <v>2072.9</v>
      </c>
      <c r="O2809" s="116">
        <v>2028.7</v>
      </c>
      <c r="P2809" s="116">
        <v>2061.1999999999998</v>
      </c>
      <c r="Q2809" s="116">
        <v>2043.4</v>
      </c>
      <c r="R2809">
        <v>145245</v>
      </c>
    </row>
    <row r="2810" spans="1:18" x14ac:dyDescent="0.25">
      <c r="A2810" s="170">
        <v>46146</v>
      </c>
      <c r="B2810">
        <v>2096.9499999999998</v>
      </c>
      <c r="C2810">
        <v>2078.5500000000002</v>
      </c>
      <c r="D2810">
        <v>2036</v>
      </c>
      <c r="E2810">
        <v>2036</v>
      </c>
      <c r="F2810">
        <v>2078.5500000000002</v>
      </c>
      <c r="G2810">
        <v>5623</v>
      </c>
      <c r="H2810" s="116"/>
      <c r="I2810" s="116"/>
      <c r="L2810" s="170">
        <v>46146</v>
      </c>
      <c r="M2810" s="116">
        <v>2082.1</v>
      </c>
      <c r="N2810" s="116">
        <v>2097.5</v>
      </c>
      <c r="O2810" s="116">
        <v>2062.3000000000002</v>
      </c>
      <c r="P2810" s="116">
        <v>2066.8000000000002</v>
      </c>
      <c r="Q2810" s="116">
        <v>2082.1</v>
      </c>
      <c r="R2810">
        <v>248571</v>
      </c>
    </row>
    <row r="2811" spans="1:18" x14ac:dyDescent="0.25">
      <c r="A2811" s="170">
        <v>46147</v>
      </c>
      <c r="B2811">
        <v>2104.8000000000002</v>
      </c>
      <c r="C2811">
        <v>2096.1999999999998</v>
      </c>
      <c r="D2811">
        <v>2082.1</v>
      </c>
      <c r="E2811">
        <v>2097.5500000000002</v>
      </c>
      <c r="F2811">
        <v>2096.1999999999998</v>
      </c>
      <c r="G2811">
        <v>4226</v>
      </c>
      <c r="H2811" s="116"/>
      <c r="I2811" s="116"/>
      <c r="L2811" s="170">
        <v>46147</v>
      </c>
      <c r="M2811" s="116">
        <v>2094.6</v>
      </c>
      <c r="N2811" s="116">
        <v>2108.1</v>
      </c>
      <c r="O2811" s="116">
        <v>2080.1</v>
      </c>
      <c r="P2811" s="116">
        <v>2082</v>
      </c>
      <c r="Q2811" s="116">
        <v>2094.6</v>
      </c>
      <c r="R2811">
        <v>380441</v>
      </c>
    </row>
    <row r="2812" spans="1:18" x14ac:dyDescent="0.25">
      <c r="A2812" s="170">
        <v>46148</v>
      </c>
      <c r="B2812">
        <v>2171</v>
      </c>
      <c r="C2812">
        <v>2140.65</v>
      </c>
      <c r="D2812">
        <v>2101.8000000000002</v>
      </c>
      <c r="E2812">
        <v>2132.5500000000002</v>
      </c>
      <c r="F2812">
        <v>2140.65</v>
      </c>
      <c r="G2812">
        <v>68765</v>
      </c>
      <c r="H2812" s="116"/>
      <c r="I2812" s="116"/>
      <c r="L2812" s="170">
        <v>46148</v>
      </c>
      <c r="M2812" s="116">
        <v>2141.5</v>
      </c>
      <c r="N2812" s="116">
        <v>2171</v>
      </c>
      <c r="O2812" s="116">
        <v>2100</v>
      </c>
      <c r="P2812" s="116">
        <v>2106.8000000000002</v>
      </c>
      <c r="Q2812" s="116">
        <v>2141.5</v>
      </c>
      <c r="R2812">
        <v>422003</v>
      </c>
    </row>
    <row r="2813" spans="1:18" x14ac:dyDescent="0.25">
      <c r="A2813" s="170">
        <v>46149</v>
      </c>
      <c r="B2813">
        <v>2168.65</v>
      </c>
      <c r="C2813">
        <v>2141.35</v>
      </c>
      <c r="D2813">
        <v>2111.0500000000002</v>
      </c>
      <c r="E2813">
        <v>2119.1999999999998</v>
      </c>
      <c r="F2813">
        <v>2141.35</v>
      </c>
      <c r="G2813">
        <v>4724</v>
      </c>
      <c r="H2813" s="116"/>
      <c r="I2813" s="116"/>
      <c r="L2813" s="170">
        <v>46149</v>
      </c>
      <c r="M2813" s="116">
        <v>2143.1999999999998</v>
      </c>
      <c r="N2813" s="116">
        <v>2167</v>
      </c>
      <c r="O2813" s="116">
        <v>2108</v>
      </c>
      <c r="P2813" s="116">
        <v>2114.1</v>
      </c>
      <c r="Q2813" s="116">
        <v>2143.1999999999998</v>
      </c>
      <c r="R2813">
        <v>233228</v>
      </c>
    </row>
    <row r="2814" spans="1:18" x14ac:dyDescent="0.25">
      <c r="A2814" s="170">
        <v>46150</v>
      </c>
      <c r="B2814">
        <v>2182.75</v>
      </c>
      <c r="C2814">
        <v>2151.9</v>
      </c>
      <c r="D2814">
        <v>2137.15</v>
      </c>
      <c r="E2814">
        <v>2182.75</v>
      </c>
      <c r="F2814">
        <v>2151.9</v>
      </c>
      <c r="G2814">
        <v>2153</v>
      </c>
      <c r="H2814" s="116"/>
      <c r="I2814" s="116"/>
      <c r="L2814" s="170">
        <v>46150</v>
      </c>
      <c r="M2814" s="116">
        <v>2149.8000000000002</v>
      </c>
      <c r="N2814" s="116">
        <v>2164</v>
      </c>
      <c r="O2814" s="116">
        <v>2134.9</v>
      </c>
      <c r="P2814" s="116">
        <v>2143.3000000000002</v>
      </c>
      <c r="Q2814" s="116">
        <v>2149.8000000000002</v>
      </c>
      <c r="R2814">
        <v>135870</v>
      </c>
    </row>
    <row r="2815" spans="1:18" x14ac:dyDescent="0.25">
      <c r="A2815" s="170">
        <v>46153</v>
      </c>
      <c r="B2815">
        <v>2224</v>
      </c>
      <c r="C2815">
        <v>2207.85</v>
      </c>
      <c r="D2815">
        <v>2115.75</v>
      </c>
      <c r="E2815">
        <v>2115.75</v>
      </c>
      <c r="F2815">
        <v>2207.85</v>
      </c>
      <c r="G2815">
        <v>16715</v>
      </c>
      <c r="H2815" s="116"/>
      <c r="I2815" s="116"/>
      <c r="L2815" s="170">
        <v>46153</v>
      </c>
      <c r="M2815" s="116">
        <v>2209.1999999999998</v>
      </c>
      <c r="N2815" s="116">
        <v>2224.9</v>
      </c>
      <c r="O2815" s="116">
        <v>2111.6999999999998</v>
      </c>
      <c r="P2815" s="116">
        <v>2133.5</v>
      </c>
      <c r="Q2815" s="116">
        <v>2209.1999999999998</v>
      </c>
      <c r="R2815">
        <v>584031</v>
      </c>
    </row>
    <row r="2816" spans="1:18" x14ac:dyDescent="0.25">
      <c r="A2816" s="170">
        <v>46154</v>
      </c>
      <c r="B2816">
        <v>2172.8000000000002</v>
      </c>
      <c r="C2816">
        <v>2133.8000000000002</v>
      </c>
      <c r="D2816">
        <v>2123.5500000000002</v>
      </c>
      <c r="E2816">
        <v>2129.9499999999998</v>
      </c>
      <c r="F2816">
        <v>2133.8000000000002</v>
      </c>
      <c r="G2816">
        <v>17150</v>
      </c>
      <c r="H2816" s="116"/>
      <c r="I2816" s="116"/>
      <c r="L2816" s="170">
        <v>46154</v>
      </c>
      <c r="M2816" s="116">
        <v>2135.3000000000002</v>
      </c>
      <c r="N2816" s="116">
        <v>2189.4</v>
      </c>
      <c r="O2816" s="116">
        <v>2125</v>
      </c>
      <c r="P2816" s="116">
        <v>2152</v>
      </c>
      <c r="Q2816" s="116">
        <v>2135.3000000000002</v>
      </c>
      <c r="R2816">
        <v>753580</v>
      </c>
    </row>
    <row r="2817" spans="1:18" x14ac:dyDescent="0.25">
      <c r="A2817" s="170">
        <v>46155</v>
      </c>
      <c r="B2817">
        <v>2152.35</v>
      </c>
      <c r="C2817">
        <v>2094.8000000000002</v>
      </c>
      <c r="D2817">
        <v>2078.5</v>
      </c>
      <c r="E2817">
        <v>2152.35</v>
      </c>
      <c r="F2817">
        <v>2094.8000000000002</v>
      </c>
      <c r="G2817">
        <v>14362</v>
      </c>
      <c r="H2817" s="116"/>
      <c r="I2817" s="116"/>
      <c r="L2817" s="170">
        <v>46155</v>
      </c>
      <c r="M2817" s="116">
        <v>2094.3000000000002</v>
      </c>
      <c r="N2817" s="116">
        <v>2149.6999999999998</v>
      </c>
      <c r="O2817" s="116">
        <v>2080.5</v>
      </c>
      <c r="P2817" s="116">
        <v>2122.1</v>
      </c>
      <c r="Q2817" s="116">
        <v>2094.3000000000002</v>
      </c>
      <c r="R2817">
        <v>375198</v>
      </c>
    </row>
    <row r="2818" spans="1:18" x14ac:dyDescent="0.25">
      <c r="A2818" s="170">
        <v>46156</v>
      </c>
      <c r="B2818">
        <v>2145.6</v>
      </c>
      <c r="C2818">
        <v>2137.8000000000002</v>
      </c>
      <c r="D2818">
        <v>2089.0500000000002</v>
      </c>
      <c r="E2818">
        <v>2089.0500000000002</v>
      </c>
      <c r="F2818">
        <v>2137.8000000000002</v>
      </c>
      <c r="G2818">
        <v>158319</v>
      </c>
      <c r="H2818" s="116"/>
      <c r="I2818" s="116"/>
      <c r="L2818" s="170">
        <v>46156</v>
      </c>
      <c r="M2818" s="116">
        <v>2137.8000000000002</v>
      </c>
      <c r="N2818" s="116">
        <v>2148</v>
      </c>
      <c r="O2818" s="116">
        <v>2095.1</v>
      </c>
      <c r="P2818" s="116">
        <v>2107.9</v>
      </c>
      <c r="Q2818" s="116">
        <v>2137.8000000000002</v>
      </c>
      <c r="R2818">
        <v>231504</v>
      </c>
    </row>
    <row r="2819" spans="1:18" x14ac:dyDescent="0.25">
      <c r="A2819" s="170">
        <v>46157</v>
      </c>
      <c r="B2819">
        <v>2160</v>
      </c>
      <c r="C2819">
        <v>2137.15</v>
      </c>
      <c r="D2819">
        <v>2103.15</v>
      </c>
      <c r="E2819">
        <v>2103.15</v>
      </c>
      <c r="F2819">
        <v>2137.15</v>
      </c>
      <c r="G2819">
        <v>1646</v>
      </c>
      <c r="H2819" s="116"/>
      <c r="I2819" s="116"/>
      <c r="L2819" s="170">
        <v>46157</v>
      </c>
      <c r="M2819" s="116">
        <v>2140.4</v>
      </c>
      <c r="N2819" s="116">
        <v>2160.1</v>
      </c>
      <c r="O2819" s="116">
        <v>2124.4</v>
      </c>
      <c r="P2819" s="116">
        <v>2153.4</v>
      </c>
      <c r="Q2819" s="116">
        <v>2140.4</v>
      </c>
      <c r="R2819">
        <v>235620</v>
      </c>
    </row>
    <row r="2820" spans="1:18" x14ac:dyDescent="0.25">
      <c r="A2820" s="170">
        <v>46160</v>
      </c>
      <c r="B2820">
        <v>2140.6</v>
      </c>
      <c r="C2820">
        <v>2124.85</v>
      </c>
      <c r="D2820">
        <v>2092</v>
      </c>
      <c r="E2820">
        <v>2128.8000000000002</v>
      </c>
      <c r="F2820">
        <v>2124.85</v>
      </c>
      <c r="G2820">
        <v>123222</v>
      </c>
      <c r="H2820" s="116"/>
      <c r="I2820" s="116"/>
      <c r="L2820" s="170">
        <v>46160</v>
      </c>
      <c r="M2820" s="116">
        <v>2125.3000000000002</v>
      </c>
      <c r="N2820" s="116">
        <v>2142.9</v>
      </c>
      <c r="O2820" s="116">
        <v>2087.1</v>
      </c>
      <c r="P2820" s="116">
        <v>2124.6</v>
      </c>
      <c r="Q2820" s="116">
        <v>2125.3000000000002</v>
      </c>
      <c r="R2820">
        <v>242131</v>
      </c>
    </row>
    <row r="2821" spans="1:18" x14ac:dyDescent="0.25">
      <c r="A2821" s="170">
        <v>46161</v>
      </c>
      <c r="B2821">
        <v>2187</v>
      </c>
      <c r="C2821">
        <v>2174.1999999999998</v>
      </c>
      <c r="D2821">
        <v>2118.0500000000002</v>
      </c>
      <c r="E2821">
        <v>2118.0500000000002</v>
      </c>
      <c r="F2821">
        <v>2174.1999999999998</v>
      </c>
      <c r="G2821">
        <v>8053</v>
      </c>
      <c r="H2821" s="116"/>
      <c r="I2821" s="116"/>
      <c r="L2821" s="170">
        <v>46161</v>
      </c>
      <c r="M2821" s="116">
        <v>2171.6</v>
      </c>
      <c r="N2821" s="116">
        <v>2187.4</v>
      </c>
      <c r="O2821" s="116">
        <v>2106.1</v>
      </c>
      <c r="P2821" s="116">
        <v>2125.3000000000002</v>
      </c>
      <c r="Q2821" s="116">
        <v>2171.6</v>
      </c>
      <c r="R2821">
        <v>196385</v>
      </c>
    </row>
    <row r="2822" spans="1:18" x14ac:dyDescent="0.25">
      <c r="A2822" s="170">
        <v>46162</v>
      </c>
      <c r="B2822">
        <v>2184.4499999999998</v>
      </c>
      <c r="C2822">
        <v>2160.35</v>
      </c>
      <c r="D2822">
        <v>2137.1</v>
      </c>
      <c r="E2822">
        <v>2169</v>
      </c>
      <c r="F2822">
        <v>2160.35</v>
      </c>
      <c r="G2822">
        <v>3129</v>
      </c>
      <c r="H2822" s="116"/>
      <c r="I2822" s="116"/>
      <c r="L2822" s="170">
        <v>46162</v>
      </c>
      <c r="M2822" s="116">
        <v>2163.6</v>
      </c>
      <c r="N2822" s="116">
        <v>2189.5</v>
      </c>
      <c r="O2822" s="116">
        <v>2138.1</v>
      </c>
      <c r="P2822" s="116">
        <v>2170</v>
      </c>
      <c r="Q2822" s="116">
        <v>2163.6</v>
      </c>
      <c r="R2822">
        <v>235609</v>
      </c>
    </row>
    <row r="2823" spans="1:18" x14ac:dyDescent="0.25">
      <c r="A2823" s="170">
        <v>46163</v>
      </c>
      <c r="B2823">
        <v>2196.3000000000002</v>
      </c>
      <c r="C2823">
        <v>2177.1999999999998</v>
      </c>
      <c r="D2823">
        <v>2156</v>
      </c>
      <c r="E2823">
        <v>2166.15</v>
      </c>
      <c r="F2823">
        <v>2177.1999999999998</v>
      </c>
      <c r="G2823">
        <v>2509</v>
      </c>
      <c r="H2823" s="116"/>
      <c r="I2823" s="116"/>
      <c r="L2823" s="170">
        <v>46163</v>
      </c>
      <c r="M2823" s="116">
        <v>2178.9</v>
      </c>
      <c r="N2823" s="116">
        <v>2194.9</v>
      </c>
      <c r="O2823" s="116">
        <v>2154.5</v>
      </c>
      <c r="P2823" s="116">
        <v>2166</v>
      </c>
      <c r="Q2823" s="116">
        <v>2178.9</v>
      </c>
      <c r="R2823">
        <v>417886</v>
      </c>
    </row>
    <row r="2824" spans="1:18" x14ac:dyDescent="0.25">
      <c r="A2824" s="170">
        <v>46164</v>
      </c>
      <c r="B2824">
        <v>2215.9499999999998</v>
      </c>
      <c r="C2824">
        <v>2196.3000000000002</v>
      </c>
      <c r="D2824">
        <v>2171.75</v>
      </c>
      <c r="E2824">
        <v>2197.0500000000002</v>
      </c>
      <c r="F2824">
        <v>2196.3000000000002</v>
      </c>
      <c r="G2824">
        <v>4717</v>
      </c>
      <c r="H2824" s="116"/>
      <c r="I2824" s="116"/>
      <c r="L2824" s="170">
        <v>46164</v>
      </c>
      <c r="M2824" s="116">
        <v>2192.6</v>
      </c>
      <c r="N2824" s="116">
        <v>2217</v>
      </c>
      <c r="O2824" s="116">
        <v>2171</v>
      </c>
      <c r="P2824" s="116">
        <v>2189.8000000000002</v>
      </c>
      <c r="Q2824" s="116">
        <v>2192.6</v>
      </c>
      <c r="R2824">
        <v>203854</v>
      </c>
    </row>
    <row r="2825" spans="1:18" x14ac:dyDescent="0.25">
      <c r="A2825" s="170">
        <v>46167</v>
      </c>
      <c r="B2825">
        <v>2284.9499999999998</v>
      </c>
      <c r="C2825">
        <v>2226.4499999999998</v>
      </c>
      <c r="D2825">
        <v>2196.9</v>
      </c>
      <c r="E2825">
        <v>2196.9</v>
      </c>
      <c r="F2825">
        <v>2226.4499999999998</v>
      </c>
      <c r="G2825">
        <v>14750</v>
      </c>
      <c r="H2825" s="116"/>
      <c r="I2825" s="116"/>
      <c r="L2825" s="170">
        <v>46167</v>
      </c>
      <c r="M2825" s="116">
        <v>2228.4</v>
      </c>
      <c r="N2825" s="116">
        <v>2285.3000000000002</v>
      </c>
      <c r="O2825" s="116">
        <v>2200</v>
      </c>
      <c r="P2825" s="116">
        <v>2214</v>
      </c>
      <c r="Q2825" s="116">
        <v>2228.4</v>
      </c>
      <c r="R2825">
        <v>485276</v>
      </c>
    </row>
    <row r="2826" spans="1:18" x14ac:dyDescent="0.25">
      <c r="A2826" s="170">
        <v>46168</v>
      </c>
      <c r="B2826">
        <v>2258.9499999999998</v>
      </c>
      <c r="C2826">
        <v>2188.8000000000002</v>
      </c>
      <c r="D2826">
        <v>2171.5</v>
      </c>
      <c r="E2826">
        <v>2258.9499999999998</v>
      </c>
      <c r="F2826">
        <v>2188.8000000000002</v>
      </c>
      <c r="G2826">
        <v>5648</v>
      </c>
      <c r="H2826" s="116"/>
      <c r="I2826" s="116"/>
      <c r="L2826" s="170">
        <v>46168</v>
      </c>
      <c r="M2826" s="116">
        <v>2190</v>
      </c>
      <c r="N2826" s="116">
        <v>2248</v>
      </c>
      <c r="O2826" s="116">
        <v>2168</v>
      </c>
      <c r="P2826" s="116">
        <v>2248</v>
      </c>
      <c r="Q2826" s="116">
        <v>2190</v>
      </c>
      <c r="R2826">
        <v>207333</v>
      </c>
    </row>
    <row r="2827" spans="1:18" x14ac:dyDescent="0.25">
      <c r="A2827" s="170">
        <v>46169</v>
      </c>
      <c r="B2827">
        <v>2212.6</v>
      </c>
      <c r="C2827">
        <v>2202.15</v>
      </c>
      <c r="D2827">
        <v>2168.5</v>
      </c>
      <c r="E2827">
        <v>2188.8000000000002</v>
      </c>
      <c r="F2827">
        <v>2202.15</v>
      </c>
      <c r="G2827">
        <v>1325</v>
      </c>
      <c r="H2827" s="116"/>
      <c r="I2827" s="116"/>
      <c r="L2827" s="170">
        <v>46169</v>
      </c>
      <c r="M2827" s="116">
        <v>2204.1999999999998</v>
      </c>
      <c r="N2827" s="116">
        <v>2215</v>
      </c>
      <c r="O2827" s="116">
        <v>2168</v>
      </c>
      <c r="P2827" s="116">
        <v>2190</v>
      </c>
      <c r="Q2827" s="116">
        <v>2204.1999999999998</v>
      </c>
      <c r="R2827">
        <v>170231</v>
      </c>
    </row>
    <row r="2828" spans="1:18" x14ac:dyDescent="0.25">
      <c r="A2828" s="170">
        <v>46171</v>
      </c>
      <c r="B2828">
        <v>2240.0500000000002</v>
      </c>
      <c r="C2828">
        <v>2172.4499999999998</v>
      </c>
      <c r="D2828">
        <v>2135</v>
      </c>
      <c r="E2828">
        <v>2214.5500000000002</v>
      </c>
      <c r="F2828">
        <v>2172.4499999999998</v>
      </c>
      <c r="G2828">
        <v>6742</v>
      </c>
      <c r="H2828" s="116"/>
      <c r="I2828" s="116"/>
      <c r="L2828" s="170">
        <v>46171</v>
      </c>
      <c r="M2828" s="116">
        <v>2167.4</v>
      </c>
      <c r="N2828" s="116">
        <v>2239.8000000000002</v>
      </c>
      <c r="O2828" s="116">
        <v>2131</v>
      </c>
      <c r="P2828" s="116">
        <v>2204.1999999999998</v>
      </c>
      <c r="Q2828" s="116">
        <v>2167.4</v>
      </c>
      <c r="R2828">
        <v>324822</v>
      </c>
    </row>
    <row r="2829" spans="1:18" x14ac:dyDescent="0.25">
      <c r="A2829" s="170">
        <v>46174</v>
      </c>
      <c r="B2829">
        <v>2175.8000000000002</v>
      </c>
      <c r="C2829">
        <v>2140.5500000000002</v>
      </c>
      <c r="D2829">
        <v>2120.25</v>
      </c>
      <c r="E2829">
        <v>2146.1</v>
      </c>
      <c r="F2829">
        <v>2140.5500000000002</v>
      </c>
      <c r="G2829">
        <v>5612</v>
      </c>
      <c r="H2829" s="116"/>
      <c r="I2829" s="116"/>
      <c r="L2829" s="170">
        <v>46174</v>
      </c>
      <c r="M2829" s="116">
        <v>2140.1999999999998</v>
      </c>
      <c r="N2829" s="116">
        <v>2177.6999999999998</v>
      </c>
      <c r="O2829" s="116">
        <v>2120</v>
      </c>
      <c r="P2829" s="116">
        <v>2160.6999999999998</v>
      </c>
      <c r="Q2829" s="116">
        <v>2140.1999999999998</v>
      </c>
      <c r="R2829">
        <v>667973</v>
      </c>
    </row>
    <row r="2830" spans="1:18" x14ac:dyDescent="0.25">
      <c r="A2830" s="170">
        <v>46175</v>
      </c>
      <c r="B2830">
        <v>2133.3000000000002</v>
      </c>
      <c r="C2830">
        <v>2127.5500000000002</v>
      </c>
      <c r="D2830">
        <v>2080.6999999999998</v>
      </c>
      <c r="E2830">
        <v>2114</v>
      </c>
      <c r="F2830">
        <v>2127.5500000000002</v>
      </c>
      <c r="G2830">
        <v>3624</v>
      </c>
      <c r="H2830" s="116"/>
      <c r="I2830" s="116"/>
      <c r="L2830" s="170">
        <v>46175</v>
      </c>
      <c r="M2830" s="116">
        <v>2129.6</v>
      </c>
      <c r="N2830" s="116">
        <v>2135.3000000000002</v>
      </c>
      <c r="O2830" s="116">
        <v>2080.9</v>
      </c>
      <c r="P2830" s="116">
        <v>2122</v>
      </c>
      <c r="Q2830" s="116">
        <v>2129.6</v>
      </c>
      <c r="R2830">
        <v>371359</v>
      </c>
    </row>
    <row r="2831" spans="1:18" x14ac:dyDescent="0.25">
      <c r="A2831" s="170">
        <v>46176</v>
      </c>
      <c r="B2831">
        <v>2148.6999999999998</v>
      </c>
      <c r="C2831">
        <v>2139.5</v>
      </c>
      <c r="D2831">
        <v>2095.1999999999998</v>
      </c>
      <c r="E2831">
        <v>2118.5</v>
      </c>
      <c r="F2831">
        <v>2139.5</v>
      </c>
      <c r="G2831">
        <v>4544</v>
      </c>
      <c r="H2831" s="116"/>
      <c r="I2831" s="116"/>
      <c r="L2831" s="170">
        <v>46176</v>
      </c>
      <c r="M2831" s="116">
        <v>2140</v>
      </c>
      <c r="N2831" s="116">
        <v>2149.1999999999998</v>
      </c>
      <c r="O2831" s="116">
        <v>2104</v>
      </c>
      <c r="P2831" s="116">
        <v>2121</v>
      </c>
      <c r="Q2831" s="116">
        <v>2140</v>
      </c>
      <c r="R2831">
        <v>250200</v>
      </c>
    </row>
    <row r="2832" spans="1:18" x14ac:dyDescent="0.25">
      <c r="A2832" s="170">
        <v>46177</v>
      </c>
      <c r="B2832">
        <v>2162.3000000000002</v>
      </c>
      <c r="C2832">
        <v>2131.65</v>
      </c>
      <c r="D2832">
        <v>2123.6</v>
      </c>
      <c r="E2832">
        <v>2136.0500000000002</v>
      </c>
      <c r="F2832">
        <v>2131.65</v>
      </c>
      <c r="G2832">
        <v>10647</v>
      </c>
      <c r="H2832" s="116"/>
      <c r="I2832" s="116"/>
      <c r="L2832" s="170">
        <v>46177</v>
      </c>
      <c r="M2832" s="116">
        <v>2133.6999999999998</v>
      </c>
      <c r="N2832" s="116">
        <v>2163.4</v>
      </c>
      <c r="O2832" s="116">
        <v>2121.6999999999998</v>
      </c>
      <c r="P2832" s="116">
        <v>2124</v>
      </c>
      <c r="Q2832" s="116">
        <v>2133.6999999999998</v>
      </c>
      <c r="R2832">
        <v>420680</v>
      </c>
    </row>
    <row r="2833" spans="1:18" x14ac:dyDescent="0.25">
      <c r="A2833" s="170">
        <v>46178</v>
      </c>
      <c r="B2833">
        <v>2180.6</v>
      </c>
      <c r="C2833">
        <v>2169.5</v>
      </c>
      <c r="D2833">
        <v>2132.15</v>
      </c>
      <c r="E2833">
        <v>2159.75</v>
      </c>
      <c r="F2833">
        <v>2169.5</v>
      </c>
      <c r="G2833">
        <v>35827</v>
      </c>
      <c r="H2833" s="116"/>
      <c r="I2833" s="116"/>
      <c r="L2833" s="170">
        <v>46178</v>
      </c>
      <c r="M2833" s="116">
        <v>2169.3000000000002</v>
      </c>
      <c r="N2833" s="116">
        <v>2184</v>
      </c>
      <c r="O2833" s="116">
        <v>2124.9</v>
      </c>
      <c r="P2833" s="116">
        <v>2145.5</v>
      </c>
      <c r="Q2833" s="116">
        <v>2169.3000000000002</v>
      </c>
      <c r="R2833">
        <v>188786</v>
      </c>
    </row>
    <row r="2834" spans="1:18" x14ac:dyDescent="0.25">
      <c r="A2834" s="170">
        <v>46181</v>
      </c>
      <c r="B2834">
        <v>2225</v>
      </c>
      <c r="C2834">
        <v>2172.1</v>
      </c>
      <c r="D2834">
        <v>2138.1</v>
      </c>
      <c r="E2834">
        <v>2147.85</v>
      </c>
      <c r="F2834">
        <v>2172.1</v>
      </c>
      <c r="G2834">
        <v>5129</v>
      </c>
      <c r="H2834" s="116"/>
      <c r="I2834" s="116"/>
      <c r="L2834" s="170">
        <v>46181</v>
      </c>
      <c r="M2834" s="116">
        <v>2172.8000000000002</v>
      </c>
      <c r="N2834" s="116">
        <v>2226.1</v>
      </c>
      <c r="O2834" s="116">
        <v>2131.3000000000002</v>
      </c>
      <c r="P2834" s="116">
        <v>2164</v>
      </c>
      <c r="Q2834" s="116">
        <v>2172.8000000000002</v>
      </c>
      <c r="R2834">
        <v>198356</v>
      </c>
    </row>
    <row r="2835" spans="1:18" x14ac:dyDescent="0.25">
      <c r="A2835" s="170">
        <v>46182</v>
      </c>
      <c r="B2835">
        <v>2215</v>
      </c>
      <c r="C2835">
        <v>2209.85</v>
      </c>
      <c r="D2835">
        <v>2169.5500000000002</v>
      </c>
      <c r="E2835">
        <v>2207.3000000000002</v>
      </c>
      <c r="F2835">
        <v>2209.85</v>
      </c>
      <c r="G2835">
        <v>3046</v>
      </c>
      <c r="H2835" s="116"/>
      <c r="I2835" s="116"/>
      <c r="L2835" s="170">
        <v>46182</v>
      </c>
      <c r="M2835" s="116">
        <v>2210.1999999999998</v>
      </c>
      <c r="N2835" s="116">
        <v>2216.1</v>
      </c>
      <c r="O2835" s="116">
        <v>2165.6</v>
      </c>
      <c r="P2835" s="116">
        <v>2197.5</v>
      </c>
      <c r="Q2835" s="116">
        <v>2210.1999999999998</v>
      </c>
      <c r="R2835">
        <v>190472</v>
      </c>
    </row>
    <row r="2836" spans="1:18" x14ac:dyDescent="0.25">
      <c r="A2836" s="170">
        <v>46183</v>
      </c>
      <c r="B2836">
        <v>2250</v>
      </c>
      <c r="C2836">
        <v>2203.6999999999998</v>
      </c>
      <c r="D2836">
        <v>2195.65</v>
      </c>
      <c r="E2836">
        <v>2208.3000000000002</v>
      </c>
      <c r="F2836">
        <v>2203.6999999999998</v>
      </c>
      <c r="G2836">
        <v>3779</v>
      </c>
      <c r="H2836" s="116"/>
      <c r="I2836" s="116"/>
      <c r="L2836" s="170">
        <v>46183</v>
      </c>
      <c r="M2836" s="116">
        <v>2201.5</v>
      </c>
      <c r="N2836" s="116">
        <v>2250.3000000000002</v>
      </c>
      <c r="O2836" s="116">
        <v>2190.1</v>
      </c>
      <c r="P2836" s="116">
        <v>2209.9</v>
      </c>
      <c r="Q2836" s="116">
        <v>2201.5</v>
      </c>
      <c r="R2836">
        <v>277256</v>
      </c>
    </row>
    <row r="2837" spans="1:18" x14ac:dyDescent="0.25">
      <c r="A2837" s="170">
        <v>46184</v>
      </c>
      <c r="B2837">
        <v>2273.5</v>
      </c>
      <c r="C2837">
        <v>2251.85</v>
      </c>
      <c r="D2837">
        <v>2185.1999999999998</v>
      </c>
      <c r="E2837">
        <v>2185.1999999999998</v>
      </c>
      <c r="F2837">
        <v>2251.85</v>
      </c>
      <c r="G2837">
        <v>10709</v>
      </c>
      <c r="H2837" s="116"/>
      <c r="I2837" s="116"/>
      <c r="L2837" s="170">
        <v>46184</v>
      </c>
      <c r="M2837" s="116">
        <v>2252.6999999999998</v>
      </c>
      <c r="N2837" s="116">
        <v>2273.9</v>
      </c>
      <c r="O2837" s="116">
        <v>2181.1</v>
      </c>
      <c r="P2837" s="116">
        <v>2191.1</v>
      </c>
      <c r="Q2837" s="116">
        <v>2252.6999999999998</v>
      </c>
      <c r="R2837">
        <v>395798</v>
      </c>
    </row>
    <row r="2838" spans="1:18" x14ac:dyDescent="0.25">
      <c r="A2838" s="170">
        <v>46185</v>
      </c>
      <c r="B2838">
        <v>2299.9499999999998</v>
      </c>
      <c r="C2838">
        <v>2261.4</v>
      </c>
      <c r="D2838">
        <v>2253.1</v>
      </c>
      <c r="E2838">
        <v>2297.85</v>
      </c>
      <c r="F2838">
        <v>2261.4</v>
      </c>
      <c r="G2838">
        <v>14378</v>
      </c>
      <c r="H2838" s="116"/>
      <c r="I2838" s="116"/>
      <c r="L2838" s="170">
        <v>46185</v>
      </c>
      <c r="M2838" s="116">
        <v>2257.6999999999998</v>
      </c>
      <c r="N2838" s="116">
        <v>2300</v>
      </c>
      <c r="O2838" s="116">
        <v>2252.1</v>
      </c>
      <c r="P2838" s="116">
        <v>2276.5</v>
      </c>
      <c r="Q2838" s="116">
        <v>2257.6999999999998</v>
      </c>
      <c r="R2838">
        <v>235603</v>
      </c>
    </row>
    <row r="2839" spans="1:18" x14ac:dyDescent="0.25">
      <c r="A2839" s="170">
        <v>46188</v>
      </c>
      <c r="B2839">
        <v>2260</v>
      </c>
      <c r="C2839">
        <v>2215.15</v>
      </c>
      <c r="D2839">
        <v>2209.5</v>
      </c>
      <c r="E2839">
        <v>2260</v>
      </c>
      <c r="F2839">
        <v>2215.15</v>
      </c>
      <c r="G2839">
        <v>8749</v>
      </c>
      <c r="H2839" s="116"/>
      <c r="I2839" s="116"/>
      <c r="L2839" s="170">
        <v>46188</v>
      </c>
      <c r="M2839" s="116">
        <v>2217.8000000000002</v>
      </c>
      <c r="N2839" s="116">
        <v>2269.9</v>
      </c>
      <c r="O2839" s="116">
        <v>2211.3000000000002</v>
      </c>
      <c r="P2839" s="116">
        <v>2264.4</v>
      </c>
      <c r="Q2839" s="116">
        <v>2217.8000000000002</v>
      </c>
      <c r="R2839">
        <v>212114</v>
      </c>
    </row>
    <row r="2840" spans="1:18" x14ac:dyDescent="0.25">
      <c r="A2840" s="170">
        <v>46189</v>
      </c>
      <c r="B2840">
        <v>2227.3000000000002</v>
      </c>
      <c r="C2840">
        <v>2192.6</v>
      </c>
      <c r="D2840">
        <v>2185</v>
      </c>
      <c r="E2840">
        <v>2227.3000000000002</v>
      </c>
      <c r="F2840">
        <v>2192.6</v>
      </c>
      <c r="G2840">
        <v>4801</v>
      </c>
      <c r="H2840" s="116"/>
      <c r="I2840" s="116"/>
      <c r="L2840" s="170">
        <v>46189</v>
      </c>
      <c r="M2840" s="116">
        <v>2192.8000000000002</v>
      </c>
      <c r="N2840" s="116">
        <v>2231.3000000000002</v>
      </c>
      <c r="O2840" s="116">
        <v>2185.6</v>
      </c>
      <c r="P2840" s="116">
        <v>2226.4</v>
      </c>
      <c r="Q2840" s="116">
        <v>2192.8000000000002</v>
      </c>
      <c r="R2840">
        <v>145802</v>
      </c>
    </row>
    <row r="2841" spans="1:18" x14ac:dyDescent="0.25">
      <c r="A2841" s="170">
        <v>46190</v>
      </c>
      <c r="B2841">
        <v>2201.4499999999998</v>
      </c>
      <c r="C2841">
        <v>2195.9499999999998</v>
      </c>
      <c r="D2841">
        <v>2183.4499999999998</v>
      </c>
      <c r="E2841">
        <v>2189</v>
      </c>
      <c r="F2841">
        <v>2195.9499999999998</v>
      </c>
      <c r="G2841">
        <v>733</v>
      </c>
      <c r="H2841" s="116"/>
      <c r="I2841" s="116"/>
      <c r="L2841" s="170">
        <v>46190</v>
      </c>
      <c r="M2841" s="116">
        <v>2195.6</v>
      </c>
      <c r="N2841" s="116">
        <v>2204.5</v>
      </c>
      <c r="O2841" s="116">
        <v>2180.1</v>
      </c>
      <c r="P2841" s="116">
        <v>2180.1</v>
      </c>
      <c r="Q2841" s="116">
        <v>2195.6</v>
      </c>
      <c r="R2841">
        <v>185676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2026-06-17T14:16:28Z</dcterms:modified>
  <cp:category/>
  <cp:contentStatus/>
</cp:coreProperties>
</file>